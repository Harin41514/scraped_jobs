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in-02a76b764c6415c5</t>
        </is>
      </c>
      <c r="B2" t="inlineStr">
        <is>
          <t>Workforce Program Manager</t>
        </is>
      </c>
      <c r="C2" t="inlineStr">
        <is>
          <t>Ascending Knowledge Community Outreach International</t>
        </is>
      </c>
      <c r="D2" t="inlineStr">
        <is>
          <t>indeed</t>
        </is>
      </c>
      <c r="E2" t="inlineStr"/>
      <c r="F2" t="inlineStr"/>
      <c r="G2" t="inlineStr">
        <is>
          <t>Harvey, IL, US</t>
        </is>
      </c>
      <c r="H2" s="2" t="n">
        <v>46064</v>
      </c>
      <c r="I2" t="inlineStr">
        <is>
          <t>**Program Manager**
**Position Overview**
The Program Manager is responsible for the successful planning, coordination, and
delivery of organizational programs and services. This role ensures that daily program
operations run smoothly, participants receive high\-quality support, and staff are equipped
to meet performance goals. The Program Manager works closely with the Associate
Director and Executive Director to strengthen service delivery, track outcomes, and
maintain alignment with the mission and vision of the organization.
**Key Responsibilities**
*Program Leadership \&amp; Oversight*
* Manage the day\-to\-day operations of assigned programs to ensure effectiveness
and alignment with organizational objectives.
* Supervise and support program staff (facilitators, case managers, intake
specialists, etc.) with coaching, guidance, and accountability.
* Coordinate program activities, workshops, and services to ensure they are
delivered on schedule and at a high standard of quality.
* Monitor program progress, identify challenges, and recommend solutions to
strengthen outcomes.
*Partnerships \&amp; Community Engagement*
* Maintain positive relationships with community partners, schools, workforce
agencies, and other stakeholders connected to program services.
* Represent the organization at relevant program\-related meetings, community
events, or coalitions as assigned.
* Help expand resources and opportunities for participants through collaborative
partnerships.
*Staff Development \&amp; Supervision*
* Lead regular team check\-ins and provide ongoing communication to keep staff
informed and aligned.
* Offer coaching and mentoring to staff to strengthen their skills in service delivery
and participant engagement.
* Track staff performance and provide feedback in collaboration with the Associate
Director.
* Foster a supportive, mission\-driven team culture focused on results and participant
success.
*Operations \&amp; Compliance*
* Ensure program procedures comply with organizational policies, funder
requirements, and regulatory standards.
* Oversee accurate and timely collection of program data, case notes, and reporting.
* Assist in preparing reports for funders, partners, and internal leadership.
* Monitor program expenditures and ensure alignment with approved budgets.
*Strategic \&amp; Administrative Support*
* Support the Associate Director and Executive Director in planning, evaluation, and
program improvement initiatives.
* Contribute feedback to grant proposals, reports, and presentations as needed.
* Provide leadership coverage in the absence of the Associate Director or Executive
Director when directed.
* Participate in organizational planning sessions to ensure programs align with long\-
term goals.
**Qualifications**
* Experience in program management, workforce development, education, social
services, or community\-based organizations.
* Demonstrated ability to supervise staff, manage operations, and deliver participant\-
focused results.
* Strong organizational, problem\-solving, and communication skills.
* Knowledge of compliance standards, reporting requirements, and data tracking in
nonprofit programs.
* Bachelor’s degree in nonprofit management, social work, education, public
administration, or related field (equivalent experience considered).
**Core Competencies**
* Leadership: Provides clear direction, support, and accountability for staff and
participants.
* Program Execution: Ensures high\-quality delivery of services and activities.
* Collaboration: Builds positive relationships with staff, partners, and community
stakeholders.
* Accountability: Monitors progress, ensures compliance, and drives continuous
improvement.
* Adaptability: Responds to changing needs, challenges, and opportunities with
flexibility.
*Duties may be modified based on the evolving needs of the organization.*
Job Type: Part\-time
Pay: $26\.00 \- $28\.00 per hour
Work Location: In person</t>
        </is>
      </c>
    </row>
    <row r="3">
      <c r="A3" t="inlineStr">
        <is>
          <t>in-78017f5e2a911a0d</t>
        </is>
      </c>
      <c r="B3" t="inlineStr">
        <is>
          <t>Program Manager</t>
        </is>
      </c>
      <c r="C3" t="inlineStr">
        <is>
          <t xml:space="preserve">Kenona Industries, LLC </t>
        </is>
      </c>
      <c r="D3" t="inlineStr">
        <is>
          <t>indeed</t>
        </is>
      </c>
      <c r="E3" t="inlineStr"/>
      <c r="F3" t="inlineStr"/>
      <c r="G3" t="inlineStr">
        <is>
          <t>Grand Rapids, MI, US</t>
        </is>
      </c>
      <c r="H3" s="2" t="n">
        <v>46064</v>
      </c>
      <c r="I3" t="inlineStr">
        <is>
          <t>**Company Description**
Kenona Industries is a division of Arrow Automotive and is a leading provider of high\-volume precision machining, assembly, and coating services to the North American automotive industry. With a strong presence in the market, Kenona works with top OEM and Tier 1 manufacturers in the production of steering, powertrain, NVH, exhaust assemblies, battery trays, rockers, and other EV components. Kenona's products are found in renowned vehicles from Ford, GM, Chrysler, Toyota, Honda, Nissan, Mitsubishi, Freightliner, and prominent EV manufacturers.
Kenona's success in the automotive industry stems from its exceptional capabilities, responsiveness, transparency, humility, and strong corporate culture. With four facilities located in Grand Rapids, Michigan, Kenona is committed to embracing lean thinking and continuously improving as the automotive industry evolves.
**SUMMARY**
Provides technical leadership in coordinating, facilitating, motivating, and directing efforts of cross\-functional program teams. Ensures efficient use of team resources. Is responsible for multiple programs. Is responsible for overall technical and financial performance for programs during the launch phase. Develops and achieves program objectives in the areas of cost, quality, delivery. Ensures countermeasures are initiated to correct unfavorable variances in program performance. Works with internal and external resources to maintain strong customer relationships with dedication to customer program schedules. Participates in continuous improvement efforts. Performs other duties and provides work direction to other staff.
**ESSENTIAL DUTIES AND RESPONSIBILITIES**
Include the following but other duties may be assigned:
· Gains support for and develops program objectives/deliverables. Ensures full team participation and that all groups involved understand all the demands for the successful launch of a program. Objectives include timing, engineering support, cost, quality and delivery. Ensures customer and Company requirements are met. Ensures that the profitability of the program is maximized throughout the program launch. Leads the communication of all issues and responsibilities both within the Company and to the customer.
· Works with internal and external resources to maintain strong customer relationships with dedication to customer program schedules. Demonstrates expertise, in all customer systems as required, to support programs in launch. Ensure countermeasures are initiated to correct unfavorable variances by communicating alternative measures to the customer, which may be used to solve engineering problems. Ensures the success of the future production of the programs in the launch phase.
· Develops and manages program folders and documents associated with their respective deliverables
· Supports program APQP initiatives with the Advanced Quality Engineer (AQE) and Product Development Team (PDT)
· Manages and supports customer PPAP initiatives for launch and change management
· Facilitate and manage program cross\-functional resource and communications.
· Support quality measurement systems along with Advanced Quality Engineer throughout the Launch phases.
· Along with the Advanced Quality Engineer, supports development and PPAP activities with managed project suppliers and vendors
· Facilitate and support Problem\-solving (Root Cause Analysis) activities with the AQE during the launch phase of new programs.
· Support Engineering input during Quoting Process.
· Apply Engineering Skills \&amp; Techniques in Assisting Customers \&amp; Suppliers with Design Input.
· Apply Engineering Skills \&amp; Techniques in assisting Process Development.
· Performs other duties as necessary for completion of projects and achievement of goals, including providing work direction to other staff.
**EDUCATION and/or EXPERIENCE**
Bachelor’s Degree in Engineering or equivalent with a minimum of five years’ experience in the manufacturing industry required.
* The PM must have a viable comprehension of the program management process and the ability to manage multiple projects
* Must have an aptitude for empathic communication adapting to different workstyles
* Must be solution\-driven and motivation skills
* Must display good cross\-functional leadership skills
* Must be able to demonstrate organizational skills
* Must have working knowledge, presentation, and customer service skills
* Must be able to read and interpret blueprints, including GD\&amp;T, and technical specifications
* Experience in automotive manufacturing a plus
* Experience in machining or metal production a plus
* Experience in Quality Systems a plus (e.g., ISO, IATF, etc.)
* Experience with OEM \&amp; Tier One automotive requirements a plus
* Experience with CAD a plus
Pay: $75,000\.00 \- $100,000\.00 per year
Benefits:
* 401(k)
* Dental insurance
* Employee assistance program
* Health insurance
* Health savings account
* Paid time off
* Referral program
* Vision insurance
Work Location: In person</t>
        </is>
      </c>
    </row>
    <row r="4">
      <c r="A4" t="inlineStr">
        <is>
          <t>in-ac3aa688b50ae6a4</t>
        </is>
      </c>
      <c r="B4" t="inlineStr">
        <is>
          <t>Program Manager-Supervising UMHP–Bilingual Spanish/English Required</t>
        </is>
      </c>
      <c r="C4" t="inlineStr">
        <is>
          <t>MEND</t>
        </is>
      </c>
      <c r="D4" t="inlineStr">
        <is>
          <t>indeed</t>
        </is>
      </c>
      <c r="E4" t="inlineStr"/>
      <c r="F4" t="inlineStr"/>
      <c r="G4" t="inlineStr">
        <is>
          <t>Pacoima, CA, US</t>
        </is>
      </c>
      <c r="H4" s="2" t="n">
        <v>46064</v>
      </c>
      <c r="I4" t="inlineStr">
        <is>
          <t>**POSITION TITLE**: Program Manager\-Supervising UMHP–Bilingual Spanish/English Required
**PROGRAM:** United Mental Health Promoters (UMHP)
**FSLA STATUS**: Exempt
**REPORTS TO**: Program Director\-Mental Health Clinical Supervisor
**LOCATION:** Onsite
**WAGE RANGE:** $70,000 **\-** $75,000 DOE
**START DATE: February 15, 2026**
**END DATE: June 30, 2026, with the possibility of extension**
MEND\-Meet Each Need with Dignity is a nonprofit organization headquartered in Pacoima, CA serving the crisis needs of the most vulnerable community members. Operating the San Fernando Valley’s most extensive Community Nourishment Programs, MEND distributes almost 4 million pounds of good food a year. And, in alignment with MEND’s mission and long\-term commitment to strengthen families and the community, MEND helps individuals address and overcome the long\-term challenges that have kept them from thriving through our more intensive services and programs.
**JOB SUMMARY**: Under the supervision of the Project Director\-Mental Health Clinical Supervisor, the Program Manager\-Supervising United Mental Health Promoter (UMHP) will have the primary function of providing administrative oversight to and supervision to the Senior UMHP and the UMHP team. This position will support staff in day\-to\-day program activities and/or community and individual care activities such as promoting and raising mental health awareness, case management and navigation support, community outreach, engagement, and advocacy. The Program Manager provides administrative support to the Project Director, formulating recommendations relating to community health programs and supportive services; interpret federal, state and County policies and Procedures, establish and maintain effective working relationships with staff, community members and community partners. The Program Manager is a member of MEND’s leadership team who are collectively responsible for delivering quality programs and services to advance MEND’s mission.
**ESSENTIAL FUNCTIONS:**
1\. The Program Manager provides oversight to United Mental Health Promoters Team, providing day\-to\-day support and guidance on delivering Preventive Mental Health Services that are culturally and linguistically relevant, and adequately and geographically accessible to the target population of older adults age 65\+.
2\. Supervises and coaches staff to ensure effectiveness, efficiency, compliance with grant performance and recordkeeping requirements, and conformance with MEND’s Strategic Plan objectives. Facilitates weekly department meetings to plan activities, to strategize on service delivery for participants, and evaluate services.
3\. In cooperation with Project Director, manages program staffing, including but not limited to recruitment, onboarding, training, professional development, performance appraisal, work planning, and disciplinary action.
4\. Develops agreements to provide high\-quality robust collaborative services with community partners and public agencies to meet community identified supportive service needs; promotes community engagement for program staff and participants.
5\. Applies continuous quality improvement principles to the design, implementation, revision of program delivery strategies, and performance improvement plans based on evaluation results.
6\. Stays abreast of industry standards, reviews external data and benchmarks to identify opportunities for improvements.
7\. Ensures timely and accurate data collection, analysis of program performance; oversees development of standard operating procedures, program forms and other materials.
8\. Ensures compliance with grant and funder service and budget requirements; regularly prepares and submits statistical and narrative reports on status of programs and grant outcomes.
9\. Conducts periodic case file and linkage reviews to ensure complete and accurate records are being maintained and addresses any deficiencies with program staff.
10\. Represents MEND at meetings, events and conferences as needed.
11\. Other duties as assigned.
**QUALIFICATIONS:** 
· Mental Health Lived Experience: Has learned from personal challenges and mentors; willing to learn from others and create and engage with others. Life experience reflecting familiarity with systemic racism, cultural practices and other experiences of the community in which they work.
· 5 years’ experience leading social service program addressing poverty/mental health services for people who are low income, homeless, or at risk.
· Bachelor’s degree in social work, psychology, education or related required; Master’s preferred; LCSW or LMFT is a plus. Will consider an equivalent combination of education, training, and experience.
· Bilingual English/Spanish Fluency Required.
· Experiencing developing and managing project and department budgets.
· Understanding of adult learning principles.
· Understanding of available public and private supports for increasing economic self\-sufficiency and employment outcomes, such as DPSS (GR, TANF, CalFresh), AJCCs, Occupational Centers, Community Colleges, EITC, Child Tax Credits, etc.
· Awareness of social determinants of health and barriers experienced by people in poverty.
· Strong interpersonal and motivational skills.
· Experience working with individuals with diverse ethnic backgrounds.
· Demonstrated ability to work effectively as a member of a team.
· Proficient in Microsoft Office and program CRMs; knowledge of ETO a plus.
· Excellent written and oral communication skills; able express concepts in a clear and compelling manner.
· Position requires some local travel; approx. 25% of the time; must have reliable transportation and valid automobile insurance.
· Satisfactory health screen and negative TB test.
· This position is a mandated reporter and also must have a satisfactory background check.
**TIME COMMITMENT**: Full\-time; may include some evening and weekends and local travel.
The ability to interact with staff (at all levels) in a fast\-paced environment, sometimes under pressure, remaining flexible, proactive, resourceful and efficient, with a high level of professionalism is crucial to this role. Strong written and verbal communication skills, strong decision\-making ability and attention to detail are equally important.
All positions contingent on continued funding.
All employees on County\-funded programs must be fully vaccinated against COVID\-19 as a condition of employment. Successful candidates for this position will be required to submit proof of vaccination against COVID\-19 or request an exemption for qualifying medical or religious reasons during the onboarding process. Candidates should not present proof of vaccination until instructed to do so by the hiring department.
All employees will be required to adhere to all relevant confidentiality agreements, policies and procedures to safeguard client information. Employees will be required to complete all mandatory training annually, including but not limited to HIPPA, compliance, safety, cyber security, and harassment.
To apply, please submit a cover letter and resume to jobs@mendpoverty.org**. Position open until filled.** Please include a cover letter that describes how your experiences meet all the requirements of the position.
The above statements reflect the essential functions considered necessary to describe the principal content of the job. They are not intended to be a complete statement of all work requirements or duties that may be inherent in the job. MEND is an equal opportunity employer.
MEND, named the 2022 \&amp; 2023 Daily News Reader’s Choice FAVORITE WORKPLACE and named the 2025, FAVORITE NONPROFIT is an equal opportunity employer committed to a diverse and inclusive workforce. We foster a culture that honors different perspectives, opinions, and backgrounds. Company culture is at our core.
Culture
\- Warm and welcoming environment
\- Staff and volunteers have a passion for making the world a better place
\- Investment in, care and appreciation for all employees
\- Celebrate success together at staff meetings, annual holiday celebration and for outstanding achievements
\- Emphasizes personal and professional skill development through quarterly performance appraisals and regular 1:1 meetings with management
\- Commitment to program excellence and impact
Core Values
\- **Dignity and Respect:** Recognizing and honoring the inherent worth in the people we serve and each other
\- **Integrity:** Doing the right thing, being honest, ethical, and transparent
\- **Excellence:** Always striving to do our best by embracing learning, growth, and continuous improvement
\- **Accountability:** Taking ownership of work, results, and actions, ensuring high quality services and impact.
\- **Teamwork/Collaboration:** Leveraging collective strengths and working together
Benefits
\- 100% of basic employee health coverage and life insurance paid for by employer. Dental coverage paid at 50% by employer; Vision coverage paid for by employee. May elect to purchase up to a PPO plan or obtain coverage for eligible family members at their own cost.
\- Optional benefits include Flexible Spending Account and AFLAC.
\- Employee Assistance Program (EAP) available providing 24\-hour confidential hotline for employees to help find balance, address personal concerns, and assist with day\-to\-day challenges.
\- 10 days of sick leave granted annually; ability to carry over up to 70 hours of unused sick time.
\- MEND provides vacation benefits to all full\-time and part\-time employees for the purpose of giving them a period of rest and relaxation away from work with pay. New employees accrue vacation of up to 2 weeks per year. Accruals are based on hours worked.
\- Option to participate in employee sponsored 403B retirement plan.
\- 11 paid days off: 9 holidays, 2 personal days (birthday and work anniversary).
\- Compelling work culture and values.
Pay: $70,000\.00 \- $75,000\.00 per year
Benefits:
* Dental insurance
* Health insurance
* Life insurance
* Paid time off
Work Location: In person</t>
        </is>
      </c>
    </row>
    <row r="5">
      <c r="A5" t="inlineStr">
        <is>
          <t>in-a05d2e2a246db2e2</t>
        </is>
      </c>
      <c r="B5" t="inlineStr">
        <is>
          <t>Career and Technical Program Manager - Indiana Connections Academy</t>
        </is>
      </c>
      <c r="C5" t="inlineStr">
        <is>
          <t>Connections Education</t>
        </is>
      </c>
      <c r="D5" t="inlineStr">
        <is>
          <t>indeed</t>
        </is>
      </c>
      <c r="E5" t="inlineStr"/>
      <c r="F5" t="inlineStr"/>
      <c r="G5" t="inlineStr">
        <is>
          <t>Indianapolis, IN, US</t>
        </is>
      </c>
      <c r="H5" s="2" t="n">
        <v>46064</v>
      </c>
      <c r="I5" t="inlineStr">
        <is>
          <t>**Company Summary:**  
Indiana Connections Academy (INCA) is a tuition\-free, virtual public charter school for students in grades K\-12 throughout Indiana. INCA is authorized by Ball State University and governed by an independent Board of Directors. The school is operated by Indiana Connections Academy, a nonprofit corporation, through a contract with Connections Academy of Indiana, LLC, to provide its educational program and other services. The school was founded in 2010, as part of the Indiana Department of Education Virtual School Pilot Program, and became a charter school in the fall of 2011\. INCA is accredited by Cognia.
Indiana Connections Academy is dedicated to the academic success of all our students by fostering an inclusive atmosphere that empowers students to engage in critical thinking through a standards\-based, forward\-thinking educational experience.
**Position Summary and Responsibilities:**  
Working from a home office in Indiana, the Manager of Career and Technical Education (CTE) Programming will develop and implement processes and procedures that support a high\-quality CTE and work\-readiness program for all secondary students. This role collaborates closely with the School Leader, High School Principal, and Director of School Counseling to design, refine, and evaluate the effectiveness of CTE initiatives.
The CTE Manager oversees the school’s career development, workplace\-readiness, and STEAM initiatives, ensuring alignment with state expectations. This individual is responsible for monitoring state requirements and maintaining school\-wide compliance related to work\-readiness standards, STEAM certification and integration, career and college readiness benchmarks, and internship programming.
Other key responsibilities include the following:
* Support the school’s leadership team in implementing and monitoring the school improvement plan and goals;
* Manage the implementation of Indiana Connections Academy operational protocols;
* Facilitate communication between high school electives teachers, counselors, administration, Learning Coaches, and students;
* Motivate and supervise high school elective staff in pursuit of school goals;
* Support student achievement and performance;
* Monitor the school year cycle and help to hold teachers accountable to the school year cycle duties and tasks;
* Coach and guide teachers in the virtual instruction process pertaining to CTE programming;
* Manage reconciliation between Connections Academy’s data systems and state and local student information systems;
* Provide state testing support, including travel, testing site oversight, and student participation;
* Support the Marketing Department with student outreach, marketing, and public relations pertaining to CTE programming;
* Stay current on federal and state policies, procedures, and legislation;
* Oversee staff professional development; and
* All other duties as assigned.
**Requirements**
* Minimum of 2 years of relevant work experience (preferred)
* Master’s degree
* Valid Indiana Administrator’s license
* Experience with STEAM programming preferred
* Administrative or management experience within a school environment
* Excellent communication skills, both oral and written
* Possess superior perseverance, decision\-making, problem\-solving, and conflict resolution skills
* Demonstrated ability to work efficiently in a fast\-paced environment
* Technologically proficient (especially with Microsoft Office products)
* Experience in managing people (preferred)
* Ability to travel as\-needed</t>
        </is>
      </c>
    </row>
    <row r="6">
      <c r="A6" t="inlineStr">
        <is>
          <t>in-ae5dbdc2f451afad</t>
        </is>
      </c>
      <c r="B6" t="inlineStr">
        <is>
          <t>Program Manager</t>
        </is>
      </c>
      <c r="C6" t="inlineStr">
        <is>
          <t>Hope Town, Inc.</t>
        </is>
      </c>
      <c r="D6" t="inlineStr">
        <is>
          <t>indeed</t>
        </is>
      </c>
      <c r="E6" t="inlineStr"/>
      <c r="F6" t="inlineStr"/>
      <c r="G6" t="inlineStr">
        <is>
          <t>Windham, OH, US</t>
        </is>
      </c>
      <c r="H6" s="2" t="n">
        <v>46064</v>
      </c>
      <c r="I6" t="inlineStr">
        <is>
          <t>**Position Summary**
The Program Manager oversees the design, delivery, and continuous improvement of Hope Town’s core Recovery Community Center programs, spanning recovery support, workforce development, and education. This role operates in an AI\-first environment and requires a candidate who is AI fluent, AI ready, and AI first—or who can demonstrate advanced behavioral adaptability in rapidly adopting and applying AI tools.
This position leads programming within Hope Town’s Recovery Community Organization (RCO), adult workforce training partnerships, and Hope Town AI Academy, ensuring programs are compliant, scalable, and outcome\-driven. The role connects recovery to opportunity through peer\-led recovery supports, skilled\-trade and technology training (including Northwest State partnerships), and leadership\-focused education.
The ideal candidate is a systems thinker and builder who can design, improve, promote, and expand services and offerings in alignment with organizational strategy and community needs.
AI\-First Expectations
* Apply an AI\-first mindset to program design, operations, curriculum, reporting, and documentation
* Use AI tools to reduce manual work, increase consistency, and improve scalability
* Demonstrate AI fluency or advanced behavioral adaptability in learning and implementing new tools
* Identify and implement automation opportunities across program workflows
* Collaborate with internal AI resources to improve efficiency and participant experience
**Key Responsibilities**
**Program Oversight (RCO, Workforce, Education)**
* Lead all RCO programming, ensuring alignment with certification standards and recovery\-oriented best practices
* Oversee adult workforce training and partnerships, including Northwest State Community College, supporting pathways in:
* Welding, HVAC, Electrical
* ASE Automotive Readiness Courses
* AI \&amp; emerging technologies
* Microsoft Office \&amp; workplace technology skills
* Ensure programs are compliant, accessible, outcome\-driven, and scalable
**AI Academy \&amp; Leadership Education**
* Oversee Hope Town’s AI Academy and leadership programs, including:
* AI literacy and leadership
* Mentorship
* Financial literacy
* Entrepreneurship
* Ensure curriculum reflects AI readiness, workforce relevance, and leadership development
* Coordinate instructors, facilitators, and partners
**Curriculum, Operations \&amp; Systems**
* Design and refine curriculum across recovery, workforce, and education programs
* Use AI tools to support curriculum creation, documentation, and iteration
* Oversee day\-to\-day operations with an emphasis on efficiency, automation, and clarity
* Develop workflows, procedures, and documentation
* Identify bottlenecks and implement AI\-supported solutions
**Grants, Reporting \&amp; Sustainability**
* Support grant\-funded programs by tracking deliverables, timelines, and outcomes
* Use AI\-assisted tools to streamline reporting and compliance
* Ensure alignment with funding requirements and long\-term sustainability
**Collaboration, Promotion \&amp; Leadership**
* Work cross\-functionally with leadership, recovery, operations, and administrative teams
* Support strategic planning and program expansion
* Actively promote and evolve Hope Town services and offerings
* Represent Hope Town with funders, partners, and community stakeholders
* Model innovation, adaptability, and mission\-aligned leadership
**Qualifications**
**Required**
* Bachelor’s degree in a related field or equivalent experience
* Program management experience in recovery, workforce development, education, or nonprofit settings
* Demonstrated AI fluency or advanced behavioral adaptability
* Strong organizational, communication, and documentation skills
* Experience with grants or funded programs
**Preferred**
* RCO experience
* Adult education or workforce training partnerships
* Curriculum design or facilitation experience
* Recovery\-aligned lived or professional experience
**Core Competencies**
* AI\-first systems thinking
* Program and curriculum design
* Workflow automation mindset
* Cross\-sector collaboration
* Participant\-centered leadership
**What Success Looks Like**
* Within 12 months, 30–50% of routine tasks associated with this role are streamlined or replaced through AI\-driven automations and workflows
* Programs are compliant, well\-documented, and consistently delivered
* Participants progress from recovery support into training and employment
* Education and workforce programs demonstrate measurable outcomes
* Services and offerings expand based on community needs
* The Program Manager actively models AI fluency, adaptability, and innovation
**Physical Demands and Work Environment** 
The physical demands described here are representative of those that must be met by an employee to successfully perform the essential functions of this position. Reasonable accommodations may be made to enable individuals with disabilities to perform the functions. While performing the duties of this position, the employee is regularly required to talk or hear. The employee frequently is required to use hands or fingers, handle or feel objects, tools, or controls. The employee is occasionally required to stand; walk; sit; and reach with hands and arms. The employee must occasionally lift and/or move up to 25 pounds. Specific vision abilities required by this position include close vision, distance vision, and the ability to adjust focus. The noise level in the work environment is usually low to moderate.
Note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Pay: From $60,000\.00 per year
Benefits:
* Health insurance
* Paid time off
People with a criminal record are encouraged to apply
Work Location: In person</t>
        </is>
      </c>
    </row>
    <row r="7">
      <c r="A7" t="inlineStr">
        <is>
          <t>in-3d4f1ea3ddec71f6</t>
        </is>
      </c>
      <c r="B7" t="inlineStr">
        <is>
          <t>Senior Product Manager - Transportation Management System (TMS)</t>
        </is>
      </c>
      <c r="C7" t="inlineStr">
        <is>
          <t>Walmart</t>
        </is>
      </c>
      <c r="D7" t="inlineStr">
        <is>
          <t>indeed</t>
        </is>
      </c>
      <c r="E7" t="inlineStr"/>
      <c r="F7" t="inlineStr"/>
      <c r="G7" t="inlineStr">
        <is>
          <t>Bentonville, AR, US</t>
        </is>
      </c>
      <c r="H7" s="2" t="n">
        <v>46063</v>
      </c>
      <c r="I7" t="inlineStr">
        <is>
          <t>**Position Summary...**
-----------------------
Make the backbone of our transportation smarter.  
Lead the transformation of our Transportation Management System—a cloud‑based platform that powers how loads are created, configured, and moved every day. Drive a single source of truth for master data, modernize core workflows and configuration, and elevate the front‑end experience so carriers and internal teams can operate with speed and confidence.**What you'll do...**
---------------------
**What you’ll do…**
* **Modernize master data management.** Define the vision, strategy, and sequencing to migrate products and data from legacy systems to Stride—minimizing risk while accelerating value realization. Align business, engineering, and operations on clear milestones and metrics.
* **Build the single source of truth for loads.** Lead master data management (MDM) and configuration so every load is consistent, accurate, and auditable across carriers, services, and channels.
* **Champion data‑driven decisions.** Instrument features, analyze adoption/usage, and translate insights (e.g., conversion, active users, feature usage, NPS, churn) into clear prioritization and iterative improvements.
* **Coordinate front‑end systems.** Partner with UX to simplify complex workflows into intuitive experiences; ensure UI, API, and data contracts are designed for scale and reliability.
* **Drive cross‑functional execution.** Orchestrate engineering, UX, carrier operations, finance, and compliance through major transitions; anticipate dependencies, unblock teams, and keep delivery on track.
* **Set guardrails for quality \&amp; risk.** Represent product requirements in technical design reviews; align on data architecture, cloud choices, performance, and InfoSec standards to protect customers and operations.
**You’ll make an impact by…**
* **Thinking in systems and data.** You understand where data lives, how it flows (pipelines, storage, retrieval), and how architecture decisions impact reliability, performance, and governance.
* **Balancing product and project muscles.** You can write crisp PRDs and also run complex workstreams—with the calm, organization, and communication skills big transitions demand.
* **Simplifying the hard stuff.** You turn fragmented workflows into clear journeys, make processes lighter, and build experiences people actually enjoy using.
**Preferred Qualifications:**
* **Experience:** 5\-7 years in product management (or adjacent roles) owning platforms or complex enterprise workflows; proven success leading migrations or re‑platforming initiatives.
* **Technical acumen:** Comfortable with cloud services, data architecture (storage, orchestration, lineage), APIs/integration patterns, and quality/observability practices.
* **Analytics:** Hands‑on with product analytics (instrumentation, dashboards, experimentation) and the ability to turn signals into decisions.
* **Execution:** Advanced stakeholder management; expert planning and communication; adept at driving cross‑functional delivery in Agile environments.
* **Domain (nice to have):** Transportation, logistics, or supply chain; carrier operations; master data management.
**Why join us?**
* **Impact at scale:** Shape a mission‑critical platform that sits at the heart of transportation operations.
* **Real modernization:** Help design the future state—not just maintain the past—using cloud‑first patterns and strong data foundations.
* **Growth environment:** Partner with outstanding UX and engineering teams, ship iteratively, and see your work move real loads
**Apply if this sounds like you** You’re heavily organized, thrive in complex environments, and stay steady through major transitions. You care about outcomes, data, and people—and you’re ready to make the backbone of transportation measurably better.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engineering, or related area and 5 years’ experience in product management. Option 2: 7 years’ experience in product management or related area.**Preferred Qualifications...**
-------------------------------
*Outlined below are the optional preferred qualifications for this position. If none are listed, there are no preferred qualifications.*
Master’s degree in Computer Science, Engineering, Business Administration, or related area and 4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Business Administration, Masters: Computer Engineering, Masters: Computer Science**Primary Location...**
-----------------------
805 Respect Dr,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8">
      <c r="A8" t="inlineStr">
        <is>
          <t>in-947857dd70f518c2</t>
        </is>
      </c>
      <c r="B8" t="inlineStr">
        <is>
          <t>Staff, Product Manager</t>
        </is>
      </c>
      <c r="C8" t="inlineStr">
        <is>
          <t>Walmart</t>
        </is>
      </c>
      <c r="D8" t="inlineStr">
        <is>
          <t>indeed</t>
        </is>
      </c>
      <c r="E8" t="inlineStr"/>
      <c r="F8" t="inlineStr"/>
      <c r="G8" t="inlineStr">
        <is>
          <t>Bentonville, AR, US</t>
        </is>
      </c>
      <c r="H8" s="2" t="n">
        <v>46063</v>
      </c>
      <c r="I8" t="inlineStr">
        <is>
          <t>**Position Summary...**
-----------------------
**What you'll do...**
---------------------
**Role summary:**
As a Staff Product Manager, you will lead the development and execution of product strategies that align with customer needs and business objectives. This role requires leveraging data\-driven insights to inform product roadmaps, managing stakeholder relationships, and driving product lifecycle processes using modern methodologies. You will identify opportunities for innovation, optimize customer experiences, and communicate product vision effectively across cross\-functional teams. Your expertise in emerging technologies and agile practices will support the delivery of scalable solutions that enhance value and operational efficiency within a dynamic environment.
**About the team:**
The team supports Product Transportation (TMS) by driving data\-informed product decisions and managing product roadmaps. It collaborates closely with stakeholders to align priorities and deliver customer value through process optimization and innovative solutions. The team embraces modern practices such as Agile and Lean methodologies to develop and scale products efficiently. Members focus on emerging technologies and market trends to enhance product strategy and execution. This group fosters clear communication, continuous improvement, and effective problem\-solving to meet business objectives and support the evolving needs of customers and partners.
**What you'll do:**
* Develop and own product roadmaps, prioritizing features and managing backlogs to align with business goals and customer needs.
* Analyze product and feature data to identify trends, inform decisions, and optimize product performance.
* Collaborate with cross\-functional teams and stakeholders to build consensus and communicate product vision and strategy effectively.
* Conduct customer research and journey mapping to enhance product experiences and address gaps.
* Lead product development cycles using Agile methodologies, including MVP creation and iterative improvements.
* Monitor emerging technologies and industry trends to drive innovation and competitive advantage.
**What you'll bring:**
* Proven experience in product strategy development and execution, including roadmap creation and MVP management.
* Strong stakeholder management skills with the ability to build alignment and communicate complex information clearly.
* Proficiency in data\-driven decision making, utilizing analytics tools to monitor, evaluate, and optimize product performance.
* Knowledge of emerging technologies and industry trends to inform product innovation and competitive positioning.
* Ability to apply design thinking and customer journey mapping to enhance customer satisfaction and process optimization.
* Familiarity with Agile methodologies and product development lifecycles to drive iterative improvements.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engineering, or related area and 7 years’ experience in product management. Option 2: 9 years’ experience in product management or related area.**Preferred Qualifications...**
-------------------------------
*Outlined below are the optional preferred qualifications for this position. If none are listed, there are no preferred qualifications.*
Master’s degree in Computer Science, Engineering, Business Administration, or related area and 6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702 Sw 8Th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9">
      <c r="A9" t="inlineStr">
        <is>
          <t>in-8821288a46ed397f</t>
        </is>
      </c>
      <c r="B9" t="inlineStr">
        <is>
          <t>Bilingual Family Resource Schools Program Manager</t>
        </is>
      </c>
      <c r="C9" t="inlineStr">
        <is>
          <t>City of Boulder, CO</t>
        </is>
      </c>
      <c r="D9" t="inlineStr">
        <is>
          <t>indeed</t>
        </is>
      </c>
      <c r="E9" t="inlineStr"/>
      <c r="F9" t="inlineStr"/>
      <c r="G9" t="inlineStr">
        <is>
          <t>Boulder, CO, US</t>
        </is>
      </c>
      <c r="H9" s="2" t="n">
        <v>46063</v>
      </c>
      <c r="I9" t="inlineStr">
        <is>
          <t>It’s a great time to join the City of Boulder!
Application Deadline:
February 25, 2026
Compensation Details:
Full Pay Range
69,118\.40 \- 100,297\.60
Generally, the hiring range is from the minimum up to 80% of the range.This is a full\-time salaried position.
Scheduled Weekly Hours:
40
Benefit Eligibility Group:
Non Union (30\+ Hours)
Locate the Benefit Eligibility Group value on the Employee Benefit Eligibility document to identify the benefits offered for this job.
Job Description Summary:
Under general supervision, the Bilingual Family Resource Schools Program Manager supports families with students at five (5\) elementary schools within the City of Boulder in raising healthy, thriving children through programming that encourages family self\-sufficiency and removes barriers to children’s educational success. In partnership with the Boulder Valley School District (BVSD), Family Resource Schools (FRS) staff serve the whole school community with focus on at\-risk, traditionally under\-represented and under\-served children and families.
Job Description:
ESSENTIAL DUTIES AND RESPONSIBILITIES
Basic Assistance and Case Management, including* Assessing family needs and providing direct or resource and referral services, as appropriate
* Making referrals to services in the community or within the school
* Providing advocacy, case management, and maintaining accurate and complete records and data
Afterschool Program* Designs, coordinates and implements enrichment programs that complement academics
* Collaborates with community agencies; oversees afterschool providers
Parent Engagement, Leadership Development and Volunteerism* Collaborates with BVSD Parent and Family Partnership and school parent organization (PTO/PTA)
* Facilitates informal support networks among parents through workshops, events and activities
Planning and Coordination* Conducts needs assessments and evaluations to determine school needs
* Engages school staff and program partners in service planning and coordination
* Monitors site budget, ensuring that funds are spent appropriately and within budget
Reporting and Communications* Collects data and documentation; responsible for monthly and quarterly tracking
Other* Follows City of Boulder, BVSD, and program policies and procedures
* Understands and implements requirements for confidentiality and abuse and neglect reporting
* Responsible for safety of self and others, materials and equipment. Takes proper safety precautions to prevent accidents. Reports all accidents following City of Boulder and BVSD requirement.
MINIMUM QUALIFICATIONS* Ability to communicate fluently in Spanish and English with strong written and oral skills.
* Ability to work independently with minimal supervision.
* Ability to work with a wide range of sensitive issues and maintain confidentiality.
* Knowledge of confidentiality requirements and practices for case management and how to apply in a school setting.
* Skill in data collection and reporting.
* Skill in effective communication with people of different ages and from diverse ethnic, cultural, and socioeconomic backgrounds in a positive and cooperative manner.
* Skill in internal and external customer service.
* Skill in management, including administration, planning and organization.
* Valid Driver’s License and ability to maintain an acceptable motor vehicle record.
* Have and maintain acceptable background information including criminal conviction history, sex offender and child abuse \&amp; neglect registries.
PREFERRED QUALIFICATIONS* Ability to actively practice self\-care.
* Ability to demonstrate competence working with diverse populations, through lived experience and one's own identity.
* Ability to demonstrate sufficient cultural competency to serve Latino/Hispanic demographics.
* Ability to perform well in team\-oriented environment.
* Knowledge of resources and services available to families in Boulder.
* Skill and experience working with children and/or in a school setting.
* Skill in budget management.
* Skill in management of contractors and volunteers.
REQUIRED EDUCATION AND EXPERIENCE* Bachelor’s degree in Social Work, Human Services, or Education; or equivalent of eight (8\) years related experience may substitute for the education requirement only.
* Two (2\) years’ relevant work experience in case management, social work, human services or an educational setting
SUPERVISION
Supervision Received: Family and Youth Services Manager
Supervision Exercised: None
WORKING CONDITIONS AND REQUIREMENTS* Physical and Mental Effort: Sufficient clarity of speech and hearing or other communication capabilities that permits the employee to communicate effectively on the telephone and in person. Sufficient vision or other powers of observation that permits the employee to review, evaluate and prepare a variety of written documents and materials. Sufficient manual dexterity that permits the employee to operate computer equipment and other office equipment. Sufficient personal mobility and physical reflexes, which permits the employee to work in an office setting. Ability to work under stress from deadlines and public contact.
* Work Environment: Works primarily in a clean, comfortable environment. Works in a setting subject to continuous interruptions and background noises. Works in a setting subject to continuous interruptions and background noises. This position is subject to the City’s Hybrid Work Policy which establishes a minimum in\-person work schedule of the equivalent number of hours associated with two (2\) days per standard work week. Must be present within the State of Colorado and be able to work in\-person according to the Hybrid Work Policy at the time of employment. Attendance at occasional evening and weekend meetings may be required to perform the duties and responsibilities associated with this position.
* Machines and Equipment Used: Frequently uses standard office equipment including computers, telephones, calculators and copy/fax machines.
Additional Job Description:
Last updated: February 2025
The City of Boulder is committed to a diverse and inclusive workplace. We are an equal opportunity employer and do not discriminate on the basis of race, national origin, gender, gender identity, sexual orientation, protected veteran status, disability, age, or other legally protected statute. For individuals with disabilities who would like to request an accommodation, please send a request to riskmanagement@bouldercolorado.gov.</t>
        </is>
      </c>
    </row>
    <row r="10">
      <c r="A10" t="inlineStr">
        <is>
          <t>in-7b99bafc6fdf281a</t>
        </is>
      </c>
      <c r="B10" t="inlineStr">
        <is>
          <t>Program Manager</t>
        </is>
      </c>
      <c r="C10" t="inlineStr">
        <is>
          <t>Community Options</t>
        </is>
      </c>
      <c r="D10" t="inlineStr">
        <is>
          <t>indeed</t>
        </is>
      </c>
      <c r="E10" t="inlineStr"/>
      <c r="F10" t="inlineStr"/>
      <c r="G10" t="inlineStr">
        <is>
          <t>King of Prussia, PA, US</t>
        </is>
      </c>
      <c r="H10" s="2" t="n">
        <v>46063</v>
      </c>
      <c r="I10" t="inlineStr">
        <is>
          <t>**Description**  
**Community Options, Inc.** is a national non\-profit agency providing services to individuals with disabilities in 12 states.  
We are actively seeking an experienced **Residential Program Manager** in **King of Prussia****,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t>
        </is>
      </c>
    </row>
    <row r="11">
      <c r="A11" t="inlineStr">
        <is>
          <t>in-3f324c52d540ba69</t>
        </is>
      </c>
      <c r="B11" t="inlineStr">
        <is>
          <t>Senior Product Manager</t>
        </is>
      </c>
      <c r="C11" t="inlineStr">
        <is>
          <t>Meltwater</t>
        </is>
      </c>
      <c r="D11" t="inlineStr">
        <is>
          <t>indeed</t>
        </is>
      </c>
      <c r="E11" t="inlineStr"/>
      <c r="F11" t="inlineStr"/>
      <c r="G11" t="inlineStr">
        <is>
          <t>TX, US</t>
        </is>
      </c>
      <c r="H11" s="2" t="n">
        <v>46063</v>
      </c>
      <c r="I11" t="inlineStr">
        <is>
          <t>**Description**  
About the Role  
Meltwater is looking for a Senior Product Manager to lead Search Services \- the foundational capabilities that power how customers discover, refine, organize, and reuse data across our social and media intelligence platform.
Search sits at the heart of Meltwater’s products. The systems you own will enable customers to move seamlessly from exploration to insight, supporting workflows that span saved searches, filtering, enrichment, and downstream analytics and reporting. Your work will directly shape how efficiently users surface trends, monitor narratives, and make data\-driven decisions at scale.
This role is ideal for a product leader who enjoys operating at the intersection of platform architecture, user experience, and data\-driven insights, and who thrives on solving complex problems with broad organizational impact.  
What You’ll Own  
Core Search \&amp; Asset Services* Own the strategy and evolution of the services that allow customers to create, manage, organize, and reuse searches and related assets across Meltwater’s platform
* Enable intuitive organization and retrieval experiences that scale from individual users to large enterprise teams
* Provide reliable, scalable access to search assets and metadata for use across multiple Meltwater applications
Search Filtering \&amp; Metadata* Lead the development of powerful, usable search filtering capabilities, spanning both user experience and backend services
* Expand the metadata and dimensions customers can use to refine results while maintaining performance, clarity, and ease of use
* Define reusable filtering patterns that can be consistently applied across products and surfaces
Cross\-Product Workflows* Identify opportunities to connect search creation with downstream analysis, reporting, and monitoring workflows
* Enable natural, efficient transitions between finding data and turning it into insights across the Meltwater ecosystem
What You’ll Do* Define and execute a clear product vision and roadmap for Search Services in close partnership with Design and Engineering
* Balance near\-term delivery with longer\-term platform strategy and scalability
* Establish and track meaningful product KPIs, using data to inform decisions and continuously improve outcomes
* Collaborate closely with Product, Engineering, UX, Product Marketing, and Customer\-facing teams to align solutions with customer needs and business priorities
* Communicate progress, trade\-offs, and direction clearly to stakeholders across the organization
What You’ll Bring* 7\+ years of product management experience, with ownership of complex product areas involving search, data retrieval, content organization, or platform services
* Strong technical fluency, with the ability to partner effectively with engineering teams on APIs, services, and data\-driven systems
* Experience designing products that balance flexibility, usability, and performance at scale
* Proven ability to use product usage data and platform metrics to evaluate success and guide iteration
* Excellent communication and collaboration skills, with a track record of aligning cross\-functional teams around shared outcomes
* A strategic mindset paired with a hands\-on approach to execution
* Bachelor’s degree or equivalent practical experience required; advanced degree a plus.
Why Join Meltwater  
At Meltwater, you’ll work on products that help organizations around the world understand the narratives shaping their industries. As Senior Product Manager for Search Services, you’ll own a highly visible, high\-impact product area that influences nearly every customer workflow \- and you’ll help define how search and insight generation evolve across a complex, data\-rich platform.  
**What We Offer**:  
* + Enjoy flexible paid time off that allows you to have an enhanced work\-life balance.
	+ Excellent medical, dental, and vision options
	+ 401(k) matching, life insurance, commuter benefits, and parental leave plans
	+ Complimentary CalmApp subscription for you and your loved ones, because mental wellness matters.
	+ Energetic work environment with a hybrid work style, providing the balance you need.
	+ Thrive within our inclusive community and seize ongoing professional development opportunities to elevate your career.  
	**Compensation Overview**  
	Competitive Compensation: Base Salary of $970000 \- $1616000 USD per year \+ quarterly commission subject to the terms of the applicable bonus plan.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  
We may use AI to assist in aspects of our hiring process, such as reviewing candidate information and supporting evaluation activities. These tools are used only to assist our team through increased efficiencies. Every output continues to be reviewed by humans, and all hiring decisions are made by humans. We remain committed to evaluating candidates fairly, consistently, and in compliance with all applicable laws.</t>
        </is>
      </c>
    </row>
    <row r="12">
      <c r="A12" t="inlineStr">
        <is>
          <t>in-403c868147bb107f</t>
        </is>
      </c>
      <c r="B12" t="inlineStr">
        <is>
          <t>Senior Product Manager</t>
        </is>
      </c>
      <c r="C12" t="inlineStr">
        <is>
          <t>Meltwater</t>
        </is>
      </c>
      <c r="D12" t="inlineStr">
        <is>
          <t>indeed</t>
        </is>
      </c>
      <c r="E12" t="inlineStr"/>
      <c r="F12" t="inlineStr"/>
      <c r="G12" t="inlineStr">
        <is>
          <t>Washington, DC, US</t>
        </is>
      </c>
      <c r="H12" s="2" t="n">
        <v>46063</v>
      </c>
      <c r="I12" t="inlineStr">
        <is>
          <t>**Description**  
About the Role  
Meltwater is looking for a Senior Product Manager to lead Search Services \- the foundational capabilities that power how customers discover, refine, organize, and reuse data across our social and media intelligence platform.
Search sits at the heart of Meltwater’s products. The systems you own will enable customers to move seamlessly from exploration to insight, supporting workflows that span saved searches, filtering, enrichment, and downstream analytics and reporting. Your work will directly shape how efficiently users surface trends, monitor narratives, and make data\-driven decisions at scale.
This role is ideal for a product leader who enjoys operating at the intersection of platform architecture, user experience, and data\-driven insights, and who thrives on solving complex problems with broad organizational impact.  
What You’ll Own  
Core Search \&amp; Asset Services* Own the strategy and evolution of the services that allow customers to create, manage, organize, and reuse searches and related assets across Meltwater’s platform
* Enable intuitive organization and retrieval experiences that scale from individual users to large enterprise teams
* Provide reliable, scalable access to search assets and metadata for use across multiple Meltwater applications
Search Filtering \&amp; Metadata* Lead the development of powerful, usable search filtering capabilities, spanning both user experience and backend services
* Expand the metadata and dimensions customers can use to refine results while maintaining performance, clarity, and ease of use
* Define reusable filtering patterns that can be consistently applied across products and surfaces
Cross\-Product Workflows* Identify opportunities to connect search creation with downstream analysis, reporting, and monitoring workflows
* Enable natural, efficient transitions between finding data and turning it into insights across the Meltwater ecosystem
What You’ll Do* Define and execute a clear product vision and roadmap for Search Services in close partnership with Design and Engineering
* Balance near\-term delivery with longer\-term platform strategy and scalability
* Establish and track meaningful product KPIs, using data to inform decisions and continuously improve outcomes
* Collaborate closely with Product, Engineering, UX, Product Marketing, and Customer\-facing teams to align solutions with customer needs and business priorities
* Communicate progress, trade\-offs, and direction clearly to stakeholders across the organization
What You’ll Bring* 7\+ years of product management experience, with ownership of complex product areas involving search, data retrieval, content organization, or platform services
* Strong technical fluency, with the ability to partner effectively with engineering teams on APIs, services, and data\-driven systems
* Experience designing products that balance flexibility, usability, and performance at scale
* Proven ability to use product usage data and platform metrics to evaluate success and guide iteration
* Excellent communication and collaboration skills, with a track record of aligning cross\-functional teams around shared outcomes
* A strategic mindset paired with a hands\-on approach to execution
* Bachelor’s degree or equivalent practical experience required; advanced degree a plus.
Why Join Meltwater  
At Meltwater, you’ll work on products that help organizations around the world understand the narratives shaping their industries. As Senior Product Manager for Search Services, you’ll own a highly visible, high\-impact product area that influences nearly every customer workflow \- and you’ll help define how search and insight generation evolve across a complex, data\-rich platform.  
**What We Offer**:  
* + Enjoy flexible paid time off that allows you to have an enhanced work\-life balance.
	+ Excellent medical, dental, and vision options
	+ 401(k) matching, life insurance, commuter benefits, and parental leave plans
	+ Complimentary CalmApp subscription for you and your loved ones, because mental wellness matters.
	+ Energetic work environment with a hybrid work style, providing the balance you need.
	+ Thrive within our inclusive community and seize ongoing professional development opportunities to elevate your career.  
	**Compensation Overview**  
	Competitive Compensation: Base Salary of $970000 \- $1616000 USD per year \+ quarterly commission subject to the terms of the applicable bonus plan.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  
We may use AI to assist in aspects of our hiring process, such as reviewing candidate information and supporting evaluation activities. These tools are used only to assist our team through increased efficiencies. Every output continues to be reviewed by humans, and all hiring decisions are made by humans. We remain committed to evaluating candidates fairly, consistently, and in compliance with all applicable laws.</t>
        </is>
      </c>
    </row>
    <row r="13">
      <c r="A13" t="inlineStr">
        <is>
          <t>in-149a0980c4215dca</t>
        </is>
      </c>
      <c r="B13" t="inlineStr">
        <is>
          <t>Technical Program Manager III, AI and Infrastructure, Google Cloud</t>
        </is>
      </c>
      <c r="C13" t="inlineStr">
        <is>
          <t>Google</t>
        </is>
      </c>
      <c r="D13" t="inlineStr">
        <is>
          <t>indeed</t>
        </is>
      </c>
      <c r="E13" t="inlineStr"/>
      <c r="F13" t="inlineStr"/>
      <c r="G13" t="inlineStr">
        <is>
          <t>Sunnyvale, CA, US</t>
        </is>
      </c>
      <c r="H13" s="2" t="n">
        <v>46063</v>
      </c>
      <c r="I13" t="inlineStr">
        <is>
          <t>### **Minimum qualifications:**
* Bachelor's degree in a technical field, or equivalent practical experience.
* 5 years of experience in program management.
* Experience in managing and delivering programs in one of the following areas: infrastructure systems, system design, and infrastructure operations.
### **Preferred qualifications:**
* 5 years of experience managing cross\-functional or cross\-team projects.
* Experience in leveraging scope\-cost\-time\-quality tradeoffs to help accomplish the goals of the program.
* Knowledge of SQL, comfortable writing scripts and building dashboards.
* Proven track record of technical program management outcomes from concept to launching programs.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In this role, you will be leading multi\-disciplinary projects from concept to delivery, mobilizing cross functional teams, delivering solutions and ensuring that business critical decisions are being made based on rigorous analysis and data. You will be a problem solver by nature who connect strategy, execution, and establish process\-oriented excellence in an organization. Your passion, technical and business depth, and excellent organizational, communication, and teamwork skills will inspire our teams and establish trust amongst a various set of executive leaders, stakeholders and customers.  
You will have the opportunity to make an impact towards the highest priority programs for AI and Infrastructure. If you share our passion for delivering infrastructure, platforms and tools that power Google's AI\-first products and Cloud, we’d love to have you on the team!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Drive end\-to\-end program outcomes, manage software engineering scoping, execution and delivery, and program and manage across large or various cross\-organizational teams.
* Communicate progress, and risks. Propose mitigation plans, and align stakeholders on risk mitigation strategies.
* Manage escalations and unblock obstacles, ensure all leadership/stakeholders are aware of progress/blockers on a continuous basis.
* Use technical judgement to build consensus, drive projects, schedule, plans, execution, and communicate status to stakeholders and engineering teams.
* Analyze processes, identify opportunities for improvement, define requirements, and collaborate cross\-functionally and globally to improve processes and tools.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
      <c r="A14" t="inlineStr">
        <is>
          <t>in-a797128f89c8dd39</t>
        </is>
      </c>
      <c r="B14" t="inlineStr">
        <is>
          <t>Senior Product Manager, Google Compute</t>
        </is>
      </c>
      <c r="C14" t="inlineStr">
        <is>
          <t>Google</t>
        </is>
      </c>
      <c r="D14" t="inlineStr">
        <is>
          <t>indeed</t>
        </is>
      </c>
      <c r="E14" t="inlineStr"/>
      <c r="F14" t="inlineStr"/>
      <c r="G14" t="inlineStr">
        <is>
          <t>Seattle, WA, US</t>
        </is>
      </c>
      <c r="H14" s="2" t="n">
        <v>46063</v>
      </c>
      <c r="I14" t="inlineStr">
        <is>
          <t>In accordance with Washington state law, we are highlighting our comprehensive benefits package, which is available to all eligible US based employees. Benefits for this role include:*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**Minimum qualifications:**
* Bachelor's degree or equivalent practical experience.
* 8 years of experience in product management or related technical role.
* 3 years of experience taking technical products from conception to launch (e.g., ideation to execution, end\-to\-end, 0 to 1, etc).
* 3 years of experience working with Cloud, Compute, SaaS, or enterprise technologies.
### **Preferred qualifications:**
* Experience driving product goal, go\-to\-market strategy, and design discussions.
* Experience managing day\-to\-day technical and design direction.
* Experience in compute architecture, data center infrastructure, CPU (x86/Arm) and I/O technologies, and operational aspects of cloud servers.
* Experience bringing innovative, category\-defining tech products to market and driving product goal and GTM strategy.
* Understanding of locally attached Storage systems (LSDD), performance needs, and workload requirements for enterprise applications like MSSQL or SAP HANA.
* Ability to communicate effectively and influence decisions cross\-functionally and at all levels of an organization.
**About the job**
-----------------
As a Senior Product Manager, you will define the roadmap for the core infrastructure that powers Google Compute Engine (GCE), one of the world’s largest compute fleets. You will bridge the gap between long\-range hardware planning and high\-impact go\-to\-market strategies that drive substantial revenue. This role is critical in helping global enterprises modernize their environments by delivering scalable, high\-performance virtual machine (VM) solutions. By optimizing the underlying stack, you will directly influence the performance, efficiency, and flexibility that thousands of businesses rely on every day.  
You will build the most enterprise\-ready cloud platform on the planet and your goal is to enable a global infrastructure that is both massive in scale and nimble enough to drive the latest innovations in AI, machine learning, and general\-purpose compute.
You will operate with a "Silicon\-to\-Software" mindset which means owning the entire life\-cycle, from custom silicon and server configurations to the hypervisor and Guest OS to ensure our customers always have the most optimized environment possible.
In this role, you will combine deep technical "chops" in the compute domain with a savvy business leader. You will not only plan for the next generation of processors but also lead the GTM efforts that turn technical breakthroughs into $500M agreements. You will engage in compelling conversations with Vice President (VPs) at major partners and customers to solve their most technical issues.The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behind Google's groundbreaking innovations, empowering the development of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drive the multi\-year product roadmap for CPU and memory technologies, ensuring Google Compute Engine meets the performance and efficiency needs of modern workloads.
* Lead the product lifecycle for compute\-based virtual machines, from deep\-range silicon feature planning through to broad market scaling and adoption.
* Conduct business development strategy and go\-to\-market activities, building sales programs to secure business and market share for new infrastructure products.
* Serve as a technical and business expert in customer\-facing engagements, influencing executive stakeholders at major partner and customer organizations.
* Collaborate with engineering, UX, marketing, and sales teams across all layers of the cloud stack to prioritize initiatives and maximize return on investment.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
      <c r="A15" t="inlineStr">
        <is>
          <t>in-7bf018e334a1ed39</t>
        </is>
      </c>
      <c r="B15" t="inlineStr">
        <is>
          <t>Senior Product Manager, Google Compute</t>
        </is>
      </c>
      <c r="C15" t="inlineStr">
        <is>
          <t>Google</t>
        </is>
      </c>
      <c r="D15" t="inlineStr">
        <is>
          <t>indeed</t>
        </is>
      </c>
      <c r="E15" t="inlineStr"/>
      <c r="F15" t="inlineStr"/>
      <c r="G15" t="inlineStr">
        <is>
          <t>Sunnyvale, CA, US</t>
        </is>
      </c>
      <c r="H15" s="2" t="n">
        <v>46063</v>
      </c>
      <c r="I15" t="inlineStr">
        <is>
          <t>In accordance with Washington state law, we are highlighting our comprehensive benefits package, which is available to all eligible US based employees. Benefits for this role include:*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**Minimum qualifications:**
* Bachelor's degree or equivalent practical experience.
* 8 years of experience in product management or related technical role.
* 3 years of experience taking technical products from conception to launch (e.g., ideation to execution, end\-to\-end, 0 to 1, etc).
* 3 years of experience working with Cloud, Compute, SaaS, or enterprise technologies.
### **Preferred qualifications:**
* Experience driving product goal, go\-to\-market strategy, and design discussions.
* Experience managing day\-to\-day technical and design direction.
* Experience in compute architecture, data center infrastructure, CPU (x86/Arm) and I/O technologies, and operational aspects of cloud servers.
* Experience bringing innovative, category\-defining tech products to market and driving product goal and GTM strategy.
* Understanding of locally attached Storage systems (LSDD), performance needs, and workload requirements for enterprise applications like MSSQL or SAP HANA.
* Ability to communicate effectively and influence decisions cross\-functionally and at all levels of an organization.
**About the job**
-----------------
As a Senior Product Manager, you will define the roadmap for the core infrastructure that powers Google Compute Engine (GCE), one of the world’s largest compute fleets. You will bridge the gap between long\-range hardware planning and high\-impact go\-to\-market strategies that drive substantial revenue. This role is critical in helping global enterprises modernize their environments by delivering scalable, high\-performance virtual machine (VM) solutions. By optimizing the underlying stack, you will directly influence the performance, efficiency, and flexibility that thousands of businesses rely on every day.  
You will build the most enterprise\-ready cloud platform on the planet and your goal is to enable a global infrastructure that is both massive in scale and nimble enough to drive the latest innovations in AI, machine learning, and general\-purpose compute.
You will operate with a "Silicon\-to\-Software" mindset which means owning the entire life\-cycle, from custom silicon and server configurations to the hypervisor and Guest OS to ensure our customers always have the most optimized environment possible.
In this role, you will combine deep technical "chops" in the compute domain with a savvy business leader. You will not only plan for the next generation of processors but also lead the GTM efforts that turn technical breakthroughs into $500M agreements. You will engage in compelling conversations with Vice President (VPs) at major partners and customers to solve their most technical issues.The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behind Google's groundbreaking innovations, empowering the development of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drive the multi\-year product roadmap for CPU and memory technologies, ensuring Google Compute Engine meets the performance and efficiency needs of modern workloads.
* Lead the product lifecycle for compute\-based virtual machines, from deep\-range silicon feature planning through to broad market scaling and adoption.
* Conduct business development strategy and go\-to\-market activities, building sales programs to secure business and market share for new infrastructure products.
* Serve as a technical and business expert in customer\-facing engagements, influencing executive stakeholders at major partner and customer organizations.
* Collaborate with engineering, UX, marketing, and sales teams across all layers of the cloud stack to prioritize initiatives and maximize return on investment.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
      <c r="A16" t="inlineStr">
        <is>
          <t>in-cbd2c173bc505688</t>
        </is>
      </c>
      <c r="B16" t="inlineStr">
        <is>
          <t>Research Program Manager I - Department of Medicine</t>
        </is>
      </c>
      <c r="C16" t="inlineStr">
        <is>
          <t>Medical College of Wisconsin</t>
        </is>
      </c>
      <c r="D16" t="inlineStr">
        <is>
          <t>indeed</t>
        </is>
      </c>
      <c r="E16" t="inlineStr"/>
      <c r="F16" t="inlineStr"/>
      <c r="G16" t="inlineStr">
        <is>
          <t>Milwaukee, WI, US</t>
        </is>
      </c>
      <c r="H16" s="2" t="n">
        <v>46063</v>
      </c>
      <c r="I16" t="inlineStr">
        <is>
          <t>### **Summary**
Work independently, under the direction of the Program Manager II, Vice Chair for Clinical Research, or Executive Administrator to manage the activities of a department\-wide program. Oversee daily operations of research staff and engage in trial support as needed. Provide clear direction, mentorship, and operational guidance to research staff to ensure alignment with program goals and priorities. This includes setting expectations, communicating strategic objectives, supporting decision‑making, and proactively removing barriers to progress. Promote a culture of accountability, collaboration, and continuous improvement by offering regular feedback, facilitating skill development, and fostering open communication across the team.
### **Primary** **Responsibilities**
* Maintain program timelines including tracking deadlines for program deliverables.
* Management of trial budgets and staff effort. Schedule people and assess resources.
* Assist with staff recruitment and training of staff \&amp; faculty
* Coordinate the development of program materials including educational materials, guidelines, processes, forms, and reports.
* Oversee the collection, analysis, and dissemination of program data.
* Develop, implement, and maintain databases and files related to the program.
* Organize internal and external meetings, site visits, and special events.
* Participate in training for programs participants.
* Serve as content expert for institutional regulatory platforms (i.e., OnCore, eBridge, Florence)
* Ensure program data and progress are reported to program stakeholders.
* Ensure compliance with regulatory and institutional policies.
* Participate in the development of program resources through literature searches, contact with outside programs, and review of funding opportunities.
* Participate in appropriate committees relevant to the advancement of the program and the profession or area of research.
* Other duties as assigned.
### **Knowledge** **– Skills – Abilities**
* Knowledge of technical, business, consultation, project management, and cultural awareness.
* Customer focus, building trust, communication, critical thinking, and influencing skills
### **Qualifications**
*Appropriate experience may be substituted for education on an equivalent basis.*
 **Minimum Required Education:** Bachelor’s degree
**Minimum Required Experience:** 6 years
**Preferred Certification**/**Licensure****(s):** Certified in Clinical Research through ACRP or SoCRA
**Preferred Experience:**
* Clinical trials management
* Ability to manage complex study portfolios
* Regulatory knowledge / compliance oversight
* Leadership / Team development
* Staff training, onboarding, education
* Problem solving / conflict resolution
* Familiarity with OnCore, Epic, eBridge
* Strong trial budget management
### **Physical Requirements**
Work requires occasionally lifting moderate weight materials, standing, or walking continuously.
### **Work Environment**
Occasional exposure to dust, noise, temperature changes, or contact with water or other liquids. Work is performed in an environmentally controlled environment.
### **Sensory Acuity**
Ability to detect and translate speech or other communication required. May occasionally require the ability to distinguish colors and perceive relative distances between objects.
\#LI\-AC1
### **Why MCW?**
* Outstanding Healthcare Coverage, including but not limited to Health, Vision, and Dental. Along with Flexible Spending options
* 403B Retirement Package
* Competitive Vacation and Paid Holidays offered
* Tuition Reimbursement
* Paid Parental Leave
* Employee \&amp; Family Assistance Program (EFAP)
* Pet Insurance
* On campus Fitness Facility, offering onsite classes
* Additional discounted rates on items such as: Select cell phone plans, local fitness facilities, Milwaukee recreation and entertainment etc.
For a brief overview of our benefits see: Benefits Overview
For a full list of positions see: MCW Careers  
At MCW all of our endeavors, from our internal operations to our interactions with our partners, are driven by our shared organizational values: Caring – Collaborative – Curiosity – Inclusive – Integrity – Respect. We are committed to fostering an inclusive environment that values diversity in backgrounds, experiences, and perspectives through merit\-based processes and in alignment with all applicable laws. We believe that embracing human differences is critical to realize our vision of a healthier world, and we recognize that a healthy and thriving community starts from within. Our values define who we are, what we stand for and how we conduct ourselves at MCW. If you believe in embracing individuality and working together according to these principles to improve health for all, then MCW is the place for you. For more information, please visit our institutional website.
### **MCW as an Equal Opportunity Employer and Commitment to Non\-Discrimination:**
The Medical College of Wisconsin (MCW) is an Equal Opportunity Employer. We are committed to fostering an inclusive community of outstanding faculty, staff, and students, as well as ensuring equal educational opportunity, employment, and access to services, programs, and activities, without regard to an individual's race, color, national origin, religion, age, disability, sex, gender identity/expression, sexual orientation, marital status, pregnancy, predisposing genetic characteristic, or military status. Employees, students, applicants or other members of the MCW community (including but not limited to vendors, visitors, and guests) may not be subjected to harassment that is prohibited by law or treated adversely or retaliated against based upon a protected characteristic.</t>
        </is>
      </c>
    </row>
    <row r="17">
      <c r="A17" t="inlineStr">
        <is>
          <t>in-47d3cd1f1780a425</t>
        </is>
      </c>
      <c r="B17" t="inlineStr">
        <is>
          <t>Program Manager - Toledo Hospital - Emergency Management</t>
        </is>
      </c>
      <c r="C17" t="inlineStr">
        <is>
          <t>ProMedica</t>
        </is>
      </c>
      <c r="D17" t="inlineStr">
        <is>
          <t>indeed</t>
        </is>
      </c>
      <c r="E17" t="inlineStr"/>
      <c r="F17" t="inlineStr"/>
      <c r="G17" t="inlineStr">
        <is>
          <t>Toledo, OH, US</t>
        </is>
      </c>
      <c r="H17" s="2" t="n">
        <v>46063</v>
      </c>
      <c r="I17" t="inlineStr">
        <is>
          <t>**Location:**
Toledo Hospital**Department:**
Trauma Services**Weekly Hours:**
40**Status:**
Full time**Shift:**
Days (United States of America)**Job Summary:**
The Emergency Management Program Manager is a healthcare professional responsible for leading system\-wide initiatives focused on disaster readiness, safety, quality, and performance improvement. This role provides strategic oversight and coordination of emergency preparedness efforts, injury prevention, community outreach, and continuous quality improvement across the organization.
**Requirements**
* Bachelor’s degree in healthcare or related field
* Demonstrates familiarity of emergency program operations, hospital operations and exposure to emergency management processes and protocols.
* Minimum of 3 years acute care, critical and/or emergency experience. Minimum 1 year of leadership experience.
**Preferred Requirements**
* Master’s degree in Emergency Management
**ProMedica** is a mission\-driven, not\-for\-profit health care organization headquartered in Toledo, Ohio. It serves communities across nine states and provides a range of services, including acute and ambulatory care, a dental plan, and academic business lines. ProMedica owns and operates 10 hospitals and has an affiliated interest in one additional hospital. The organization employs over 1,300 health care providers through ProMedica Physicians and has more than 2,300 physicians and advanced practice providers with privileges. Committed to its mission of improving health and well\-being, ProMedica has received national recognition for its clinical excellence and its initiatives to address social determinants of health. For more information about ProMedica, please visit promedica.org/aboutus.
**Benefits:**
We provide flexible benefits that include compensation and programs to help you take care of your family, your finances and your personal well\-being. It’s what makes us one of the best places to work, and helps our employees live and work to their fullest potential.
Qualified applicants will receive consideration for employment without regard to race, color, national origin, ancestry, religion, sex/gender (including pregnancy), sexual orientation, gender identity or gender expression, age, physical or mental disability, military or protected veteran status, citizenship, familial or marital status, genetics, or any other legally protected category. In compliance with the Americans with Disabilities Act Amendment Act (ADAAA), if you have a disability and would like to request an accommodation in order to apply for a job with ProMedica, please contact **employment@promedica.org**
Equal Opportunity Employer/Drug\-Free Workplace</t>
        </is>
      </c>
    </row>
    <row r="18">
      <c r="A18" t="inlineStr">
        <is>
          <t>in-32408a117e20b662</t>
        </is>
      </c>
      <c r="B18" t="inlineStr">
        <is>
          <t>Deputy Technical Program Manager</t>
        </is>
      </c>
      <c r="C18" t="inlineStr">
        <is>
          <t>The DarkStar Group</t>
        </is>
      </c>
      <c r="D18" t="inlineStr">
        <is>
          <t>indeed</t>
        </is>
      </c>
      <c r="E18" t="inlineStr"/>
      <c r="F18" t="inlineStr"/>
      <c r="G18" t="inlineStr">
        <is>
          <t>Arlington, VA, US</t>
        </is>
      </c>
      <c r="H18" s="2" t="n">
        <v>46063</v>
      </c>
      <c r="I18" t="inlineStr">
        <is>
          <t>**What Impact You'll Have**
The Deputy Program Manager will help lead programs having an average annual aggregate revenue of greater than $40M providing the type of services similar in size and complexity to those detailed in the contract. They are responsible for assisting and managing the overall requirement, providing an alternate Point of Contact (POC) for the Contracting Officer, assisting with providing programmatic reporting, and addressing management and contracting issues. Must have thorough understanding and experience in the complete life\-cycle management. Responsible for the management of funds and personnel and is accountable for the quality and timely delivery of all contractual requirements.
**What You'll be Owning**
* As a Deputy Program Manager, you will be responsible for assisting with overseeing overall contract execution, to include onsite stakeholder coordination, and strategic alignment
**What You Must Have**
* Bachelor's Degree and 7 years of experience OR Master's Degree and 5 years of experience. 4 years of work experience, OR Associate's Degree plus 2 years of experience, may be substituted for a Bachelor's Degree.
* Degree in Engr., Sci, Business; Computer Science or Related Scientific or Technical Discipline.
* Five years of project management experience working on DoD or Intelligence Community (IC) programs/projects.
* Five years of experience in the DoD or IC in an acquisition project management position leading integrated teams consisting of engineers, analysts, financial, and project management personnel.
* DAU Level III certification in Program Management, or Project Management Professional (PMP) Certification
* Excellent leadership, problem\-solving, and communication skills are required to engage with senior DoD and interagency stakeholders effectively.
* Experience in program lifecycle management, resource allocation, risk mitigation, and compliance with DoD acquisition and governance frameworks.
* Active TS/SCI clearance (eligibility required).
* US Citizenship is required.
**What Would be Nice to Have**
* Experience with Army TENCAP, Space ISR systems, or expeditionary ground station concepts.
* Experience briefing senior military or civilian leadership.</t>
        </is>
      </c>
    </row>
    <row r="19">
      <c r="A19" t="inlineStr">
        <is>
          <t>in-ac545d99a3763941</t>
        </is>
      </c>
      <c r="B19" t="inlineStr">
        <is>
          <t>Principal Technical Program Manager - Intuit - Data Lifecycle Management</t>
        </is>
      </c>
      <c r="C19" t="inlineStr">
        <is>
          <t>Intuit</t>
        </is>
      </c>
      <c r="D19" t="inlineStr">
        <is>
          <t>indeed</t>
        </is>
      </c>
      <c r="E19" t="inlineStr"/>
      <c r="F19" t="inlineStr"/>
      <c r="G19" t="inlineStr">
        <is>
          <t>San Diego, CA, US</t>
        </is>
      </c>
      <c r="H19" s="2" t="n">
        <v>46063</v>
      </c>
      <c r="I19" t="inlineStr">
        <is>
          <t>Category Program Management \&amp; Business Operations
Location Mountain View, California; San Diego, California
Job ID 19150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At Intuit, we are reimagining the way the world does business. As an AI\-driven expert platform, we harness the power of data to solve our customers’ most pressing challenges and deliver experiences that truly matter. Behind the scenes, this innovation is fueled by our Data and Analytics Foundation team, stewarding a vast ecosystem of more than 90 petabytes of data.
We are looking for a Principal Technical Program Manager to drive Data Lifecycle Management to help lead this transformation \- someone who thrives on tackling complex problems, shaping powerful technologies, and driving programs that unlock the full potential of data. The ideal candidate is one colleagues describe as the ideal balance of strategic technical leadership and disciplined program execution, with a proven ability to scale enterprise processes. You will thrive in this role if you bring strong program management experience, deep technical understanding, customer empathy, strong execution capability, and a track record of building partnerships and delivering impactful results. If you’re passionate about turning bold ideas into lasting impact, we’d love for you to join us.
Intuit has embraced a hybrid working model with the expectation of working from our Mountain View office 3 days per week.
 **Responsibilities**
* **Advance Data Maturity and Governance:** Educate, align, and drive organizational adoption of data maturity models, governance standards, and best practices for data producers and consumers.
* Do you instinctively see opportunities to simplify complex processes and improve how work gets done? You’ll partner across Intuit’s most critical initiatives to reduce friction in how humans and AI produce, govern, and consume data—elevating data quality, trust, and usability at scale.
* **Lead with Influence:** Drive strategic programs in partnership with VP\+ leaders, accelerating business outcomes and ensuring alignment with Intuit's overall strategy.
* Want to have a truly significant impact? You'll drive Intuit's technical strategy and adoption across Data and Analytics for the entire company, influencing investment decisions and shaping the future of our technology and how we work.
* **Champion Change:** Foster a culture of collaboration and open communication, effectively navigating organizational change and driving continuous improvement.
* Do you enjoy making a real difference? You'll lead transformational change across Intuit, influencing senior leadership, building strong partnerships, and driving adoption of game\-changing strategies and technologies.
* **Deliver Exceptional Results:** Develop and execute high\-quality program plans, utilizing data to track progress, mitigate risks, and communicate effectively with stakeholders.
* Ready for the biggest challenges? You'll lead large, cross\-organizational programs with significant scope and complexity, navigating challenges across multiple domains and mitigating risks.
* **Build and Mentor:** Define and implement program management best practices, coach and mentor other program managers, and contribute to the growth of the program management community.
* Want to leave a lasting legacy? You'll elevate the TPM discipline across Intuit by developing and driving the adoption of best practices, tools, and frameworks.
* **Master the Domain:** Possess deep expertise in software development methodologies and apply them effectively to programs. Lead strategic discussions on data architecture and AI\-native platform technologies, influencing technical direction and standards within the Data Platform organization.
* Driven by a desire to solve the impossible? You'll tackle Intuit's biggest, most complex challenges with expert\-level technical understanding across multiple domains, acting as a trusted advisor to senior leadership.
 **Qualifications**
* **Proven Leadership:** 12\+ years of experience building, leading, and delivering complex, large\-scale technical programs within a matrixed organization. A track record of delivering cross\-functional initiatives such as Data Mesh, Data Fabric, Master Data Management in multi\-cloud environments is a must. Experience incorporating AI and machine learning into big data ecosystems is highly desired.
* **Technical Acumen:** Strong understanding of software development methodologies, data architecture, and lifecycle management, combined with Agile coaching experience that enables high\-performing teams to deliver scalable data platforms and capabilities efficiently.
* **Process Acumen:** Demonstrated experience in evolving, standardizing, and scaling enterprise data contracts across platform and product teams by partnering with upstream data producers and downstream consumers to improve data reliability, governance, and controlled publishing workflows.
* **Strategic Thinker:** Ability to analyze industry trends, understand Intuit's strategy, and make data\-driven decisions that accelerate business outcomes.
* **Exceptional Communicator:** Excellent communication and interpersonal skills, with the ability to influence at all levels in a matrixed organization, from individual contributors to senior executives.
* **Data\-Driven Mindset:** Recognized as an expert in applying data to assess program health, identify risks, and inform strategic decisions. Known for educating and mentoring others on data analytics, AI/ML concepts, and best practices for evidence\-based decision\-making.
* **Education:** Degree in Computer Science, Engineering, or a related field, or equivalent work experience. PMP, Agile certifications or equivalent demonstrated practical technical program management experience is desired.
 **How You Will Grow**
You will be part of a strong, cross organizational Intuit Program Management community that comes together to share experiences and solve problems in areas where we are passionate. You’ll partner with an experienced program leadership team that helps break down barriers \- allowing you to grow and develop your career, increase contribution to the company, and accelerate delivery of innovation for our customers. You’ll give back to the community by sharing your craft expertise, mentoring junior colleagues, and fostering a culture of trust and engagement.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$230,000 \- $311,000 USD</t>
        </is>
      </c>
    </row>
    <row r="20">
      <c r="A20" t="inlineStr">
        <is>
          <t>in-166cd4a7b91c41d5</t>
        </is>
      </c>
      <c r="B20" t="inlineStr">
        <is>
          <t>Product Manager - Media, Digital, Creative Tech</t>
        </is>
      </c>
      <c r="C20" t="inlineStr">
        <is>
          <t>Moore</t>
        </is>
      </c>
      <c r="D20" t="inlineStr">
        <is>
          <t>indeed</t>
        </is>
      </c>
      <c r="E20" t="inlineStr"/>
      <c r="F20" t="inlineStr"/>
      <c r="G20" t="inlineStr">
        <is>
          <t>Lanham, MD, US</t>
        </is>
      </c>
      <c r="H20" s="2" t="n">
        <v>46063</v>
      </c>
      <c r="I20" t="inlineStr">
        <is>
          <t>As a **Product Manager** , you will lead product strategy and execution for Moore’s Media, Digital, and Creative Tech solutions, directly supporting the Vice President of Product Management, Media, Digital, \&amp; Creative. As part of the Innovation \&amp; Development team, t his role will drive innovation and operational excellence across media , digital and creative technology.
**Moore** is a data\-driven constituent experience management (CXM) company achieving accelerated growth for clients through integrated supporter experiences across all platforms, channels, and devices. We are an innovation\-led company that is the largest marketing, data, and fundraising company in North America, serving the purpose\-driven industry with clients across education, association, political, and commercial sectors.
Check out www.WeAreMoore.com for more information.
This is a Hybrid Position located in any of our hubs (Westminster CO, Lanham MD or Peabody MA)
**Your Impact:**
Media \&amp; Digital Leadership:
* Partner with Moore agencies and cross\-functional teams to identify client needs and deliver data\-driven product solutions for media and digital channels (Search, Social, Programmatic, Email, etc.)
* Develop and enhance products such as growth planning tools, attribution models, analytics, and benchmarking for media and digital fundraising effectiveness.
Lead roadmap planning and execution for media and digital product lines, ensuring alignment with CXM platform and client objectives .  
* 
Creative Tech \&amp; DAM Oversight:
* Take ownership of Creative Tech product development, including AI\-driven solutions (e.g., MUSE, Copy That), automation, and creative optimization platforms.
* Provide strategic and operational leadership for the Digital Asset Management (DAM) project, ensuring seamless integration, adoption, and value delivery across media, digital, and creative teams.
Collaborate with engineering, data science, and creative teams to deliver innovative tech solutions for fundraising and supporter engagement.  
* 
Strategic Planning \&amp; Communication:
* Define and communicate the vision for media, digital, creative tech, and DAM products to stakeholders.
* Document requirements, track delivery, and ensure timely launch of new capabilities.
Coordinate with GTM, finance, marketing, communications, training, and other teams to package and launch products.  
* 
Continuous Improvement:
* Implement and mature product management best practices and tools.
Respond to in\-market client needs and feedback for ongoing product enhancement.  
* 
**Your Profile:**
* 1 0 \+ years of product management experience in media, digital, or creative technology at a fast\-growing, data\-driven B2B organization.
* Proven ability to lead cross\-functional teams and drive organizational change.
* Experience with nonprofit fundraising, media, and digital channels preferred.
Strong quantitative analysis and communication skills .  
* 
**How** **We’ll** **Support You:**
Join the largest marketing and fundraising company in North America serving the nonprofit industry, where we prioritize innovation and professional growth.
Collaborate with industry subject matter experts with over 5,000 employees across the enterprise.
To help you stay energized, engaged, and inspired, we offer a wide range of benefits, including comprehensive healthcare, paid holidays, and generous paid time off so you can have the time and space to recharge and pursue your other passions and be with the people you care about.
Moore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\#LI\-MM2 \#LI\-hybrid</t>
        </is>
      </c>
    </row>
    <row r="21">
      <c r="A21" t="inlineStr">
        <is>
          <t>in-28d24e0d7bd8faab</t>
        </is>
      </c>
      <c r="B21" t="inlineStr">
        <is>
          <t>Principal Technical Program Manager - Developer Experience</t>
        </is>
      </c>
      <c r="C21" t="inlineStr">
        <is>
          <t>General Motors (GM)</t>
        </is>
      </c>
      <c r="D21" t="inlineStr">
        <is>
          <t>indeed</t>
        </is>
      </c>
      <c r="E21" t="inlineStr"/>
      <c r="F21" t="inlineStr"/>
      <c r="G21" t="inlineStr">
        <is>
          <t>Warren, MI, US</t>
        </is>
      </c>
      <c r="H21" s="2" t="n">
        <v>46063</v>
      </c>
      <c r="I21" t="inlineStr">
        <is>
          <t>**Job Description**
**Principal Technical Program Manager \- Developer Experience**
**Hybrid:** This role is categorized as hybrid. This means the successful candidate is expected to report to the Technical Innovation Center in Warren, MI three times per week, at minimum.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the Principal Technical Program Manager (TPM) for Developer Experience, you will be a strategic partner to the Director of Developer Experience, driving the enterprise\-wide DevOps transformation at General Motors. This is a technical leadership role responsible for orchestrating the shift in how GM builds, secures, and ships software.
You will drive execution of the operational strategy for our developer platform, steward high\-stakes vendor relationships, and support the cultural adoption of modern engineering practices. You will act as a force multiplier for the Developer Experience organization, translating technical vision into executed reality across thousands of engineers.
**What You’ll Do**
**Operationalize Strategy \&amp; Execution**
* Translate Vision to Roadmap: Partner with Engineering Directors and Architects to decompose high\-level strategic goals (e.g., "Move to GitHub Enterprise," "Adopt AI Coding Assistants") into execution\-ready program plans with clear milestones and dependencies.
* Drive Delivery Cadence: Establish and manage the operating rhythm of the DevEx organization. You will ensure that critical initiatives are tracking against 2026 targets, identifying blockers early and forcing decisions to keep momentum.
* Manage Complexity: Orchestrate complex, multi\-quarter initiatives that touch every engineer at GM, ensuring minimal disruption while maximizing velocity.
**Governance \&amp; Cross\-Functional Alignment**
* Broker Identity \&amp; Access Solutions: Drive resolution on complex structural challenges such as Enterprise Managed Users (EMU) and external collaborator access. You will facilitate the necessary alignment at the Director, Executive Director, and VP level between Cyber Security, Legal, and Engineering to codify access models that are both secure and frictionless.
* Streamline Policy: Work with compliance partners to shift governance left. You will support the transition from manual "gatekeeping" to automated "Policy as Code," ensuring safety without slowing down the developer loop.
**Stewardship of Vendor Partnerships**
* Optimize Commercial Value: Steward the strategic relationship with key partners, ensuring GM maximizes the ROI on its developer tool spend.
* Facilitate Emerging Tech Evaluation: Coordinate the evaluation lifecycle for new tools. You will ensure that pilots are structured effectively to yield clear data on productivity and security impact.
**Cultural Transformation \&amp; Enablement**
* Accelerate Adoption: Support the organizational change management required for DevOps success. You will help design and implement engagement models (InnerSource, Community of Practice) that encourage teams to adopt modern standards voluntarily.
* Scale Knowledge: Oversee the strategy for developer documentation and "paved road" templates, ensuring that the "right way" to build software at GM is also the easiest way.
**Performance Measurement \&amp; Value Realization**
* Establish the Metric Framework: Drive the implementation of engineering efficiency standards (DORA metrics) and developer satisfaction signals (SPACE framework).
* Surface Productivity Insights: Gather and synthesize data to answer "How much faster are we?" and present these findings to leadership to justify future investment.
**Your Skills \&amp; Abilities (Required Qualifications)**
* **Strategic Program Leadership:** 10\+ years of experience leading technical programs, with a focus on DevOps, Cloud, or Platform Engineering.
* **Education:** BS or MS degree in an Engineering\-related discipline, or equivalent experience.
* **Force Multiplier Mindset:** Proven ability to act as a "Chief of Staff" or strategic deputy, operating with broad autonomy handling operational friction and cross\-functional politics so engineering leaders can focus on architecture and code.
* **Transformation Experience:** A track record of driving large\-scale cultural and technical shifts (e.g., Waterfall to Agile, On\-Prem to Cloud) in complex, regulated enterprise environments.
* **Commercial \&amp; Vendor Acumen:** Experience managing enterprise\-scale software vendor relationships and navigating the complexities of vendor integration (licensing, identity, support).
* **Data\-Driven storytelling:** Ability to synthesize complex metrics into clear narratives for executive audiences.
* **Experience with the DevOps Toolchain:** Deep expertise in the end\-to\-end software delivery lifecycle. You understand the intricate interplay between source control, work management, CI/CD automation, and quality/security scanning, and how to integrate them into a seamless "Golden Path" for developers.
* **Strategic Vision \&amp; Execution:** Demonstrated ability to define and drive multi\-year platform strategies in complex, regulated enterprise environments. You have a track record of taking ambiguous long\-term goals and breaking them down into actionable quarters of delivery.
* **Executive Influence \&amp; Alignment:** Exceptional stakeholder management skills with the ability to operate as a trusted advisor to senior engineering and IT leaders. You can navigate organizational politics, bridge gaps between conflicting teams, and drive consensus on difficult technical decisions without relying on direct authority.
**What will give you a competitive edge (Preferred Qualifications)**
* **"AI\-Native" mindset:** You are an active practitioner who consistently experiments with the latest AI tools in your own daily work and brings a genuine enthusiasm for their potential to the team.
* **Navigating Security vs. Velocity:** A track record of cross\-functional partnering to design access and governance models that satisfy compliance requirements without destroying developer productivity.
* Advanced degree in Computer Science, Engineering, Data Science, or MBA with technical focus.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job may be eligible for relocation benefits.
\#LI\-LL2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2">
      <c r="A22" t="inlineStr">
        <is>
          <t>in-8498e4a4e3ba5145</t>
        </is>
      </c>
      <c r="B22" t="inlineStr">
        <is>
          <t>Staff Product Manager - AI SaaS Collaboration</t>
        </is>
      </c>
      <c r="C22" t="inlineStr">
        <is>
          <t>General Motors (GM)</t>
        </is>
      </c>
      <c r="D22" t="inlineStr">
        <is>
          <t>indeed</t>
        </is>
      </c>
      <c r="E22" t="inlineStr"/>
      <c r="F22" t="inlineStr"/>
      <c r="G22" t="inlineStr">
        <is>
          <t>Warren, MI, US</t>
        </is>
      </c>
      <c r="H22" s="2" t="n">
        <v>46063</v>
      </c>
      <c r="I22" t="inlineStr">
        <is>
          <t>**Job Description**
**The Role:**
The SaaS Collaboration Engineering Team within GM’s Core IT organization is looking for a Staff level Product Managers. Responsible for managing a distinct set of IT tools focused on Enterprise AI Tools.
The successful candidate will demonstrate the ability to own the end\-to\-end product lifecycle for their suite of designated tools. Each will partner with key senior stakeholders to deliver modern, intuitive and scalable experiences while ensuring strong governance, measurable value, and high adoption across a global, diverse workforce.
**What You’ll Do:**
**Product Strategy \&amp; Leadership**
* Define and own the long\-term product vision and multi\-year roadmap for GM’s Core IT Enterprise AI tools.
* Translate IT strategies into prioritized product outcomes, clear use cases, and measurable business value.
* Serve as a thought leader influencing product direction and strategy.
* Collaborate closely with engineering, UX, change management, and operations to ensure on\-time, high\-quality delivery and resilient, supportable solutions.
**Executive \&amp; Business Partnership**
* Partner with senior leaders to shape strategy, clarify priorities, and align on desired outcomes and success metrics.
* Lead discovery and framing of complex problems, synthesizing user research, analytics, and stakeholder input into clear problem statements and solution approaches.
* Influence decision\-making across collaboration, infrastructure, data, security, legal, and compliance stakeholders, driving consensus on roadmap, investment, and risk posture.
**Vendor \&amp; Platform Strategy**
* Manage strategic relationships with vendors and key partners.
* Lead fit\-gap analysis, build\-vs\-buy decisions, and business cases for new capabilities and platform investments.
* Drive vendor accountability for roadmap alignment, delivery quality, security, innovation, and value realization, including SLAs and performance metrics.
* Monitor the external market for technologies, identifying opportunities to pilot and scale new capabilities.
**Value Realization \&amp; Optimization**
* Define and track KPIs to measure adoption, engagement, quality, productivity, and impact (e.g., time saved, reduced manual effort, improved decision speed).
* Use analytics, user feedback, and experimentation to continuously optimize product performance and user experience.
* Proactively identify low\-value, redundant, or underused tools and features and lead efforts to rationalize, simplify, or retire them.
**Employee Digital Experience Leadership**
* Champion a consistent, intuitive, and personalized employee and manager experience across platforms and endpoints (desktop, mobile, web).
* Partner with UX, change management, and communications teams to design user\-centric experiences and drive awareness, adoption, and sustained behavior change.
* Ensure solutions scale globally, support diverse workstyles (remote, hybrid, on\-site), and meet accessibility and localization needs.
**Your Skills and Abilities (Required Qualifications):**
* Experience leading Enterprise AI Tools: Experience supporting tools within the AI technology space such as MoveWorks, Serval, and Glean.
* Bachelor’s degree in Business, Information Systems, Computer Science, Human\-Computer Interaction, Technology Management, related field; or equivalent work experience.
* 7\+ years of relevant experience in product management, digital workplace/collaboration platforms, SaaS applications, or enterprise technology roles.
* Demonstrated hands\-on experience using tools like Jira to manage complex backlogs, multiple workstreams, and cross\-team delivery.
* Strong understanding of collaboration and productivity use cases, digital employee experience, and end\-user support models.
* Excellent communication, facilitation, and storytelling skills, with the ability to engage both technical and non\-technical audiences.
**What Will Give You A Competitive Edge (Preferred Qualifications):**
* Experience supporting large, global organizations with diverse roles, regions, and environments.
* Experience leading SaaS transformations, migrations from on\-prem or legacy tools to modern cloud collaboration and AI platforms.
* Background in user research, service design, or design thinking for digital employee experiences.
* Experience working closely with security, legal, and compliance teams on collaboration and AI\-related risks.
* Master’s Degree Business, Information Systems, Computer Science, Human\-Computer Interaction, Technology Management or related field.
* Strategic product leadership with the ability to define vision, set direction, and drive execution.
* Executive\-level communication and influence, including the ability to build business cases and drive consensus.
* Strong business and technology acumen related to collaboration, productivity, and digital employee experience.
* AI\-first and employee\-experience mindset, focused on simplifying work and augmenting human potential.
* Data\-driven decision\-making using quantitative and qualitative insights.
* Comfort navigating ambiguity and change, with a bias toward experimentation, learning, and iterative improvement.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3">
      <c r="A23" t="inlineStr">
        <is>
          <t>in-55b464a65d8d36bb</t>
        </is>
      </c>
      <c r="B23" t="inlineStr">
        <is>
          <t>Staff Product Manager – Corporate Communication Applications, SaaS Collaboration</t>
        </is>
      </c>
      <c r="C23" t="inlineStr">
        <is>
          <t>General Motors (GM)</t>
        </is>
      </c>
      <c r="D23" t="inlineStr">
        <is>
          <t>indeed</t>
        </is>
      </c>
      <c r="E23" t="inlineStr"/>
      <c r="F23" t="inlineStr"/>
      <c r="G23" t="inlineStr">
        <is>
          <t>Warren, MI, US</t>
        </is>
      </c>
      <c r="H23" s="2" t="n">
        <v>46063</v>
      </c>
      <c r="I23" t="inlineStr">
        <is>
          <t>**Job Description**
**The Role:**
The SaaS Collaboration Engineering Team within GM’s Core IT organization is looking for a Staff level Product Manager. Responsible for managing a distinct set of IT tools focused on Enterprise Collaboration Tools.
The successful candidate will demonstrate the ability to own the end\-to\-end product lifecycle for their suite of designated tools. This individual will partner with key senior stakeholders to deliver modern, intuitive and scalable experiences while ensuring strong governance, measurable value, and high adoption across a global, diverse workforce.
**What You’ll Do:**
**Product Strategy \&amp; Leadership**
* Define and own the long\-term product vision and multi\-year roadmap for GM’s Core IT Enterprise Corporate Communications Applications.
* Translate IT strategies into prioritized product outcomes, clear use cases, and measurable business value.
* Serve as a thought leader influencing product direction and strategy.
* Collaborate closely with engineering, UX, change management, and operations to ensure on\-time, high\-quality delivery and resilient, supportable solutions.
**Executive \&amp; Business Partnership**
* Partner with senior leaders to shape strategy, clarify priorities, and align on desired outcomes and success metrics.
* Lead discovery and framing of complex problems, synthesizing user research, analytics, and stakeholder input into clear problem statements and solution approaches.
* Influence decision\-making across collaboration, infrastructure, data, security, legal, and compliance stakeholders, driving consensus on roadmap, investment, and risk posture.
**Vendor \&amp; Platform Strategy**
* Manage strategic relationships with vendors and key partners.
* Lead fit\-gap analysis, build\-vs\-buy decisions, and business cases for new capabilities and platform investments.
* Drive vendor accountability for roadmap alignment, delivery quality, security, innovation, and value realization, including SLAs and performance metrics.
* Monitor the external market for technologies, identifying opportunities to pilot and scale new capabilities.
**Value Realization \&amp; Optimization**
* Define and track KPIs to measure adoption, engagement, quality, productivity, and impact (e.g., time saved, reduced manual effort, improved decision speed).
* Use analytics, user feedback, and experimentation to continuously optimize product performance and user experience.
* Proactively identify low\-value, redundant, or underused tools and features and lead efforts to rationalize, simplify, or retire them.
**Employee Digital Experience Leadership**
* Champion a consistent, intuitive, and personalized employee and manager experience across platforms and endpoints (desktop, mobile, web).
* Partner with UX, change management, and communications teams to design user\-centric experiences and drive awareness, adoption, and sustained behavior change.
* Ensure solutions scale globally, support diverse workstyles (remote, hybrid, on\-site), and meet accessibility and localization needs.
**Your Skills and Abilities (Required Qualifications):**
* Experience leading Corporate Communications Applications: Experience supporting enterprise level communication tools such as Adobe Experience Manager, Adobe Campaign, WorkJam, Sharefluence, and Symbolic.AI
* Bachelor’s degree in Business, Information Systems, Computer Science, Human\-Computer Interaction, Technology Management, related field; or equivalent work experience.
* 7\+ years of relevant experience in product management, digital workplace/collaboration platforms, SaaS applications, or enterprise technology roles.
* Demonstrated hands\-on experience using tools like Jira to manage complex backlogs, multiple workstreams, and cross\-team delivery.
* Strong understanding of collaboration and productivity use cases, digital employee experience, and end\-user support models.
* Excellent communication, facilitation, and storytelling skills, with the ability to engage both technical and non\-technical audiences.
**What Will Give You A Competitive Edge (Preferred Qualifications):**
* Experience supporting large, global organizations with diverse roles, regions, and environments.
* Experience leading SaaS transformations, migrations from on\-prem or legacy tools to modern cloud collaboration and AI platforms.
* Background in user research, service design, or design thinking for digital employee experiences.
* 10\+ years of relevant experience in product management, digital workplace/collaboration platforms, SaaS applications, or enterprise technology roles.
* Experience working closely with security, legal, and compliance teams on collaboration and AI\-related risks.
* Master’s Degree Business, Information Systems, Computer Science, Human\-Computer Interaction, Technology Management or related field.
* Strategic product leadership with the ability to define vision, set direction, and drive execution.
* Executive\-level communication and influence, including the ability to build business cases and drive consensus.
* Strong business and technology acumen related to collaboration, productivity, and digital employee experience.
* AI\-first and employee\-experience mindset, focused on simplifying work and augmenting human potential.
* Data\-driven decision\-making using quantitative and qualitative insights.
* Comfort navigating ambiguity and change, with a bias toward experimentation, learning, and iterative improvement.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4">
      <c r="A24" t="inlineStr">
        <is>
          <t>in-e4fc49b5f284fc03</t>
        </is>
      </c>
      <c r="B24" t="inlineStr">
        <is>
          <t>Staff Product Manager - Digital Transformation SaaS Collaboration</t>
        </is>
      </c>
      <c r="C24" t="inlineStr">
        <is>
          <t>General Motors (GM)</t>
        </is>
      </c>
      <c r="D24" t="inlineStr">
        <is>
          <t>indeed</t>
        </is>
      </c>
      <c r="E24" t="inlineStr"/>
      <c r="F24" t="inlineStr"/>
      <c r="G24" t="inlineStr">
        <is>
          <t>Warren, MI, US</t>
        </is>
      </c>
      <c r="H24" s="2" t="n">
        <v>46063</v>
      </c>
      <c r="I24" t="inlineStr">
        <is>
          <t>**Job Description**
**The Role:**
The SaaS Collaboration Engineering Team within GM’s Core IT organization is looking for a Staff level Product Manager. Responsible for managing a distinct set of IT tools focused on Enterprise Collaboration Tools.
The successful candidate will demonstrate the ability to own the end\-to\-end product lifecycle for their suite of designated tools. Each will partner with key senior stakeholders to deliver modern, intuitive and scalable experiences while ensuring strong governance, measurable value, and high adoption across a global, diverse workforce.
**What You’ll Do:**
**Product Strategy \&amp; Leadership**
* Define and own the long\-term product vision and multi\-year roadmap for GM’s Core IT Enterprise Collaboration Tools.
* Translate IT strategies into prioritized product outcomes, clear use cases, and measurable business value.
* Serve as a thought leader influencing product direction and strategy.
* Collaborate closely with engineering, UX, change management, and operations to ensure on\-time, high\-quality delivery and resilient, supportable solutions.
**Executive \&amp; Business Partnership**
* Partner with senior leaders to shape strategy, clarify priorities, and align on desired outcomes and success metrics.
* Lead discovery and framing of complex problems, synthesizing user research, analytics, and stakeholder input into clear problem statements and solution approaches.
* Influence decision\-making across collaboration, infrastructure, data, security, legal, and compliance stakeholders, driving consensus on roadmap, investment, and risk posture.
**Vendor \&amp; Platform Strategy**
* Manage strategic relationships with vendors and key partners.
* Lead fit\-gap analysis, build\-vs\-buy decisions, and business cases for new capabilities and platform investments.
* Drive vendor accountability for roadmap alignment, delivery quality, security, innovation, and value realization, including SLAs and performance metrics.
* Monitor the external market for technologies, identifying opportunities to pilot and scale new capabilities.
**Value Realization \&amp; Optimization**
* Define and track KPIs to measure adoption, engagement, quality, productivity, and impact (e.g., time saved, reduced manual effort, improved decision speed).
* Use analytics, user feedback, and experimentation to continuously optimize product performance and user experience.
* Proactively identify low\-value, redundant, or underused tools and features and lead efforts to rationalize, simplify, or retire them.
**Employee Digital Experience Leadership**
* Champion a consistent, intuitive, and personalized employee and manager experience across platforms and endpoints (desktop, mobile, web).
* Partner with UX, change management, and communications teams to design user\-centric experiences and drive awareness, adoption, and sustained behavior change.
* Ensure solutions scale globally, support diverse workstyles (remote, hybrid, on\-site), and meet accessibility and localization needs.
**Your Skills and Abilities (Required Qualifications):**
* Experience leading Enterprise Collaboration Tools: Experience supporting tools within the enterprise collaboration tools space such as M365 Suite, Copilot, Google Workspace, and Glean.
* Bachelor’s degree in Business, Information Systems, Computer Science, Human\-Computer Interaction, Technology Management, related field; or equivalent work experience.
* 7\+ years of relevant experience in product management, digital workplace/collaboration platforms, SaaS applications, or enterprise technology roles.
* Demonstrated hands\-on experience using tools like Jira to manage complex backlogs, multiple workstreams, and cross\-team delivery.
* Strong understanding of collaboration and productivity use cases, digital employee experience, and end\-user support models.
* Excellent communication, facilitation, and storytelling skills, with the ability to engage both technical and non\-technical audiences.
**What Will Give You A Competitive Edge (Preferred Qualifications):**
* Experience supporting large, global organizations with diverse roles, regions, and environments.
* Experience leading SaaS transformations, migrations from on\-prem or legacy tools to modern cloud collaboration and AI platforms.
* Background in user research, service design, or design thinking for digital employee experiences.
* 10\+ years of relevant experience in product management, digital workplace/collaboration platforms, SaaS applications, or enterprise technology roles.
* Experience working closely with security, legal, and compliance teams on collaboration and AI\-related risks.
* Master’s Degree Business, Information Systems, Computer Science, Human\-Computer Interaction, Technology Management or related field.
* Strategic product leadership with the ability to define vision, set direction, and drive execution.
* Executive\-level communication and influence, including the ability to build business cases and drive consensus.
* Strong business and technology acumen related to collaboration, productivity, and digital employee experience.
* AI\-first and employee\-experience mindset, focused on simplifying work and augmenting human potential.
* Data\-driven decision\-making using quantitative and qualitative insights.
* Comfort navigating ambiguity and change, with a bias toward experimentation, learning, and iterative improvement.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5">
      <c r="A25" t="inlineStr">
        <is>
          <t>in-82e2704f1157aede</t>
        </is>
      </c>
      <c r="B25" t="inlineStr">
        <is>
          <t>Senior Product Manager - Reporting and Reconciliation</t>
        </is>
      </c>
      <c r="C25" t="inlineStr">
        <is>
          <t>BMO Financial Group</t>
        </is>
      </c>
      <c r="D25" t="inlineStr">
        <is>
          <t>indeed</t>
        </is>
      </c>
      <c r="E25" t="inlineStr"/>
      <c r="F25" t="inlineStr"/>
      <c r="G25" t="inlineStr">
        <is>
          <t>New York, NY, US</t>
        </is>
      </c>
      <c r="H25" s="2" t="n">
        <v>46063</v>
      </c>
      <c r="I25" t="inlineStr">
        <is>
          <t>151 W 42nd Street New York New York,10036
Global Trading Solutions (GTS) partners with Global Markets businesses to execute on a multi\-year technology and middle office strategy and is driving rationalization and modernization of the technology landscape to increase operational efficiencies and improve customer experience while maintaining current on evolving regulatory and compliance needs.
Within GTS, the Core Platform Product Management (CPPM) group is dedicated to product solutions that span Global Markets lines of business, technical operations on core platform components, and the delivery of scalable, reusable capabilities. The team is comprised of Product Managers, Delivery Managers, Business Analysts, and technology partners working closely across engineering, operations, and business stakeholders.
The CPPM group is seeking a Reporting \&amp; Reconciliation Manager to lead the delivery of two foundational products built on the GMTC (Global Markets Transaction Capture) platform: a reconciliation product built from the ground up and a reporting tool built on top of GMTC. This role combines people management, hands\-on product ownership, and delivery accountability and is best suited for a build\-from\-scratch product leader motivated by ownership, impact, and growth rather than maintaining fully mature products.
**Responsibilities of the Job:**
* Own end\-to\-end delivery of the GMTC reconciliation product and reporting tool, from discovery through execution.
* Write clear product specifications, user stories, workflows, and acceptance criteria to translate business needs into development work.
* Define core functionality, use cases, and UI workflows supporting both technology\-driven and business\-driven reconciliations.
* Develop and maintain product roadmaps, including a clearly defined near\-term and longer\-term vision.
* Partner closely with development teams while allowing flexibility in technical design and implementation.
* Manage team staffing and financial planning activities, including hiring and interview execution, budget forecasting, and employee performance reviews.
* Manage a small product team, initially with one dedicated resource per product, providing coaching, feedback, and prioritization.
* Collaborate with business users, operations teams, and management to align stakeholders around priorities and delivery.
* Communicate progress, trade\-offs, risks, and roadmap updates clearly to stakeholders and leadership.
**Success Metrics:**
* Adoption of the reconciliation and reporting products by business, operations, and technology users.
* Stakeholder satisfaction with product usability, functionality, and delivery.
* A defined and actively underway foundation for a new reconciliation tool.
* A report center with a new UI delivered and supported by a clear roadmap.
**Qualifications:**
* Experience managing at least a small team with accountability for delivery and outcomes.
* Demonstrated experience building products from early\-stage.
* Strong hands\-on product management skills, including documentation and workflow definition.
* Comfort operating in ambiguous environments and creating structure where none exists.
* Strong verbal and written communication skills and ability to work across technology, business, and operations.
**Additional Information:**
This role is not intended for candidates seeking to work solely on fully mature products. It requires a high degree of ownership, comfort with ambiguity, and a willingness to be hands\-on in building new capabilities while leading a team.
**Salary:**
$112,200\.00 \- $209,000\.00
**Pay Type:**
Salaried
The above represents BMO Financial Group’s pay range and type.
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Group’s expected target for the first year in this position.
BMO Financial Group’s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
**About Us**
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https://jobs.bmo.com/us/en
BMO is proud to be an equal employment opportunity employer. We evaluate applicants without regard to race, religion, color, national origin, sex (including pregnancy, childbirth, or related medical conditions), sexual orientation, gender identity, gender expression, transgender status, sexual stereotypes, age, status as a protected veteran, status as an individual with a disability, or any other legally protected characteristics. We also consider applicants with criminal histories, consistent with applicable federal, state and local law.
BMO is committed to working with and providing reasonable accommodations to individuals with disabilities. If you need a reasonable accommodation because of a disability for any part of the employment process, please send an e\-mail to BMOCareers.Support@bmo.com and let us know the nature of your request and your contact information.
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t>
        </is>
      </c>
    </row>
    <row r="26">
      <c r="A26" t="inlineStr">
        <is>
          <t>in-a570083f501d337e</t>
        </is>
      </c>
      <c r="B26" t="inlineStr">
        <is>
          <t>Technical Program Manager 5</t>
        </is>
      </c>
      <c r="C26" t="inlineStr">
        <is>
          <t>Lam Research</t>
        </is>
      </c>
      <c r="D26" t="inlineStr">
        <is>
          <t>indeed</t>
        </is>
      </c>
      <c r="E26" t="inlineStr"/>
      <c r="F26" t="inlineStr"/>
      <c r="G26" t="inlineStr">
        <is>
          <t>Fremont, CA, US</t>
        </is>
      </c>
      <c r="H26" s="2" t="n">
        <v>46063</v>
      </c>
      <c r="I26" t="inlineStr">
        <is>
          <t>Requisition ID**194674**
Date posted**02/11/2026**
Work Location Model**On\-site Flex**
Work Location**Fremont\-CA**
Work Country**United States****The group you’ll be a part of**
---------------------------------
The Customer Support Business Group focuses on enabling our customers with premier customer support throughout their lifecycle with Lam. We drive performance, productivity, safety, and quality of customers installed base performance and deliver service and lifecycle solutions for their most critical equipment and processes.
**The impact you’ll make**
--------------------------
As a Technical Program Manager, you will play a critical role in driving the development and productization of advanced software solutions that power Lam’s global Service Business. You will lead crossfuntioncal teams to deliver high quality, scalable products while shaping the long\-term systems architecture that supports engineers, the field and customers worldwide.**What you’ll do**
------------------
* Lead complex, multidisciplinary software programs from concept through global deployment
* Actively listen, participate, and lead project team activities to promote collaboration and high performance
* Take ownership of assigned tasks, implementing and participating in corrective actions to ensure timely closure; make appropriate decisions within scope and escalate when necessary
* Drive end to end program planning and execution, including roadmap development,
scheduling, risk management, and crossfuntioncal issue resolution across global teams* Translate ambiguous business needs into clear technical requirements and user stories
* Influence and align senior stakeholders across product, engineering, business development, marketing, and field organizations to achieve cohesive decision making and successful program outcomes
* Manage feature pipelines and evaluate progress, quality, and release readiness across project and program tiers
* Own and evolve scalable business systems, software integrations, and process architecture
* Deliver executive level reporting, communications, and program updates with clarity and precision
* Champion operational excellence through improved processes, metrics, and best practices
* Perform deep analysis, generate insights, and present data driven recommendations to leadership
* Drive adoption and continuous improvement of Agile/SAFe methodologies to enhance delivery efficiency and team alignment
* Serve as a champion for customer and engineer experience, ensuring products and systems deliver measurable value and global impact
**Who we’re looking for**
-------------------------
* Bachelor’s degree with 12\+ years of experience, or Master’s degree with 8\+ years of experience, or PhD with 5\+ years of experience, or equivalent industry experience
* 12\+ years of experience in technical program management, continuous improvement, or related technical leadership roles
* Ability to travel up to 10% to engage with field users and understand customer and engineering requirements
* Demonstrated ability to make effective decisions that drive successful implementation of technical, process, or operational changes
* Strong understanding of business process development, process controls, and mapping work item execution to organizational objectives
* Required tool proficiency: Jira, Confluence, Workboard or equivalent Agile and OKR platforms
**Preferred qualifications**
----------------------------
* Experience or domain knowledge in semiconductor fabrication, equipment operations, or related high\-tech industries
* Strong understanding of program management methodologies and experience with Product Development \&amp; Release (PDR) processes
* Relevant project/program management certifications such as PMP, CAPM, or Scrum Master
* Familiarity with OKR (Objectives and Key Results) frameworks for alignment and execution
* Experience with Lean Six Sigma methodologies; Green Belt or Black Belt certification is a plus
* Hands\-on experience with Agile and/or Waterfall delivery methodologies
* Proficiency with program and project management tools such as MS Project, QuickBase, Office Timeline, or equivalent platforms
* Experience with organizational change management and adoption methodologies is a plus
* Demonstrated ability to champion field needs and drive alignment between customer\-facing teams and internal organizations
**Our commitment**
------------------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*\#LI\-LE1*
**Salary**
CA San Francisco Bay Area Salary Range for this position: $125,000\.00 \- $270,000\.00\.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27">
      <c r="A27" t="inlineStr">
        <is>
          <t>in-262aa7d14c4b4890</t>
        </is>
      </c>
      <c r="B27" t="inlineStr">
        <is>
          <t>COE Program Manager</t>
        </is>
      </c>
      <c r="C27" t="inlineStr">
        <is>
          <t>University of North Carolina at Chapel Hill</t>
        </is>
      </c>
      <c r="D27" t="inlineStr">
        <is>
          <t>indeed</t>
        </is>
      </c>
      <c r="E27" t="inlineStr"/>
      <c r="F27" t="inlineStr"/>
      <c r="G27" t="inlineStr">
        <is>
          <t>Chapel Hill, NC, US</t>
        </is>
      </c>
      <c r="H27" s="2" t="n">
        <v>46063</v>
      </c>
      <c r="I27" t="inlineStr">
        <is>
          <t>Posting Information
**Department** SW\-Research Projects\-382000
**Career Area** Research Professionals
**Posting Open Date** 02/11/2026
**Application Deadline** 02/27/2026
**Open Until Filled** No
**Position Type** Permanent Staff (EHRA NF)
**Working Title** COE Program Manager
**Appointment Type** EHRA Non\-Faculty
**Position Number** 20074680
**Vacancy ID** NF0009523
**Full Time/Part Time** Full\-Time Permanent
**FTE** 1
**Hours per week** 40
**Position Location** North Carolina, US
**Hiring Range** $80,000\-$85,000
**Proposed Start Date** 04/01/2026
Position Information
**Be a Tar Heel!**
A global higher education leader in innovative teaching, research and public service, the **University of North Carolina at Chapel Hill** consistently ranks as **one of the nation’s top public universities**. Known for its beautiful campus, world\-class medical care, commitment to the arts and top athletic programs, Carolina is an ideal place to teach, work and learn.
One of the best college towns and best places to live in the United States, Chapel Hill has diverse social, cultural, recreation and professional opportunities that span the campus and community.
University employees can choose from a wide range of **professional training opportunities** for career growth, skill development and lifelong learning and enjoy **exclusive perks** for numerous retail, restaurant and performing arts discounts, savings on local child care centers and special rates on select campus events. UNC\-Chapel Hill offers full\-time employees a **comprehensive benefits package**, paid leave, and a variety of health, life and retirement plans and additional programs that support a healthy work/life balance.
**Primary Purpose of Organizational Unit**
The mission of the School of Social Work is to advance equity, transform systems, improve lives. The School’s curriculum supports the mission and recognizes the uniqueness of the region served, including concerns for disadvantaged, vulnerable, and oppressed individuals, families and communities. Classes provide rigorous and evidence\-based content, and give students the opportunity to explore theory, learn intervention skills and engage in challenging dialogue with colleagues.
**Position Summary**
The Behavioral Health Springboard (BHS) at the School of Social Work, University of North Carolina at Chapel Hill links current research to initiatives in mental health and substance use disorder treatment systems. BHS offers curricula development, technical assistance, program consultation, and face\-to\-face and online educational programs. Collaboration between the university and the community (local, regional/state, global) is mutually beneficial for the exchange of knowledge and resources in a context of partnership and reciprocity. These exchanges enrich scholarship and research; enhance curriculum, teaching and learning; prepare educated, engaged citizens; strengthen values and civic responsibility; address critical societal issues; and contribute to the public good. Our training resources, products, and experienced staff help organizations design effective service delivery systems and assist with the transitions needed to implement evidenced based practices for improved client outcomes and systems efficiencies.  
BHS is seeking a highly skilled, experienced Child Behavioral Health Program Manager to provide support to the NC Division of Child and Family Well\-Being (NC DCFW)’s Center of Excellence Technical Assistance Program (COE\-TAP). This role involves collaboration with multiple stakeholders including NC divisions and departments (DCFW, DSS, DMHDDSUS) , Local Management Entity\-Managed Care Organizations (LME\-MCO), provider associations, providers, and family advocacy organizations. The Child Behavioral Health Program Manager will serve as lead project manager on the development and establishment of the Center of Excellence Technical Assistance Program, lead cross\-divisional professional learning communities, translate ideas and plans into digestible presentation material, collect and utilize programmatic performance data to inform strategic action and implementation plans, and apply research tools and policy formulation skills to new and revised NC initiatives. The Child Behavioral Health Program manager will be responsible for task management and leadership for the Child Behavioral Health POD.
**Minimum Education and Experience Requirements**
Relevant post\-Baccalaureate degree required (or foreign degree equivalent); for candidates demonstrating comparable independent research productivity or comparable background in independent academic or instructional activities, will accept a relevant Bachelor’s degree (or foreign degree equivalent) and 3 or more years of relevant experience in substitution. This experience may be related to the direction/oversight of programs that focus the academic and research resources of a higher education institution towards community or regional issues.
**Required Qualifications, Competencies, and Experience**
Master’s degree in social work, human services, public administration, psychology, public health, or related field.  
Five or more years of progressively responsible program development and/or project management experience using implementation science frameworks. Experience to include program administration, budget management, monitoring and evaluation, team facilitation and reporting
**Preferred Qualifications, Competencies, and Experience**
Licensed as a NC mental/behavioral health professional.  
Thorough knowledge of policies related to NC’s child serving systems including child welfare, juvenile justice, and mental health  
Experience writing grants and proposals, executive summaries; framing problem statements  
Exceptional verbal and written communication skills  
Effective project management skills including setting goals and timelines; evaluating and monitoring progress; and engagement with multiple stakeholders in order to gain and maintain their focus on project overtime.  
Experience using implementation science tools and strategies to support programmatic adaptations and innovations  
Approachable, calm style encouraging open and solution\-oriented communication across high\-level stakeholders  
Highly proficient in all Microsoft programs (Word/Excel/PowerPoint/Outlook) as well as in teleconferencing technology (Zoom, Big Blue Button, Teams, Canvas, Moodle, etc.)  
Leadership, coaching, and teambuilding skills  
Ability to manage conflict and works well with multiple stakeholders bridging university, community organizations and state government  
Ability to be effective under stressful deadlines and timeframes, with frequently changing priorities
**Special Physical/Mental Requirements**
**Campus Security Authority Responsibilities**
Not Applicable.</t>
        </is>
      </c>
    </row>
    <row r="28">
      <c r="A28" t="inlineStr">
        <is>
          <t>in-82a88f3c0a3623db</t>
        </is>
      </c>
      <c r="B28" t="inlineStr">
        <is>
          <t>Business Unit Program Manager</t>
        </is>
      </c>
      <c r="C28" t="inlineStr">
        <is>
          <t>Jabil</t>
        </is>
      </c>
      <c r="D28" t="inlineStr">
        <is>
          <t>indeed</t>
        </is>
      </c>
      <c r="E28" t="inlineStr"/>
      <c r="F28" t="inlineStr"/>
      <c r="G28" t="inlineStr">
        <is>
          <t>San Jose, CA, US</t>
        </is>
      </c>
      <c r="H28" s="2" t="n">
        <v>46063</v>
      </c>
      <c r="I28" t="inlineStr">
        <is>
          <t>At Jabil we strive to make ANYTHING POSSIBLE and EVERYTHING BETTER. We are proud to be a trusted partner for the world's top brands, offering comprehensive engineering, manufacturing, and supply chain solutions. With over 50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  
Jabil is seeking a Business Unit Program Manager to work in San Jose, CA.
**How will you make an impact?**
As a Business Unit Program Manager with Jabil, you will work independently and lead large scale projects for a designated client typically related to quality assurance, systems, manufacturing operations, etc. to achieve internal and external customer satisfaction. The qualified candidate will use their extensive knowledge and skills obtained through education and experience to lead multiple large projects with significant scope and impact.
**What will you do?**
* Work independently on difficult assignments that are broad in nature requiring originality and ingenuity with appreciable latitude for un\-reviewed actions or decisions.
* Provide comprehensive solutions to complex problems. Results are evaluated at agreed upon milestones for effectiveness in achieving specified results.
* Extensive contact with internal and external customers is required to obtain, clarify or provide facts and information.
* Responsible for oversight of key projects or for multiple, related projects / programs aligned with an assigned Business Unit’s strategy. Request for Quotes (RFQ), New Product Introduction (NPI) Costing, Non\-Disclosure and Legal compliance.
* Manage projects/programs under assigned Business Unit direction.
* Work closely with vendors and cross functional team.
* Demonstrate knowledge and skill in leading and directing project teams and in delivering project results within the constraints of schedule, budget and resources.
* Manage key customer programs with less P\&amp;L responsibility.
* Provide customers with Jabil point of contact and interface.
* Work with internal and external customers to provide excellent customer satisfaction and exceed customer expectations.
* Lead and implement specific programs both internal and external to Jabil that span functions, organizations,
geographic regions and cultures.
* Lead and manage the development of specific products through the various stages of the product lifecycle from concept to end\-of\-life.
* May perform other duties and responsibilities as assigned.
**How will you get here?**
**Education \&amp; Experience:**
* Bachelor’s Degree in Mechanical or Electromechanical degree preferred or any type of Engineering Degree required.
* At least 3 years of experience in program management or quality management in a manufacturing \&amp; operations environment required.
**Knowledge, Skills, Abilities:**
* Ability to travel 50\-60% of the time to locations such as India, Penang, China and Taiwan.
* Technical knowledge of equipment’s used on end\-to\-end process in AI networking switches as well as Electronic Manufacturing Services (EMS).
* Strong communication skills, both verbal and written.
* Strong Technical Skills, in Liquid Cooling Technology, Large BGA technology in SMT process, Network Computing and Switch manufacturing.
* Experience working with AI Networking and EMS Industry.
* Strong Enterprise Resource Planning (ERP) skills
* Strong project and/or program management skills
* Ability to effectively present information and respond to questions from groups of managers, clients, customers, and the general public.
* Ability to define problems, collect data, establish facts, and draw valid conclusions.
**Benefits you will receive while working with Jabil:**
Along with growth, stability, and the opportunity to be challenged, Jabil offers a competitive benefits package that includes:
* Medical, Dental, Prescription Drug, and Vision Insurance with HRA and HSA options
* 401K match
* Employee Stock Purchase Plan
* Paid Time Off
* Tuition Reimbursement
* Life, AD\&amp;D, and Disability Insurance
* Commuter Benefits
* Employee Assistance Program
* Pet Insurance
* Adoption Assistance
* Annual Merit Increases
* Community Volunteer Opportunities
The pay range for this role is $99,300 \- $178,600\. Job\-related, non\-discriminatory factors used to determine the actual offered rate include qualifications and experience, geographic location, education, external market data, and consideration of internal equity. The anticipated close date of this job requisition is: April 30, 2026\.
As part of the total rewards package, this position is eligible for a short\-term incentive based on performance. In addition, Jabil offers benefits to enhance your health, wealth and resilient self. These include medical, dental, and vision insurance plans; 401(k) retirement plan and employee stock purchase plan; and paid time off.  
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the Federal Bureau of Investigations internet crime hotline (www.ic3\.gov), the Federal Trade Commission identity theft hotline (www.identitytheft.gov) and/or your local police department. Any scam job listings should be reported to whatever website it was posted in.
**Jabil,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
**Accessibility Accommodation**
===============================
If you are a qualified individual with a disability, you have the right to request a reasonable accommodation if you are unable or limited in your ability to use or access Jabil.com/Careers site as a result of your disability. You can request a reasonable accommodation by sending an e\-mail to Always\_Accessible@Jabil.com or calling 727\-803\-7988 with the nature of your request and contact information. Please do not direct any other general employment related questions to this e\-mail or phone number. Please note that only those inquiries concerning a request for reasonable accommodation will be responded to.  
\#whereyoubelong  
\#AWorldofPossibilities</t>
        </is>
      </c>
    </row>
    <row r="29">
      <c r="A29" t="inlineStr">
        <is>
          <t>in-64bd88e9b694ff9a</t>
        </is>
      </c>
      <c r="B29" t="inlineStr">
        <is>
          <t>Product Manager, Accessories</t>
        </is>
      </c>
      <c r="C29" t="inlineStr">
        <is>
          <t>Amrize</t>
        </is>
      </c>
      <c r="D29" t="inlineStr">
        <is>
          <t>indeed</t>
        </is>
      </c>
      <c r="E29" t="inlineStr"/>
      <c r="F29" t="inlineStr"/>
      <c r="G29" t="inlineStr">
        <is>
          <t>Nashville, TN, US</t>
        </is>
      </c>
      <c r="H29" s="2" t="n">
        <v>46063</v>
      </c>
      <c r="I29" t="inlineStr">
        <is>
          <t>**Product Manager, Accessories**
================================
Requisition ID: 15793
Location:
Nashville, TN, US, 37214
Pay Type: Salary
**COMPANY OVERVIEW**  
Amrize is building North America. From bridges and railways to data centers, schools, offices and homes, our solutions are inside the buildings and infrastructure that connect people and advance how we live. And we invite you to come and build with us.
As the partner of choice for professional builders, we offer advanced branded solutions from foundation to rooftop. Wherever our customers are, whatever their job, we’re ready to deliver. Our 19,000 colleagues work across 1,000 sites supported by an unparalleled distribution network. Infrastructure, commercial and residential, new build, repair and refurbishment: We’re in every construction market.
Amrize listed on the New York Stock Exchange and the SIX Swiss Exchange on June 23, 2025, following our spinoff as an independent company. Join us and build *your* ambition.
Learn more atwww.amrize.com/careers
Description:  
Elevate is committed to providing the highest quality commercial roofing, wall and lining systems to solve our customers’ challenges, grounded by a 45\-year legacy of proven experience. Our mission is to deliver solutions that save time, perform reliably and protect our communities. We are devoted to building partnerships rooted in trust in reflection of our Elevate promise that Nobody Covers You Better™.
Elevate is part of the Amrize family of brands. Visit ElevateCommercialBP.com to learn more.
We’re seeking a Product Manager, Accessories who’s ready to be part of a people\-first company offering best\-in\-class products, exceptional training, and deep industry pride—all built to help our partners and team succeed.
ABOUT THE ROLE  
The Accessories Product Manager is responsible and accountable for the Accessories Product P\&amp;L and driving the strategic growth of Elevate’s roofing business. This includes providing clear and customer centric inputs to product development, product rationalization, market positioning, and market launch using a stage\-gate process for all products in the Amrize Building Envelope Portfolio of that product category.
WHAT YOU’LL ACCOMPLISH
Lead the development and implementation of a:
* Comprehensive understanding of the Accessories markets, incl. Edge Metal Elevate is competing in, both on a macro\-economic and product\-specific scale. In alignment with sales and management, analyze our product solution sales and profitability along our sales channels
* Comprehensive understanding of the competitive landscape and the customer value of our product solutions.
* Regular, strategic customer relationship strategy in alignment with sales to assess customer and industry needs and to identity strategic customer partnerships for launching new products
* Life cycle strategy to optimize our existing product solution portfolio with a focus on optimizing cost, complexity and portfolio efficiency and effectiveness related to business impact.
* Product solution roadmap to expand our product solution portfolio to drive growth through innovation and new product solutions.
Execute  
* Strategies per agreed to timeline and KPIs
* Continuous and regular customer interactions in alignment with sales, strategies
* Special projects as requested by management
Ensure  
* Alignment with the organization, especially sales, field technical experts and management.
* Effective and efficient communication to customers, working teams and management
* Support of cross\-functional projects as prioritized by the business
* Support of marketing activities as prioritized by management
* Support of pricing activities with market and competitive data in coordination with sales and management.
WHAT WE’RE LOOKING FOR
* BS degree in Engineering/Business or related field, MBA Preferred;
* Direct experience and knowledge base in PVC roofing products a must
* 10 years progressive experience in Engineering/Technology/Marketing/Sales functions or related field.
* Experience in a combination of the following areas: Project Management, Product Management, Product Development, Marketing \&amp; Sales, Engineering, Manufacturing, Finance for a Building Material major supplier.
* Experience in managing a portfolio of products related to Construction industry, B2B or Industrial goods.
* Travel required up to 25%
* Data driven personality with strong interpersonal skills and analytical capabilities. Excel capabilities is a must.
* Can do attitude and ambition to have an impact on the business
WHAT WE OFFER:
* Competitive Compensation
* Retirement Savings
* Medical, Dental, Disability and Life Insurance Coverage
* Holistic Health \&amp; Well\-Being Programs
* Health Savings Accounts (HSA) and Flexible Spending Accounts (FSA) for Health and Dependent Care
* Vision and other Voluntary Benefits and Discounts
* Paid Time Off and Holidays
* Paid Parental Leave (Maternity and Paternity)
* Educational Assistance Program
\#BuildingEnvelope
\#LI\-Onsite
**Amrize is an equal opportunity employer. We celebrate diversity and are committed to creating an inclusive environment for all employees.**
*We thank all applicants for their interest; however, only those selected for an interview will be contacted.*
**BUILDING INCLUSIVE WORKSPACES**  
At Amrize, there is endless opportunity for you to play your part. Whether you’re in a technical, managerial, or frontline role, you can shape a career that works for you. We're seeking builders, creative thinkers and innovators. Come put your expertise to work while developing the knowledge and skills to drive your career forward. With us you’ll have the chance to build your ambition!
Amrize North America Inc. takes pride in our hiring processes and our commitment that all qualified applicants will receive consideration for employment without regard to age, race, color, ethnicity, religion, creed, national origin, ancestry, gender, gender identity, gender expression, sex, sexual orientation, marital status, pregnancy, parental status, genetic information, citizenship, physical or mental disability, past, current, or prospective service in the uniformed services, or any other characteristic protected by applicable federal, state or local law. Amrize North America Inc, and its respective subsidiaries are Equal Opportunity Employers, deciding all employment on the basis of qualification, merit and business need. Amrize Canada Inc. is committed to the principles of employment equity and encourages the applications from women, visible minorities, and persons with disabilities.
In compliance with the ADA Amendments Act (ADAAA), if you have a disability and would like to request accommodation in order to apply for a position with us, please email recruiting\-accommodations@amrize.com. This email address should only be used for accommodations and not general inquiries or resume submittals. In Ontario, our organization/business is committed to fulfilling our requirements under the Accessibility for Ontarians with Disabilities Act. Under the Act, accommodations are available on request for candidates taking part in all aspects of the selection process.
While we sincerely appreciate all applications, only candidates selected for an interview will be contacted.
**Nearest Major Market:** Nashville</t>
        </is>
      </c>
    </row>
    <row r="30">
      <c r="A30" t="inlineStr">
        <is>
          <t>in-470fe1a8cb24671d</t>
        </is>
      </c>
      <c r="B30" t="inlineStr">
        <is>
          <t>Technical Program Manager</t>
        </is>
      </c>
      <c r="C30" t="inlineStr">
        <is>
          <t>General Dynamics Information Technology</t>
        </is>
      </c>
      <c r="D30" t="inlineStr">
        <is>
          <t>indeed</t>
        </is>
      </c>
      <c r="E30" t="inlineStr"/>
      <c r="F30" t="inlineStr"/>
      <c r="G30" t="inlineStr">
        <is>
          <t>IN, US</t>
        </is>
      </c>
      <c r="H30" s="2" t="n">
        <v>46063</v>
      </c>
      <c r="I30" t="inlineStr">
        <is>
          <t>Your Impact
Own your opportunity to work alongside federal civilian agencies. Make an impact by providing services that help the government ensure the well being of U.S. citizens.
Job Description
Transform technology into opportunity as a Technical Program Manager at GDIT. Shape what’s next for mission\-critical government projects while shaping what’s next for your engineering career.
MEANINGFUL WORK AND PERSONAL IMPACT
Lead and manage the development team to modernize and migrate legacy mainframe\-based systems to the cloud, follow cloud best practices, and introduce AI/ML capabilities into the product.
Key activities include:
* Requirements Definition and Management
* Service Level Management
* Risk Management
* Process Design and Management
* Business Management
* Application Design and Modernization
* Cybersecurity
* Disaster Recovery / Business Continuity Operations
* End User and Service Desk Training
A key attribute is the ability to collaborate with USPS Government representatives to enable mission readiness and success for critical applications at the point of need.
Ensure business processes that exist in the legacy system are successfully migrated.
Collaborate with stakeholders and product architects to introduce AI/ML capabilities throughout the development process and into the final product.
As the Technical Program Manager, you will play a critical role in modernizing applications to optimize operations and sustainment in the cloud.
Education
* Bachelor’s Degree (or additional years of relevant work experience may be considered in lieu of degree)
* Candidates without a degree may qualify by demonstrating 4 additional years of directly related professional experience
Required Experience
* 10\+ years of experience in Project/Program Management
Required Skills and Abilities (MUST HAVE)
* Experience managing FFP Software Development Cloud Application migrations and modernization
* Experience building applications using AI\-assisted development
* Experience building AI\-powered applications, including model selection, model training, and application integration using AWS
* Excellent written and oral communication skills to develop and present complex information to senior Government officials using Microsoft Office Suite
* Ability to manage large\-scale IT contracts of similar size (over 25 FTEs) and scope
Preferred Skills
* Experience deploying large\-scale hardware and software system enhancements and/or upgrades for organizations with widely distributed geographic sites
* Experience with current and emerging cloud and infrastructure management technologies and business practices
* Experience with mainframe\-to\-cloud application modernization introducing AI to legacy applications
Preferred Certifications
* Program Management Professional (PMP) Certification or DAWIA Level III
Security Clearance
* Ability to obtain and maintain a Public Trust clearance and successfully pass a thorough Government background screening process requiring the completion of detailed forms and fingerprinting
* This position has a U.S. residency requirement. The USPS security clearance process requires the selected candidate to have resided in the U.S. (including U.S. Territories) for the last five years as follows: U.S. Citizens cannot have left the U.S. (including U.S. Territories) for longer than 6 months consecutively in the last 3 years (unless they meet certain exceptions). Non\-U.S. Citizens cannot have left the U.S. (including U.S. Territories) for longer than 90 days consecutively in the last 3 years.
Location:
* Remote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competitive pay and paid time off
* Community: Award\-winning culture of innovation and a military\-friendly workplace
OWN YOUR OPPORTUNITY  
Explore a career in data science and engineering at GDIT and you’ll find endless opportunities to grow alongside colleagues who share your determination for solving complex data challenges.
\#zxc726
Work Requirements
Years of Experience
10 \+ years of related experience* may vary based on technical training, certification(s), *or* degree
Certification
Project Management Professional (PMP) \| Project Management Institute (PMI) \- Project Management Institute (PMI)
Travel Required
Less than 10%
Salary and Benefit Information
The likely salary range for this position is $164,382 \- $218,500\.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31">
      <c r="A31" t="inlineStr">
        <is>
          <t>in-eb44baf075e5e443</t>
        </is>
      </c>
      <c r="B31" t="inlineStr">
        <is>
          <t>SEIC III Program Manager</t>
        </is>
      </c>
      <c r="C31" t="inlineStr">
        <is>
          <t>General Dynamics Information Technology</t>
        </is>
      </c>
      <c r="D31" t="inlineStr">
        <is>
          <t>indeed</t>
        </is>
      </c>
      <c r="E31" t="inlineStr"/>
      <c r="F31" t="inlineStr"/>
      <c r="G31" t="inlineStr">
        <is>
          <t>Boston, MA, US</t>
        </is>
      </c>
      <c r="H31" s="2" t="n">
        <v>46063</v>
      </c>
      <c r="I31" t="inlineStr">
        <is>
          <t>Your Impact
Own your opportunity to work with the largest government agency in the nation. Make an impact by advancing the Department of Defense’s mission to keep our country safe and secure.
Job Description
Join General Dynamics IT and be a part of a team that solve some of the world's most complex technical challenges.
The SEIC III team is seeking an experienced Technical Program Manager with a strong background in System/Software Engineering and Mission Planning to lead a large Systems Engineering Contract for the Department of War. This position is located in Boston, MA.
Key Responsibilities:
* Manage and oversee the execution of a complex systems engineering contract, ensuring timely and within\-budget delivery of high\-quality products and services
* Develop and maintain strong relationships with Air Force stakeholders, including program managers, engineers, and logistics personnel
* Provide technical leadership and guidance to a team of systems engineers, software developers, and mission planning specialists
* Coordinate and integrate the work of multiple subcontractors and vendors to ensure seamless execution of contract requirements
* Develop and manage project schedules, resource allocation plans, and budget forecasts
* Identify and mitigate risks, and develop contingency plans as needed
* Ensure compliance with all relevant laws, regulations, and DoW policies and procedures
Required Qualifications:
* Bachelor's degree; technical field preferred
* Minimum 10 years of experience in systems engineering, software development, or mission planning
* 5 years of experience as a Program Manager for DoW technical programs
* Strong understanding of DoW acquisition processes and procedures
* Experience with running Agile software projects and DevSecOps practices
* PMP certification or equivalent
* TS clearance \- SCI eligible
Desired Qualifications:
* Master's degree in a relevant field (e.g., Systems Engineering, Software Engineering, Computer Science, or related field)
* Experience with DoW systems engineering and acquisition processes, including the Defense Acquisition System and the Joint Capabilities Integration and Development System (JCIDS)Familiarity with ITAR and export control regulations
* Experience with cloud\-based technologies and cybersecurity best practices
WHAT CAN GDIT OFFER YOU?
* Excellent customizable health benefits (Medical, Dental and Vision)
* 401K with company match
* Educational Assistance and eLearning
* Flexible work week
* Internal mobility team dedicated to employee advancement
* Rewards and Recognition programs
* Innovative and collaborative environment encouraging of highly motivated critical thinking
Work Requirements
Years of Experience
10 \+ years of related experience* may vary based on technical training, certification(s), *or* degree
Certification
Project Management Professional (PMP) \| Project Management Institute (PMI) \- Project Management Institute (PMI)
Travel Required
10\-25%
Citizenship
U.S. Citizenship Required
Salary and Benefit Information
The likely salary range for this position is $128,039 \- $173,229\.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32">
      <c r="A32" t="inlineStr">
        <is>
          <t>in-6c1ce89f4a78a5bd</t>
        </is>
      </c>
      <c r="B32" t="inlineStr">
        <is>
          <t>Cloud Services Program Manager</t>
        </is>
      </c>
      <c r="C32" t="inlineStr">
        <is>
          <t>General Dynamics Information Technology</t>
        </is>
      </c>
      <c r="D32" t="inlineStr">
        <is>
          <t>indeed</t>
        </is>
      </c>
      <c r="E32" t="inlineStr"/>
      <c r="F32" t="inlineStr"/>
      <c r="G32" t="inlineStr">
        <is>
          <t>IN, US</t>
        </is>
      </c>
      <c r="H32" s="2" t="n">
        <v>46063</v>
      </c>
      <c r="I32" t="inlineStr">
        <is>
          <t>Your Impact
Own your opportunity to work alongside federal civilian agencies. Make an impact by providing services that help the government ensure the well being of U.S. citizens.
Job Description
CLOUD SERVICES PROGRAM MANAGER
Own your career as a Cloud Services Program Manager at GDIT. Here, you’ll have the opportunity to build strong lines of cyber defense and develop your skills using cutting\-edge technologies. Your work in cyber security at GDIT will have an impact on securing our clients’ missions and ensuring we anticipate the threats of tomorrow.
At GDIT, people are our differentiator. As a Cloud Services Program Manager supporting the CDC in Atlanta, you will help ensure today is safe and tomorrow is smarter—and grow your skills as you go. Our work depends on PM joining our team to support CDC systems that protect the United States and the world by preventing, detecting and responding to disease threats.
HOW A CLOUD SERVICES PROGRAM MANAGER WILL MAKE AN IMPACT:
The Cloud Services Program Manager Is responsible for maintaining the operational integrity, security, and performance of Cloud infrastructure. This role ensures high availability of systems, manages hardware and network components, and supports business continuity through proactive monitoring and maintenance.
* Monitor and maintain data center systems, servers, storage, and network equipment
* Install, configure, and decommission hardware and software
* Manage rack layouts, cabling, power, and cooling systems
* Perform system upgrades, patches, and backups
* Ensure compliance with security, safety, and regulatory standards
* Troubleshoot hardware, network, and environmental issues
* Support disaster recovery and business continuity plans
* Maintain documentation, inventory, and asset tracking
* Coordinate with vendors, engineers, and IT teams
* Monitor environmental conditions (temperature, humidity, power usage)
WHAT YOU’LL NEED TO SUCCEED:
Education: BS in Computer Science
Experience:
* 10\+ years of managing cloud environments
* 5\+ years of Coordinating with vendors, engineers, and IT teams
* Deep understanding in managing Cloud Environments including Azure and AWS
Technical skills:
* Azure, AWS, Zero Trust
Security clearance level: Public Trust
Skills and abilities:
* Demonstrated experience as an (Azure Administrator/AWS SysOps Administrator)
Location: Remote
Travel: 10%
Preferred Skills:
* Infrastructure Management: Configuring and maintaining virtualized resources (VMs, containers) and the physical hardware that supports them. Performance Monitoring: Using tools to track network traffic, server loads, and resource utilization to prevent downtime. Security \&amp; Compliance: Managing Identity and Access Management (IAM), firewalls, and security groups to protect sensitive data. System Maintenance: Handling OS patching (Linux/Windows), software upgrades, and robust backup strategies. Capacity Planning: Analyzing usage trends to scale resources efficiently and avoid "cloud sprawl" or unnecessary costs.
GDIT IS YOUR PLACE:
* Full\-flex work week to own your priorities at work and at home
* 401K with company match
* Comprehensive health and wellness packages
* Internal mobility team dedicated to helping you build your skills and own your career
* Professional growth opportunities including paid education and certifications
* Cutting\-edge technology you can learn from
* Rest and recharge with paid vacation and 10 company\-paid holidays
Work Requirements
Years of Experience
10 \+ years of related experience* may vary based on technical training, certification(s), *or* degree
Certification
Travel Required
None
Salary and Benefit Information
The likely salary range for this position is $150,450 \- $203,550\.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33">
      <c r="A33" t="inlineStr">
        <is>
          <t>in-499558dd692a0b9d</t>
        </is>
      </c>
      <c r="B33" t="inlineStr">
        <is>
          <t>Energy and Sustainability, Program Manager - Senior Consultant</t>
        </is>
      </c>
      <c r="C33" t="inlineStr">
        <is>
          <t>Guidehouse</t>
        </is>
      </c>
      <c r="D33" t="inlineStr">
        <is>
          <t>indeed</t>
        </is>
      </c>
      <c r="E33" t="inlineStr"/>
      <c r="F33" t="inlineStr"/>
      <c r="G33" t="inlineStr">
        <is>
          <t>Chicago, IL, US</t>
        </is>
      </c>
      <c r="H33" s="2" t="n">
        <v>46063</v>
      </c>
      <c r="I33" t="inlineStr">
        <is>
          <t>Job Family:
Management Consulting  
Travel Required:
Up to 50%  
Clearance Required:
None
What You Will Do:
Guidehouse is seeking a Program Manager \- Senior Consultant, to support our Energy Efficiency/Electrification programs with experience in the energy industry. This Senior Consultant will support the implementation of energy efficiency rebate programs for our state and local government clients. This individual will also work with partners to the support the building and management of trade ally networks and provide day to day contact with our subconsultants to achieve continuous improvement in the customer journey.
Essential Job Functions \&amp; Responsibilities:
* Partner and coordinate with Guidehouse market teams and the national team to support the development of EE, electrification and/or decarbonization solutions that can be scaled across our the Guidehouse client base.
* Developing and delivering Energy Efficiency (EE), electrification and/or decarbonization solutions as well as team and partner management of various functional groups (internal and external), client, and stakeholders.
* Support the development and shaping of opportunities in collaboration with the market teams to meet bookings goals.
* Manage client relationship and expectations, work to resolve project issues, proactively identify project risks and make recommendations for resolution to ensure project success throughout the project lifecycle.
* Coordinate and lead internal and external meetings with internal teams, clients, partners and diverse stakeholders (all levels including leadership).
* Ensure solution aligns with client program goals, and client needs/overall business objectives.
* Provide leadership and mentoring to team members on project development and client management skills.
* Provide ongoing feedback and input into future solution needs and enhancements.
What You Will Need:
* Bachelor’s degree from an accredited university.
* Minimum of three (3\)\+ years of overall work experience.
* Experience in the energy industry and/or state and local energy programs.
* Experience in program management and solution development.
* Experience for complex solutions such as EE, electrification, decarbonization.
* Solid understanding of energy efficiency measures for residential homes and multi\-family housing.
* Knowledge of economic analysis in developing business cases for businesses to implement energy efficiency measures.
* Ability to coordinate diverse program stakeholders both internal and external.
* Excellent verbal, interpersonal, written communication, and presentation skills.
* Strong analytical, creative problem\-solving and decision\-making capabilities.
* Team player with the ability to work in a fast\-paced environment
* Must have a passion for customer satisfaction and have the ability to deliver on customer’s needs and expectations while meeting Guidehouse objectives.
* Due to nature of client engagements, must either be a US Citizen or US Permanent Resident.
What Would Be Nice To Have:
* PMP certification
* Management consulting experience in energy industry and or state and local with engagements related to energy programs.
The annual salary range for this position is $89,000\.00\-$148,000\.00\.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34">
      <c r="A34" t="inlineStr">
        <is>
          <t>in-2c9ca85376d275bb</t>
        </is>
      </c>
      <c r="B34" t="inlineStr">
        <is>
          <t>Substitute Program Manager (Roseville School District)</t>
        </is>
      </c>
      <c r="C34" t="inlineStr">
        <is>
          <t>Right at School</t>
        </is>
      </c>
      <c r="D34" t="inlineStr">
        <is>
          <t>indeed</t>
        </is>
      </c>
      <c r="E34" t="inlineStr"/>
      <c r="F34" t="inlineStr"/>
      <c r="G34" t="inlineStr">
        <is>
          <t>Roseville, CA, US</t>
        </is>
      </c>
      <c r="H34" s="2" t="n">
        <v>46063</v>
      </c>
      <c r="I34" t="inlineStr">
        <is>
          <t>**Inspire a Love of Learning \| Support Schools \| Give Parents Peace of Mind**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**Pay range: $25\-$28/hr.** *(Dependent on education \&amp; experience)*
**Program hours: (On call)** M\-F 12:00pm \- 6pm \*\*No Weekends!
**You’ll drive the mission by:**
* Deliver quality enrichment programs for children using our internally crafted Disguised Learning curriculum
* Develop and coach a team who are passionate about providing a safe, fun, engaging environment
* Work closely with principals and school staff to enhance the instructional experience
* Instill the Right At School footprint by participating in local community events (Back to School, Right Club gives back, Field Day, and more!)
* Manage and maintain safety standards including supervision and program paperwork
Job Requirement
**Benefits of being an Educator with Right at School:**
* Competitive compensation
* Commuter benefits, supplemental insurance (short term disability, life insurance, etc.), based on eligibility
* Employee perks and discounts (hotels, car rentals, theme parks, sports events, shopping, etc)!
* 401k \- Opportunity to contribute to your future
* Free before \&amp; after school childcare with Right At School
* Growth Opportunities! We invest in your growth and offer options geared towards several career paths.
* Continue your learning with access to our online training library with over 600 online courses and counting. Topics include leadership, child development, after\-school programming, and more.
* It’s FUN! From day one, we take you through a guided training experience including online and in\-person learning.
* Earn school\-age professional development certificates while receiving transferable continuing education credits.
* You’re involved. Curate a hands\-on experience for children that blends into the school fabric
**Ideal Candidates will have the following:**
* Prior experience supervising others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LIVE Scan fingerprint, FA/CPR, Mandated Reporter training, Health Certificate with Negative TB Test (from a physician)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35">
      <c r="A35" t="inlineStr">
        <is>
          <t>in-acc3c6be60bc552b</t>
        </is>
      </c>
      <c r="B35" t="inlineStr">
        <is>
          <t>Part Time Floating Afterschool Site Program Manager (Alamo Heights)</t>
        </is>
      </c>
      <c r="C35" t="inlineStr">
        <is>
          <t>Right at School</t>
        </is>
      </c>
      <c r="D35" t="inlineStr">
        <is>
          <t>indeed</t>
        </is>
      </c>
      <c r="E35" t="inlineStr"/>
      <c r="F35" t="inlineStr"/>
      <c r="G35" t="inlineStr">
        <is>
          <t>San Antonio, TX, US</t>
        </is>
      </c>
      <c r="H35" s="2" t="n">
        <v>46063</v>
      </c>
      <c r="I35" t="inlineStr">
        <is>
          <t>Right At School – a place to be a kid!
**Part Time After School School Site**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**giving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**Part\-Time Floating Program Manager: $17\-$20** per hour (based on education, and experience)
* Part\-time positions are available for our After\-School Site Program Manager
* **Schedule/Hours:** ;Float between after\-school site locations as needed, Monday through Friday (must be able to work Monday through Friday). 2:45 pm to 6:00 pm (may vary slightly)
* **Location: Inside Alamo Heights and Promesa area after\-school site schools**
**Required: ;**
* Must be 21 years of age with a High School diploma/GED.
* One year of supervisor/management experience
* **70 clock hours** of training in child or youth development, recreational leadership, or management.
* At least **1 year** of experience in a licensed program.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**70 clock hours**of training in child or youth development, recreational leadership, or management
* At least **1 year** of experience in a licensed program in a childcare/school setting.
* One year experience managing/supervising employees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**Requirements:**
o Ability to meet state\-specific requirements;
o 21\+ years of age
o **70 clock hours** of training in child or youth development, recreational leadership, or management
o At least **1 year** of experience in a licensed program in a childcare/school setting.
o One year of experience managing/supervising employees
o Proof of High School diploma/GED required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**THE RIGHT FIT FOR THIS ROLE:**
* High school diploma or GED completed
* 2 plus years experience working with children and knowledge of unique and special needs
* **70 clock hours** of training in child or youth development, recreational leadership, or management
* 1 years of supervisory experience
* Coursework or training in child development and/or related field is a PLUS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FA/CPR, Mandated Reporter, Cleared TB
* 21 years of age of older</t>
        </is>
      </c>
    </row>
    <row r="36">
      <c r="A36" t="inlineStr">
        <is>
          <t>in-99e6fe5177243900</t>
        </is>
      </c>
      <c r="B36" t="inlineStr">
        <is>
          <t>Product Manager II</t>
        </is>
      </c>
      <c r="C36" t="inlineStr">
        <is>
          <t>Mativ</t>
        </is>
      </c>
      <c r="D36" t="inlineStr">
        <is>
          <t>indeed</t>
        </is>
      </c>
      <c r="E36" t="inlineStr"/>
      <c r="F36" t="inlineStr"/>
      <c r="G36" t="inlineStr">
        <is>
          <t>Alpharetta, GA, US</t>
        </is>
      </c>
      <c r="H36" s="2" t="n">
        <v>46063</v>
      </c>
      <c r="I36" t="inlineStr">
        <is>
          <t>Mativ is a global leader in specialty materials headquartered in Alpharetta, Georgia. The Company offers a wide range of critical components and engineered solutions that connect, protect, and purify our world.
At Mativ, we manufacture growth – for our people, customers, end users and shareholders. We do this by creating critical components that create possibilities in our growth platforms of filtration, specialty coatings, engineered solutions, and imaging \&amp; packaging.
Our Industrial Nets business segment is growing and looking for a Product Manager II (NON IT) to help drive the transformation of the business through insights\-based strategies that increase profitability and enable a product pipeline that delivers on the unmet needs of the market.
The primary responsibilities for the Product Manager II (NON IT) include business and product development (including development of product roadmap), improving the profitability of the business, working with supply chain to ensure we are making the right products in the right places, and market and competitive intelligence.
RESPONSIBILITIES Manage development and commercialization of new products. Perform research to develop clear understanding of markets, customers, competition, relative performance, positioning and right to win for products. Develop roadmap for specific markets \&amp; products aligned with business segment strategy. Initiate and drive new product development projects aligned with business segment strategy. Develop specific project and business plans including opportunity size, product requirements, pricing, and value proposition. The plans should be validated via voice of the customer (“VOC”) and market research. Execute project plans; actively manage development and commercialization projects working closely with R\&amp;D, customers/OEM partners and sales. Improve the profitability of the business. Review customer and sku level profitability and develop recommendations to improve In conjunction with supply chain, finance and pricing, monitor needs for pricing actions to maintain margin Work closely with supply chain to ensure we make the right products in the right places to maximize customer service levels and profitability Partner with the sales team to deliver on the business strategy. Perform sales training on products. Collaborate with marketing leads to develop and maintain sales tools\- Collateral, Product Demos/Sample Kits, Website, Advertising, Press Releases, White Papers, etc. Assist in developing content and presenting insights to strategic customers. Create market and competitive intelligence capability designed to inform profitable management of our core portfolio. Leverage internal and external resources to develop competitive insights that drive better informed decisions around pricing, product development, and positioning Track market \&amp; product trends that will impact product roadmap and business direction.
EDUCATION/EXPERIENCE Bachelor’s degree in business, marketing or engineering preferred 5\-10 years’ experience in product management, sales, and/or marketing Minimum two years’ experience in product management. Knowledge of thermoplastics is ideal but not required.
QUALIFICATIONS Preference would be to have this individual located near Athens, GA; Minneapolis, MN; or Roanoke, VA. Must be able to partner effectively with key stakeholders in the organization, including sales, operations, quality, supply chain and engineering teams Proficiency for understanding the financial implications of recommendations and/or decisions. Product/Project Management training and certification is desirable. Experience developing product specifications based on customer VOC and market trends. Ability to travel up to 25%, both domestically and internationally
**Note:** The above statements are intended to describe the general nature and level of work being performed by the incumbent. They are not intended to be construed as an exhaustive list of all responsibilities, duties and skills required of this position.
WHAT WE OFFER
Mativ benefits say a lot about how we care for each other. Our employees and their families have many different needs. As a result, our benefits offer choices on many levels and are high in quality, competitive in the marketplace, and affordable.
ABOUT MATIV
Mativ Holdings, Inc. is a global leader in specialty materials headquartered in Alpharetta, Georgia. The company connects, protects, and purifies the world every day through a wide range of critical components and engineered solutions that solve our customers’ most complex challenges. We manufacture on three continents and generate sales in nearly 100 countries through our family of business\-to\-business and consumer product brands. The company’s two segments, Filtration \&amp; Advanced Materials and Sustainable \&amp; Adhesive Solutions, target premium applications across diversified and growing end\-markets, from filtration to healthcare to sustainable packaging and more. Our broad portfolio of technologies combines polymers, fibers, and resins to optimize the performance of our customers’ products across multiple stages of the value chain. Our leading positions are a testament to our best\-in\-class global manufacturing, supply chain, and materials science capabilities. We drive innovation and enhance performance, finding potential in the impossible.</t>
        </is>
      </c>
    </row>
    <row r="37">
      <c r="A37" t="inlineStr">
        <is>
          <t>in-dc7dc0442f3c474b</t>
        </is>
      </c>
      <c r="B37" t="inlineStr">
        <is>
          <t>Clinical Operations Program Manager - Remote</t>
        </is>
      </c>
      <c r="C37" t="inlineStr">
        <is>
          <t>Heartland Dental</t>
        </is>
      </c>
      <c r="D37" t="inlineStr">
        <is>
          <t>indeed</t>
        </is>
      </c>
      <c r="E37" t="inlineStr"/>
      <c r="F37" t="inlineStr"/>
      <c r="G37" t="inlineStr">
        <is>
          <t>Effingham, IL, US</t>
        </is>
      </c>
      <c r="H37" s="2" t="n">
        <v>46063</v>
      </c>
      <c r="I37" t="inlineStr">
        <is>
          <t>**Clinical Operations Program Manager**  
The Clinical Operations Program Manager is a strategic leader responsible for designing, executing, and optimizing programs that drive organizational growth and operational excellence. This role partners with clinical operations and interdepartmental leaders to deliver innovative solutions, manage complex projects, and ensure the highest standards of clinical/operational success for Heartland Dental supported dentists and their teams.
**About Heartland Dental**
Heartland Dental is the nation's largest dental support organization, providing non\-clinical administrative support services to more than 3,000 supported doctors across 39 states and the District of Columbia in over 1,900 dental offices. Each Heartland Dental supported office is unique to the community and the patients they serve. Supported doctors are the clinical leaders of their practice, retain full clinical autonomy, and establish their own care philosophies. All Heartland Dental supported doctors are united by a common goal: delivering the highest quality dental care and patient experiences.
To give you an idea of the team structure, you will work on a project team within clinical/operations, reporting to the director of clinical/operations with a direct connection to programs supported by Clinical/Operations.
**Below is an overview of the duties and responsibilities you would take on in this role:**
* Lead cross\-functional programs from business case development through implementation, ensuring alignment with organizational goals and operational excellence.
* Facilitate steering committees, stakeholder meetings, and working groups to drive alignment, consensus, and timely decision\-making.
* Develop and execute clear communication, training, and change management plans that enable adoption and long\-term program success.
* Partner with subject\-matter experts to create resources, guides, and job aids that equip supported doctors and team members with the tools needed for success.
* Define, track, and report program KPIs and success metrics, translating data into actionable insights and recommendations for senior leadership.
* Prepare and deliver board\-level presentations, program updates, and business cases that influence executive decision\-making.
* Oversee program budgets, resource allocation, and vendor relationships to ensure cost\-effective execution and strong ROI.
* Identify and manage program risks, escalating critical issues and implementing corrective actions to achieve on\-time, on\-budget outcomes.
* Collaborate with stakeholders across executive, business, clinical, and operations functions to build alignment and enhance program impact.
* Drive continuous improvement initiatives by leveraging analytics, stakeholder feedback, and lessons learned to optimize future program performance.
* Mentor and support junior team members, fostering collaboration, innovation, and professional growth.
* Ensure all programs and related activities adhere to company policies and procedures and comply with applicable regulatory requirements.
* Support other projects as assigned.
* Deliver weekly, monthly and quarterly project updates
**Minimum Qualifications**
* An Associates Degree or 2 years of college or 2 years of dental operations experience
* Dental office experience, clinical and/or operational
* Excel, PowerPoint experience
* Strong organizational skills
* Self\-starter
* Ability to work in a fast\-paced environment
* Be flexible and adapt easily to consistently changing projects and priorities
* Have strong written, verbal and presentation skills
* High level of customer service and experience
**Desirable Qualifications**
* Knowledge of Heartland Dental’s internal systems and processes for programs and projects.
* College degree
* Strong understanding of clinical operations and provider program management.
* Certification in Project Management (PMP, CAPM) or related discipline)
* Operations Experience to contribute to field knowledge
 **Physical Requirements:**
* Ability to perform essential duties satisfactorily with or without reasonable accommodation. Reasonable accommodation may be made to enable individuals with disabilities to perform the essential duties of the position
* Prolonged periods sitting at a desk and working on a computer
* Must be able to lift up to 15 pounds at times
* Ability to travel to training and offsite meetings. Travel \&lt; 10% of time.
*We put our people first at Heartland Dental, and that shows in our generous benefits package.*
*Company retains the sole discretion to change the duties of the position at any time.*
*We provide all employees and applicants for employment the protections of federal, state, and local laws affording equal opportunity in employment.*</t>
        </is>
      </c>
    </row>
    <row r="38">
      <c r="A38" t="inlineStr">
        <is>
          <t>in-6b170676b2f8391d</t>
        </is>
      </c>
      <c r="B38" t="inlineStr">
        <is>
          <t>Senior Product Manager</t>
        </is>
      </c>
      <c r="C38" t="inlineStr">
        <is>
          <t>Ford Motor Company</t>
        </is>
      </c>
      <c r="D38" t="inlineStr">
        <is>
          <t>indeed</t>
        </is>
      </c>
      <c r="E38" t="inlineStr"/>
      <c r="F38" t="inlineStr"/>
      <c r="G38" t="inlineStr">
        <is>
          <t>Dearborn, MI, US</t>
        </is>
      </c>
      <c r="H38" s="2" t="n">
        <v>46063</v>
      </c>
      <c r="I38" t="inlineStr">
        <is>
          <t>**What You'll Do:**
As a Senior Product Manager, you will be a strategic leader responsible for inspiring change, leading high\-performing teams, and driving continuous improvement across our portfolio. The position is highly involved in transitioning the prototype portfolio from legacy applications into a modern integrated ecosystem. You will work closely with cross\-functional partners spanning different levels and development teams to translate strategic roadmaps into tangible deliverables, ensuring efficient execution and alignment across all stakeholders. This role demands a blend of strategic thinking, agile leadership, and a deep understanding of both business and technical requirements to deliver high\-quality, customer\-centric software Products.
**Qualifications:**
* 8\+ years of knowledge of software development
* Prototype domain knowledge
* Understanding of Agile methods \&amp; best practices
* Develop and manage the product roadmap with business Managers.
* Convert roadmap into features and prioritize the product backlog.
* Data\-driven mindset for decision\-making and prioritization
* Internal \&amp; external management skillset for managing cross\-team capabilities
* Clear communication style both laterally to business partners as well as upwards to management for relationship building
* Ability to develop deep understanding of product functionality to provide high\-level guidance to development teams
* Experience leading a global team from both technical and delivery perspectives.
* Proven ability to 'own working together' with global IT teams.
* Excellent organizational skills to thrive in a dynamic and fast\-paced environment.
* Strong independent and collaborative skills.
Bachelor’s in Computer Science, IT, or related field, Master’s preferred.  
* 
**Preferred Qualifications:**
* Technical background in cloud deployment/CI/CD technologies
* Vendor management experience
SAP or 3DX experience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leadership level 6 and ranges from $129,600\-244,680\.
For more information on salary and benefits, click here: https://fordcareers.co/LL6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
\#LI\-GR1
* Guide the development, testing, delivery, and support of modern solutions utilizing contemporary tools such as cloud\-based computing technologies (GCP, CaaS), JAVA, Angular, Spring Boot, GitHub, Tekton, Junit, jMETER, Gradle, Eclipse/IntelliJ, Docker/Kubernetes, SonarQube, FOSSA, Cycode, CI/CD pipelines, 42 Crunch, Quay, Hoppscotch, and Artificial Intelligence.
* Implement robust Agile development methodologies, including JIRA for Epic/Sub management, iteration planning, ceremonies, and retrospectives.
* Drive the adoption and implementation of modern development methods such as integrated use of GitHub CoPilot in IDE for development acceleration.
* Develop and implement strategic migration paths from legacy technologies to new, advanced platforms modernizing and simplifying the portfolio
* Guide and share a deep understanding of the core functionality of the prototype planning and management process
* Lead day to day management and development for a team of Ford and Agency members, including responsibilities for position posting, hiring, releasing, and fostering career growth. (approx. 10\)</t>
        </is>
      </c>
    </row>
    <row r="39">
      <c r="A39" t="inlineStr">
        <is>
          <t>in-2db44b95cfc35c93</t>
        </is>
      </c>
      <c r="B39" t="inlineStr">
        <is>
          <t>Senior Clinical Quality Program Manager - Heart and Vascular Institute</t>
        </is>
      </c>
      <c r="C39" t="inlineStr">
        <is>
          <t>Johns Hopkins Health System</t>
        </is>
      </c>
      <c r="D39" t="inlineStr">
        <is>
          <t>indeed</t>
        </is>
      </c>
      <c r="E39" t="inlineStr"/>
      <c r="F39" t="inlineStr"/>
      <c r="G39" t="inlineStr">
        <is>
          <t>Baltimore, MD, US</t>
        </is>
      </c>
      <c r="H39" s="2" t="n">
        <v>46063</v>
      </c>
      <c r="I39" t="inlineStr">
        <is>
          <t>**YOU BELONG HERE**
**What Awaits You?**
* Career growth and development
* Employee and Dependent Tuition Assistance
* Diverse and collaborative working environment
* Affordable and comprehensive benefits package
Our **competitive benefit package** is designed to support the well\-being and financial security of our employees. You can explore the details of our benefits offering by visiting the following link: Johns Hopkins Hospital \| Your benefits virtually (mybenefitsjhhs.com)
**SUMMARY**
The Senior Clinical Quality Program Manager is responsible for the overall integrity and coherence of the clinical quality program(s) in a department that has large enterprise\-wide programs that contain several interconnected project work streams. The Senior Clinical Quality Program Manager will develop and maintain an environment that supports all clinical quality improvement projects and related regulatory requirements within the department. The Senior Clinical Quality Program Manager is responsible for the effective coordination of the program’s clinical quality improvement projects and management of their inter\-dependencies including oversight of any risks and issues arising. This will include the coordination of resources to enable effective change and realization of projected benefits and risk mitigation.
**Education:**
Masters degree or Masters candidate required in a healthcare related field such as Healthcare Quality, Nursing, Public Health, Health Policy, Business Administration, Health Administration, Physical Sciences, or Technology. Completion of an accredited Nursing, Pharmacy, Medical Doctor, Doctor of Osteopathy or Physician’s Assistant program is preferred
**Required Licensure, Certification, On\-going Training:**
* Licensed as a Registered Nurse (RN), Medical Doctor (MD), Doctor of Osteopathy (DO), Physician Assistant (PA), or Pharmacist in the State of Maryland optional.
* Must attain certification from the National Association for Healthcare Quality (NAHQ) as a Certified Professional in Healthcare Quality (CPHQ), or an approved equivalent, within two years of employment in the role. Must then maintain the certification.
* Professional (PMP) or equivalent project/program management certification strongly preferred
**Work Experience:**
Five (5\) years in process/quality improvement, consulting or leadership role with a focus on healthcare, involving the application of quality improvement, change management and project management methods in the workplace
* leading or actively participating in quality improvement projects/activities using quality tools to analyze problems (e.g. fish\-bone diagrams, root cause analysis, fault tree analysis, failure mode and effect analysis, flow\-charting, pareto analyses), and applying six sigma, lean, Toyota production System, or PDSA/PDCA for the overall project.
* applying quality measurement methods in projects such as sampling, frequency/distributional analysis, reliability analysis, and statistical process control.
* executing small tests of change, building small tests of change into implementation, spreading changes across the larger organization, and sustaining change over\-time.
* working with front\-line staff (people who touch the work process) to analyze problems, test changes, efficiently measure results, and implement changes.
**Salary Range:** Minimum 47\.68/hour \- Maximum 78\.74/hour.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is>
      </c>
    </row>
    <row r="40">
      <c r="A40" t="inlineStr">
        <is>
          <t>in-a5b9b7e3321c5b1a</t>
        </is>
      </c>
      <c r="B40" t="inlineStr">
        <is>
          <t>Program Manager 2 - Administrative</t>
        </is>
      </c>
      <c r="C40" t="inlineStr">
        <is>
          <t>University of Houston</t>
        </is>
      </c>
      <c r="D40" t="inlineStr">
        <is>
          <t>indeed</t>
        </is>
      </c>
      <c r="E40" t="inlineStr"/>
      <c r="F40" t="inlineStr"/>
      <c r="G40" t="inlineStr">
        <is>
          <t>Houston, TX, US</t>
        </is>
      </c>
      <c r="H40" s="2" t="n">
        <v>46063</v>
      </c>
      <c r="I40" t="inlineStr">
        <is>
          <t>* 495698
* Full\-Time
* Mechanical Engineering
**Add to favorites** **View favorites****Department**: Mechanical Engineering **Salary**: 49,400 \- 56,200
**Description**:
Manages the day\-to\-day operations of a large university program or department, including the supervision of staff employees, student workers, programs or processes.
1\. Plans and develops procedures for administering a large or complex department or program.
2\. Manages fiscal activities, including procurement and budget analysis.
3\. Provides guidance to subordinate staff and evaluates performance.
4\. Prepares abstracts, research reports, funding proposals, operations and procedure manuals, and other written material and documentation.
5\. Creates and reviews reports of expenditures and activities.
6\. May administer grants and grant\-related related communications, scholarships and other operations.
7\. Develops, implements and maintains appropriate policies and procedures.
8\. May serve as property custodian for the department.
9\. Performs other job\-related duties as assigned.
**Experience will be considered in lieu of education.**  
**Education will be considered in lieu of experience.**
MQ: Education: Requires a thorough understanding of both theoretical and practical aspects of an analytical, technical or professional discipline; or the basic knowledge of more than one professional discipline. Knowledge of the discipline is normally obtained through a formal, directly job\-related 4 year degree from a college or university or an equivalent in\-depth specialized training program that is directly related to the type of work being performed. Experience: Requires a minimum of one (1\) year of directly job\-related experience. Certification/Licensing: None.
All positions at the University of Houston\-System are security sensitive and will require a criminal history check.
The University of Houston System and its universities are Equal Opportunity Institutions. Everyone is encouraged to apply.</t>
        </is>
      </c>
    </row>
    <row r="41">
      <c r="A41" t="inlineStr">
        <is>
          <t>in-52b8eadde09861c8</t>
        </is>
      </c>
      <c r="B41" t="inlineStr">
        <is>
          <t>Senior Product Manager Absence Experience</t>
        </is>
      </c>
      <c r="C41" t="inlineStr">
        <is>
          <t>Alight Solutions</t>
        </is>
      </c>
      <c r="D41" t="inlineStr">
        <is>
          <t>indeed</t>
        </is>
      </c>
      <c r="E41" t="inlineStr"/>
      <c r="F41" t="inlineStr"/>
      <c r="G41" t="inlineStr">
        <is>
          <t>IL, US</t>
        </is>
      </c>
      <c r="H41" s="2" t="n">
        <v>46063</v>
      </c>
      <c r="I41" t="inlineStr">
        <is>
          <t>**We** **provide** **absence** **management** **solutions** **designed** **to** **improve** **health** **and** **productivity** **outcomes** **while** **helping** **organizations** **manage** **costs.** **Our** **services** **and** **technology** **support** **employees** **in** **returning** **to** **work** **and** **help** **businesses** **operate** **effectively.**
The Senior Product Manager is the strategic lead for Absence products. This role is accountable for product scope, direction, and outcomes—ensuring development teams build the right capabilities in the right sequence to maximize business value and customer satisfaction. Absence Management experience is required. Must be a SME in this area.
**Responsibilities**
* Lead the product roadmap for Alight’s leave and absence experience.
* Expand and improve the experience for both employee and employer users.
* Oversee maintenance of existing solutions to ensure a consistent, compliant, end‑to‑end experience.
* Own and advance the product strategy across outsourcing, insourcing, and co‑sourcing models.
* Partner with Product Directors and Product Managers to ensure alignment and shared prioritization.
* Drive a multi‑year roadmap for experience capabilities, including partnership and program expansion opportunities.
* Manage and refine existing products to minimize client risk.
* Maintain roadmap visibility for leadership, engineering, delivery, and client‑facing teams.
* Represent the organization at conferences, advisory groups, audits, and client feedback forums.
* Develop content, frameworks, and documentation that support thought leadership.
* Collaborate with engineering, legal, delivery, and client success to ensure high‑quality execution.
* Validate solutions through discovery, prototyping, and user feedback.
* Support launch readiness across commercial, implementation, and enablement teams.
**Qualifications**
* 5\+ years in absence management, ideally with experience in human‑centered design across digital and assisted channels.
* 5\+ years of product management experience with increasing responsibility, preferably in SaaS, HCM, claims, or digital platforms.
* Proven ability to lead cross‑functional product initiatives in an Agile environment.
* Proven skills in product strategy, user‑centered design, requirements analysis, and competitive assessment.
We offer you a competitive total rewards package, continuing education \&amp; training, and tremendous potential with a growing worldwide organization.
Salary Pay Range
Minimum :
147,000\.00 USD
Maximum :
165,000\.00 USD
Pay Transparency Statement: Alight considers a variety of factors in determining whether to extend an offer of employment and in setting the appropriate compensation level, including, but not limited to, a candidate’s experience, education, certification/credentials, market data, internal equity, and geography. Alight makes these decisions on an individualized, non\-discriminatory basis. Bonus and/or incentive eligibility are determined by role and level. Alight also offers a comprehensive benefits package; for specific details on our benefits package, please visit: Wellbeing and Benefits Selector Page \- Alight
 **DISCLAIMER:**
Nothing in this job description restricts management's right to assign or reassign duties and responsibilities of this job to other entities; including but not limited to subsidiaries, partners, or purchasers of Alight business units.
Alight Solutions provides equal employment opportunities (EEO) to all employees and applicants for employment without regard to race, color, religion, creed, sex, sexual orientation, gender identity, national origin, age, disability, genetic information, pregnancy, childbirth or related medical condition, veteran, marital, parental, citizenship, or domestic partner status, or any other status protected by applicable national, federal, state or local law. Alight Solutions is committed to a diverse workforce and is an affirmative action employer.</t>
        </is>
      </c>
    </row>
    <row r="42">
      <c r="A42" t="inlineStr">
        <is>
          <t>in-d8ab46a282743cec</t>
        </is>
      </c>
      <c r="B42" t="inlineStr">
        <is>
          <t>Manufacturing Systems Product Owner</t>
        </is>
      </c>
      <c r="C42" t="inlineStr">
        <is>
          <t>Allison Transmission</t>
        </is>
      </c>
      <c r="D42" t="inlineStr">
        <is>
          <t>indeed</t>
        </is>
      </c>
      <c r="E42" t="inlineStr"/>
      <c r="F42" t="inlineStr"/>
      <c r="G42" t="inlineStr">
        <is>
          <t>Indianapolis, IN, US</t>
        </is>
      </c>
      <c r="H42" s="2" t="n">
        <v>46063</v>
      </c>
      <c r="I42" t="inlineStr">
        <is>
          <t>JOIN THE TEAM THAT’S POWERING PROGRESS
Building cities. Driving commerce. Fueling Progress. For over 100 years, Allison has powered the vehicles and technology that move our world forward.  
What powers us? Our employees. From the first person hired by James Allison in 1915 to the thousands across the globe who work for Allison today, we're driving progress everywhere because we employ top talent worldwide. In both the Allison Transmission and Allison Off\-Highway Drive and Motion Systems business units, our team strives to Improve the Way the World Works.
Learn more about this role and how you can begin *driving your career forward!*
Benefits:
The below list features some of the benefits currently available. Eligibility may be subject to the terms and conditions of governing documents and available benefits may be subject to change at the company’s discretion.* Choice of medical plans with prescription coverage
* Employer HSA contribution
* Dental \&amp; Vision Insurance
* Paid Parental Leave
* Short \&amp; Long\-Term Disability
* Other voluntary benefits including: Critical Illness, Hospital Indemnity, Identity Theft Protection and Pet Insurance
* 401K with generous Company match \&amp; contribution
* Accrued Paid Time Off
* 12 Paid Holidays \+ 1 Floating Holiday
* Robust employee wellness program
* Tuition assistance program
Job Description:
The Manager, Manufacturing Systems IT Development and Operations provides direct oversight of internal IT staff, suppliers, technologies, functions, and processes as assigned. This individual manages internal technical team, tracks operations performance, and handles day to day operations and development of global manufacturing systems. Manufacturing systems includes those IT applications that interface with plant floor assembly devices and devices used in product distribution services such as label printing and RF devices. This person serves as Product Owner, and works in conjunction with IT Operations, Architecture and IT Security to ensure the technology landscape is stable, supportable, and secure.
Key Responsibilities:* Provide technical and process management oversight to IT infrastructure technologies, functions, applications, and people relating to manufacturing systems operations and development
* Manage service providers and track operational performance in accordance with agreed service levels
* Ensure operational adherence to IS\&amp;S ITIL\-based IT Service Management policies and processes.
* Ensure adherence to Product management and agile scrum approach.
* Manage day\-to\-day service delivery and application development escalations
* Ensure that contingency planning is executed for manufacturing systems
* Direct the team responsible for Manufacturing Execution Systems that support plant assembly and distribution operations
* Identify and execute continual service improvement initiatives
* Liaison with PMO and other implementation teams to help ensure operational readiness of manufacturing system IT projects
* Liaison with Scrum master and product owners in successful execution of sprints and releases.
* Liaison with architect and IT Strategic business partner in defining portfolio projects that will be worked by the insourced MES team
* Ensure initial delivery and refresh of RF and printer devices and software to optimize productivity
* Ensure physical and virtual servers, workstations, and network components are updated with vulnerability patching and risk mitigation
* Maintain a strong customer service focus and ability to engage with employees and suppliers at all levels of the organization
Key Performance Measures:* Critical systems availability related to assembly plant and customization/distribution center operations as related to IT components
* % of application, server and peripheral items monitored and alerting
* Manufacturing and Distribution incident meantime to resolve
* Enhancement request meantime to fulfill
* Demonstrate that continency planning is complete, managed, and tested
Qualifications:
Associates degree or equivalent related job experience. Bachelor’s degree in CS, CIS, CIT, EE, EET or similar technical field preferred.
Experience:
Required* 8 \+ years experience in an IT support role
* 5 \+ years directly supporting or managing the manufacturing systems. This should include Supervisory Control and Data Acquisition (SCADA) systems such as Cimplicity,
* Working familiarity with ITIL service management concepts and principles
* Working familiarity with PMP Project Management concepts and principles
* Proficient in agile scrum and product management approach
* Effective interpersonal and communication skills (verbal and written)
* Analytical and problem\-solving skills
* Ability to manage multiple tasks
* Ability to manage a global staff
Preferred* 8 \+ years of IT manufacturing systems support or management experience in a highly outsourced environment
* ITIL v3 or v4 Foundation, PMP, or relevant technical certifications
* Experience with ServiceNow ITSM
* Experience with the Cimplicity SCADA or similar software
* Experience with infrastructure monitoring tools
Allison Transmission is an equal opportunity employer. We have opportunities for all qualified applicants regardless of age, race, color, sex, religion, creed, national origin, disability, sexual orientation, gender identity/expression or veteran status.
If you are an individual with a disability or a disabled veteran requiring assistance and/or reasonable accommodations reviewing any of the careers information, please contact us at *ati\+ask4max@service\-now.com*.
Please note that Allison Transmission will make an offer of employment only to individuals who have applied for a position using our official application. Be on alert for possible fraudulent offers of employment. Allison Transmission will not solicit money or banking information from applicants.</t>
        </is>
      </c>
    </row>
    <row r="43">
      <c r="A43" t="inlineStr">
        <is>
          <t>in-2ec1a9c43b22a909</t>
        </is>
      </c>
      <c r="B43" t="inlineStr">
        <is>
          <t>Principal Technical Program Manager - Intuit - Data Lifecycle Management</t>
        </is>
      </c>
      <c r="C43" t="inlineStr">
        <is>
          <t>Intuit</t>
        </is>
      </c>
      <c r="D43" t="inlineStr">
        <is>
          <t>indeed</t>
        </is>
      </c>
      <c r="E43" t="inlineStr"/>
      <c r="F43" t="inlineStr"/>
      <c r="G43" t="inlineStr">
        <is>
          <t>Mountain View, CA, US</t>
        </is>
      </c>
      <c r="H43" s="2" t="n">
        <v>46063</v>
      </c>
      <c r="I43" t="inlineStr">
        <is>
          <t>**Overview**
------------
At Intuit, we are reimagining the way the world does business. As an AI\-driven expert platform, we harness the power of data to solve our customers’ most pressing challenges and deliver experiences that truly matter. Behind the scenes, this innovation is fueled by our Data and Analytics Foundation team, stewarding a vast ecosystem of more than 90 petabytes of data.
We are looking for a Principal Technical Program Manager to drive Data Lifecycle Management to help lead this transformation \- someone who thrives on tackling complex problems, shaping powerful technologies, and driving programs that unlock the full potential of data. The ideal candidate is one colleagues describe as the ideal balance of strategic technical leadership and disciplined program execution, with a proven ability to scale enterprise processes. You will thrive in this role if you bring strong program management experience, deep technical understanding, customer empathy, strong execution capability, and a track record of building partnerships and delivering impactful results. If you’re passionate about turning bold ideas into lasting impact, we’d love for you to join us.
Intuit has embraced a hybrid working model with the expectation of working from our Mountain View office 3 days per week.
 **Responsibilities**
* **Advance Data Maturity and Governance:** Educate, align, and drive organizational adoption of data maturity models, governance standards, and best practices for data producers and consumers.
* Do you instinctively see opportunities to simplify complex processes and improve how work gets done? You’ll partner across Intuit’s most critical initiatives to reduce friction in how humans and AI produce, govern, and consume data—elevating data quality, trust, and usability at scale.
* **Lead with Influence:** Drive strategic programs in partnership with VP\+ leaders, accelerating business outcomes and ensuring alignment with Intuit's overall strategy.
* Want to have a truly significant impact? You'll drive Intuit's technical strategy and adoption across Data and Analytics for the entire company, influencing investment decisions and shaping the future of our technology and how we work.
* **Champion Change:** Foster a culture of collaboration and open communication, effectively navigating organizational change and driving continuous improvement.
* Do you enjoy making a real difference? You'll lead transformational change across Intuit, influencing senior leadership, building strong partnerships, and driving adoption of game\-changing strategies and technologies.
* **Deliver Exceptional Results:** Develop and execute high\-quality program plans, utilizing data to track progress, mitigate risks, and communicate effectively with stakeholders.
* Ready for the biggest challenges? You'll lead large, cross\-organizational programs with significant scope and complexity, navigating challenges across multiple domains and mitigating risks.
* **Build and Mentor:** Define and implement program management best practices, coach and mentor other program managers, and contribute to the growth of the program management community.
* Want to leave a lasting legacy? You'll elevate the TPM discipline across Intuit by developing and driving the adoption of best practices, tools, and frameworks.
* **Master the Domain:** Possess deep expertise in software development methodologies and apply them effectively to programs. Lead strategic discussions on data architecture and AI\-native platform technologies, influencing technical direction and standards within the Data Platform organization.
* Driven by a desire to solve the impossible? You'll tackle Intuit's biggest, most complex challenges with expert\-level technical understanding across multiple domains, acting as a trusted advisor to senior leadership.
 **Qualifications**
* **Proven Leadership:** 12\+ years of experience building, leading, and delivering complex, large\-scale technical programs within a matrixed organization. A track record of delivering cross\-functional initiatives such as Data Mesh, Data Fabric, Master Data Management in multi\-cloud environments is a must. Experience incorporating AI and machine learning into big data ecosystems is highly desired.
* **Technical Acumen:** Strong understanding of software development methodologies, data architecture, and lifecycle management, combined with Agile coaching experience that enables high\-performing teams to deliver scalable data platforms and capabilities efficiently.
* **Process Acumen:** Demonstrated experience in evolving, standardizing, and scaling enterprise data contracts across platform and product teams by partnering with upstream data producers and downstream consumers to improve data reliability, governance, and controlled publishing workflows.
* **Strategic Thinker:** Ability to analyze industry trends, understand Intuit's strategy, and make data\-driven decisions that accelerate business outcomes.
* **Exceptional Communicator:** Excellent communication and interpersonal skills, with the ability to influence at all levels in a matrixed organization, from individual contributors to senior executives.
* **Data\-Driven Mindset:** Recognized as an expert in applying data to assess program health, identify risks, and inform strategic decisions. Known for educating and mentoring others on data analytics, AI/ML concepts, and best practices for evidence\-based decision\-making.
* **Education:** Degree in Computer Science, Engineering, or a related field, or equivalent work experience. PMP, Agile certifications or equivalent demonstrated practical technical program management experience is desired.
 **How You Will Grow**
You will be part of a strong, cross organizational Intuit Program Management community that comes together to share experiences and solve problems in areas where we are passionate. You’ll partner with an experienced program leadership team that helps break down barriers \- allowing you to grow and develop your career, increase contribution to the company, and accelerate delivery of innovation for our customers. You’ll give back to the community by sharing your craft expertise, mentoring junior colleagues, and fostering a culture of trust and engagement.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$230,000 \- $311,000 USD</t>
        </is>
      </c>
    </row>
    <row r="44">
      <c r="A44" t="inlineStr">
        <is>
          <t>in-c1ec5ca446b9b4ee</t>
        </is>
      </c>
      <c r="B44" t="inlineStr">
        <is>
          <t>Principal Technical Program Manager - Intuit - Data Lifecycle Management</t>
        </is>
      </c>
      <c r="C44" t="inlineStr">
        <is>
          <t>Intuit</t>
        </is>
      </c>
      <c r="D44" t="inlineStr">
        <is>
          <t>indeed</t>
        </is>
      </c>
      <c r="E44" t="inlineStr"/>
      <c r="F44" t="inlineStr"/>
      <c r="G44" t="inlineStr">
        <is>
          <t>San Diego, CA, US</t>
        </is>
      </c>
      <c r="H44" s="2" t="n">
        <v>46063</v>
      </c>
      <c r="I44" t="inlineStr">
        <is>
          <t>**Overview**
------------
At Intuit, we are reimagining the way the world does business. As an AI\-driven expert platform, we harness the power of data to solve our customers’ most pressing challenges and deliver experiences that truly matter. Behind the scenes, this innovation is fueled by our Data and Analytics Foundation team, stewarding a vast ecosystem of more than 90 petabytes of data.
We are looking for a Principal Technical Program Manager to drive Data Lifecycle Management to help lead this transformation \- someone who thrives on tackling complex problems, shaping powerful technologies, and driving programs that unlock the full potential of data. The ideal candidate is one colleagues describe as the ideal balance of strategic technical leadership and disciplined program execution, with a proven ability to scale enterprise processes. You will thrive in this role if you bring strong program management experience, deep technical understanding, customer empathy, strong execution capability, and a track record of building partnerships and delivering impactful results. If you’re passionate about turning bold ideas into lasting impact, we’d love for you to join us.
Intuit has embraced a hybrid working model with the expectation of working from our Mountain View office 3 days per week.
 **Responsibilities**
* **Advance Data Maturity and Governance:** Educate, align, and drive organizational adoption of data maturity models, governance standards, and best practices for data producers and consumers.
* Do you instinctively see opportunities to simplify complex processes and improve how work gets done? You’ll partner across Intuit’s most critical initiatives to reduce friction in how humans and AI produce, govern, and consume data—elevating data quality, trust, and usability at scale.
* **Lead with Influence:** Drive strategic programs in partnership with VP\+ leaders, accelerating business outcomes and ensuring alignment with Intuit's overall strategy.
* Want to have a truly significant impact? You'll drive Intuit's technical strategy and adoption across Data and Analytics for the entire company, influencing investment decisions and shaping the future of our technology and how we work.
* **Champion Change:** Foster a culture of collaboration and open communication, effectively navigating organizational change and driving continuous improvement.
* Do you enjoy making a real difference? You'll lead transformational change across Intuit, influencing senior leadership, building strong partnerships, and driving adoption of game\-changing strategies and technologies.
* **Deliver Exceptional Results:** Develop and execute high\-quality program plans, utilizing data to track progress, mitigate risks, and communicate effectively with stakeholders.
* Ready for the biggest challenges? You'll lead large, cross\-organizational programs with significant scope and complexity, navigating challenges across multiple domains and mitigating risks.
* **Build and Mentor:** Define and implement program management best practices, coach and mentor other program managers, and contribute to the growth of the program management community.
* Want to leave a lasting legacy? You'll elevate the TPM discipline across Intuit by developing and driving the adoption of best practices, tools, and frameworks.
* **Master the Domain:** Possess deep expertise in software development methodologies and apply them effectively to programs. Lead strategic discussions on data architecture and AI\-native platform technologies, influencing technical direction and standards within the Data Platform organization.
* Driven by a desire to solve the impossible? You'll tackle Intuit's biggest, most complex challenges with expert\-level technical understanding across multiple domains, acting as a trusted advisor to senior leadership.
 **Qualifications**
* **Proven Leadership:** 12\+ years of experience building, leading, and delivering complex, large\-scale technical programs within a matrixed organization. A track record of delivering cross\-functional initiatives such as Data Mesh, Data Fabric, Master Data Management in multi\-cloud environments is a must. Experience incorporating AI and machine learning into big data ecosystems is highly desired.
* **Technical Acumen:** Strong understanding of software development methodologies, data architecture, and lifecycle management, combined with Agile coaching experience that enables high\-performing teams to deliver scalable data platforms and capabilities efficiently.
* **Process Acumen:** Demonstrated experience in evolving, standardizing, and scaling enterprise data contracts across platform and product teams by partnering with upstream data producers and downstream consumers to improve data reliability, governance, and controlled publishing workflows.
* **Strategic Thinker:** Ability to analyze industry trends, understand Intuit's strategy, and make data\-driven decisions that accelerate business outcomes.
* **Exceptional Communicator:** Excellent communication and interpersonal skills, with the ability to influence at all levels in a matrixed organization, from individual contributors to senior executives.
* **Data\-Driven Mindset:** Recognized as an expert in applying data to assess program health, identify risks, and inform strategic decisions. Known for educating and mentoring others on data analytics, AI/ML concepts, and best practices for evidence\-based decision\-making.
* **Education:** Degree in Computer Science, Engineering, or a related field, or equivalent work experience. PMP, Agile certifications or equivalent demonstrated practical technical program management experience is desired.
 **How You Will Grow**
You will be part of a strong, cross organizational Intuit Program Management community that comes together to share experiences and solve problems in areas where we are passionate. You’ll partner with an experienced program leadership team that helps break down barriers \- allowing you to grow and develop your career, increase contribution to the company, and accelerate delivery of innovation for our customers. You’ll give back to the community by sharing your craft expertise, mentoring junior colleagues, and fostering a culture of trust and engagement.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$230,000 \- $311,000 USD</t>
        </is>
      </c>
    </row>
    <row r="45">
      <c r="A45" t="inlineStr">
        <is>
          <t>in-36d9887ed28dcc3b</t>
        </is>
      </c>
      <c r="B45" t="inlineStr">
        <is>
          <t>Fund Product Manager – Private Capital</t>
        </is>
      </c>
      <c r="C45" t="inlineStr">
        <is>
          <t>Career Launch AI</t>
        </is>
      </c>
      <c r="D45" t="inlineStr">
        <is>
          <t>indeed</t>
        </is>
      </c>
      <c r="E45" t="inlineStr"/>
      <c r="F45" t="inlineStr"/>
      <c r="G45" t="inlineStr">
        <is>
          <t>New York, NY, US</t>
        </is>
      </c>
      <c r="H45" s="2" t="n">
        <v>46063</v>
      </c>
      <c r="I45" t="inlineStr">
        <is>
          <t>**Fund Product Manager – Private Capital**
------------------------------------------
**Location:** New York, NY  
**Employment Type:** Full\-Time  
**Estimated Compensation:**  
**$140,000 – $185,000 total annual compensation** (varies by employer)
**About This Posting**
----------------------
This job description represents a sample **Fund Product Manager – Private Capital** position commonly found through the **Career Launch AI Talent Network**. It is intended to help job seekers understand the responsibilities and qualifications typically associated with product\-focused roles supporting private capital investment vehicles.
Actual openings may vary based on employer type (private equity, private credit, venture capital, real assets, multi\-asset managers), fund structure (closed\-end funds, evergreen vehicles, co\-investments, SMAs), and investor type.
For more information on the Career Launch AI Talent Network, visit:  
https://www.careerlaunch.ai/
**Position Overview**
---------------------
Fund Product Managers in Private Capital oversee the design, launch, and ongoing management of private investment products. The role blends product strategy, fund operations, regulatory coordination, and investor\-facing considerations to ensure funds meet market demand, investment objectives, and operational requirements.
These roles involve close collaboration with investment teams, legal and compliance, fund operations, investor relations, distribution, and external service providers.
**Key Responsibilities**
------------------------
* Own the end\-to\-end product lifecycle for private capital funds and vehicles
* Partner with investment teams to translate strategy into scalable fund structures
* Coordinate fund launches, amendments, and product enhancements
* Work with legal and compliance teams on fund documentation, disclosures, and regulatory requirements
* Collaborate with operations, administrators, and technology teams to ensure operational readiness
* Develop and maintain product materials, specifications, and internal documentation
* Support investor onboarding, product due diligence, and responses to investor inquiries
* Monitor product performance, scalability, and investor feedback
* Identify opportunities for new products, structures, or enhancements within private markets
* Prepare product updates and recommendations for senior leadership
**Preferred Qualifications**
----------------------------
* Bachelor’s degree in Finance, Economics, Business, Accounting, or a related field
* Strong understanding of private capital fund structures and investment strategies
* Experience in product management, fund operations, investment operations, or investor relations is a plus
* Familiarity with private equity, private credit, venture capital, or real assets
* Strong project management and cross\-functional coordination skills
* Advanced analytical and problem\-solving abilities
* Proficiency in Excel; familiarity with fund administration or CRM systems is a plus
* Excellent written and verbal communication skills
* Strong interest in private markets, fund products, and investment platform design
**About the Career Launch AI Talent Network**
---------------------------------------------
The Career Launch AI Talent Network helps job seekers pursue opportunities similar to this role through:
* Skills\-based role matching
* Resume and profile optimization
* Guidance on outreach to private capital and product teams
* Interview preparation for product management, fund structuring, and private markets roles
To learn more or express interest in private capital product roles, visit:  
https://www.careerlaunch.ai/
\#Workwolf</t>
        </is>
      </c>
    </row>
    <row r="46">
      <c r="A46" t="inlineStr">
        <is>
          <t>in-c0de8152e853f67c</t>
        </is>
      </c>
      <c r="B46" t="inlineStr">
        <is>
          <t>Hardware Operations Program Manager</t>
        </is>
      </c>
      <c r="C46" t="inlineStr">
        <is>
          <t>Mashgin</t>
        </is>
      </c>
      <c r="D46" t="inlineStr">
        <is>
          <t>indeed</t>
        </is>
      </c>
      <c r="E46" t="inlineStr"/>
      <c r="F46" t="inlineStr"/>
      <c r="G46" t="inlineStr">
        <is>
          <t>San Jose, CA, US</t>
        </is>
      </c>
      <c r="H46" s="2" t="n">
        <v>46063</v>
      </c>
      <c r="I46" t="inlineStr">
        <is>
          <t>About Mashgin
Mashgin powers the world's best checkout experience for over 40 million users. Customers just place their items on our kiosks and our AI rings up their entire order in less than a second. With Mashgin, lines are now optional.  
Mashgin's technology powers over 1 billion transactions at your favorite locations, including over half of all US professional sports teams, 4,000 convenience stores, major airports, universities, and more.  
We’re not just building cutting\-edge AI—we’re creating real\-world impact and unforgettable experiences. Backed by a well\-funded Series B, we’re also one of the rare AI startups that’s already profitable.  
Our secret? A culture of extreme ownership, autonomy, and customer obsession. At Mashgin, we are building something extraordinary by challenging conventional wisdom. We’ve thrown out the old rules to focus on what truly matters: creating a kickass product that makes people say, 'Wow'. We don’t care about short\-term wins; we build systems that stand the test of time. If you thrive in a culture of excellence without compromise and want to see your work have an immediate, remarkable impact, you’re in the right place.  
Position Summary
We are seeking an experienced, hands\-on, execution\-focused Operations Program Manager (OPM) to lead hardware product mass production and serve as the key liaison between Mashgin and contract manufacturers (CMs). This role will own production readiness, quality systems, and execution to ensure successful product launches and sustained manufacturing performance.  
This is a hybrid remote role where you'd be required to be onsite in San Jose, CA at least 2 times a week.### **What We Value:**
+ **Impact**: You will own significant responsibility and have total ownership over your work. We stay lean and efficient, so your work directly impacts the product we ship every day.
+ **Simplicity**: Complexity is a waste of time here—we take pride in building things that just work.
+ **Hard Work**: Forget the glamorous research papers. We prioritize the hard work it takes to achieve real\-world clarity and accuracy. You will innovate relentlessly to push the boundaries of what’s possible in visual automation.
+ **Humility**: No task is beneath you. Whether it's high\-level architecture or grunt work to fix a bug, we check our egos at the door and get real work done.
+ **Ruthless Prioritization**: If everything is on fire, nothing is. You will be expected to prioritize ruthlessly, cutting through distractions to focus on the most impactful product improvements.
+ **Customer Innovation**: We are customer\-centric, not customer\-pleasing. You won’t bend to every client demand; you will let innovation drive the product forward to solve the real problems our users face.
+ **Efficiency**: Meetings suck. We keep them short and only use them for alignment, giving you your time back to focus on real work.
### **You Will Be**
+ Owning mass production, quality assurance (QA) and contract manufacturing (CM) management
+ Leading contract manufacturers through ramp and mass production
+ Driving build readiness, production schedules, and on\-time delivery
+ Managing yield, capacity planning, and factory performance
+ Creating and implementing scalable QA processes and quality criteria
+ Defining inspection standards, acceptance criteria, and production controls
+ Owning yield improvement and root cause analysis
+ Driving corrective/preventive actions (CAPA)
+ Establishing quality metrics that support growth and reliability
+ Aligning manufacturing strategy with product requirements and business goals
+ Providing clear, no\-surprise updates to leadership
+ Acting as the escalation point for production and quality issues
### **Minimum Qualifications**
+ Bachelor’s degree in Engineering, Operations, Supply Chain, or related field
+ 5\+ years of experience in hardware operations, manufacturing, QA, or program management
+ Professional fluency in Mandarin Chinese (written and spoken) is required You must be able to communicate technical specifications and negotiate timelines directly with factory floor leads and overseas suppliers without a translator
+ Ability to travel (domestic and international) up to 25% to visit manufacturing sites and vendors
+ Proven experience releasing products into mass production
+ Strong experience managing contract manufacturers
+ Deep understanding of NPI, ramp, and manufacturing processes
+ Experience building or improving QA systems
+ Comfortable working in a fast\-paced startup environment
### **Preferred Qualifications**
+ Consumer electronics or hardware startup experience
+ Familiarity with NPI processes and manufacturing ramp
+ Experience working closely with Asia\-based supply chains
### **What We Offer**
+ An opportunity to work on a small, multidisciplinary team with the potential to break new ground in many different industries
+ Excellent health, dental and vision insurance for you and your dependents
+ 401k plan
+ Flexible PTO policy
+ Catered lunch in office with fully stocked snacks and beverages
+ Pet insurance for your fur babies
+ Voluntary life insurance plan
+ Competitive salary and options in a small, rapidly scaling company
$125,000 \- $175,000 a year
For roles based in Palo Alto, CA, the overall market range for Mashgin is typically $125,000 \- $175,000 USD annually. Note that total compensation for this position will be determined by candidate’s relevant qualifications, work experience, skills, and other relevant factors. This estimate excludes the value of any benefits offered by Mashgin, and the potential future value of any other long\-term incentives.
Mashgin is proud to be an equal opportunity employer. Individuals seeking employment at Mashgin are considered without regards to race, color, religion, national origin, age, sex, marital status, ancestry, physical or mental disability, veteran status, gender identity, or sexual orientation.  
Notice on fraudulent jobs
We have been made aware of instances of fraudulent job postings and/or fraudulent recruiting activity by bad actors, claiming to represent Mashgin. These fraudulent schemes often seek monetary contributions or payments from job seekers (such as for "start up costs" or "equipment"), or seek to collect sensitive personal or banking information from job seekers. These job postings and offers are not authorized by Mashgin, and Mashgin is not responsible for fraudulent offers or requests for personal information or payments. Mashgin will never ask for any financial commitment or contribution from a candidate at any stage of the recruitment process. Candidates who have questions about the validity of Mashgin job postings or offers should consult the job postings on our mashgin.com career site. If you think you've been scammed, please reference this site for more information.*We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7">
      <c r="A47" t="inlineStr">
        <is>
          <t>in-8d7f9667120a1734</t>
        </is>
      </c>
      <c r="B47" t="inlineStr">
        <is>
          <t>Lead FDE Product Manager</t>
        </is>
      </c>
      <c r="C47" t="inlineStr">
        <is>
          <t>Pelico</t>
        </is>
      </c>
      <c r="D47" t="inlineStr">
        <is>
          <t>indeed</t>
        </is>
      </c>
      <c r="E47" t="inlineStr"/>
      <c r="F47" t="inlineStr"/>
      <c r="G47" t="inlineStr">
        <is>
          <t>Miami, FL, US</t>
        </is>
      </c>
      <c r="H47" s="2" t="n">
        <v>46063</v>
      </c>
      <c r="I47" t="inlineStr">
        <is>
          <t>### **About Pelico**
We are creating the factory of the future where disruptions are avoided, processes synchronized and value captured. Our factory operations management platform enables factory teams to be more agile and resilient in a world where supply chain disruptions occur every 16 minutes. Pelico empowers users to identify bottlenecks, avoid problems, and focus on innovation instead of fire\-fighting. Since our foundation in 2019, we’ve partnered with industry leaders across aerospace, industrial equipment, and luxury watchmaking, revolutionizing factory operations in over 15 countries. Esteemed clients include Airbus, Safran, Cartier, Daikin, and Eaton.
### **Our Team**
With a dynamic team of over 180 professionals across the US and France, Pelico is a melting pot of top\-tier talent from Tech, Data Science, and Manufacturing domains.  
Our collaborative environment fosters innovation and excellence, driving us to solve complex challenges and shape the future of manufacturing.
Our work has been recognized by Safran (Digital Transformation Award) and Microsoft (scale\-up of the year).
Engineering turns Product ambition into **scalable, reliable solutions** that empower **on\-site operational teams**.
We design a platform that **handles high volumes, concurrent users, and complex workflows**, while remaining modular, maintainable, and future\-proof.
**Your Missions**
-----------------
Pelico is seeking a **Lead AI Product Manager** to pioneer our **agent\-first product strategy** in Miami. You'll define and build the next generation of autonomous AI agents that transform how aerospace and manufacturing companies plan, optimize, and execute complex supply chain operations. This is a unique opportunity to work at the frontier of agentic AI in enterprise B2B, creating intelligent systems that make decisions, take actions, and deliver measurable business value autonomously.
### **What you'll do \&amp; learn**
* **Agentic AI Product Strategy:** Own the product vision and execution for autonomous AI agents within the Pelico platform. This includes:
	+ Defining the architecture and capabilities of AI agents that autonomously handle supply chain planning, inventory optimization, production scheduling, and MRO workflows
	+ Designing multi\-agent systems and orchestration patterns that enable agents to collaborate, delegate tasks, and resolve conflicts
	+ Building agentic workflows that integrate LLMs, specialized models, knowledge bases, tool use, and real\-time decision\-making
	+ Establishing guardrails, approval mechanisms, and human\-in\-the\-loop patterns for safe autonomous operation at enterprise scale
	+ Defining success metrics for agent performance: task completion rates, decision quality, time savings, and business impact
* **Product Leadership for Autonomous Systems:** Lead complex agentic AI initiatives requiring contribution from multiple Product Managers, Software Engineers, and Operations Researchers:
	+ Drive continuous discovery to identify high\-value use cases where autonomous agents can replace manual workflows or augment human decision\-making
	+ Translate complex operational challenges into agent capabilities and tool interactions
	+ Design agent personas, reasoning patterns, and action spaces tailored to supply chain planners, inventory managers, and operations teams
	+ Pioneer agent\-native UX paradigms: conversational interfaces, task delegation, proactive recommendations, and explainable autonomous actions
	+ Launch new agentic products and capabilities that deliver 10x productivity improvements to enterprise customers
* **Cross\-functional Collaboration:** Work closely with engineering (algorithms, backend, data), customer operations, sales, and enterprise customers to ensure AI features deliver measurable value and achieve adoption at scale
* **Strategic Roadmap:** Collaborate with VP Product and engineering leadership to define the AI product vision and strategy, balancing innovation with enterprise deployment requirements (scalability, explainability, security, compliance)
* **Continuous Improvement:** Drive excellence in AI product development processes, from experimentation frameworks to deployment best practices. Champion data\-driven decision making and rapid iteration
### **Preferred Experience**
***Pelico promotes inclusion and non\-discrimination, and acts daily in favour of social mix, gender equality, and disability inclusion***
**What you embody**
* **Agentic AI Expertise:** 5\+ years in product management with 3\+ years building AI/ML products, including hands\-on experience with agentic AI systems, autonomous agents, or intelligent automation in Enterprise B2B SaaS
* **Deep Understanding of Agent Architectures:** Strong grasp of agentic AI concepts including:
	+ Multi\-agent systems, agent orchestration, and task decomposition
	+ LLM\-based reasoning, planning, and tool use (function calling, retrieval, code execution)
	+ Agent memory systems, context management, and knowledge bases
	+ Reinforcement learning from human feedback (RLHF) and agent training paradigms
	+ Safety mechanisms: guardrails, approval workflows, explainability, and human oversight
* **Enterprise B2B Experience:** Proven track record shipping autonomous AI products to large enterprise customers. Experience navigating enterprise concerns around safety, compliance, auditability, and controlled autonomy
* **Technical Depth:** Strong technical acumen to collaborate with ML engineers, data scientists, and algorithm developers on complex agentic systems. Comfortable discussing agent frameworks, prompt engineering, retrieval\-augmented generation (RAG), fine\-tuning strategies, and inference optimization
* **Product Vision for Autonomy:** Ability to envision how autonomous agents will transform user workflows, identify high\-ROI use cases for automation, and design the right balance between full autonomy and human collaboration
* **Leadership:** Demonstrated ability to lead cross\-functional teams on cutting\-edge AI initiatives, influence senior stakeholders, and drive 0\-to\-1 product innovation from concept to production
* **Domain Interest:** Genuine interest in supply chain, operations research, optimization algorithms, or manufacturing/aerospace industries. Passion for solving complex operational problems with intelligent automation
* **Analytical \&amp; Strategic Mindset:** Data\-driven approach to decision making, able to balance ambitious innovation with pragmatic enterprise deployment
* **Communication Excellence:** Outstanding written and verbal communication skills. Able to articulate complex agentic AI concepts to executives, engineers, and end users alike
* **US Citizenship Required:** This position requires US citizenship due to customer requirements and data handling obligations
**Nice to have:**
* Experience building agent\-based products with frameworks like LangChain, AutoGPT, CrewAI, or custom agent architectures
* Background in operations research, optimization, constraint programming, or simulation
* Experience with supply chain, manufacturing, or operational planning software
* Familiarity with enterprise AI deployment challenges: model governance, versioning, monitoring, and observability
* Previous experience at high\-growth B2B SaaS startups or AI\-first companies
**What we offer**
Join an exciting adventure with a lot of challenges at all levels!
* Work on a highly impactful AI\-native product that transforms how the world's leading manufacturers plan and optimize operations
* **Miami office location** with modern workspace and collaborative environment
* **Competitive compensation** including base salary, performance bonus, and equity (Stock Options for every Pelican)
* **Comprehensive benefits package:**
	+ Premium health, dental, and vision coverage
	+ 401(k) with company match
	+ Generous PTO policy \+ company holidays
	+ 6 weeks of Work from Anywhere
* **Professional development:** Budget for conferences, courses, and learning
* **Flexible work arrangements** with remote flexibility
* Work directly with world\-class aerospace and manufacturing customers
* Collaborative, impact\-driven culture with quarterly team events
**Our recruitment Process**
* **HR introduction call** (30 mins)
* **Screening interview** with VP Product (45 mins)
* **Case study:** AI product scenario \+ 2\-hour onsite presentation and discussion
* **Leadership interview** with CEO (30 mins)
* **Reference checks** \&amp; **Job offer** within 48 hours
**Ready to shape the future of AI in manufacturing?** We're excited to hear from you.
Department
Product
Role
Product Manager
Locations
Miami
Remote status
Hybrid</t>
        </is>
      </c>
    </row>
    <row r="48">
      <c r="A48" t="inlineStr">
        <is>
          <t>in-ff9ece0bf73b1772</t>
        </is>
      </c>
      <c r="B48" t="inlineStr">
        <is>
          <t>TB PROGRAM MANAGER (PUBLIC SERVICE ADMINISTRATOR, OPT. 6F)</t>
        </is>
      </c>
      <c r="C48" t="inlineStr">
        <is>
          <t>State of Illinois</t>
        </is>
      </c>
      <c r="D48" t="inlineStr">
        <is>
          <t>indeed</t>
        </is>
      </c>
      <c r="E48" t="inlineStr"/>
      <c r="F48" t="inlineStr"/>
      <c r="G48" t="inlineStr">
        <is>
          <t>Chicago, IL, US</t>
        </is>
      </c>
      <c r="H48" s="2" t="n">
        <v>46063</v>
      </c>
      <c r="I48" t="inlineStr">
        <is>
          <t>We continually strive for a workforce that reflects the growing diversity within the State of Illinois. A variety of employee backgrounds, perspectives, ideas and experiences are crucial to our ability to most effectively serve the public. Bilingual skills welcome
**Reasonable Accommodation Statement**
The State of Illinois is committed to working with and providing reasonable accommodations to people with disabilities. Further, federal law requires employers to provide reasonable accommodation to qualified individuals with disabilities. Please tell us if you require a reasonable accommodation to apply for a job, interview for a job, or for any other activity related to the hiring process. Examples of reasonable accommodation include, but are not limited to, making a change to the application process (if possible), providing documents in an alternate format, using a sign language interpreter, or using specialized equipment.
To be provided a Reasonable Accommodation during the hiring process, you will need to provide a certification of disability from a physician, psychiatrist, school official or an Illinois Department of Human Services (DHS) Division of Rehabilitation Services (DRS) Vocational Rehabilitation (VR) Counselor. Supporting documentation should be uploaded under **My Documents Additional Documents** section for each application.
Any questions on Reasonable Accommodations can be directed to Central Management Services Disability Resource Center at CMS.DisabilityResCen@illinois.gov or call (217\) 524\-7514 for further information and to request or discuss an accommodation.
**Sponsorship for Employment**
The State of Illinois does not provide sponsorship for employment visa status (e.g. H\-1B visa status), nor is the State able to provide extensions of optional practical training (OPT) under the STEM\-designated degree program for F\-1 students. To be considered for permanent employment with the State of Illinois, applicants must be currently authorized to work in the United States on a full\-time basis.
**Disclosure of Salary Information**
In compliance with the Illinois Equal Pay Act, 820 ILCS 112/1 et seq., the State does not seek, request, or require a job applicant’s wage or salary history. Employment decisions are not made based on an applicant’s wage or salary history. To that end, please **do not include wage or salary information in your resume or other profile or application materials**.
**Job Requisition ID:** 52424  
**Closing Date:** 02/27/2026  
**Agency:** Department of Public Health  
**Class Title:** PUBLIC SERVICE ADMINISTRATOR \- 37015
**Office:** Disease Control
**Division:** HHST
**Posting ID:** 86\-26\-0186 / 52424
**Posted:** 02/11/2026 \- 02/27/2026
**Skill Option:** Infectious Disease
**Bilingual Option:** None  
**Salary:** Anticipated Starting Salary $8,281 /month; Full Range $8,281\-$12223/month  
**Job Type:** Salaried  
**Category:** Full Time  
**County:** Cook  
**Number of Vacancies:** 1  
**Bargaining Unit Code:** RC062 Technical Employees, AFSCME  
**Merit Comp Code:**  
**This position is a union position; therefore, provisions of the relevant collective bargaining agreement/labor contract apply to the filling of this position.**  
**All applicants who want to be considered for this position** **MUST** **apply electronically through the** **illinois.jobs2web.com** **website. State of Illinois employees should click the link near the top left to apply through the** **SuccessFactors** **employee career portal.****Applications submitted via email or any paper manner (mail, fax, hand delivery) will not be considered.**  
**Why Work for Illinois?**
Working with the State of Illinois is a testament to the values of compassion, equity, and dedication that define our state. Whether you’re helping to improve schools, protect our natural resources, or support families in need, you’re part of something bigger—something that touches the lives of every person who calls Illinois home.
No matter what state career you’re looking for, we offer jobs that fit your life and your schedule—flexible jobs that provide the gold standard of benefits. Our employees can take advantage of various avenues to advance their careers and realize their dreams. Our top\-tier benefits and great retirement packages can help you build a rewarding career and lasting future with the State of Illinois.
Position Overview
The Illinois Department of Public Health is seeking a highly motivated and experienced individual to serve as the Tuberculosis (TB) Program Manager. The TB Program Manager plans and directs statewide program activities for Tuberculosis efforts including supervision of epidemiological data, grants management, TB elimination and coalition building. This position is also serves as the state representative to federal and local representatives and between state regional organizations for TB control and elimination.
Benefits Statement
As a State of Illinois Employee, you will receive a robust benefit package that includes the following:
* Flexible and hybrid work schedules are available in many program areas (when available and dependent upon position)
* Competitive Group Insurance benefits including health, life, dental and vision plans.
* Pension plan through the State Employees Retirement System
* Deferred Compensation Program – voluntary supplemental retirement plan
* Optional pre\-tax programs \-Medical Care Assistance Plan (MCAP) \&amp; Dependent Care Assistant Plan (DCAP)
* 10\-25 days of paid vacation time annually (10 days for first year of state employment)
* 12 paid sick days annually which carryover year to year
* 3 paid personal business days per calendar year (pro\-rated dependent on start date)
* 13\-14 paid holidays per year
* 12 weeks of paid parental leave
* Employee Assistance Program and/or mental health resources
These are just a few of the many perks available to all State employees. For more information about our benefits please follow this link: https://www2\.illinois.gov/cms/benefits/Pages/default.aspx.
Essential Functions
* Plans, develops, evaluates and directs the statewide Tuberculosis (TB) Control and Prevention Program.
* Serves as a working supervisor.
* Provides epidemiologic consultation to Program staff through the application of TB structure policies and guidelines to private physicians, local health agencies, hospitals, school nurses and others for the control and prevention of TB.
* Maintains liaison with professionals at the federal level and with other state agencies and between states for discussions related to federal funds awarded to the program, and regarding TB prevention and control activities.
* Maintains and develops local and state operating procedures for the Illinois Disease Surveillance System (IDSS) for TB agencies.
* Performs other duties as required or assigned which are reasonably within the scope of the duties enumerated above.
Minimum Qualifications
* Requires a Bachelor’s degree in public health, registered nursing, microbiology, sociology, anthropology, veterinary medicine, biology, psychology, chemistry, epidemiology, or a related field.
* Requires four (4\) years of professional experience in communicable disease or infectious disease surveillance and/or control programs at the local, state or federal level.
Preferred Qualifications
* Illinois Registered Nurse License.
* Two (2\) years of experience supervising subordinate employees.
* Three (3\) years of experience with statistical software (SPSS, SAS or EpiInfo).
* Three (3\) years of experience with mapping software (ArcGIS).
* Two (2\) years of experience in tuberculosis case management, health care delivery systems, and/or managed care programs.
* Three (3\) years of experience with Business Objects.
* Three (3\) years of experience in planning, developing, implementing, and evaluating health care systems.
* Two (2\) years of experience using productivity software such as Microsoft Word, Excel, Access, PowerPoint, Infopath, Outlook or their equivalent.
About the Agency
The Illinois Department of Public Health (IDPH) is tasked with the oversight of communities within Illinois to achieve and maintain optimal health and safety. With an annual budget of over $2 billion in state and federal funds, 6 regional offices, 3 laboratories and over 1,200 employees, IDPH is equipped to fulfill its mission of protecting the health and wellness of the people of Illinois through the prevention, health promotion, regulation and control of disease and injury.**Work Hours:** Monday\- Friday 8:30am to 5:00pm  
**Headquarter Location:** 115 S Lasalle St, Chicago, Illinois, 60603  
**Work County:**  
**Agency Contact:** DPH.HRRecruiter@Illinois.gov  
**Posting Group:** Leadership \&amp; Management; Health Services  
**This position DOES NOT contain “Specialized Skills” (as that term is used in CBAs)**.  
**APPLICATION INSTRUCTIONS**  
If you are not already signed in, you will be prompted to do so.
State employees should sign in to the career portal for State of Illinois employees – a link is available at the top left of the Illinois.jobs2web.com homepage in the blue ribbon.
Non\-State employees should log in on the using the “View Profile” link in the top right of the Illinois.jobs2web.com homepage in the blue ribbon. If you have never before signed in, you will be prompted to create an account.
If you have questions about how to apply, please see the following resources:
State employees: Log in to the career portal for State employees and review the Internal Candidate Application Job Aid
Non\-State employees: on Illinois.jobs2web.com – click “Application Procedures” in the footer of every page of the website.  
The main form of communication will be through email. Please check your “junk mail”, “spam”, or “other” folder for communication(s) regarding any submitted application(s). You may receive emails from the following addresses:
donotreply@SIL\-P1\.ns2cloud.com
systems@SIL\-P1\.ns2cloud.com  
**Nearest Major Market:** Chicago</t>
        </is>
      </c>
    </row>
    <row r="49">
      <c r="A49" t="inlineStr">
        <is>
          <t>in-3bd1d14d9e2110f5</t>
        </is>
      </c>
      <c r="B49" t="inlineStr">
        <is>
          <t>Technical Product Manager</t>
        </is>
      </c>
      <c r="C49" t="inlineStr">
        <is>
          <t>Digital Dynamics</t>
        </is>
      </c>
      <c r="D49" t="inlineStr">
        <is>
          <t>indeed</t>
        </is>
      </c>
      <c r="E49" t="inlineStr"/>
      <c r="F49" t="inlineStr"/>
      <c r="G49" t="inlineStr">
        <is>
          <t>Scotts Valley, CA, US</t>
        </is>
      </c>
      <c r="H49" s="2" t="n">
        <v>46062</v>
      </c>
      <c r="I49" t="inlineStr">
        <is>
          <t>Job Description: Technical Product Manager
Location: 5550 Scotts Valley Drive, Scotts Valley, CA, 95066
On\-site
Skills: Technical problem solving; Verbal \&amp; written communication; Team management
Digital Dynamics is a fast\-growing provider of safety rated control solutions for mission critical OEM process machinery. We are seeking a skilled, experienced Technical Product Manager to join our team. The position is a foundational opening in response to DDI’s rapid growth to meet market needs. The ideal candidate will have a passion for establishing a competitive technical edge, with proven experience in successful product launch and product management.
Responsibilities:
* Be the point person for the strategic product planning process to maintain competitiveness and increase market reach
* Contribute to and manage the requirements definition process for new products in collaboration with sales, marketing and engineering.
* Curate and manage product roadmaps to maintain competitive edge, capturing and documenting input from customers, marketing and engineering stakeholders.
* Support cross\-functional management of the product development process from conception through go\-to\-market.
* Participate in the product development process to ensure technical and commercial requirements are aligned with market needs \&amp; wants.
* Develop and maintain interactive working relationships with key stakeholders, including customers, partners, and vendors
* Research and report on industry technology trends for served markets
* Lead the creation of technical manuals, application notes, and product announcements.
Requirements:
* Bachelor’s or master’s degree in engineering or related technology field
* 10\+ years of experience in engineering and product management
* Proven track record of success in building \&amp; leading a focused, success\-oriented team
* Strong technical background with understanding of product development processes
* Aptitude to leverage CRM, ERP and PLM software systems
* Excellent communication and presentation skills
* Ability to work effectively in a fast\-paced, dynamic \&amp; competitive market environment
* Goal oriented and willing to take on new responsibilities as the company grows
* Strong problem\-solving and analytical skills
* Domestic and international travel is required.
Digital Dynamics, Inc. is an Equal Opportunity Employer.
This document provides a detailed job description for the position of Technical Product Manager at Digital Dynamics, located on\-site in Scotts Valley, California. It outlines the skills required, responsibilities, and qualifications necessary for the role.
Position Overview
The Technical Product Manager role is a foundational position created in response to the rapid growth of Digital Dynamics, a company specializing in safety\-rated control solutions for mission\-critical OEM process machinery. The ideal candidate is expected to have a passion for gaining a competitive technical edge and a proven track record in successful product launches and management.
Required Skills
Key skills emphasized for this role include:
* Technical problem solving
* Verbal and written communication
* Team management
Responsibilities
The Technical Product Manager will be responsible for:
* Leading strategic product planning to maintain competitiveness and expand market reach.
* Collaborating with sales, marketing, and engineering teams to define requirements for new products.
* Managing and curating product roadmaps by incorporating feedback from customers and stakeholders.
* Supporting cross\-functional management throughout the product development lifecycle, from conception to go\-to\-market.
* Ensuring alignment of technical and commercial requirements with market needs.
* Building and maintaining interactive relationships with customers, partners, and vendors.
* Perform research and reporting on industry technology trends relevant to served markets.
* Leading the creation of technical documentation such as manuals, application notes, and product announcements.
Requirements
Candidates must meet the following criteria:
* Hold a bachelor’s or master’s degree in engineering or a related technology field.
* Have over 10 years of experience in engineering and product management.
* Demonstrate a proven ability to build and lead focused, success\-oriented teams.
* Possess a strong technical background with an understanding of product development processes.
* Be adept at using CRM, ERP, and PLM software systems.
* Exhibit excellent communication and presentation skills.
* Thrive in a fast\-paced, dynamic, and competitive market environment.
* Be goal\-oriented and ready to take on new responsibilities as the company grows.
* Display strong problem\-solving and analytical skills.
* Be willing to travel domestically and internationally .
Equal Opportunity Employer
Digital Dynamics, Inc. is committed to being an Equal Opportunity Employer .
Answers to HR Questions to clarify the role:
1\. Core outcomes this role owns vs. influences
Owns:
* Product vision and strategy for safety\-rated I/O controllers
* Customer and market requirements (voice of customer, standards, competitive analysis)
* Product roadmap and prioritization aligned to business and compliance goals
* Product requirements (PRDs, safety requirements, use cases, constraints)
* Go\-to\-market readiness from a product perspective (positioning, differentiation, feature clarity)
Influences:
* Detailed technical architecture and implementation approach
* Engineering execution timelines and resourcing
* Sales strategy and pricing (input, not ownership)
* Manufacturing, certification, and quality processes (alignment, not direct ownership)
2\. Roadmap ownership
This role owns the product roadmap end\-to\-end.
Engineering leadership owns how and when features are built; the Product Manager owns what, why, and priority. Roadmap decisions are made collaboratively but are product\-led.
3\. Pure product vs. hybrid engineering role
This is a technical product role, not an engineering execution role.
The Product Manager must be technically fluent in functional safety (SIL, IEC standards, safety lifecycles) but does not perform ongoing engineering design, coding, or detailed implementation.
4\. People management
Initially, this is a senior individual contributor role.
No direct people management is required at hire, though mentoring and cross\-functional leadership are expected.
5\. Clear handoffs between Product and Engineering
* Product: Defines market needs, safety requirements, product scope, acceptance criteria, and priority
* Engineering: Owns technical design, implementation, verification, validation, and delivery
* Handoff point: A well\-defined, approved product requirements package (including safety requirements) before development begins
* Ongoing collaboration: Change control, tradeoff discussions, and risk assessment remain joint, but accountability is not shared
6\. How success is measured
Primary success metrics:
* Clarity and quality of the roadmap
* Strength of market fit and customer alignment
* Regulatory and safety requirements correctly captured and prioritized
Secondary metrics:
* Predictability and smoothness of delivery (via strong requirements, not direct execution)
* Reduced rework due to clearer product definition
7\. Growth path of the role
As the company scales, this role is expected to grow into broader product leadership (e.g., Principal PM or Head of Product for safety systems).
In the near term, the focus remains on deep ownership of the safety I/O product line rather than managing a portfolio or team.</t>
        </is>
      </c>
    </row>
    <row r="50">
      <c r="A50" t="inlineStr">
        <is>
          <t>in-1522aba86717e282</t>
        </is>
      </c>
      <c r="B50" t="inlineStr">
        <is>
          <t>Research Program Manager</t>
        </is>
      </c>
      <c r="C50" t="inlineStr">
        <is>
          <t>University of Wisconsin–Madison</t>
        </is>
      </c>
      <c r="D50" t="inlineStr">
        <is>
          <t>indeed</t>
        </is>
      </c>
      <c r="E50" t="inlineStr"/>
      <c r="F50" t="inlineStr"/>
      <c r="G50" t="inlineStr">
        <is>
          <t>Madison, WI, US</t>
        </is>
      </c>
      <c r="H50" s="2" t="n">
        <v>46062</v>
      </c>
      <c r="I50" t="inlineStr">
        <is>
          <t>*Current employees: if you are currently employed at any of the universities of wisconsin, log in to workday to apply through the internal application process.*
Job category:
Academic Staff
Employment type:
Regular
Job profile:
Research Program Manager
Job summary:
This position will serve as the Assistant Coordinator for the National Atmospheric Deposition Program (NADP) at the Wisconsin State Lab of Hygiene (WSLH)/University of Wisconsin Madison. The Assistant Coordinator will be responsible for managing the operational, administrative, and outreach activities that support NADP's mission to monitor and assess atmospheric deposition across North America. This position plays a critical role in ensuring smooth program operations, maintaining effective communication with monitoring sites and stakeholders, and facilitating scientific meetings and events.
The Assistant Coordinator will work closely with the NADP Coordinator, Program Office (PO) staff, NADP Analytical Lab (NAL) staff, and NADP committees including the Executive Committee to coordinate site management, data dissemination, external communications, and staff supervision. The Assistant Coordinator will also serve as the primary backup to the NADP Coordinator for any NADP presentations, reports, and other project deliverables. This position requires strong organizational skills, attention to detail, and the ability to manage multiple priorities while maintaining positive relationships with federal, state, tribal, and academic partners.
The employee in this position is expected to use the tools and principles of quality management in performing their daily work including the following: Demonstrate exceptional customer service by establishing and maintaining effective professional relationships with other managers, supervisors, coworkers, and all customers and colleagues. Provide constructive feedback for the purpose of continuous improvement in a manner that is supportive of the State Laboratory of Hygiene and its mission. Use effective team skills to contribute to the effective operation of the unit. Present ideas, carry out assignments, and provide information as required. Participate in continuous learning through professional development activities.
Key Job Responsibilities
Directs day\-to\-day operational, PO, and NAL activities \- 20%
* Coordinate day\-to\-day operational, PO, and NAL administrative activities, such as equipment/protocol testing, building space management, and purchase of supplies and services
* Manage NADP site documentation and maintain accurate records in appropriate databases, including tracking site status, funding mechanism, and equipment type
* Coordinate NADP site management ensuring proper siting and equipment are installed at new sites, and that closing and mothballed sites follow appropriate procedures to ensure equipment is prepared for extended periods of no operator interaction
* Coordinate with PO and field personnel on quality assurance activities and site surveys
Develop and implement processes and protocols to support research goals \- 20%
* Develop and maintain standard operating procedures for site management and communications, including the maintenance and expansion of NADP Google Sheet trackers
* Prepare and distribute site status reports to NADP’s Executive and Budget Committees including funding agency information, completeness criteria status, contact details, and problem descriptions
* Assist with program reviews and audits as needed and serve as primary NADP representative for key field operation partners, such as ECCC, EPA CASTNET, EEMS, WSP, and ARS
Assist in development, coordination, and facilitation of meetings, trainings, and workshops for internal and external audiences \- 20%
* Coordinate NADP meeting planning, specifically the annual Spring Scientific Symposium, including develop meeting schedules and other requirements in partnership with the Vice Chair, configure online registration and obtain abstracts and biographies of presenters, coordinate proceedings booklet, and execute comprehensive meeting logistics
* Assist with spring and fall subcommittee business meeting logistics, ensuring any motions are properly voted upon and tracked
* Run internal NADP managers meetings
Oversee digital communication and systems information \- 20%
* Administer all NADP listservs, including managing membership, moderating incoming emails, and maintaining group owners and managers
* Serve as primary DoIT contact for website operations and regularly update with any new information to disseminate to the broader NADP community, such as meeting dates and agendas, annual publication lists, and subcommittee and network updates
* Produce annual NADP calendar from concept through print, including solicitating site operator photos, coordinating the Chair’s Message, approving final layout, and managing printing logistics
* Track and coordinate long\-service operator awards for milestone years, collaborate with the Executive Committee on other NADP recognition awards, and oversee award wording, ordering, and procurement
* Maintain oversight of all NADP social media accounts, assign user permissions, manage content, and serve as primary contact to the Education and Outreach Subcommittee on social media initiatives
* Produce Annual Summary Report, including highlights from the year, and coordinate development of mapping and program graphics and plots for the report
Exercises supervisory authority \- 20%
* Conduct performance reviews for NAL and PO staff
* Approve leave requests, manage staff schedules, and provide guidance and mentorship to support staff
* Ensure training of new NADP staff in coordination with the NADP Coordinator
Key job responsibilities:
* Plans, develops, and implements processes and protocols to support research aims \- 20%
* Assists in the development, coordination, and facilitation of trainings and workshops for internal and external audiences to disseminate research program developments and information \- 20%
Oversee digital communication and systems information \- 20%
* Administer all NADP listservs, including managing membership, moderating incoming emails, and maintaining group owners and managers
* Serve as primary DoIT contact for website operations and regularly update with any new information to disseminate to the broader NADP community, such as meeting dates and agendas, annual publication lists, and subcommittee and network updates
* Produce annual NADP calendar from concept through print, including solicitating site operator photos, coordinating the Chair’s Message, approving final layout, and managing printing logistics
* Track and coordinate long\-service operator awards for milestone years, collaborate with the Executive Committee on other NADP recognition awards, and oversee award wording, ordering, and procurement
* Maintain oversight of all NADP social media accounts, assign user permissions, manage content, and serve as primary contact to the Education and Outreach Subcommittee on social media initiatives
* Produce Annual Summary Report, including highlights from the year, and coordinate development of mapping and program graphics and plots for the report
* Plans and directs the day\-to\-day operational activities of one or multiple research programs or units according to established research objectives in alignment with strategic plans and initiatives \- 20%
* Exercises supervisory authority, including hiring, transferring, suspending, promoting, managing conduct and performance, discharging, assigning, rewarding, disciplining, and/or approving hours worked of at least 2\.0 full\-time equivalent (FTE) employees \- 20%
Department:
WSLH \- Environmental Health Division \- NADP
Compensation:
$80,000/year minimum (Depending on qualifications)
Required qualifications:
Demonstrate exceptional customer service by establishing and maintaining effective professional relationships with other managers, supervisors, coworkers, and all customers and colleagues. Provide constructive feedback for the purpose of continuous improvement in a manner that is supportive of the State Laboratory of Hygiene and its mission. Use effective team skills to contribute to the effective operation of the unit. Present ideas, carry out assignments, and provide information as required. Participate in continuous learning through professional development activities.
Preferred qualifications:
See above
Education:
Bachelor's Degree Preferred Minimum
How to Apply:
To begin the application process please click on the "Apply Now" button. You will be asked to upload a current resume/CV AND cover letter briefly describing your qualifications relevant to the position.
*WSLH does not sponsor work visas at the time of hire or anytime during employment for this position. All persons hired will be required to verify identity and eligibility to work in the United States and complete the required Employment Eligibility Form I\-9\.*
The selected applicant will be required to pass a criminal background check prior to an offer of employment.
Contact information:
Please reach out to Dan Makovec at hrstaff@slh.wisc.edu with any questions.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51">
      <c r="A51" t="inlineStr">
        <is>
          <t>in-2905f68f222d7555</t>
        </is>
      </c>
      <c r="B51" t="inlineStr">
        <is>
          <t>Product Manager (Global Automotive Products) IV</t>
        </is>
      </c>
      <c r="C51" t="inlineStr">
        <is>
          <t>TE Connectivity</t>
        </is>
      </c>
      <c r="D51" t="inlineStr">
        <is>
          <t>indeed</t>
        </is>
      </c>
      <c r="E51" t="inlineStr"/>
      <c r="F51" t="inlineStr"/>
      <c r="G51" t="inlineStr">
        <is>
          <t>Harrisburg, PA, US</t>
        </is>
      </c>
      <c r="H51" s="2" t="n">
        <v>46061</v>
      </c>
      <c r="I51" t="inlineStr">
        <is>
          <t>TE Connectivity's Product Management Teams manage all aspects of a product, from driving new product development to manufacturing to marketing. They are responsible for overall product strategy, business leadership and capacity plans in order to meet sales and profit targets.
**Role Responsibilities:**
* Driver of the internal product strategies for product lines in the EMA Portfolio
* Owner of the Product Business Plan
* Shape a powerful portfolio for connectivity solutions for Mechatronics \&amp; Relays
* Responsible for forecast and profitability of the product line
* Develop and execute strategic product roadmaps aligning with overall business objectives
* Initiator of improvement measures in order to continuously develop the margin of the product line
* Active management of the product life cycle and closing of portfolio gaps
* Business Partner in cross\-functional project teams for the new development of products
* Implementation of sales activities both on site at the customer as well as in online and print media
* Responsible for the pricing strategy and definition of the new product introduction in cooperation with adjacent departments (Marketing, Sales, Engineering, Operations, Manufacturing Engineering)
* Support of the sales department in commercialization of new technologies
* Analysis of competitors, their products and market strategies
* Participation in the continuous further development of the Product \&amp; Technology Roadmap
* Leading role in coordination the product portfolio strategy with other regions
**What your background should look like:**  
* Bachelor's or Master's degree in (electrical) engineering or similar
* Minimum 3 years proven track record in Product Management
* Advanced technical and commercial understanding
* Open to innovative ideas and food for thought, excellent analytical and problem\-solving skills, with the ability to translate customer requirements into actionable product strategies
* Knowledge of TE systems such as SAP, C2S, iBP and Planisware as a plus
* Strategic mindset with the ability to think creatively and drive innovation in a competitive market
* Proactive, dynamic team player who can independently and seamlessly take on internal, external and cross\-departmental activities within the organization
* Automotive industry experience is highly preferred
* Exceptional communication and interpersonal skills
* Curiosity as well as high flexibility and agility in assessing, planning and executing
* Willingness to travel is required
**Competencies**
Values: Integrity, Accountability, Inclusion, Innovation, Teamwork
**ABOUT TE CONNECTIVITY**
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 Learn more at www.te.com and on LinkedIn, Facebook, WeChat, Instagram and X (formerly Twitter).
**COMPENSATION**  
* Competitive base salary commensurate with experience: $139,000 \- $190,000 (subject to change dependent on physical location)
* Posted salary ranges are made in good faith. TE Connectivity reserves the right to adjust ranges depending on the experience/qualification of the selected candidate as well as internal and external equity.
* Total Compensation \= Base Salary \+ Incentive(s) \+ Benefits
**BENEFITS**  
* A comprehensive benefits package including health insurance, 401(k), disability, life insurance, employee stock purchase plan, paid time off and voluntary benefits.
**EOE, Including Disability/Vets**
**IMPORTANT NOTICE REGARDING RECRUITMENT FRAUD**  
TE Connectivity has become aware of fraudulent recruitment activities being conducted by individuals or organizations falsely claiming to represent TE Connectivity. Please be advised that TE Connectivity **never requests payment or fees** from job applicants at any stage of the recruitment process. All legitimate job openings are posted exclusively on our official careers website at te.com/careers, and all email communications from our recruitment team will come **only from actual email addresses ending in @te.com**. If you receive any suspicious communications, we strongly advise you not to engage or provide any personal information, and to report the incident to your local authorities.
**Job Locations:**
\#, \_  
United States
**Posting City:** Harrisburg
**Job Country:** United States
**Travel Required:** 25% to 50%
**Requisition ID:** 147271
**Workplace Type:** Remote
**External Careers Page:** Engineering \&amp; Technology</t>
        </is>
      </c>
    </row>
    <row r="52">
      <c r="A52" t="inlineStr">
        <is>
          <t>in-84399228583b6b26</t>
        </is>
      </c>
      <c r="B52" t="inlineStr">
        <is>
          <t>PRODUCT MANAGER (High-speed Cable Products) II</t>
        </is>
      </c>
      <c r="C52" t="inlineStr">
        <is>
          <t>TE Connectivity</t>
        </is>
      </c>
      <c r="D52" t="inlineStr">
        <is>
          <t>indeed</t>
        </is>
      </c>
      <c r="E52" t="inlineStr"/>
      <c r="F52" t="inlineStr"/>
      <c r="G52" t="inlineStr">
        <is>
          <t>Harrisburg, PA, US</t>
        </is>
      </c>
      <c r="H52" s="2" t="n">
        <v>46061</v>
      </c>
      <c r="I52" t="inlineStr">
        <is>
          <t>The Data and Devices business unit of TE Connectivity has an opportunity for a Product Manager for the External High\-Speed Cable, based in US.  
The Product manager will help our global product management team identify and understand trends in in the data center ecosystems and support those trends with the appropriate promotions, collateral and various internal functions to ensure a seamless transition from NPI to order delivery. In addition, this product manager will work on cost savings initiatives, marketing collateral, business analysis, as well as overall portfolio enhancement activities.
This role requires strong strategic thinking, experience working across regions and a strong proactive work ethic. This role must closely collaborate cross\-functionally with colleagues in Sales, Engineering, Operations and Marketing to gain alignment and drive the successful execution of the product roadmaps.
**Responsibilities**:
* Define market trends, demand drivers, customer needs, industry trends, and competitive landscape
* Conduct market segmentation to develop market segment\-specific strategies
* Business development in US region\- Drive sales/FAE/SA team to fuel pipeline
* Conduct competitive analysis and benchmarking
* Develop product roadmaps that aligns with business strategy
* Work with R\&amp;D and Operations in the development of new products to meet current and future customer requirements
* Develop market\-based cost targets to align with BU profitability targets, and align product teams to achieve those targets
* Manage the product lifecycle, focusing on capacity expansion ramps, and defining the right cost early in design cycles
* Establish pricing policy
* Attend customer meetings to target winning new business
* Exercise thought leadership
* Manage the P\&amp;L (sales and gross or standard margin) for the assigned portfolios
**What your background should look like:**  
* 2\-4 years of product management and/or relevant engineering experience
* Relevant product or industry experience desired
* 4\-year degree required
* Creative and innovative thinker able to provide input on the development of the product strategies and the relevant business plans with the ability to execute
* Strong interpersonal, planning, organization, and teamwork skills
* Experienced leader with an ability to influence cross functional teams and to build strong relationships both internally and externally
**Competencies**
Values: Integrity, Accountability, Inclusion, Innovation, Teamwork
**ABOUT TE CONNECTIVITY**
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 Learn more at www.te.com and on LinkedIn, Facebook, WeChat, Instagram and X (formerly Twitter).
**COMPENSATION**  
* Competitive base salary commensurate with experience: $82,000 \- $110,000 (subject to change dependent on physical location)
* Posted salary ranges are made in good faith. TE Connectivity reserves the right to adjust ranges depending on the experience/qualification of the selected candidate as well as internal and external equity.
* Total Compensation \= Base Salary \+ Incentive(s) \+ Benefits
**BENEFITS**  
* A comprehensive benefits package including health insurance, 401(k), disability, life insurance, employee stock purchase plan, paid time off and voluntary benefits.
**EOE, Including Disability/Vets**
**IMPORTANT NOTICE REGARDING RECRUITMENT FRAUD**  
TE Connectivity has become aware of fraudulent recruitment activities being conducted by individuals or organizations falsely claiming to represent TE Connectivity. Please be advised that TE Connectivity **never requests payment or fees** from job applicants at any stage of the recruitment process. All legitimate job openings are posted exclusively on our official careers website at te.com/careers, and all email communications from our recruitment team will come **only from actual email addresses ending in @te.com**. If you receive any suspicious communications, we strongly advise you not to engage or provide any personal information, and to report the incident to your local authorities.
**Job Locations:**
\#, \_  
United States
**Posting City:** Harrisburg
**Job Country:** United States
**Travel Required:** 10% to 25%
**Requisition ID:** 147148
**Workplace Type:** Remote
**External Careers Page:** Sales \&amp; Marketing</t>
        </is>
      </c>
    </row>
    <row r="53">
      <c r="A53" t="inlineStr">
        <is>
          <t>in-8debb2cd6837a61b</t>
        </is>
      </c>
      <c r="B53" t="inlineStr">
        <is>
          <t>Sr Product Manager-WM</t>
        </is>
      </c>
      <c r="C53" t="inlineStr">
        <is>
          <t>Ameriprise Financial</t>
        </is>
      </c>
      <c r="D53" t="inlineStr">
        <is>
          <t>indeed</t>
        </is>
      </c>
      <c r="E53" t="inlineStr"/>
      <c r="F53" t="inlineStr"/>
      <c r="G53" t="inlineStr">
        <is>
          <t>Charlotte, NC, US</t>
        </is>
      </c>
      <c r="H53" s="2" t="n">
        <v>46057</v>
      </c>
      <c r="I53" t="inlineStr">
        <is>
          <t>The Senior Product Manager will be part of the Wealth Management Solutions (WMS) department and will participate in the development, delivery, and/or support of advisory products/programs. In this role, you will primarily focus on providing deep subject matter expert (SME) information on the Signature Wealth Program (flexible unified managed account program) as it relates to operational processes, best practices for onboarding onto the program, documenting feedback from the field, and trends captured to support prioritization of the roadmap of new features \&amp; capabilities including industry comparison. Additionally, you will support WMS Consultants, Field Team Members, and Advisors with deeper tool \&amp; system functioning experience, operational management of practices, and respond to escalated product\-related issues. **Key Responsibilities**
* Driving Ameriprise Client Experience initiatives in advisory business that grows assets, increases net flows, drives revenue generation, and implements cost/expense saves
* Supports the development of the Advisor/Client Experience across the advisory platform
* Supports advisory product/programs as a SME for projects, initiatives, marketing, sales and adoption
* Contributes to the requirements and delivery of new products and services to enhance the client and advisor experience, increase ease of use, meet competitive evolution in the marketplace and/or improve profitability
* Act as an advisory experience SME and provide recommendations from products perspective and working across the organization to drive projects forward
* Provide program demonstrations and support advisor practice consultations, training meetings, and conferencing events
* Seeks to learn and track industry trends for continual advancement and competitiveness
 **Required Qualifications**
* 7\+ years’ experience in Financial Services industry, preferably product development and/or product management
* Bachelor’s degree in finance, Economics, Business or other related degree and equivalent experience
* Active Series 7 or ability to obtain within 120 days
* Ability to travel up to 10%
**Preferred Qualifications**
* Experience working on projects in various roles (Product Manager, Product Analyst, Consultant, subject matter expert, etc.)
* Ability to influence and collaborate with or lead across the organization and at all levels to drive results
* Demonstrated analytical and problem\-solving skills
* Proven organizational skills, including managing multiple tasks simultaneously
* Ability to think strategically, while being able to implement tactical plans
* Proficient knowledge and familiarity with multiple Ameriprise products/platforms
* Strong knowledge of Advisory platforms and solutions
* Advanced degrees or financial services certifications
* Service and Operational process knowledge for Advisory solutions
* Ability to work with advisors related to understanding their practice, accumulating feedback, addressing concerns
* Proficient skill level in Microsoft Office data analytic tool sets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$128,400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54">
      <c r="A54" t="inlineStr">
        <is>
          <t>in-28dc53c81682d39d</t>
        </is>
      </c>
      <c r="B54" t="inlineStr">
        <is>
          <t>Product Manager - Manufacturing</t>
        </is>
      </c>
      <c r="C54" t="inlineStr">
        <is>
          <t>SUBARU OF INDIANA AUTOMOTIVE</t>
        </is>
      </c>
      <c r="D54" t="inlineStr">
        <is>
          <t>indeed</t>
        </is>
      </c>
      <c r="E54" t="inlineStr"/>
      <c r="F54" t="inlineStr"/>
      <c r="G54" t="inlineStr">
        <is>
          <t>Lafayette, IN, US</t>
        </is>
      </c>
      <c r="H54" s="2" t="n">
        <v>46042</v>
      </c>
      <c r="I54" t="inlineStr">
        <is>
          <t>**Date:** Jan 21, 2026
**Location:** Lafayette, IN, US, 47905
**Company:** Subaru
**Product Manager**
***Manufacturing Department***  
**Position Summary:**
The Product Manager, Production Manufacturing manages and leads the activities of the Production Manufacturing section to accomplish manufacturing targets/objectives, budgeted financial objectives, and customer requirements. This role is responsible for driving manufacturing excellence in support of short and long\-term objectives and strategies.  
**Outline of Duties:**
* Provides direct support in the day\-to\-day coaching and leading of section
* Manages and oversees section TPM, Kaizen, Training activities, and KPIs
* Ensures compliance to all SIA policies and procedures
* Responsible for development of Section strategies and targets to support all initiatives.
* Supports all budget planning, controls
* Studies the manufacturing processes and identifies opportunities for process improvement or efficiency optimization.
* Responsible for safety of all Associates in section
* Oversee and support daily staffing needs
* Performs other related duties as assigned.
**Minimum Qualifications:**
* Bachelor's degree in organizational leadership, industrial manufacturing, related field, or equivalent combination of relevant experience and education
* Four years of relevant experience including previous supervisory experience within a manufacturing facility
* Willingness and ability to rotate between 1st and 2nd shift assignments on a schedule or as needed
**Desired Qualifications:**
* Master's degree in relavent field
* Previous management experience in automotive manufacturing
***Subaru of Indiana Automotive, Inc. is an equal opportunity employer committed to employing a diverse workforce.***  
**Nearest Major Market:** Lafayette</t>
        </is>
      </c>
    </row>
    <row r="55">
      <c r="A55" t="inlineStr">
        <is>
          <t>in-997338bed2155293</t>
        </is>
      </c>
      <c r="B55" t="inlineStr">
        <is>
          <t>Program Manager (Cancer Surveillance Operations) (Trenton, NJ)</t>
        </is>
      </c>
      <c r="C55" t="inlineStr">
        <is>
          <t>Rutgers University</t>
        </is>
      </c>
      <c r="D55" t="inlineStr">
        <is>
          <t>indeed</t>
        </is>
      </c>
      <c r="E55" t="inlineStr"/>
      <c r="F55" t="inlineStr"/>
      <c r="G55" t="inlineStr">
        <is>
          <t>New Brunswick, NJ, US</t>
        </is>
      </c>
      <c r="H55" s="2" t="n">
        <v>45846</v>
      </c>
      <c r="I55" t="inlineStr">
        <is>
          <t>**Position Details**
--------------------
Position Information
**Recruitment/Posting Title** Program Manager (Cancer Surveillance Operations) (Trenton, NJ)
**Job Category** Staff \&amp; Executive \- Healthcare \- Administrative Services
**Department** CINJ \- Cancer Registry Operati
**Overview**
**RUTGERS****CANCER****INSTITUTE****VISION****,** **MISSION****,** **AND****CORE****VALUES****:** **VISION****:**
Through our science, our evidence\-based actions, our openness, and our respect for those we serve, we will advance cancer\-focused research worldwide and reduce the burden of cancer in our catchment area. By engaging with and empowering our exceptionally diverse populations, and addressing their questions and fears, we will engender hope for cancer patients and their families and play a critical role in strengthening the fabric of our communities by gaining and protecting their trust and providing access to the outstanding oncology care each person deserves.**MISSION****:**
Our mission is to accelerate scientific discovery focused on understanding cancer, innovating cancer treatment, and improving cancer prevention; to provide outstanding, novel, and compassionate patient care; to provide evidence\-based and culturally informed education to physicians, nurses, researchers, staff, and the community; and to achieve cancer health equity in our state through outreach to and engagement of our extraordinarily diverse communities.**CORE****VALUES****:**
*Curiosity and Discovery*: encouraging an environment of continuous inquiry, creativity, and innovation to generate new knowledge
*Integrity*: earning the trust of those we serve and each other through honesty, transparency, accountability, and continuous reflection
*Collaboration*: approaching all opportunities with an understanding that together we are better and can achieve more; promoting and maintaining an environment of teamwork and shared knowledge
*Respect and Caring*: consistently demonstrating caring, compassion, and respect through our words and actions  
*Perseverance*: maintaining an unwavering commitment to our mission; embracing change, overcoming obstacles, and creating and recreating the path to achieve our goals
**Posting Summary**
Rutgers, The State University of New Jersey is seeking a Program Manager (Cancer Surveillance Operations) within the Rutgers Cancer Institute\-Cancer Registry\-Operations Department.  
The Program Manager of Cancer Surveillance Operations at the New Jersey State Cancer Registry oversees all operational and programmatic aspects of data collection and quality assurance activities for New Jersey’s statewide cancer surveillance system. The Program Manager works closely with the Director of Cancer Epidemiology Services/New Jersey State Cancer Registry and Deputy Director of Cancer Surveillance Research to manage and fulfill deliverables of the Center of Excellence for Cancer Surveillance, which was formed through a partnership between the New Jersey Department of Health and the Rutgers Cancer Institute. The Program Manager also works closely with partners from local, state, and national agencies, including but not limited to the New Jersey Department of Health, the National Cancer Institute’s Surveillance, Epidemiology, and End Results (SEER) Program; the Centers for Disease Control and Prevention’s National Program of Cancer Registries (NPCR); the North American Association of Central Cancer Registries (NAACCR); and the National Cancer Registrar’s Association (NCRA).  
Among the key duties for this position are the following:  
* Assists Director in relevant short\-and long\-term planning, policy development, funding procurement and sustainability; and direction of professional activities and projects to ensure excellence in cancer surveillance statewide.
* Represents the New Jersey State Cancer Registry at state, regional and national planning meetings, both in\-person and virtually.
* Assists Director by recommending, drafting, and executing renewals, revisions, and amendments to cancer surveillance regulations and statutes as necessary.
* Contributes to national dialogue for developing cancer surveillance and registry standards, procedures, and best practices through active participation in NAACCR, SEER, NPCR, and NCRA.
* Leads the data collection and quality assurance activities of the New Jersey State Cancer Registry.
* Works with local providers, hospitals, and registrars, SEER, NPCR, NAACCR and other state and national agencies to assure the highest quality cancer surveillance data are collected in a timely and effective manner.
* Ensures compliance with state and federal reporting requirements for the collection of cancer data including the monitoring of completeness and timeliness of reporting.
* Manages the development of new methods to assure the efficient processing of cancer surveillance data including but not limited to new methods of electronic data collection, automation, transmission, and use of bioinformatics tools.
**FLSA** Exempt
**Grade** 32S
**Salary Details**
**Minimum Salary** 116601\.000
**Mid Range Salary** 147501\.000
**Maximum Salary** 178400\.000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provides a comprehensive benefits package to eligible employees. The specific benefits vary based on the position and may include:
* Medical, prescription drug, and dental coverage
* Paid vacation, holidays, and various leave programs
* Competitive retirement benefits, including defined contribution plans and voluntary tax\-deferred savings options
* Employee and dependent educational benefits (when applicable)
* Life insurance coverage
* Employee discount programs
**Position Status** Full Time
**Working Hours**
**Standard Hours** 37\.50
**Daily Work Shift**
**Work Arrangement**
This position requires a fully on\-site work arrangement.
**Union Description** MPSC \- Legacy UMD
**Payroll Designation** PeopleSoft
**Seniority Unit**
**Terms of Appointment** Staff \- 12 month
**Position Pension Eligibility** ABP
Qualifications
**Minimum Education and Experience**
* Bachelor’s Degree (Master’s Degree preferred) in Health Information Management, Public Health, Business Administration, or related field.
* At least six (6\) years of demonstrated progressive experience in cancer registry management, operations and effective leadership.
* Must be a certified Oncology Data Specialist (ODS) or grandfathered CTR (Certified Tumor Registrar).
* Equivalent education, experience and/or training may be substituted for the degree requirement.
**Certifications/Licenses**
* Must be a certified Oncology Data Specialist (ODS) or grandfathered CTR (Certified Tumor Registrar).
**Required Knowledge, Skills, and Abilities**
* Demonstrated knowledge and expertise of cancer surveillance methods as well as data management in conformance with national standards and cancer surveillance best practices.
* Outstanding human relations and leadership skills, and the ability to function in a team environment are required.
* Effective oral and communication skills.
* Must be computer literate with proficiency and working knowledge of database and reporting tools Microsoft Office software including Outlook, Word, Excel, Access, and PowerPoint.
**Preferred Qualifications**
* Experience with PostgreSQL, relational database management, hospital cancer registry reporting software, electronic health records, and cancer surveillance reporting systems preferred.
* Prior experience working in central registries that are part of the SEER Program is preferred.
* Prior experience dealing with human resources and personnel issues preferred.
* Knowledge of how to accomplish superior performance in a unionized environment is preferred.
**Equipment Utilized**
**Physical Demands and Work Environment**
PHYSICAL DEMANDS:* Standing, sitting, walking, talking and hearing.
* No special vision requirements.
* Lifting up to 25 lbs.
WORK ENVIRONMENT:* Office environment with work\-related travel within New Jersey, other registry sites, and relevant conference and national organization travel.
* Expected minimal exposure to infection and communicable diseases.
* Moderate noise.
**Special Conditions**
* Primary work site will be located at the State Department of Health, Trenton, NJ with periodic travel to the Rutgers Cancer Institute in New Brunswick for meetings and other activities.
Posting Details
**Posting Number** 25ST1496
**Posting Open Date** 07/09/2025
**Special Instructions to Applicants**
**Regional Campus** Rutgers Biomedical and Health Sciences (RBHS)
**Home Location Campus** Rutgers University \-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
Equal Employment Opportunity Statement
It is university policy to provide equal employment opportunity to all its employees and applicants for employment regardless of their race, creed, color, national origin, age, ancestry, nationality, marital or domestic partnership or civil union status, sex, pregnancy, gender identity or expression, disability status, liability for military service, protected veteran status, affectional or sexual orientation, atypical cellular or blood trait, genetic information (including the refusal to submit to genetic testing), or any other category protected by law. As an institution, we encourage all qualified applicants to apply. For additional information please see the Non\-Discrimination Statement at the following web address: http://uhr.rutgers.edu/non\-discrimination\-statement
**Supplemental Questions**
--------------------------
Required fields are indicated with an asterisk (\*).
* \* Do you have a bachelor’s degree in Health Information Management, Public Health, Business Administration, or related field and at least six (6\) years of demonstrated progressive experience in cancer registry management, operations and effective leadership?
	+ Yes
	+ No
* \* Are you currently certified as an Oncology Data Specialist (ODS) or as a grandfathered Certified Tumor Registrar (CTR)?
	+ Yes
	+ No
**Applicant Documents**
-----------------------
**Required Documents**
* Resume/CV
**Optional Documents**
* Cover Letter/Letter of Application
* List of Professional References (contact Info)</t>
        </is>
      </c>
    </row>
    <row r="56">
      <c r="A56" t="inlineStr">
        <is>
          <t>in-575e3c2a7c565809</t>
        </is>
      </c>
      <c r="B56" t="inlineStr">
        <is>
          <t>Sr. Product Manager Technical, Deal Tooling &amp; Insights, Strategic Customer Engagements</t>
        </is>
      </c>
      <c r="C56" t="inlineStr">
        <is>
          <t>Amazon Web Services</t>
        </is>
      </c>
      <c r="D56" t="inlineStr">
        <is>
          <t>indeed</t>
        </is>
      </c>
      <c r="E56" t="inlineStr"/>
      <c r="F56" t="inlineStr"/>
      <c r="G56" t="inlineStr">
        <is>
          <t>Herndon, VA, US</t>
        </is>
      </c>
      <c r="H56" s="2" t="n">
        <v>45994</v>
      </c>
      <c r="I5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7">
      <c r="A57" t="inlineStr">
        <is>
          <t>in-f2ab03947d3059c2</t>
        </is>
      </c>
      <c r="B57" t="inlineStr">
        <is>
          <t>Sr. Product Manager Technical, Deal Tooling &amp; Insights, Strategic Customer Engagements</t>
        </is>
      </c>
      <c r="C57" t="inlineStr">
        <is>
          <t>Amazon Web Services</t>
        </is>
      </c>
      <c r="D57" t="inlineStr">
        <is>
          <t>indeed</t>
        </is>
      </c>
      <c r="E57" t="inlineStr"/>
      <c r="F57" t="inlineStr"/>
      <c r="G57" t="inlineStr">
        <is>
          <t>Dallas, TX, US</t>
        </is>
      </c>
      <c r="H57" s="2" t="n">
        <v>45994</v>
      </c>
      <c r="I5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8">
      <c r="A58" t="inlineStr">
        <is>
          <t>in-38a8c0c9e3f3b6af</t>
        </is>
      </c>
      <c r="B58" t="inlineStr">
        <is>
          <t>Sr. Product Manager Technical, Deal Tooling &amp; Insights, Strategic Customer Engagements</t>
        </is>
      </c>
      <c r="C58" t="inlineStr">
        <is>
          <t>Amazon Web Services</t>
        </is>
      </c>
      <c r="D58" t="inlineStr">
        <is>
          <t>indeed</t>
        </is>
      </c>
      <c r="E58" t="inlineStr"/>
      <c r="F58" t="inlineStr"/>
      <c r="G58" t="inlineStr">
        <is>
          <t>Seattle, WA, US</t>
        </is>
      </c>
      <c r="H58" s="2" t="n">
        <v>45994</v>
      </c>
      <c r="I5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9">
      <c r="A59" t="inlineStr">
        <is>
          <t>in-c480d808aa5bec45</t>
        </is>
      </c>
      <c r="B59" t="inlineStr">
        <is>
          <t>Sr. Product Manager Technical, Deal Tooling &amp; Insights, Strategic Customer Engagements</t>
        </is>
      </c>
      <c r="C59" t="inlineStr">
        <is>
          <t>Amazon Web Services</t>
        </is>
      </c>
      <c r="D59" t="inlineStr">
        <is>
          <t>indeed</t>
        </is>
      </c>
      <c r="E59" t="inlineStr"/>
      <c r="F59" t="inlineStr"/>
      <c r="G59" t="inlineStr">
        <is>
          <t>New York, NY, US</t>
        </is>
      </c>
      <c r="H59" s="2" t="n">
        <v>45994</v>
      </c>
      <c r="I5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0">
      <c r="A60" t="inlineStr">
        <is>
          <t>in-438ffdae8c5caec8</t>
        </is>
      </c>
      <c r="B60" t="inlineStr">
        <is>
          <t>Sr. Product Manager Technical, Deal Tooling &amp; Insights, Strategic Customer Engagements</t>
        </is>
      </c>
      <c r="C60" t="inlineStr">
        <is>
          <t>Amazon Web Services</t>
        </is>
      </c>
      <c r="D60" t="inlineStr">
        <is>
          <t>indeed</t>
        </is>
      </c>
      <c r="E60" t="inlineStr"/>
      <c r="F60" t="inlineStr"/>
      <c r="G60" t="inlineStr">
        <is>
          <t>Austin, TX, US</t>
        </is>
      </c>
      <c r="H60" s="2" t="n">
        <v>45994</v>
      </c>
      <c r="I6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1">
      <c r="A61" t="inlineStr">
        <is>
          <t>in-36751d04902c6e30</t>
        </is>
      </c>
      <c r="B61" t="inlineStr">
        <is>
          <t>Sr. Product Manager Technical, Deal Tooling &amp; Insights, Strategic Customer Engagements</t>
        </is>
      </c>
      <c r="C61" t="inlineStr">
        <is>
          <t>Amazon Web Services</t>
        </is>
      </c>
      <c r="D61" t="inlineStr">
        <is>
          <t>indeed</t>
        </is>
      </c>
      <c r="E61" t="inlineStr"/>
      <c r="F61" t="inlineStr"/>
      <c r="G61" t="inlineStr">
        <is>
          <t>Arlington, VA, US</t>
        </is>
      </c>
      <c r="H61" s="2" t="n">
        <v>45994</v>
      </c>
      <c r="I6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2">
      <c r="A62" t="inlineStr">
        <is>
          <t>in-272e3b189f778654</t>
        </is>
      </c>
      <c r="B62" t="inlineStr">
        <is>
          <t>Sr. Product Manager - Tech, Workforce Solutions - Talent Mobility</t>
        </is>
      </c>
      <c r="C62" t="inlineStr">
        <is>
          <t>Amazon.com</t>
        </is>
      </c>
      <c r="D62" t="inlineStr">
        <is>
          <t>indeed</t>
        </is>
      </c>
      <c r="E62" t="inlineStr"/>
      <c r="F62" t="inlineStr"/>
      <c r="G62" t="inlineStr">
        <is>
          <t>Seattle, WA, US</t>
        </is>
      </c>
      <c r="H62" s="2" t="n">
        <v>45867</v>
      </c>
      <c r="I62"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63">
      <c r="A63" t="inlineStr">
        <is>
          <t>in-191143a0d3cf2ee5</t>
        </is>
      </c>
      <c r="B63" t="inlineStr">
        <is>
          <t>Sr. Product Manager - Tech, Workforce Solutions - Talent Mobility</t>
        </is>
      </c>
      <c r="C63" t="inlineStr">
        <is>
          <t>Amazon.com</t>
        </is>
      </c>
      <c r="D63" t="inlineStr">
        <is>
          <t>indeed</t>
        </is>
      </c>
      <c r="E63" t="inlineStr"/>
      <c r="F63" t="inlineStr"/>
      <c r="G63" t="inlineStr">
        <is>
          <t>Arlington, VA, US</t>
        </is>
      </c>
      <c r="H63" s="2" t="n">
        <v>45867</v>
      </c>
      <c r="I63"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64">
      <c r="A64" t="inlineStr">
        <is>
          <t>in-f971562b9f1fc6d7</t>
        </is>
      </c>
      <c r="B64" t="inlineStr">
        <is>
          <t>Sr. Product Manager - Tech, Workforce Solutions - Talent Mobility</t>
        </is>
      </c>
      <c r="C64" t="inlineStr">
        <is>
          <t>Amazon.com</t>
        </is>
      </c>
      <c r="D64" t="inlineStr">
        <is>
          <t>indeed</t>
        </is>
      </c>
      <c r="E64" t="inlineStr"/>
      <c r="F64" t="inlineStr"/>
      <c r="G64" t="inlineStr">
        <is>
          <t>New York, NY, US</t>
        </is>
      </c>
      <c r="H64" s="2" t="n">
        <v>45867</v>
      </c>
      <c r="I64"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65">
      <c r="A65" t="inlineStr">
        <is>
          <t>in-bd0bf2ce63090f3f</t>
        </is>
      </c>
      <c r="B65" t="inlineStr">
        <is>
          <t>Sr. Product Manager - Tech, Workforce Solutions - Talent Mobility</t>
        </is>
      </c>
      <c r="C65" t="inlineStr">
        <is>
          <t>Amazon.com</t>
        </is>
      </c>
      <c r="D65" t="inlineStr">
        <is>
          <t>indeed</t>
        </is>
      </c>
      <c r="E65" t="inlineStr"/>
      <c r="F65" t="inlineStr"/>
      <c r="G65" t="inlineStr">
        <is>
          <t>Nashville, TN, US</t>
        </is>
      </c>
      <c r="H65" s="2" t="n">
        <v>45867</v>
      </c>
      <c r="I65"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66">
      <c r="A66" t="inlineStr">
        <is>
          <t>in-8a4665c25bddb7d4</t>
        </is>
      </c>
      <c r="B66" t="inlineStr">
        <is>
          <t>Sr. Product Manager - Tech, Workforce Solutions - Talent Mobility</t>
        </is>
      </c>
      <c r="C66" t="inlineStr">
        <is>
          <t>Amazon.com</t>
        </is>
      </c>
      <c r="D66" t="inlineStr">
        <is>
          <t>indeed</t>
        </is>
      </c>
      <c r="E66" t="inlineStr"/>
      <c r="F66" t="inlineStr"/>
      <c r="G66" t="inlineStr">
        <is>
          <t>Tempe, AZ, US</t>
        </is>
      </c>
      <c r="H66" s="2" t="n">
        <v>45867</v>
      </c>
      <c r="I66"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67">
      <c r="A67" t="inlineStr">
        <is>
          <t>in-05f4eebe9dfc9197</t>
        </is>
      </c>
      <c r="B67" t="inlineStr">
        <is>
          <t>Sr. Product Manager - Tech, WHS Data-Tech</t>
        </is>
      </c>
      <c r="C67" t="inlineStr">
        <is>
          <t>Amazon.com</t>
        </is>
      </c>
      <c r="D67" t="inlineStr">
        <is>
          <t>indeed</t>
        </is>
      </c>
      <c r="E67" t="inlineStr"/>
      <c r="F67" t="inlineStr"/>
      <c r="G67" t="inlineStr">
        <is>
          <t>Arlington, VA, US</t>
        </is>
      </c>
      <c r="H67" s="2" t="n">
        <v>45836</v>
      </c>
      <c r="I67"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68">
      <c r="A68" t="inlineStr">
        <is>
          <t>in-1f4fa926440d116e</t>
        </is>
      </c>
      <c r="B68" t="inlineStr">
        <is>
          <t>Sr. Product Manager - Tech, WHS Data-Tech</t>
        </is>
      </c>
      <c r="C68" t="inlineStr">
        <is>
          <t>Amazon.com</t>
        </is>
      </c>
      <c r="D68" t="inlineStr">
        <is>
          <t>indeed</t>
        </is>
      </c>
      <c r="E68" t="inlineStr"/>
      <c r="F68" t="inlineStr"/>
      <c r="G68" t="inlineStr">
        <is>
          <t>Bellevue, WA, US</t>
        </is>
      </c>
      <c r="H68" s="2" t="n">
        <v>45836</v>
      </c>
      <c r="I68"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69">
      <c r="A69" t="inlineStr">
        <is>
          <t>in-387ea212b8aac348</t>
        </is>
      </c>
      <c r="B69" t="inlineStr">
        <is>
          <t>Sr. Product Manager - Tech, WHS Data-Tech</t>
        </is>
      </c>
      <c r="C69" t="inlineStr">
        <is>
          <t>Amazon.com</t>
        </is>
      </c>
      <c r="D69" t="inlineStr">
        <is>
          <t>indeed</t>
        </is>
      </c>
      <c r="E69" t="inlineStr"/>
      <c r="F69" t="inlineStr"/>
      <c r="G69" t="inlineStr">
        <is>
          <t>Nashville, TN, US</t>
        </is>
      </c>
      <c r="H69" s="2" t="n">
        <v>45836</v>
      </c>
      <c r="I69"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70">
      <c r="A70" t="inlineStr">
        <is>
          <t>in-6fc0ae076be3ba9e</t>
        </is>
      </c>
      <c r="B70" t="inlineStr">
        <is>
          <t>Product Manager - Alternative Data Analytics</t>
        </is>
      </c>
      <c r="C70" t="inlineStr">
        <is>
          <t>Bloomberg</t>
        </is>
      </c>
      <c r="D70" t="inlineStr">
        <is>
          <t>indeed</t>
        </is>
      </c>
      <c r="E70" t="inlineStr"/>
      <c r="F70" t="inlineStr"/>
      <c r="G70" t="inlineStr">
        <is>
          <t>New York, NY, US</t>
        </is>
      </c>
      <c r="H70" s="2" t="n">
        <v>46063</v>
      </c>
      <c r="I70" t="inlineStr">
        <is>
          <t>Product Manager \- Alternative Data Analytics
Location
New York
Business Area
Product
Ref \#
10049200
**Description \&amp; Requirements**
-------------------------------
**Who we are:**
The Bloomberg Alternative Data team is a fast\-growing, high\-impact product group building the next generation of data and analytics for company research and intelligence. Our mission is to make alternative data as essential to investment workflows as traditional fundamentals — at global scale.  
We sit at the intersection of data science, finance, and product, and are responsible for some of Bloomberg’s most differentiated analytics.  
**What's in it for you:**
As a Product Manager on Bloomberg’s Alternative Data team, you will own and evolve a core set of proprietary analytics that translate raw alternative datasets into actionable insights for investors.  
In this role, you will lead the development of new proprietary analytics that will provide clients with real\-time data\-driven insights into company performance. These products sit at the heart of Bloomberg’s alternative data strategy and are critical to scaling adoption. You’ll work closely with data scientists, engineers, and research partners to design methodologies, validate signals, and deliver analytics used daily by thousands of clients.  
The analytics you build will become foundational across Bloomberg — powering Terminal workflows, AI\-driven insights, and future data products. This is a highly visible role with the opportunity to shape how alternative data is used by investors and help transform the future of investment research.  
**We’ll trust you to:**
* Collaborate with the product team to drive the strategy, roadmap and requirements for alternative data in the company research workflow applications
* Own the product vision, roadmap, and execution for proprietary alternative data analytics
* Partner closely with data science and engineering to define methodologies
* Translate complex analytical concepts into intuitive, client\-facing product experiences embedded in Bloomberg workflows
* Deeply understand our target user’s business, workflows, and objectives to ensure analytics address real investment questions
* Lead cross\-functional collaboration across product, engineering, data science, research, sales, and GTM teams
* Define success metrics for analytics adoption, usage, and downstream impact on client workflows
* Act as product owner for one or more Agile teams, managing priorities, trade\-offs, and delivery
**You’ll need to have:**
* 3\+ years of experience in the financial services or alternative data, with a data\-driven mindset
* Demonstrated understanding of alternative data and how it is applied to investment research and company analysis
* Experience working with analytical products, metrics, or models (e.g., estimates, benchmarks, indices, composites, signals)
* Understanding of the alternative data market landscape and associated use cases/workflows for our products in the market
* Ability to collaborate closely with data scientists and engineers on complex analytical problems
* Strong judgment in making trade\-offs between analytical sophistication, scalability, and usability
* Excellent written and verbal communication skills, including the ability to explain complex problems clearly to technical and non\-technical audiences
* A highly collaborative, ownership\-oriented mindset
**We’d love to see:**
* Product management experience building data, analytics, or research platforms
* Experience operating in large organizations with multiple stakeholders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71">
      <c r="A71" t="inlineStr">
        <is>
          <t>in-68859d578bf13525</t>
        </is>
      </c>
      <c r="B71" t="inlineStr">
        <is>
          <t>Sr. Product Manager-Technical, World Wide Operations Security Tech (WWOS Tech)</t>
        </is>
      </c>
      <c r="C71" t="inlineStr">
        <is>
          <t>Amazon.com</t>
        </is>
      </c>
      <c r="D71" t="inlineStr">
        <is>
          <t>indeed</t>
        </is>
      </c>
      <c r="E71" t="inlineStr"/>
      <c r="F71" t="inlineStr"/>
      <c r="G71" t="inlineStr">
        <is>
          <t>Seattle, WA, US</t>
        </is>
      </c>
      <c r="H71" s="2" t="n">
        <v>46008</v>
      </c>
      <c r="I71"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72">
      <c r="A72" t="inlineStr">
        <is>
          <t>in-60ccefb414a8654d</t>
        </is>
      </c>
      <c r="B72" t="inlineStr">
        <is>
          <t>Sr. Product Manager-Technical, World Wide Operations Security Tech (WWOS Tech)</t>
        </is>
      </c>
      <c r="C72" t="inlineStr">
        <is>
          <t>Amazon.com</t>
        </is>
      </c>
      <c r="D72" t="inlineStr">
        <is>
          <t>indeed</t>
        </is>
      </c>
      <c r="E72" t="inlineStr"/>
      <c r="F72" t="inlineStr"/>
      <c r="G72" t="inlineStr">
        <is>
          <t>Austin, TX, US</t>
        </is>
      </c>
      <c r="H72" s="2" t="n">
        <v>46008</v>
      </c>
      <c r="I72"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73">
      <c r="A73" t="inlineStr">
        <is>
          <t>in-3a949e67a95d0ecf</t>
        </is>
      </c>
      <c r="B73" t="inlineStr">
        <is>
          <t>Principal Product Manager - Tech, Recommender Systems, Prime Video Personalization &amp; Discovery</t>
        </is>
      </c>
      <c r="C73" t="inlineStr">
        <is>
          <t>Amazon.com</t>
        </is>
      </c>
      <c r="D73" t="inlineStr">
        <is>
          <t>indeed</t>
        </is>
      </c>
      <c r="E73" t="inlineStr"/>
      <c r="F73" t="inlineStr"/>
      <c r="G73" t="inlineStr">
        <is>
          <t>Washington, DC, US</t>
        </is>
      </c>
      <c r="H73" s="2" t="n">
        <v>45753</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in-901d6bb53415883a</t>
        </is>
      </c>
      <c r="B74" t="inlineStr">
        <is>
          <t>Principal Product Manager - Tech, Recommender Systems, Prime Video Personalization &amp; Discovery</t>
        </is>
      </c>
      <c r="C74" t="inlineStr">
        <is>
          <t>Amazon.com</t>
        </is>
      </c>
      <c r="D74" t="inlineStr">
        <is>
          <t>indeed</t>
        </is>
      </c>
      <c r="E74" t="inlineStr"/>
      <c r="F74" t="inlineStr"/>
      <c r="G74" t="inlineStr">
        <is>
          <t>Seattle, WA, US</t>
        </is>
      </c>
      <c r="H74" s="2" t="n">
        <v>45753</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in-02a76b764c6415c5</t>
        </is>
      </c>
      <c r="B75" t="inlineStr">
        <is>
          <t>Workforce Program Manager</t>
        </is>
      </c>
      <c r="C75" t="inlineStr">
        <is>
          <t>Ascending Knowledge Community Outreach International</t>
        </is>
      </c>
      <c r="D75" t="inlineStr">
        <is>
          <t>indeed</t>
        </is>
      </c>
      <c r="E75">
        <f>HYPERLINK("https://www.indeed.com/viewjob?jk=02a76b764c6415c5", "https://www.indeed.com/viewjob?jk=02a76b764c6415c5")</f>
        <v/>
      </c>
      <c r="F75">
        <f>HYPERLINK("http://www.indeed.com/job/workforce-program-manager-02a76b764c6415c5", "http://www.indeed.com/job/workforce-program-manager-02a76b764c6415c5")</f>
        <v/>
      </c>
      <c r="G75" t="inlineStr">
        <is>
          <t>Harvey, IL, US</t>
        </is>
      </c>
      <c r="H75" s="3" t="n">
        <v>46064</v>
      </c>
      <c r="I75" t="inlineStr">
        <is>
          <t>**Program Manager**
**Position Overview**
The Program Manager is responsible for the successful planning, coordination, and
delivery of organizational programs and services. This role ensures that daily program
operations run smoothly, participants receive high\-quality support, and staff are equipped
to meet performance goals. The Program Manager works closely with the Associate
Director and Executive Director to strengthen service delivery, track outcomes, and
maintain alignment with the mission and vision of the organization.
**Key Responsibilities**
*Program Leadership \&amp; Oversight*
* Manage the day\-to\-day operations of assigned programs to ensure effectiveness
and alignment with organizational objectives.
* Supervise and support program staff (facilitators, case managers, intake
specialists, etc.) with coaching, guidance, and accountability.
* Coordinate program activities, workshops, and services to ensure they are
delivered on schedule and at a high standard of quality.
* Monitor program progress, identify challenges, and recommend solutions to
strengthen outcomes.
*Partnerships \&amp; Community Engagement*
* Maintain positive relationships with community partners, schools, workforce
agencies, and other stakeholders connected to program services.
* Represent the organization at relevant program\-related meetings, community
events, or coalitions as assigned.
* Help expand resources and opportunities for participants through collaborative
partnerships.
*Staff Development \&amp; Supervision*
* Lead regular team check\-ins and provide ongoing communication to keep staff
informed and aligned.
* Offer coaching and mentoring to staff to strengthen their skills in service delivery
and participant engagement.
* Track staff performance and provide feedback in collaboration with the Associate
Director.
* Foster a supportive, mission\-driven team culture focused on results and participant
success.
*Operations \&amp; Compliance*
* Ensure program procedures comply with organizational policies, funder
requirements, and regulatory standards.
* Oversee accurate and timely collection of program data, case notes, and reporting.
* Assist in preparing reports for funders, partners, and internal leadership.
* Monitor program expenditures and ensure alignment with approved budgets.
*Strategic \&amp; Administrative Support*
* Support the Associate Director and Executive Director in planning, evaluation, and
program improvement initiatives.
* Contribute feedback to grant proposals, reports, and presentations as needed.
* Provide leadership coverage in the absence of the Associate Director or Executive
Director when directed.
* Participate in organizational planning sessions to ensure programs align with long\-
term goals.
**Qualifications**
* Experience in program management, workforce development, education, social
services, or community\-based organizations.
* Demonstrated ability to supervise staff, manage operations, and deliver participant\-
focused results.
* Strong organizational, problem\-solving, and communication skills.
* Knowledge of compliance standards, reporting requirements, and data tracking in
nonprofit programs.
* Bachelor’s degree in nonprofit management, social work, education, public
administration, or related field (equivalent experience considered).
**Core Competencies**
* Leadership: Provides clear direction, support, and accountability for staff and
participants.
* Program Execution: Ensures high\-quality delivery of services and activities.
* Collaboration: Builds positive relationships with staff, partners, and community
stakeholders.
* Accountability: Monitors progress, ensures compliance, and drives continuous
improvement.
* Adaptability: Responds to changing needs, challenges, and opportunities with
flexibility.
*Duties may be modified based on the evolving needs of the organization.*
Job Type: Part\-time
Pay: $26\.00 \- $28\.00 per hour
Work Location: In person</t>
        </is>
      </c>
    </row>
    <row r="76">
      <c r="A76" t="inlineStr">
        <is>
          <t>in-78017f5e2a911a0d</t>
        </is>
      </c>
      <c r="B76" t="inlineStr">
        <is>
          <t>Program Manager</t>
        </is>
      </c>
      <c r="C76" t="inlineStr">
        <is>
          <t xml:space="preserve">Kenona Industries, LLC </t>
        </is>
      </c>
      <c r="D76" t="inlineStr">
        <is>
          <t>indeed</t>
        </is>
      </c>
      <c r="E76">
        <f>HYPERLINK("https://www.indeed.com/viewjob?jk=78017f5e2a911a0d", "https://www.indeed.com/viewjob?jk=78017f5e2a911a0d")</f>
        <v/>
      </c>
      <c r="F76">
        <f>HYPERLINK("http://www.indeed.com/job/program-manager-78017f5e2a911a0d", "http://www.indeed.com/job/program-manager-78017f5e2a911a0d")</f>
        <v/>
      </c>
      <c r="G76" t="inlineStr">
        <is>
          <t>Grand Rapids, MI, US</t>
        </is>
      </c>
      <c r="H76" s="3" t="n">
        <v>46064</v>
      </c>
      <c r="I76" t="inlineStr">
        <is>
          <t>**Company Description**
Kenona Industries is a division of Arrow Automotive and is a leading provider of high\-volume precision machining, assembly, and coating services to the North American automotive industry. With a strong presence in the market, Kenona works with top OEM and Tier 1 manufacturers in the production of steering, powertrain, NVH, exhaust assemblies, battery trays, rockers, and other EV components. Kenona's products are found in renowned vehicles from Ford, GM, Chrysler, Toyota, Honda, Nissan, Mitsubishi, Freightliner, and prominent EV manufacturers.
Kenona's success in the automotive industry stems from its exceptional capabilities, responsiveness, transparency, humility, and strong corporate culture. With four facilities located in Grand Rapids, Michigan, Kenona is committed to embracing lean thinking and continuously improving as the automotive industry evolves.
**SUMMARY**
Provides technical leadership in coordinating, facilitating, motivating, and directing efforts of cross\-functional program teams. Ensures efficient use of team resources. Is responsible for multiple programs. Is responsible for overall technical and financial performance for programs during the launch phase. Develops and achieves program objectives in the areas of cost, quality, delivery. Ensures countermeasures are initiated to correct unfavorable variances in program performance. Works with internal and external resources to maintain strong customer relationships with dedication to customer program schedules. Participates in continuous improvement efforts. Performs other duties and provides work direction to other staff.
**ESSENTIAL DUTIES AND RESPONSIBILITIES**
Include the following but other duties may be assigned:
· Gains support for and develops program objectives/deliverables. Ensures full team participation and that all groups involved understand all the demands for the successful launch of a program. Objectives include timing, engineering support, cost, quality and delivery. Ensures customer and Company requirements are met. Ensures that the profitability of the program is maximized throughout the program launch. Leads the communication of all issues and responsibilities both within the Company and to the customer.
· Works with internal and external resources to maintain strong customer relationships with dedication to customer program schedules. Demonstrates expertise, in all customer systems as required, to support programs in launch. Ensure countermeasures are initiated to correct unfavorable variances by communicating alternative measures to the customer, which may be used to solve engineering problems. Ensures the success of the future production of the programs in the launch phase.
· Develops and manages program folders and documents associated with their respective deliverables
· Supports program APQP initiatives with the Advanced Quality Engineer (AQE) and Product Development Team (PDT)
· Manages and supports customer PPAP initiatives for launch and change management
· Facilitate and manage program cross\-functional resource and communications.
· Support quality measurement systems along with Advanced Quality Engineer throughout the Launch phases.
· Along with the Advanced Quality Engineer, supports development and PPAP activities with managed project suppliers and vendors
· Facilitate and support Problem\-solving (Root Cause Analysis) activities with the AQE during the launch phase of new programs.
· Support Engineering input during Quoting Process.
· Apply Engineering Skills \&amp; Techniques in Assisting Customers \&amp; Suppliers with Design Input.
· Apply Engineering Skills \&amp; Techniques in assisting Process Development.
· Performs other duties as necessary for completion of projects and achievement of goals, including providing work direction to other staff.
**EDUCATION and/or EXPERIENCE**
Bachelor’s Degree in Engineering or equivalent with a minimum of five years’ experience in the manufacturing industry required.
* The PM must have a viable comprehension of the program management process and the ability to manage multiple projects
* Must have an aptitude for empathic communication adapting to different workstyles
* Must be solution\-driven and motivation skills
* Must display good cross\-functional leadership skills
* Must be able to demonstrate organizational skills
* Must have working knowledge, presentation, and customer service skills
* Must be able to read and interpret blueprints, including GD\&amp;T, and technical specifications
* Experience in automotive manufacturing a plus
* Experience in machining or metal production a plus
* Experience in Quality Systems a plus (e.g., ISO, IATF, etc.)
* Experience with OEM \&amp; Tier One automotive requirements a plus
* Experience with CAD a plus
Pay: $75,000\.00 \- $100,000\.00 per year
Benefits:
* 401(k)
* Dental insurance
* Employee assistance program
* Health insurance
* Health savings account
* Paid time off
* Referral program
* Vision insurance
Work Location: In person</t>
        </is>
      </c>
    </row>
    <row r="77">
      <c r="A77" t="inlineStr">
        <is>
          <t>in-ac3aa688b50ae6a4</t>
        </is>
      </c>
      <c r="B77" t="inlineStr">
        <is>
          <t>Program Manager-Supervising UMHP–Bilingual Spanish/English Required</t>
        </is>
      </c>
      <c r="C77" t="inlineStr">
        <is>
          <t>MEND</t>
        </is>
      </c>
      <c r="D77" t="inlineStr">
        <is>
          <t>indeed</t>
        </is>
      </c>
      <c r="E77">
        <f>HYPERLINK("https://www.indeed.com/viewjob?jk=ac3aa688b50ae6a4", "https://www.indeed.com/viewjob?jk=ac3aa688b50ae6a4")</f>
        <v/>
      </c>
      <c r="F77">
        <f>HYPERLINK("http://www.indeed.com/job/program-manager-supervising-umhpbilingual-spanishenglish-required-ac3aa688b50ae6a4", "http://www.indeed.com/job/program-manager-supervising-umhpbilingual-spanishenglish-required-ac3aa688b50ae6a4")</f>
        <v/>
      </c>
      <c r="G77" t="inlineStr">
        <is>
          <t>Pacoima, CA, US</t>
        </is>
      </c>
      <c r="H77" s="3" t="n">
        <v>46064</v>
      </c>
      <c r="I77" t="inlineStr">
        <is>
          <t>**POSITION TITLE**: Program Manager\-Supervising UMHP–Bilingual Spanish/English Required
**PROGRAM:** United Mental Health Promoters (UMHP)
**FSLA STATUS**: Exempt
**REPORTS TO**: Program Director\-Mental Health Clinical Supervisor
**LOCATION:** Onsite
**WAGE RANGE:** $70,000 **\-** $75,000 DOE
**START DATE: February 15, 2026**
**END DATE: June 30, 2026, with the possibility of extension**
MEND\-Meet Each Need with Dignity is a nonprofit organization headquartered in Pacoima, CA serving the crisis needs of the most vulnerable community members. Operating the San Fernando Valley’s most extensive Community Nourishment Programs, MEND distributes almost 4 million pounds of good food a year. And, in alignment with MEND’s mission and long\-term commitment to strengthen families and the community, MEND helps individuals address and overcome the long\-term challenges that have kept them from thriving through our more intensive services and programs.
**JOB SUMMARY**: Under the supervision of the Project Director\-Mental Health Clinical Supervisor, the Program Manager\-Supervising United Mental Health Promoter (UMHP) will have the primary function of providing administrative oversight to and supervision to the Senior UMHP and the UMHP team. This position will support staff in day\-to\-day program activities and/or community and individual care activities such as promoting and raising mental health awareness, case management and navigation support, community outreach, engagement, and advocacy. The Program Manager provides administrative support to the Project Director, formulating recommendations relating to community health programs and supportive services; interpret federal, state and County policies and Procedures, establish and maintain effective working relationships with staff, community members and community partners. The Program Manager is a member of MEND’s leadership team who are collectively responsible for delivering quality programs and services to advance MEND’s mission.
**ESSENTIAL FUNCTIONS:**
1\. The Program Manager provides oversight to United Mental Health Promoters Team, providing day\-to\-day support and guidance on delivering Preventive Mental Health Services that are culturally and linguistically relevant, and adequately and geographically accessible to the target population of older adults age 65\+.
2\. Supervises and coaches staff to ensure effectiveness, efficiency, compliance with grant performance and recordkeeping requirements, and conformance with MEND’s Strategic Plan objectives. Facilitates weekly department meetings to plan activities, to strategize on service delivery for participants, and evaluate services.
3\. In cooperation with Project Director, manages program staffing, including but not limited to recruitment, onboarding, training, professional development, performance appraisal, work planning, and disciplinary action.
4\. Develops agreements to provide high\-quality robust collaborative services with community partners and public agencies to meet community identified supportive service needs; promotes community engagement for program staff and participants.
5\. Applies continuous quality improvement principles to the design, implementation, revision of program delivery strategies, and performance improvement plans based on evaluation results.
6\. Stays abreast of industry standards, reviews external data and benchmarks to identify opportunities for improvements.
7\. Ensures timely and accurate data collection, analysis of program performance; oversees development of standard operating procedures, program forms and other materials.
8\. Ensures compliance with grant and funder service and budget requirements; regularly prepares and submits statistical and narrative reports on status of programs and grant outcomes.
9\. Conducts periodic case file and linkage reviews to ensure complete and accurate records are being maintained and addresses any deficiencies with program staff.
10\. Represents MEND at meetings, events and conferences as needed.
11\. Other duties as assigned.
**QUALIFICATIONS:** 
· Mental Health Lived Experience: Has learned from personal challenges and mentors; willing to learn from others and create and engage with others. Life experience reflecting familiarity with systemic racism, cultural practices and other experiences of the community in which they work.
· 5 years’ experience leading social service program addressing poverty/mental health services for people who are low income, homeless, or at risk.
· Bachelor’s degree in social work, psychology, education or related required; Master’s preferred; LCSW or LMFT is a plus. Will consider an equivalent combination of education, training, and experience.
· Bilingual English/Spanish Fluency Required.
· Experiencing developing and managing project and department budgets.
· Understanding of adult learning principles.
· Understanding of available public and private supports for increasing economic self\-sufficiency and employment outcomes, such as DPSS (GR, TANF, CalFresh), AJCCs, Occupational Centers, Community Colleges, EITC, Child Tax Credits, etc.
· Awareness of social determinants of health and barriers experienced by people in poverty.
· Strong interpersonal and motivational skills.
· Experience working with individuals with diverse ethnic backgrounds.
· Demonstrated ability to work effectively as a member of a team.
· Proficient in Microsoft Office and program CRMs; knowledge of ETO a plus.
· Excellent written and oral communication skills; able express concepts in a clear and compelling manner.
· Position requires some local travel; approx. 25% of the time; must have reliable transportation and valid automobile insurance.
· Satisfactory health screen and negative TB test.
· This position is a mandated reporter and also must have a satisfactory background check.
**TIME COMMITMENT**: Full\-time; may include some evening and weekends and local travel.
The ability to interact with staff (at all levels) in a fast\-paced environment, sometimes under pressure, remaining flexible, proactive, resourceful and efficient, with a high level of professionalism is crucial to this role. Strong written and verbal communication skills, strong decision\-making ability and attention to detail are equally important.
All positions contingent on continued funding.
All employees on County\-funded programs must be fully vaccinated against COVID\-19 as a condition of employment. Successful candidates for this position will be required to submit proof of vaccination against COVID\-19 or request an exemption for qualifying medical or religious reasons during the onboarding process. Candidates should not present proof of vaccination until instructed to do so by the hiring department.
All employees will be required to adhere to all relevant confidentiality agreements, policies and procedures to safeguard client information. Employees will be required to complete all mandatory training annually, including but not limited to HIPPA, compliance, safety, cyber security, and harassment.
To apply, please submit a cover letter and resume to jobs@mendpoverty.org**. Position open until filled.** Please include a cover letter that describes how your experiences meet all the requirements of the position.
The above statements reflect the essential functions considered necessary to describe the principal content of the job. They are not intended to be a complete statement of all work requirements or duties that may be inherent in the job. MEND is an equal opportunity employer.
MEND, named the 2022 \&amp; 2023 Daily News Reader’s Choice FAVORITE WORKPLACE and named the 2025, FAVORITE NONPROFIT is an equal opportunity employer committed to a diverse and inclusive workforce. We foster a culture that honors different perspectives, opinions, and backgrounds. Company culture is at our core.
Culture
\- Warm and welcoming environment
\- Staff and volunteers have a passion for making the world a better place
\- Investment in, care and appreciation for all employees
\- Celebrate success together at staff meetings, annual holiday celebration and for outstanding achievements
\- Emphasizes personal and professional skill development through quarterly performance appraisals and regular 1:1 meetings with management
\- Commitment to program excellence and impact
Core Values
\- **Dignity and Respect:** Recognizing and honoring the inherent worth in the people we serve and each other
\- **Integrity:** Doing the right thing, being honest, ethical, and transparent
\- **Excellence:** Always striving to do our best by embracing learning, growth, and continuous improvement
\- **Accountability:** Taking ownership of work, results, and actions, ensuring high quality services and impact.
\- **Teamwork/Collaboration:** Leveraging collective strengths and working together
Benefits
\- 100% of basic employee health coverage and life insurance paid for by employer. Dental coverage paid at 50% by employer; Vision coverage paid for by employee. May elect to purchase up to a PPO plan or obtain coverage for eligible family members at their own cost.
\- Optional benefits include Flexible Spending Account and AFLAC.
\- Employee Assistance Program (EAP) available providing 24\-hour confidential hotline for employees to help find balance, address personal concerns, and assist with day\-to\-day challenges.
\- 10 days of sick leave granted annually; ability to carry over up to 70 hours of unused sick time.
\- MEND provides vacation benefits to all full\-time and part\-time employees for the purpose of giving them a period of rest and relaxation away from work with pay. New employees accrue vacation of up to 2 weeks per year. Accruals are based on hours worked.
\- Option to participate in employee sponsored 403B retirement plan.
\- 11 paid days off: 9 holidays, 2 personal days (birthday and work anniversary).
\- Compelling work culture and values.
Pay: $70,000\.00 \- $75,000\.00 per year
Benefits:
* Dental insurance
* Health insurance
* Life insurance
* Paid time off
Work Location: In person</t>
        </is>
      </c>
    </row>
    <row r="78">
      <c r="A78" t="inlineStr">
        <is>
          <t>in-a05d2e2a246db2e2</t>
        </is>
      </c>
      <c r="B78" t="inlineStr">
        <is>
          <t>Career and Technical Program Manager - Indiana Connections Academy</t>
        </is>
      </c>
      <c r="C78" t="inlineStr">
        <is>
          <t>Connections Education</t>
        </is>
      </c>
      <c r="D78" t="inlineStr">
        <is>
          <t>indeed</t>
        </is>
      </c>
      <c r="E78">
        <f>HYPERLINK("https://www.indeed.com/viewjob?jk=a05d2e2a246db2e2", "https://www.indeed.com/viewjob?jk=a05d2e2a246db2e2")</f>
        <v/>
      </c>
      <c r="F78">
        <f>HYPERLINK("https://recruiting.ultipro.com/CON1019ACADE/JobBoard/c2b42121-092c-4125-8209-60593d2c63e0/OpportunityDetail?opportunityId=6c9d2ad9-0c6a-4a2b-8ea4-669fbdaaf51a&amp;postingId=b15ab306-f6c0-43c3-aa7d-d1f86d63c33c", "https://recruiting.ultipro.com/CON1019ACADE/JobBoard/c2b42121-092c-4125-8209-60593d2c63e0/OpportunityDetail?opportunityId=6c9d2ad9-0c6a-4a2b-8ea4-669fbdaaf51a&amp;postingId=b15ab306-f6c0-43c3-aa7d-d1f86d63c33c")</f>
        <v/>
      </c>
      <c r="G78" t="inlineStr">
        <is>
          <t>Indianapolis, IN, US</t>
        </is>
      </c>
      <c r="H78" s="3" t="n">
        <v>46064</v>
      </c>
      <c r="I78" t="inlineStr">
        <is>
          <t>**Company Summary:**  
Indiana Connections Academy (INCA) is a tuition\-free, virtual public charter school for students in grades K\-12 throughout Indiana. INCA is authorized by Ball State University and governed by an independent Board of Directors. The school is operated by Indiana Connections Academy, a nonprofit corporation, through a contract with Connections Academy of Indiana, LLC, to provide its educational program and other services. The school was founded in 2010, as part of the Indiana Department of Education Virtual School Pilot Program, and became a charter school in the fall of 2011\. INCA is accredited by Cognia.
Indiana Connections Academy is dedicated to the academic success of all our students by fostering an inclusive atmosphere that empowers students to engage in critical thinking through a standards\-based, forward\-thinking educational experience.
**Position Summary and Responsibilities:**  
Working from a home office in Indiana, the Manager of Career and Technical Education (CTE) Programming will develop and implement processes and procedures that support a high\-quality CTE and work\-readiness program for all secondary students. This role collaborates closely with the School Leader, High School Principal, and Director of School Counseling to design, refine, and evaluate the effectiveness of CTE initiatives.
The CTE Manager oversees the school’s career development, workplace\-readiness, and STEAM initiatives, ensuring alignment with state expectations. This individual is responsible for monitoring state requirements and maintaining school\-wide compliance related to work\-readiness standards, STEAM certification and integration, career and college readiness benchmarks, and internship programming.
Other key responsibilities include the following:
* Support the school’s leadership team in implementing and monitoring the school improvement plan and goals;
* Manage the implementation of Indiana Connections Academy operational protocols;
* Facilitate communication between high school electives teachers, counselors, administration, Learning Coaches, and students;
* Motivate and supervise high school elective staff in pursuit of school goals;
* Support student achievement and performance;
* Monitor the school year cycle and help to hold teachers accountable to the school year cycle duties and tasks;
* Coach and guide teachers in the virtual instruction process pertaining to CTE programming;
* Manage reconciliation between Connections Academy’s data systems and state and local student information systems;
* Provide state testing support, including travel, testing site oversight, and student participation;
* Support the Marketing Department with student outreach, marketing, and public relations pertaining to CTE programming;
* Stay current on federal and state policies, procedures, and legislation;
* Oversee staff professional development; and
* All other duties as assigned.
**Requirements**
* Minimum of 2 years of relevant work experience (preferred)
* Master’s degree
* Valid Indiana Administrator’s license
* Experience with STEAM programming preferred
* Administrative or management experience within a school environment
* Excellent communication skills, both oral and written
* Possess superior perseverance, decision\-making, problem\-solving, and conflict resolution skills
* Demonstrated ability to work efficiently in a fast\-paced environment
* Technologically proficient (especially with Microsoft Office products)
* Experience in managing people (preferred)
* Ability to travel as\-needed</t>
        </is>
      </c>
    </row>
    <row r="79">
      <c r="A79" t="inlineStr">
        <is>
          <t>in-ae5dbdc2f451afad</t>
        </is>
      </c>
      <c r="B79" t="inlineStr">
        <is>
          <t>Program Manager</t>
        </is>
      </c>
      <c r="C79" t="inlineStr">
        <is>
          <t>Hope Town, Inc.</t>
        </is>
      </c>
      <c r="D79" t="inlineStr">
        <is>
          <t>indeed</t>
        </is>
      </c>
      <c r="E79">
        <f>HYPERLINK("https://www.indeed.com/viewjob?jk=ae5dbdc2f451afad", "https://www.indeed.com/viewjob?jk=ae5dbdc2f451afad")</f>
        <v/>
      </c>
      <c r="F79">
        <f>HYPERLINK("http://www.indeed.com/job/program-manager-ae5dbdc2f451afad", "http://www.indeed.com/job/program-manager-ae5dbdc2f451afad")</f>
        <v/>
      </c>
      <c r="G79" t="inlineStr">
        <is>
          <t>Windham, OH, US</t>
        </is>
      </c>
      <c r="H79" s="3" t="n">
        <v>46064</v>
      </c>
      <c r="I79" t="inlineStr">
        <is>
          <t>**Position Summary**
The Program Manager oversees the design, delivery, and continuous improvement of Hope Town’s core Recovery Community Center programs, spanning recovery support, workforce development, and education. This role operates in an AI\-first environment and requires a candidate who is AI fluent, AI ready, and AI first—or who can demonstrate advanced behavioral adaptability in rapidly adopting and applying AI tools.
This position leads programming within Hope Town’s Recovery Community Organization (RCO), adult workforce training partnerships, and Hope Town AI Academy, ensuring programs are compliant, scalable, and outcome\-driven. The role connects recovery to opportunity through peer\-led recovery supports, skilled\-trade and technology training (including Northwest State partnerships), and leadership\-focused education.
The ideal candidate is a systems thinker and builder who can design, improve, promote, and expand services and offerings in alignment with organizational strategy and community needs.
AI\-First Expectations
* Apply an AI\-first mindset to program design, operations, curriculum, reporting, and documentation
* Use AI tools to reduce manual work, increase consistency, and improve scalability
* Demonstrate AI fluency or advanced behavioral adaptability in learning and implementing new tools
* Identify and implement automation opportunities across program workflows
* Collaborate with internal AI resources to improve efficiency and participant experience
**Key Responsibilities**
**Program Oversight (RCO, Workforce, Education)**
* Lead all RCO programming, ensuring alignment with certification standards and recovery\-oriented best practices
* Oversee adult workforce training and partnerships, including Northwest State Community College, supporting pathways in:
* Welding, HVAC, Electrical
* ASE Automotive Readiness Courses
* AI \&amp; emerging technologies
* Microsoft Office \&amp; workplace technology skills
* Ensure programs are compliant, accessible, outcome\-driven, and scalable
**AI Academy \&amp; Leadership Education**
* Oversee Hope Town’s AI Academy and leadership programs, including:
* AI literacy and leadership
* Mentorship
* Financial literacy
* Entrepreneurship
* Ensure curriculum reflects AI readiness, workforce relevance, and leadership development
* Coordinate instructors, facilitators, and partners
**Curriculum, Operations \&amp; Systems**
* Design and refine curriculum across recovery, workforce, and education programs
* Use AI tools to support curriculum creation, documentation, and iteration
* Oversee day\-to\-day operations with an emphasis on efficiency, automation, and clarity
* Develop workflows, procedures, and documentation
* Identify bottlenecks and implement AI\-supported solutions
**Grants, Reporting \&amp; Sustainability**
* Support grant\-funded programs by tracking deliverables, timelines, and outcomes
* Use AI\-assisted tools to streamline reporting and compliance
* Ensure alignment with funding requirements and long\-term sustainability
**Collaboration, Promotion \&amp; Leadership**
* Work cross\-functionally with leadership, recovery, operations, and administrative teams
* Support strategic planning and program expansion
* Actively promote and evolve Hope Town services and offerings
* Represent Hope Town with funders, partners, and community stakeholders
* Model innovation, adaptability, and mission\-aligned leadership
**Qualifications**
**Required**
* Bachelor’s degree in a related field or equivalent experience
* Program management experience in recovery, workforce development, education, or nonprofit settings
* Demonstrated AI fluency or advanced behavioral adaptability
* Strong organizational, communication, and documentation skills
* Experience with grants or funded programs
**Preferred**
* RCO experience
* Adult education or workforce training partnerships
* Curriculum design or facilitation experience
* Recovery\-aligned lived or professional experience
**Core Competencies**
* AI\-first systems thinking
* Program and curriculum design
* Workflow automation mindset
* Cross\-sector collaboration
* Participant\-centered leadership
**What Success Looks Like**
* Within 12 months, 30–50% of routine tasks associated with this role are streamlined or replaced through AI\-driven automations and workflows
* Programs are compliant, well\-documented, and consistently delivered
* Participants progress from recovery support into training and employment
* Education and workforce programs demonstrate measurable outcomes
* Services and offerings expand based on community needs
* The Program Manager actively models AI fluency, adaptability, and innovation
**Physical Demands and Work Environment** 
The physical demands described here are representative of those that must be met by an employee to successfully perform the essential functions of this position. Reasonable accommodations may be made to enable individuals with disabilities to perform the functions. While performing the duties of this position, the employee is regularly required to talk or hear. The employee frequently is required to use hands or fingers, handle or feel objects, tools, or controls. The employee is occasionally required to stand; walk; sit; and reach with hands and arms. The employee must occasionally lift and/or move up to 25 pounds. Specific vision abilities required by this position include close vision, distance vision, and the ability to adjust focus. The noise level in the work environment is usually low to moderate.
Note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Pay: From $60,000\.00 per year
Benefits:
* Health insurance
* Paid time off
People with a criminal record are encouraged to apply
Work Location: In person</t>
        </is>
      </c>
    </row>
    <row r="80">
      <c r="A80" t="inlineStr">
        <is>
          <t>in-3d4f1ea3ddec71f6</t>
        </is>
      </c>
      <c r="B80" t="inlineStr">
        <is>
          <t>Senior Product Manager - Transportation Management System (TMS)</t>
        </is>
      </c>
      <c r="C80" t="inlineStr">
        <is>
          <t>Walmart</t>
        </is>
      </c>
      <c r="D80" t="inlineStr">
        <is>
          <t>indeed</t>
        </is>
      </c>
      <c r="E80">
        <f>HYPERLINK("https://www.indeed.com/viewjob?jk=3d4f1ea3ddec71f6", "https://www.indeed.com/viewjob?jk=3d4f1ea3ddec71f6")</f>
        <v/>
      </c>
      <c r="F80">
        <f>HYPERLINK("https://click.appcast.io/t/3hh-o5RsC7WE7Og6hVEqp9SV5UxJfvW6UVfHNwGsN1o=", "https://click.appcast.io/t/3hh-o5RsC7WE7Og6hVEqp9SV5UxJfvW6UVfHNwGsN1o=")</f>
        <v/>
      </c>
      <c r="G80" t="inlineStr">
        <is>
          <t>Bentonville, AR, US</t>
        </is>
      </c>
      <c r="H80" s="3" t="n">
        <v>46063</v>
      </c>
      <c r="I80" t="inlineStr">
        <is>
          <t>**Position Summary...**
-----------------------
Make the backbone of our transportation smarter.  
Lead the transformation of our Transportation Management System—a cloud‑based platform that powers how loads are created, configured, and moved every day. Drive a single source of truth for master data, modernize core workflows and configuration, and elevate the front‑end experience so carriers and internal teams can operate with speed and confidence.**What you'll do...**
---------------------
**What you’ll do…**
* **Modernize master data management.** Define the vision, strategy, and sequencing to migrate products and data from legacy systems to Stride—minimizing risk while accelerating value realization. Align business, engineering, and operations on clear milestones and metrics.
* **Build the single source of truth for loads.** Lead master data management (MDM) and configuration so every load is consistent, accurate, and auditable across carriers, services, and channels.
* **Champion data‑driven decisions.** Instrument features, analyze adoption/usage, and translate insights (e.g., conversion, active users, feature usage, NPS, churn) into clear prioritization and iterative improvements.
* **Coordinate front‑end systems.** Partner with UX to simplify complex workflows into intuitive experiences; ensure UI, API, and data contracts are designed for scale and reliability.
* **Drive cross‑functional execution.** Orchestrate engineering, UX, carrier operations, finance, and compliance through major transitions; anticipate dependencies, unblock teams, and keep delivery on track.
* **Set guardrails for quality \&amp; risk.** Represent product requirements in technical design reviews; align on data architecture, cloud choices, performance, and InfoSec standards to protect customers and operations.
**You’ll make an impact by…**
* **Thinking in systems and data.** You understand where data lives, how it flows (pipelines, storage, retrieval), and how architecture decisions impact reliability, performance, and governance.
* **Balancing product and project muscles.** You can write crisp PRDs and also run complex workstreams—with the calm, organization, and communication skills big transitions demand.
* **Simplifying the hard stuff.** You turn fragmented workflows into clear journeys, make processes lighter, and build experiences people actually enjoy using.
**Preferred Qualifications:**
* **Experience:** 5\-7 years in product management (or adjacent roles) owning platforms or complex enterprise workflows; proven success leading migrations or re‑platforming initiatives.
* **Technical acumen:** Comfortable with cloud services, data architecture (storage, orchestration, lineage), APIs/integration patterns, and quality/observability practices.
* **Analytics:** Hands‑on with product analytics (instrumentation, dashboards, experimentation) and the ability to turn signals into decisions.
* **Execution:** Advanced stakeholder management; expert planning and communication; adept at driving cross‑functional delivery in Agile environments.
* **Domain (nice to have):** Transportation, logistics, or supply chain; carrier operations; master data management.
**Why join us?**
* **Impact at scale:** Shape a mission‑critical platform that sits at the heart of transportation operations.
* **Real modernization:** Help design the future state—not just maintain the past—using cloud‑first patterns and strong data foundations.
* **Growth environment:** Partner with outstanding UX and engineering teams, ship iteratively, and see your work move real loads
**Apply if this sounds like you** You’re heavily organized, thrive in complex environments, and stay steady through major transitions. You care about outcomes, data, and people—and you’re ready to make the backbone of transportation measurably better.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engineering, or related area and 5 years’ experience in product management. Option 2: 7 years’ experience in product management or related area.**Preferred Qualifications...**
-------------------------------
*Outlined below are the optional preferred qualifications for this position. If none are listed, there are no preferred qualifications.*
Master’s degree in Computer Science, Engineering, Business Administration, or related area and 4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Business Administration, Masters: Computer Engineering, Masters: Computer Science**Primary Location...**
-----------------------
805 Respect Dr,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81">
      <c r="A81" t="inlineStr">
        <is>
          <t>in-947857dd70f518c2</t>
        </is>
      </c>
      <c r="B81" t="inlineStr">
        <is>
          <t>Staff, Product Manager</t>
        </is>
      </c>
      <c r="C81" t="inlineStr">
        <is>
          <t>Walmart</t>
        </is>
      </c>
      <c r="D81" t="inlineStr">
        <is>
          <t>indeed</t>
        </is>
      </c>
      <c r="E81">
        <f>HYPERLINK("https://www.indeed.com/viewjob?jk=947857dd70f518c2", "https://www.indeed.com/viewjob?jk=947857dd70f518c2")</f>
        <v/>
      </c>
      <c r="F81">
        <f>HYPERLINK("https://click.appcast.io/t/SGRaDJ6MuXUH4llYwXAbKbbXexBqMm4sG0UbX2DLMYk=", "https://click.appcast.io/t/SGRaDJ6MuXUH4llYwXAbKbbXexBqMm4sG0UbX2DLMYk=")</f>
        <v/>
      </c>
      <c r="G81" t="inlineStr">
        <is>
          <t>Bentonville, AR, US</t>
        </is>
      </c>
      <c r="H81" s="3" t="n">
        <v>46063</v>
      </c>
      <c r="I81" t="inlineStr">
        <is>
          <t>**Position Summary...**
-----------------------
**What you'll do...**
---------------------
**Role summary:**
As a Staff Product Manager, you will lead the development and execution of product strategies that align with customer needs and business objectives. This role requires leveraging data\-driven insights to inform product roadmaps, managing stakeholder relationships, and driving product lifecycle processes using modern methodologies. You will identify opportunities for innovation, optimize customer experiences, and communicate product vision effectively across cross\-functional teams. Your expertise in emerging technologies and agile practices will support the delivery of scalable solutions that enhance value and operational efficiency within a dynamic environment.
**About the team:**
The team supports Product Transportation (TMS) by driving data\-informed product decisions and managing product roadmaps. It collaborates closely with stakeholders to align priorities and deliver customer value through process optimization and innovative solutions. The team embraces modern practices such as Agile and Lean methodologies to develop and scale products efficiently. Members focus on emerging technologies and market trends to enhance product strategy and execution. This group fosters clear communication, continuous improvement, and effective problem\-solving to meet business objectives and support the evolving needs of customers and partners.
**What you'll do:**
* Develop and own product roadmaps, prioritizing features and managing backlogs to align with business goals and customer needs.
* Analyze product and feature data to identify trends, inform decisions, and optimize product performance.
* Collaborate with cross\-functional teams and stakeholders to build consensus and communicate product vision and strategy effectively.
* Conduct customer research and journey mapping to enhance product experiences and address gaps.
* Lead product development cycles using Agile methodologies, including MVP creation and iterative improvements.
* Monitor emerging technologies and industry trends to drive innovation and competitive advantage.
**What you'll bring:**
* Proven experience in product strategy development and execution, including roadmap creation and MVP management.
* Strong stakeholder management skills with the ability to build alignment and communicate complex information clearly.
* Proficiency in data\-driven decision making, utilizing analytics tools to monitor, evaluate, and optimize product performance.
* Knowledge of emerging technologies and industry trends to inform product innovation and competitive positioning.
* Ability to apply design thinking and customer journey mapping to enhance customer satisfaction and process optimization.
* Familiarity with Agile methodologies and product development lifecycles to drive iterative improvements.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engineering, or related area and 7 years’ experience in product management. Option 2: 9 years’ experience in product management or related area.**Preferred Qualifications...**
-------------------------------
*Outlined below are the optional preferred qualifications for this position. If none are listed, there are no preferred qualifications.*
Master’s degree in Computer Science, Engineering, Business Administration, or related area and 6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702 Sw 8Th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82">
      <c r="A82" t="inlineStr">
        <is>
          <t>in-8821288a46ed397f</t>
        </is>
      </c>
      <c r="B82" t="inlineStr">
        <is>
          <t>Bilingual Family Resource Schools Program Manager</t>
        </is>
      </c>
      <c r="C82" t="inlineStr">
        <is>
          <t>City of Boulder, CO</t>
        </is>
      </c>
      <c r="D82" t="inlineStr">
        <is>
          <t>indeed</t>
        </is>
      </c>
      <c r="E82">
        <f>HYPERLINK("https://www.indeed.com/viewjob?jk=8821288a46ed397f", "https://www.indeed.com/viewjob?jk=8821288a46ed397f")</f>
        <v/>
      </c>
      <c r="F82">
        <f>HYPERLINK("https://bouldercolorado.wd1.myworkdayjobs.com/en-US/External/job/Boulder-CO/Bilingual-Family-Resource-Schools-Program-Manager_JR8128", "https://bouldercolorado.wd1.myworkdayjobs.com/en-US/External/job/Boulder-CO/Bilingual-Family-Resource-Schools-Program-Manager_JR8128")</f>
        <v/>
      </c>
      <c r="G82" t="inlineStr">
        <is>
          <t>Boulder, CO, US</t>
        </is>
      </c>
      <c r="H82" s="3" t="n">
        <v>46063</v>
      </c>
      <c r="I82" t="inlineStr">
        <is>
          <t>It’s a great time to join the City of Boulder!
Application Deadline:
February 25, 2026
Compensation Details:
Full Pay Range
69,118\.40 \- 100,297\.60
Generally, the hiring range is from the minimum up to 80% of the range.This is a full\-time salaried position.
Scheduled Weekly Hours:
40
Benefit Eligibility Group:
Non Union (30\+ Hours)
Locate the Benefit Eligibility Group value on the Employee Benefit Eligibility document to identify the benefits offered for this job.
Job Description Summary:
Under general supervision, the Bilingual Family Resource Schools Program Manager supports families with students at five (5\) elementary schools within the City of Boulder in raising healthy, thriving children through programming that encourages family self\-sufficiency and removes barriers to children’s educational success. In partnership with the Boulder Valley School District (BVSD), Family Resource Schools (FRS) staff serve the whole school community with focus on at\-risk, traditionally under\-represented and under\-served children and families.
Job Description:
ESSENTIAL DUTIES AND RESPONSIBILITIES
Basic Assistance and Case Management, including* Assessing family needs and providing direct or resource and referral services, as appropriate
* Making referrals to services in the community or within the school
* Providing advocacy, case management, and maintaining accurate and complete records and data
Afterschool Program* Designs, coordinates and implements enrichment programs that complement academics
* Collaborates with community agencies; oversees afterschool providers
Parent Engagement, Leadership Development and Volunteerism* Collaborates with BVSD Parent and Family Partnership and school parent organization (PTO/PTA)
* Facilitates informal support networks among parents through workshops, events and activities
Planning and Coordination* Conducts needs assessments and evaluations to determine school needs
* Engages school staff and program partners in service planning and coordination
* Monitors site budget, ensuring that funds are spent appropriately and within budget
Reporting and Communications* Collects data and documentation; responsible for monthly and quarterly tracking
Other* Follows City of Boulder, BVSD, and program policies and procedures
* Understands and implements requirements for confidentiality and abuse and neglect reporting
* Responsible for safety of self and others, materials and equipment. Takes proper safety precautions to prevent accidents. Reports all accidents following City of Boulder and BVSD requirement.
MINIMUM QUALIFICATIONS* Ability to communicate fluently in Spanish and English with strong written and oral skills.
* Ability to work independently with minimal supervision.
* Ability to work with a wide range of sensitive issues and maintain confidentiality.
* Knowledge of confidentiality requirements and practices for case management and how to apply in a school setting.
* Skill in data collection and reporting.
* Skill in effective communication with people of different ages and from diverse ethnic, cultural, and socioeconomic backgrounds in a positive and cooperative manner.
* Skill in internal and external customer service.
* Skill in management, including administration, planning and organization.
* Valid Driver’s License and ability to maintain an acceptable motor vehicle record.
* Have and maintain acceptable background information including criminal conviction history, sex offender and child abuse \&amp; neglect registries.
PREFERRED QUALIFICATIONS* Ability to actively practice self\-care.
* Ability to demonstrate competence working with diverse populations, through lived experience and one's own identity.
* Ability to demonstrate sufficient cultural competency to serve Latino/Hispanic demographics.
* Ability to perform well in team\-oriented environment.
* Knowledge of resources and services available to families in Boulder.
* Skill and experience working with children and/or in a school setting.
* Skill in budget management.
* Skill in management of contractors and volunteers.
REQUIRED EDUCATION AND EXPERIENCE* Bachelor’s degree in Social Work, Human Services, or Education; or equivalent of eight (8\) years related experience may substitute for the education requirement only.
* Two (2\) years’ relevant work experience in case management, social work, human services or an educational setting
SUPERVISION
Supervision Received: Family and Youth Services Manager
Supervision Exercised: None
WORKING CONDITIONS AND REQUIREMENTS* Physical and Mental Effort: Sufficient clarity of speech and hearing or other communication capabilities that permits the employee to communicate effectively on the telephone and in person. Sufficient vision or other powers of observation that permits the employee to review, evaluate and prepare a variety of written documents and materials. Sufficient manual dexterity that permits the employee to operate computer equipment and other office equipment. Sufficient personal mobility and physical reflexes, which permits the employee to work in an office setting. Ability to work under stress from deadlines and public contact.
* Work Environment: Works primarily in a clean, comfortable environment. Works in a setting subject to continuous interruptions and background noises. Works in a setting subject to continuous interruptions and background noises. This position is subject to the City’s Hybrid Work Policy which establishes a minimum in\-person work schedule of the equivalent number of hours associated with two (2\) days per standard work week. Must be present within the State of Colorado and be able to work in\-person according to the Hybrid Work Policy at the time of employment. Attendance at occasional evening and weekend meetings may be required to perform the duties and responsibilities associated with this position.
* Machines and Equipment Used: Frequently uses standard office equipment including computers, telephones, calculators and copy/fax machines.
Additional Job Description:
Last updated: February 2025
The City of Boulder is committed to a diverse and inclusive workplace. We are an equal opportunity employer and do not discriminate on the basis of race, national origin, gender, gender identity, sexual orientation, protected veteran status, disability, age, or other legally protected statute. For individuals with disabilities who would like to request an accommodation, please send a request to riskmanagement@bouldercolorado.gov.</t>
        </is>
      </c>
    </row>
    <row r="83">
      <c r="A83" t="inlineStr">
        <is>
          <t>in-7b99bafc6fdf281a</t>
        </is>
      </c>
      <c r="B83" t="inlineStr">
        <is>
          <t>Program Manager</t>
        </is>
      </c>
      <c r="C83" t="inlineStr">
        <is>
          <t>Community Options</t>
        </is>
      </c>
      <c r="D83" t="inlineStr">
        <is>
          <t>indeed</t>
        </is>
      </c>
      <c r="E83">
        <f>HYPERLINK("https://www.indeed.com/viewjob?jk=7b99bafc6fdf281a", "https://www.indeed.com/viewjob?jk=7b99bafc6fdf281a")</f>
        <v/>
      </c>
      <c r="F83">
        <f>HYPERLINK("https://careers.comop.org/jobs/17333161-program-manager?tm_job=5691&amp;tm_event=view&amp;tm_company=91238", "https://careers.comop.org/jobs/17333161-program-manager?tm_job=5691&amp;tm_event=view&amp;tm_company=91238")</f>
        <v/>
      </c>
      <c r="G83" t="inlineStr">
        <is>
          <t>King of Prussia, PA, US</t>
        </is>
      </c>
      <c r="H83" s="3" t="n">
        <v>46063</v>
      </c>
      <c r="I83" t="inlineStr">
        <is>
          <t>**Description**  
**Community Options, Inc.** is a national non\-profit agency providing services to individuals with disabilities in 12 states.  
We are actively seeking an experienced **Residential Program Manager** in **King of Prussia****,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t>
        </is>
      </c>
    </row>
    <row r="84">
      <c r="A84" t="inlineStr">
        <is>
          <t>in-3f324c52d540ba69</t>
        </is>
      </c>
      <c r="B84" t="inlineStr">
        <is>
          <t>Senior Product Manager</t>
        </is>
      </c>
      <c r="C84" t="inlineStr">
        <is>
          <t>Meltwater</t>
        </is>
      </c>
      <c r="D84" t="inlineStr">
        <is>
          <t>indeed</t>
        </is>
      </c>
      <c r="E84">
        <f>HYPERLINK("https://www.indeed.com/viewjob?jk=3f324c52d540ba69", "https://www.indeed.com/viewjob?jk=3f324c52d540ba69")</f>
        <v/>
      </c>
      <c r="F84">
        <f>HYPERLINK("https://meltwatercareers.ttcportals.com/en/jobs/17332194-senior-product-manager?tm_job=12706-OTHLOC-CyxnYfwa&amp;tm_event=view&amp;tm_company=89119", "https://meltwatercareers.ttcportals.com/en/jobs/17332194-senior-product-manager?tm_job=12706-OTHLOC-CyxnYfwa&amp;tm_event=view&amp;tm_company=89119")</f>
        <v/>
      </c>
      <c r="G84" t="inlineStr">
        <is>
          <t>TX, US</t>
        </is>
      </c>
      <c r="H84" s="3" t="n">
        <v>46063</v>
      </c>
      <c r="I84" t="inlineStr">
        <is>
          <t>**Description**  
About the Role  
Meltwater is looking for a Senior Product Manager to lead Search Services \- the foundational capabilities that power how customers discover, refine, organize, and reuse data across our social and media intelligence platform.
Search sits at the heart of Meltwater’s products. The systems you own will enable customers to move seamlessly from exploration to insight, supporting workflows that span saved searches, filtering, enrichment, and downstream analytics and reporting. Your work will directly shape how efficiently users surface trends, monitor narratives, and make data\-driven decisions at scale.
This role is ideal for a product leader who enjoys operating at the intersection of platform architecture, user experience, and data\-driven insights, and who thrives on solving complex problems with broad organizational impact.  
What You’ll Own  
Core Search \&amp; Asset Services* Own the strategy and evolution of the services that allow customers to create, manage, organize, and reuse searches and related assets across Meltwater’s platform
* Enable intuitive organization and retrieval experiences that scale from individual users to large enterprise teams
* Provide reliable, scalable access to search assets and metadata for use across multiple Meltwater applications
Search Filtering \&amp; Metadata* Lead the development of powerful, usable search filtering capabilities, spanning both user experience and backend services
* Expand the metadata and dimensions customers can use to refine results while maintaining performance, clarity, and ease of use
* Define reusable filtering patterns that can be consistently applied across products and surfaces
Cross\-Product Workflows* Identify opportunities to connect search creation with downstream analysis, reporting, and monitoring workflows
* Enable natural, efficient transitions between finding data and turning it into insights across the Meltwater ecosystem
What You’ll Do* Define and execute a clear product vision and roadmap for Search Services in close partnership with Design and Engineering
* Balance near\-term delivery with longer\-term platform strategy and scalability
* Establish and track meaningful product KPIs, using data to inform decisions and continuously improve outcomes
* Collaborate closely with Product, Engineering, UX, Product Marketing, and Customer\-facing teams to align solutions with customer needs and business priorities
* Communicate progress, trade\-offs, and direction clearly to stakeholders across the organization
What You’ll Bring* 7\+ years of product management experience, with ownership of complex product areas involving search, data retrieval, content organization, or platform services
* Strong technical fluency, with the ability to partner effectively with engineering teams on APIs, services, and data\-driven systems
* Experience designing products that balance flexibility, usability, and performance at scale
* Proven ability to use product usage data and platform metrics to evaluate success and guide iteration
* Excellent communication and collaboration skills, with a track record of aligning cross\-functional teams around shared outcomes
* A strategic mindset paired with a hands\-on approach to execution
* Bachelor’s degree or equivalent practical experience required; advanced degree a plus.
Why Join Meltwater  
At Meltwater, you’ll work on products that help organizations around the world understand the narratives shaping their industries. As Senior Product Manager for Search Services, you’ll own a highly visible, high\-impact product area that influences nearly every customer workflow \- and you’ll help define how search and insight generation evolve across a complex, data\-rich platform.  
**What We Offer**:  
* + Enjoy flexible paid time off that allows you to have an enhanced work\-life balance.
	+ Excellent medical, dental, and vision options
	+ 401(k) matching, life insurance, commuter benefits, and parental leave plans
	+ Complimentary CalmApp subscription for you and your loved ones, because mental wellness matters.
	+ Energetic work environment with a hybrid work style, providing the balance you need.
	+ Thrive within our inclusive community and seize ongoing professional development opportunities to elevate your career.  
	**Compensation Overview**  
	Competitive Compensation: Base Salary of $970000 \- $1616000 USD per year \+ quarterly commission subject to the terms of the applicable bonus plan.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  
We may use AI to assist in aspects of our hiring process, such as reviewing candidate information and supporting evaluation activities. These tools are used only to assist our team through increased efficiencies. Every output continues to be reviewed by humans, and all hiring decisions are made by humans. We remain committed to evaluating candidates fairly, consistently, and in compliance with all applicable laws.</t>
        </is>
      </c>
    </row>
    <row r="85">
      <c r="A85" t="inlineStr">
        <is>
          <t>in-403c868147bb107f</t>
        </is>
      </c>
      <c r="B85" t="inlineStr">
        <is>
          <t>Senior Product Manager</t>
        </is>
      </c>
      <c r="C85" t="inlineStr">
        <is>
          <t>Meltwater</t>
        </is>
      </c>
      <c r="D85" t="inlineStr">
        <is>
          <t>indeed</t>
        </is>
      </c>
      <c r="E85">
        <f>HYPERLINK("https://www.indeed.com/viewjob?jk=403c868147bb107f", "https://www.indeed.com/viewjob?jk=403c868147bb107f")</f>
        <v/>
      </c>
      <c r="F85">
        <f>HYPERLINK("https://meltwatercareers.ttcportals.com/en/jobs/17332197-senior-product-manager?tm_job=12706-OTHLOC-CKxnYfwm&amp;tm_event=view&amp;tm_company=89119", "https://meltwatercareers.ttcportals.com/en/jobs/17332197-senior-product-manager?tm_job=12706-OTHLOC-CKxnYfwm&amp;tm_event=view&amp;tm_company=89119")</f>
        <v/>
      </c>
      <c r="G85" t="inlineStr">
        <is>
          <t>Washington, DC, US</t>
        </is>
      </c>
      <c r="H85" s="3" t="n">
        <v>46063</v>
      </c>
      <c r="I85" t="inlineStr">
        <is>
          <t>**Description**  
About the Role  
Meltwater is looking for a Senior Product Manager to lead Search Services \- the foundational capabilities that power how customers discover, refine, organize, and reuse data across our social and media intelligence platform.
Search sits at the heart of Meltwater’s products. The systems you own will enable customers to move seamlessly from exploration to insight, supporting workflows that span saved searches, filtering, enrichment, and downstream analytics and reporting. Your work will directly shape how efficiently users surface trends, monitor narratives, and make data\-driven decisions at scale.
This role is ideal for a product leader who enjoys operating at the intersection of platform architecture, user experience, and data\-driven insights, and who thrives on solving complex problems with broad organizational impact.  
What You’ll Own  
Core Search \&amp; Asset Services* Own the strategy and evolution of the services that allow customers to create, manage, organize, and reuse searches and related assets across Meltwater’s platform
* Enable intuitive organization and retrieval experiences that scale from individual users to large enterprise teams
* Provide reliable, scalable access to search assets and metadata for use across multiple Meltwater applications
Search Filtering \&amp; Metadata* Lead the development of powerful, usable search filtering capabilities, spanning both user experience and backend services
* Expand the metadata and dimensions customers can use to refine results while maintaining performance, clarity, and ease of use
* Define reusable filtering patterns that can be consistently applied across products and surfaces
Cross\-Product Workflows* Identify opportunities to connect search creation with downstream analysis, reporting, and monitoring workflows
* Enable natural, efficient transitions between finding data and turning it into insights across the Meltwater ecosystem
What You’ll Do* Define and execute a clear product vision and roadmap for Search Services in close partnership with Design and Engineering
* Balance near\-term delivery with longer\-term platform strategy and scalability
* Establish and track meaningful product KPIs, using data to inform decisions and continuously improve outcomes
* Collaborate closely with Product, Engineering, UX, Product Marketing, and Customer\-facing teams to align solutions with customer needs and business priorities
* Communicate progress, trade\-offs, and direction clearly to stakeholders across the organization
What You’ll Bring* 7\+ years of product management experience, with ownership of complex product areas involving search, data retrieval, content organization, or platform services
* Strong technical fluency, with the ability to partner effectively with engineering teams on APIs, services, and data\-driven systems
* Experience designing products that balance flexibility, usability, and performance at scale
* Proven ability to use product usage data and platform metrics to evaluate success and guide iteration
* Excellent communication and collaboration skills, with a track record of aligning cross\-functional teams around shared outcomes
* A strategic mindset paired with a hands\-on approach to execution
* Bachelor’s degree or equivalent practical experience required; advanced degree a plus.
Why Join Meltwater  
At Meltwater, you’ll work on products that help organizations around the world understand the narratives shaping their industries. As Senior Product Manager for Search Services, you’ll own a highly visible, high\-impact product area that influences nearly every customer workflow \- and you’ll help define how search and insight generation evolve across a complex, data\-rich platform.  
**What We Offer**:  
* + Enjoy flexible paid time off that allows you to have an enhanced work\-life balance.
	+ Excellent medical, dental, and vision options
	+ 401(k) matching, life insurance, commuter benefits, and parental leave plans
	+ Complimentary CalmApp subscription for you and your loved ones, because mental wellness matters.
	+ Energetic work environment with a hybrid work style, providing the balance you need.
	+ Thrive within our inclusive community and seize ongoing professional development opportunities to elevate your career.  
	**Compensation Overview**  
	Competitive Compensation: Base Salary of $970000 \- $1616000 USD per year \+ quarterly commission subject to the terms of the applicable bonus plan.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  
We may use AI to assist in aspects of our hiring process, such as reviewing candidate information and supporting evaluation activities. These tools are used only to assist our team through increased efficiencies. Every output continues to be reviewed by humans, and all hiring decisions are made by humans. We remain committed to evaluating candidates fairly, consistently, and in compliance with all applicable laws.</t>
        </is>
      </c>
    </row>
    <row r="86">
      <c r="A86" t="inlineStr">
        <is>
          <t>in-149a0980c4215dca</t>
        </is>
      </c>
      <c r="B86" t="inlineStr">
        <is>
          <t>Technical Program Manager III, AI and Infrastructure, Google Cloud</t>
        </is>
      </c>
      <c r="C86" t="inlineStr">
        <is>
          <t>Google</t>
        </is>
      </c>
      <c r="D86" t="inlineStr">
        <is>
          <t>indeed</t>
        </is>
      </c>
      <c r="E86">
        <f>HYPERLINK("https://www.indeed.com/viewjob?jk=149a0980c4215dca", "https://www.indeed.com/viewjob?jk=149a0980c4215dca")</f>
        <v/>
      </c>
      <c r="F86">
        <f>HYPERLINK("https://careers.google.com/jobs/results/93123419125490374-technical-program-manager-iii/", "https://careers.google.com/jobs/results/93123419125490374-technical-program-manager-iii/")</f>
        <v/>
      </c>
      <c r="G86" t="inlineStr">
        <is>
          <t>Sunnyvale, CA, US</t>
        </is>
      </c>
      <c r="H86" s="3" t="n">
        <v>46063</v>
      </c>
      <c r="I86" t="inlineStr">
        <is>
          <t>### **Minimum qualifications:**
* Bachelor's degree in a technical field, or equivalent practical experience.
* 5 years of experience in program management.
* Experience in managing and delivering programs in one of the following areas: infrastructure systems, system design, and infrastructure operations.
### **Preferred qualifications:**
* 5 years of experience managing cross\-functional or cross\-team projects.
* Experience in leveraging scope\-cost\-time\-quality tradeoffs to help accomplish the goals of the program.
* Knowledge of SQL, comfortable writing scripts and building dashboards.
* Proven track record of technical program management outcomes from concept to launching programs.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In this role, you will be leading multi\-disciplinary projects from concept to delivery, mobilizing cross functional teams, delivering solutions and ensuring that business critical decisions are being made based on rigorous analysis and data. You will be a problem solver by nature who connect strategy, execution, and establish process\-oriented excellence in an organization. Your passion, technical and business depth, and excellent organizational, communication, and teamwork skills will inspire our teams and establish trust amongst a various set of executive leaders, stakeholders and customers.  
You will have the opportunity to make an impact towards the highest priority programs for AI and Infrastructure. If you share our passion for delivering infrastructure, platforms and tools that power Google's AI\-first products and Cloud, we’d love to have you on the team!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Drive end\-to\-end program outcomes, manage software engineering scoping, execution and delivery, and program and manage across large or various cross\-organizational teams.
* Communicate progress, and risks. Propose mitigation plans, and align stakeholders on risk mitigation strategies.
* Manage escalations and unblock obstacles, ensure all leadership/stakeholders are aware of progress/blockers on a continuous basis.
* Use technical judgement to build consensus, drive projects, schedule, plans, execution, and communicate status to stakeholders and engineering teams.
* Analyze processes, identify opportunities for improvement, define requirements, and collaborate cross\-functionally and globally to improve processes and tools.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7">
      <c r="A87" t="inlineStr">
        <is>
          <t>in-a797128f89c8dd39</t>
        </is>
      </c>
      <c r="B87" t="inlineStr">
        <is>
          <t>Senior Product Manager, Google Compute</t>
        </is>
      </c>
      <c r="C87" t="inlineStr">
        <is>
          <t>Google</t>
        </is>
      </c>
      <c r="D87" t="inlineStr">
        <is>
          <t>indeed</t>
        </is>
      </c>
      <c r="E87">
        <f>HYPERLINK("https://www.indeed.com/viewjob?jk=a797128f89c8dd39", "https://www.indeed.com/viewjob?jk=a797128f89c8dd39")</f>
        <v/>
      </c>
      <c r="F87">
        <f>HYPERLINK("https://careers.google.com/jobs/results/88322401602806470-senior-product-manager/", "https://careers.google.com/jobs/results/88322401602806470-senior-product-manager/")</f>
        <v/>
      </c>
      <c r="G87" t="inlineStr">
        <is>
          <t>Seattle, WA, US</t>
        </is>
      </c>
      <c r="H87" s="3" t="n">
        <v>46063</v>
      </c>
      <c r="I87" t="inlineStr">
        <is>
          <t>In accordance with Washington state law, we are highlighting our comprehensive benefits package, which is available to all eligible US based employees. Benefits for this role include:*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**Minimum qualifications:**
* Bachelor's degree or equivalent practical experience.
* 8 years of experience in product management or related technical role.
* 3 years of experience taking technical products from conception to launch (e.g., ideation to execution, end\-to\-end, 0 to 1, etc).
* 3 years of experience working with Cloud, Compute, SaaS, or enterprise technologies.
### **Preferred qualifications:**
* Experience driving product goal, go\-to\-market strategy, and design discussions.
* Experience managing day\-to\-day technical and design direction.
* Experience in compute architecture, data center infrastructure, CPU (x86/Arm) and I/O technologies, and operational aspects of cloud servers.
* Experience bringing innovative, category\-defining tech products to market and driving product goal and GTM strategy.
* Understanding of locally attached Storage systems (LSDD), performance needs, and workload requirements for enterprise applications like MSSQL or SAP HANA.
* Ability to communicate effectively and influence decisions cross\-functionally and at all levels of an organization.
**About the job**
-----------------
As a Senior Product Manager, you will define the roadmap for the core infrastructure that powers Google Compute Engine (GCE), one of the world’s largest compute fleets. You will bridge the gap between long\-range hardware planning and high\-impact go\-to\-market strategies that drive substantial revenue. This role is critical in helping global enterprises modernize their environments by delivering scalable, high\-performance virtual machine (VM) solutions. By optimizing the underlying stack, you will directly influence the performance, efficiency, and flexibility that thousands of businesses rely on every day.  
You will build the most enterprise\-ready cloud platform on the planet and your goal is to enable a global infrastructure that is both massive in scale and nimble enough to drive the latest innovations in AI, machine learning, and general\-purpose compute.
You will operate with a "Silicon\-to\-Software" mindset which means owning the entire life\-cycle, from custom silicon and server configurations to the hypervisor and Guest OS to ensure our customers always have the most optimized environment possible.
In this role, you will combine deep technical "chops" in the compute domain with a savvy business leader. You will not only plan for the next generation of processors but also lead the GTM efforts that turn technical breakthroughs into $500M agreements. You will engage in compelling conversations with Vice President (VPs) at major partners and customers to solve their most technical issues.The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behind Google's groundbreaking innovations, empowering the development of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drive the multi\-year product roadmap for CPU and memory technologies, ensuring Google Compute Engine meets the performance and efficiency needs of modern workloads.
* Lead the product lifecycle for compute\-based virtual machines, from deep\-range silicon feature planning through to broad market scaling and adoption.
* Conduct business development strategy and go\-to\-market activities, building sales programs to secure business and market share for new infrastructure products.
* Serve as a technical and business expert in customer\-facing engagements, influencing executive stakeholders at major partner and customer organizations.
* Collaborate with engineering, UX, marketing, and sales teams across all layers of the cloud stack to prioritize initiatives and maximize return on investment.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8">
      <c r="A88" t="inlineStr">
        <is>
          <t>in-7bf018e334a1ed39</t>
        </is>
      </c>
      <c r="B88" t="inlineStr">
        <is>
          <t>Senior Product Manager, Google Compute</t>
        </is>
      </c>
      <c r="C88" t="inlineStr">
        <is>
          <t>Google</t>
        </is>
      </c>
      <c r="D88" t="inlineStr">
        <is>
          <t>indeed</t>
        </is>
      </c>
      <c r="E88">
        <f>HYPERLINK("https://www.indeed.com/viewjob?jk=7bf018e334a1ed39", "https://www.indeed.com/viewjob?jk=7bf018e334a1ed39")</f>
        <v/>
      </c>
      <c r="F88">
        <f>HYPERLINK("https://careers.google.com/jobs/results/88322401602806470-senior-product-manager/", "https://careers.google.com/jobs/results/88322401602806470-senior-product-manager/")</f>
        <v/>
      </c>
      <c r="G88" t="inlineStr">
        <is>
          <t>Sunnyvale, CA, US</t>
        </is>
      </c>
      <c r="H88" s="3" t="n">
        <v>46063</v>
      </c>
      <c r="I88" t="inlineStr">
        <is>
          <t>In accordance with Washington state law, we are highlighting our comprehensive benefits package, which is available to all eligible US based employees. Benefits for this role include:*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**Minimum qualifications:**
* Bachelor's degree or equivalent practical experience.
* 8 years of experience in product management or related technical role.
* 3 years of experience taking technical products from conception to launch (e.g., ideation to execution, end\-to\-end, 0 to 1, etc).
* 3 years of experience working with Cloud, Compute, SaaS, or enterprise technologies.
### **Preferred qualifications:**
* Experience driving product goal, go\-to\-market strategy, and design discussions.
* Experience managing day\-to\-day technical and design direction.
* Experience in compute architecture, data center infrastructure, CPU (x86/Arm) and I/O technologies, and operational aspects of cloud servers.
* Experience bringing innovative, category\-defining tech products to market and driving product goal and GTM strategy.
* Understanding of locally attached Storage systems (LSDD), performance needs, and workload requirements for enterprise applications like MSSQL or SAP HANA.
* Ability to communicate effectively and influence decisions cross\-functionally and at all levels of an organization.
**About the job**
-----------------
As a Senior Product Manager, you will define the roadmap for the core infrastructure that powers Google Compute Engine (GCE), one of the world’s largest compute fleets. You will bridge the gap between long\-range hardware planning and high\-impact go\-to\-market strategies that drive substantial revenue. This role is critical in helping global enterprises modernize their environments by delivering scalable, high\-performance virtual machine (VM) solutions. By optimizing the underlying stack, you will directly influence the performance, efficiency, and flexibility that thousands of businesses rely on every day.  
You will build the most enterprise\-ready cloud platform on the planet and your goal is to enable a global infrastructure that is both massive in scale and nimble enough to drive the latest innovations in AI, machine learning, and general\-purpose compute.
You will operate with a "Silicon\-to\-Software" mindset which means owning the entire life\-cycle, from custom silicon and server configurations to the hypervisor and Guest OS to ensure our customers always have the most optimized environment possible.
In this role, you will combine deep technical "chops" in the compute domain with a savvy business leader. You will not only plan for the next generation of processors but also lead the GTM efforts that turn technical breakthroughs into $500M agreements. You will engage in compelling conversations with Vice President (VPs) at major partners and customers to solve their most technical issues.The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behind Google's groundbreaking innovations, empowering the development of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drive the multi\-year product roadmap for CPU and memory technologies, ensuring Google Compute Engine meets the performance and efficiency needs of modern workloads.
* Lead the product lifecycle for compute\-based virtual machines, from deep\-range silicon feature planning through to broad market scaling and adoption.
* Conduct business development strategy and go\-to\-market activities, building sales programs to secure business and market share for new infrastructure products.
* Serve as a technical and business expert in customer\-facing engagements, influencing executive stakeholders at major partner and customer organizations.
* Collaborate with engineering, UX, marketing, and sales teams across all layers of the cloud stack to prioritize initiatives and maximize return on investment.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9">
      <c r="A89" t="inlineStr">
        <is>
          <t>in-cbd2c173bc505688</t>
        </is>
      </c>
      <c r="B89" t="inlineStr">
        <is>
          <t>Research Program Manager I - Department of Medicine</t>
        </is>
      </c>
      <c r="C89" t="inlineStr">
        <is>
          <t>Medical College of Wisconsin</t>
        </is>
      </c>
      <c r="D89" t="inlineStr">
        <is>
          <t>indeed</t>
        </is>
      </c>
      <c r="E89">
        <f>HYPERLINK("https://www.indeed.com/viewjob?jk=cbd2c173bc505688", "https://www.indeed.com/viewjob?jk=cbd2c173bc505688")</f>
        <v/>
      </c>
      <c r="F89">
        <f>HYPERLINK("https://mcw.wd503.myworkdayjobs.com/ExternalCareers/job/Milwaukee-WI/Research-Program-Manager-I---Department-of-Medicine_JR101218-1", "https://mcw.wd503.myworkdayjobs.com/ExternalCareers/job/Milwaukee-WI/Research-Program-Manager-I---Department-of-Medicine_JR101218-1")</f>
        <v/>
      </c>
      <c r="G89" t="inlineStr">
        <is>
          <t>Milwaukee, WI, US</t>
        </is>
      </c>
      <c r="H89" s="3" t="n">
        <v>46063</v>
      </c>
      <c r="I89" t="inlineStr">
        <is>
          <t>### **Summary**
Work independently, under the direction of the Program Manager II, Vice Chair for Clinical Research, or Executive Administrator to manage the activities of a department\-wide program. Oversee daily operations of research staff and engage in trial support as needed. Provide clear direction, mentorship, and operational guidance to research staff to ensure alignment with program goals and priorities. This includes setting expectations, communicating strategic objectives, supporting decision‑making, and proactively removing barriers to progress. Promote a culture of accountability, collaboration, and continuous improvement by offering regular feedback, facilitating skill development, and fostering open communication across the team.
### **Primary** **Responsibilities**
* Maintain program timelines including tracking deadlines for program deliverables.
* Management of trial budgets and staff effort. Schedule people and assess resources.
* Assist with staff recruitment and training of staff \&amp; faculty
* Coordinate the development of program materials including educational materials, guidelines, processes, forms, and reports.
* Oversee the collection, analysis, and dissemination of program data.
* Develop, implement, and maintain databases and files related to the program.
* Organize internal and external meetings, site visits, and special events.
* Participate in training for programs participants.
* Serve as content expert for institutional regulatory platforms (i.e., OnCore, eBridge, Florence)
* Ensure program data and progress are reported to program stakeholders.
* Ensure compliance with regulatory and institutional policies.
* Participate in the development of program resources through literature searches, contact with outside programs, and review of funding opportunities.
* Participate in appropriate committees relevant to the advancement of the program and the profession or area of research.
* Other duties as assigned.
### **Knowledge** **– Skills – Abilities**
* Knowledge of technical, business, consultation, project management, and cultural awareness.
* Customer focus, building trust, communication, critical thinking, and influencing skills
### **Qualifications**
*Appropriate experience may be substituted for education on an equivalent basis.*
 **Minimum Required Education:** Bachelor’s degree
**Minimum Required Experience:** 6 years
**Preferred Certification**/**Licensure****(s):** Certified in Clinical Research through ACRP or SoCRA
**Preferred Experience:**
* Clinical trials management
* Ability to manage complex study portfolios
* Regulatory knowledge / compliance oversight
* Leadership / Team development
* Staff training, onboarding, education
* Problem solving / conflict resolution
* Familiarity with OnCore, Epic, eBridge
* Strong trial budget management
### **Physical Requirements**
Work requires occasionally lifting moderate weight materials, standing, or walking continuously.
### **Work Environment**
Occasional exposure to dust, noise, temperature changes, or contact with water or other liquids. Work is performed in an environmentally controlled environment.
### **Sensory Acuity**
Ability to detect and translate speech or other communication required. May occasionally require the ability to distinguish colors and perceive relative distances between objects.
\#LI\-AC1
### **Why MCW?**
* Outstanding Healthcare Coverage, including but not limited to Health, Vision, and Dental. Along with Flexible Spending options
* 403B Retirement Package
* Competitive Vacation and Paid Holidays offered
* Tuition Reimbursement
* Paid Parental Leave
* Employee \&amp; Family Assistance Program (EFAP)
* Pet Insurance
* On campus Fitness Facility, offering onsite classes
* Additional discounted rates on items such as: Select cell phone plans, local fitness facilities, Milwaukee recreation and entertainment etc.
For a brief overview of our benefits see: Benefits Overview
For a full list of positions see: MCW Careers  
At MCW all of our endeavors, from our internal operations to our interactions with our partners, are driven by our shared organizational values: Caring – Collaborative – Curiosity – Inclusive – Integrity – Respect. We are committed to fostering an inclusive environment that values diversity in backgrounds, experiences, and perspectives through merit\-based processes and in alignment with all applicable laws. We believe that embracing human differences is critical to realize our vision of a healthier world, and we recognize that a healthy and thriving community starts from within. Our values define who we are, what we stand for and how we conduct ourselves at MCW. If you believe in embracing individuality and working together according to these principles to improve health for all, then MCW is the place for you. For more information, please visit our institutional website.
### **MCW as an Equal Opportunity Employer and Commitment to Non\-Discrimination:**
The Medical College of Wisconsin (MCW) is an Equal Opportunity Employer. We are committed to fostering an inclusive community of outstanding faculty, staff, and students, as well as ensuring equal educational opportunity, employment, and access to services, programs, and activities, without regard to an individual's race, color, national origin, religion, age, disability, sex, gender identity/expression, sexual orientation, marital status, pregnancy, predisposing genetic characteristic, or military status. Employees, students, applicants or other members of the MCW community (including but not limited to vendors, visitors, and guests) may not be subjected to harassment that is prohibited by law or treated adversely or retaliated against based upon a protected characteristic.</t>
        </is>
      </c>
    </row>
    <row r="90">
      <c r="A90" t="inlineStr">
        <is>
          <t>in-47d3cd1f1780a425</t>
        </is>
      </c>
      <c r="B90" t="inlineStr">
        <is>
          <t>Program Manager - Toledo Hospital - Emergency Management</t>
        </is>
      </c>
      <c r="C90" t="inlineStr">
        <is>
          <t>ProMedica</t>
        </is>
      </c>
      <c r="D90" t="inlineStr">
        <is>
          <t>indeed</t>
        </is>
      </c>
      <c r="E90">
        <f>HYPERLINK("https://www.indeed.com/viewjob?jk=47d3cd1f1780a425", "https://www.indeed.com/viewjob?jk=47d3cd1f1780a425")</f>
        <v/>
      </c>
      <c r="F90">
        <f>HYPERLINK("https://promedica.wd12.myworkdayjobs.com/External_Careers/job/Toledo/Program-Manager---Toledo-Hospital---Emergency-Management_JR-3254", "https://promedica.wd12.myworkdayjobs.com/External_Careers/job/Toledo/Program-Manager---Toledo-Hospital---Emergency-Management_JR-3254")</f>
        <v/>
      </c>
      <c r="G90" t="inlineStr">
        <is>
          <t>Toledo, OH, US</t>
        </is>
      </c>
      <c r="H90" s="3" t="n">
        <v>46063</v>
      </c>
      <c r="I90" t="inlineStr">
        <is>
          <t>**Location:**
Toledo Hospital**Department:**
Trauma Services**Weekly Hours:**
40**Status:**
Full time**Shift:**
Days (United States of America)**Job Summary:**
The Emergency Management Program Manager is a healthcare professional responsible for leading system\-wide initiatives focused on disaster readiness, safety, quality, and performance improvement. This role provides strategic oversight and coordination of emergency preparedness efforts, injury prevention, community outreach, and continuous quality improvement across the organization.
**Requirements**
* Bachelor’s degree in healthcare or related field
* Demonstrates familiarity of emergency program operations, hospital operations and exposure to emergency management processes and protocols.
* Minimum of 3 years acute care, critical and/or emergency experience. Minimum 1 year of leadership experience.
**Preferred Requirements**
* Master’s degree in Emergency Management
**ProMedica** is a mission\-driven, not\-for\-profit health care organization headquartered in Toledo, Ohio. It serves communities across nine states and provides a range of services, including acute and ambulatory care, a dental plan, and academic business lines. ProMedica owns and operates 10 hospitals and has an affiliated interest in one additional hospital. The organization employs over 1,300 health care providers through ProMedica Physicians and has more than 2,300 physicians and advanced practice providers with privileges. Committed to its mission of improving health and well\-being, ProMedica has received national recognition for its clinical excellence and its initiatives to address social determinants of health. For more information about ProMedica, please visit promedica.org/aboutus.
**Benefits:**
We provide flexible benefits that include compensation and programs to help you take care of your family, your finances and your personal well\-being. It’s what makes us one of the best places to work, and helps our employees live and work to their fullest potential.
Qualified applicants will receive consideration for employment without regard to race, color, national origin, ancestry, religion, sex/gender (including pregnancy), sexual orientation, gender identity or gender expression, age, physical or mental disability, military or protected veteran status, citizenship, familial or marital status, genetics, or any other legally protected category. In compliance with the Americans with Disabilities Act Amendment Act (ADAAA), if you have a disability and would like to request an accommodation in order to apply for a job with ProMedica, please contact **employment@promedica.org**
Equal Opportunity Employer/Drug\-Free Workplace</t>
        </is>
      </c>
    </row>
    <row r="91">
      <c r="A91" t="inlineStr">
        <is>
          <t>in-32408a117e20b662</t>
        </is>
      </c>
      <c r="B91" t="inlineStr">
        <is>
          <t>Deputy Technical Program Manager</t>
        </is>
      </c>
      <c r="C91" t="inlineStr">
        <is>
          <t>The DarkStar Group</t>
        </is>
      </c>
      <c r="D91" t="inlineStr">
        <is>
          <t>indeed</t>
        </is>
      </c>
      <c r="E91">
        <f>HYPERLINK("https://www.indeed.com/viewjob?jk=32408a117e20b662", "https://www.indeed.com/viewjob?jk=32408a117e20b662")</f>
        <v/>
      </c>
      <c r="F91">
        <f>HYPERLINK("https://www.grvty.com/careers/listings/deputy-technical-program-manager-pwdcemcg", "https://www.grvty.com/careers/listings/deputy-technical-program-manager-pwdcemcg")</f>
        <v/>
      </c>
      <c r="G91" t="inlineStr">
        <is>
          <t>Arlington, VA, US</t>
        </is>
      </c>
      <c r="H91" s="3" t="n">
        <v>46063</v>
      </c>
      <c r="I91" t="inlineStr">
        <is>
          <t>**What Impact You'll Have**
The Deputy Program Manager will help lead programs having an average annual aggregate revenue of greater than $40M providing the type of services similar in size and complexity to those detailed in the contract. They are responsible for assisting and managing the overall requirement, providing an alternate Point of Contact (POC) for the Contracting Officer, assisting with providing programmatic reporting, and addressing management and contracting issues. Must have thorough understanding and experience in the complete life\-cycle management. Responsible for the management of funds and personnel and is accountable for the quality and timely delivery of all contractual requirements.
**What You'll be Owning**
* As a Deputy Program Manager, you will be responsible for assisting with overseeing overall contract execution, to include onsite stakeholder coordination, and strategic alignment
**What You Must Have**
* Bachelor's Degree and 7 years of experience OR Master's Degree and 5 years of experience. 4 years of work experience, OR Associate's Degree plus 2 years of experience, may be substituted for a Bachelor's Degree.
* Degree in Engr., Sci, Business; Computer Science or Related Scientific or Technical Discipline.
* Five years of project management experience working on DoD or Intelligence Community (IC) programs/projects.
* Five years of experience in the DoD or IC in an acquisition project management position leading integrated teams consisting of engineers, analysts, financial, and project management personnel.
* DAU Level III certification in Program Management, or Project Management Professional (PMP) Certification
* Excellent leadership, problem\-solving, and communication skills are required to engage with senior DoD and interagency stakeholders effectively.
* Experience in program lifecycle management, resource allocation, risk mitigation, and compliance with DoD acquisition and governance frameworks.
* Active TS/SCI clearance (eligibility required).
* US Citizenship is required.
**What Would be Nice to Have**
* Experience with Army TENCAP, Space ISR systems, or expeditionary ground station concepts.
* Experience briefing senior military or civilian leadership.</t>
        </is>
      </c>
    </row>
    <row r="92">
      <c r="A92" t="inlineStr">
        <is>
          <t>in-ac545d99a3763941</t>
        </is>
      </c>
      <c r="B92" t="inlineStr">
        <is>
          <t>Principal Technical Program Manager - Intuit - Data Lifecycle Management</t>
        </is>
      </c>
      <c r="C92" t="inlineStr">
        <is>
          <t>Intuit</t>
        </is>
      </c>
      <c r="D92" t="inlineStr">
        <is>
          <t>indeed</t>
        </is>
      </c>
      <c r="E92">
        <f>HYPERLINK("https://www.indeed.com/viewjob?jk=ac545d99a3763941", "https://www.indeed.com/viewjob?jk=ac545d99a3763941")</f>
        <v/>
      </c>
      <c r="F92">
        <f>HYPERLINK("https://jobs.intuit.com/job/mountain-view/principal-technical-program-manager-intuit-data-lifecycle-management/27595/91618992608", "https://jobs.intuit.com/job/mountain-view/principal-technical-program-manager-intuit-data-lifecycle-management/27595/91618992608")</f>
        <v/>
      </c>
      <c r="G92" t="inlineStr">
        <is>
          <t>San Diego, CA, US</t>
        </is>
      </c>
      <c r="H92" s="3" t="n">
        <v>46063</v>
      </c>
      <c r="I92" t="inlineStr">
        <is>
          <t>Category Program Management \&amp; Business Operations
Location Mountain View, California; San Diego, California
Job ID 19150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At Intuit, we are reimagining the way the world does business. As an AI\-driven expert platform, we harness the power of data to solve our customers’ most pressing challenges and deliver experiences that truly matter. Behind the scenes, this innovation is fueled by our Data and Analytics Foundation team, stewarding a vast ecosystem of more than 90 petabytes of data.
We are looking for a Principal Technical Program Manager to drive Data Lifecycle Management to help lead this transformation \- someone who thrives on tackling complex problems, shaping powerful technologies, and driving programs that unlock the full potential of data. The ideal candidate is one colleagues describe as the ideal balance of strategic technical leadership and disciplined program execution, with a proven ability to scale enterprise processes. You will thrive in this role if you bring strong program management experience, deep technical understanding, customer empathy, strong execution capability, and a track record of building partnerships and delivering impactful results. If you’re passionate about turning bold ideas into lasting impact, we’d love for you to join us.
Intuit has embraced a hybrid working model with the expectation of working from our Mountain View office 3 days per week.
 **Responsibilities**
* **Advance Data Maturity and Governance:** Educate, align, and drive organizational adoption of data maturity models, governance standards, and best practices for data producers and consumers.
* Do you instinctively see opportunities to simplify complex processes and improve how work gets done? You’ll partner across Intuit’s most critical initiatives to reduce friction in how humans and AI produce, govern, and consume data—elevating data quality, trust, and usability at scale.
* **Lead with Influence:** Drive strategic programs in partnership with VP\+ leaders, accelerating business outcomes and ensuring alignment with Intuit's overall strategy.
* Want to have a truly significant impact? You'll drive Intuit's technical strategy and adoption across Data and Analytics for the entire company, influencing investment decisions and shaping the future of our technology and how we work.
* **Champion Change:** Foster a culture of collaboration and open communication, effectively navigating organizational change and driving continuous improvement.
* Do you enjoy making a real difference? You'll lead transformational change across Intuit, influencing senior leadership, building strong partnerships, and driving adoption of game\-changing strategies and technologies.
* **Deliver Exceptional Results:** Develop and execute high\-quality program plans, utilizing data to track progress, mitigate risks, and communicate effectively with stakeholders.
* Ready for the biggest challenges? You'll lead large, cross\-organizational programs with significant scope and complexity, navigating challenges across multiple domains and mitigating risks.
* **Build and Mentor:** Define and implement program management best practices, coach and mentor other program managers, and contribute to the growth of the program management community.
* Want to leave a lasting legacy? You'll elevate the TPM discipline across Intuit by developing and driving the adoption of best practices, tools, and frameworks.
* **Master the Domain:** Possess deep expertise in software development methodologies and apply them effectively to programs. Lead strategic discussions on data architecture and AI\-native platform technologies, influencing technical direction and standards within the Data Platform organization.
* Driven by a desire to solve the impossible? You'll tackle Intuit's biggest, most complex challenges with expert\-level technical understanding across multiple domains, acting as a trusted advisor to senior leadership.
 **Qualifications**
* **Proven Leadership:** 12\+ years of experience building, leading, and delivering complex, large\-scale technical programs within a matrixed organization. A track record of delivering cross\-functional initiatives such as Data Mesh, Data Fabric, Master Data Management in multi\-cloud environments is a must. Experience incorporating AI and machine learning into big data ecosystems is highly desired.
* **Technical Acumen:** Strong understanding of software development methodologies, data architecture, and lifecycle management, combined with Agile coaching experience that enables high\-performing teams to deliver scalable data platforms and capabilities efficiently.
* **Process Acumen:** Demonstrated experience in evolving, standardizing, and scaling enterprise data contracts across platform and product teams by partnering with upstream data producers and downstream consumers to improve data reliability, governance, and controlled publishing workflows.
* **Strategic Thinker:** Ability to analyze industry trends, understand Intuit's strategy, and make data\-driven decisions that accelerate business outcomes.
* **Exceptional Communicator:** Excellent communication and interpersonal skills, with the ability to influence at all levels in a matrixed organization, from individual contributors to senior executives.
* **Data\-Driven Mindset:** Recognized as an expert in applying data to assess program health, identify risks, and inform strategic decisions. Known for educating and mentoring others on data analytics, AI/ML concepts, and best practices for evidence\-based decision\-making.
* **Education:** Degree in Computer Science, Engineering, or a related field, or equivalent work experience. PMP, Agile certifications or equivalent demonstrated practical technical program management experience is desired.
 **How You Will Grow**
You will be part of a strong, cross organizational Intuit Program Management community that comes together to share experiences and solve problems in areas where we are passionate. You’ll partner with an experienced program leadership team that helps break down barriers \- allowing you to grow and develop your career, increase contribution to the company, and accelerate delivery of innovation for our customers. You’ll give back to the community by sharing your craft expertise, mentoring junior colleagues, and fostering a culture of trust and engagement.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$230,000 \- $311,000 USD</t>
        </is>
      </c>
    </row>
    <row r="93">
      <c r="A93" t="inlineStr">
        <is>
          <t>in-166cd4a7b91c41d5</t>
        </is>
      </c>
      <c r="B93" t="inlineStr">
        <is>
          <t>Product Manager - Media, Digital, Creative Tech</t>
        </is>
      </c>
      <c r="C93" t="inlineStr">
        <is>
          <t>Moore</t>
        </is>
      </c>
      <c r="D93" t="inlineStr">
        <is>
          <t>indeed</t>
        </is>
      </c>
      <c r="E93">
        <f>HYPERLINK("https://www.indeed.com/viewjob?jk=166cd4a7b91c41d5", "https://www.indeed.com/viewjob?jk=166cd4a7b91c41d5")</f>
        <v/>
      </c>
      <c r="F93">
        <f>HYPERLINK("https://secure4.saashr.com/ta/6167768.jobs?ShowJob=923062924", "https://secure4.saashr.com/ta/6167768.jobs?ShowJob=923062924")</f>
        <v/>
      </c>
      <c r="G93" t="inlineStr">
        <is>
          <t>Lanham, MD, US</t>
        </is>
      </c>
      <c r="H93" s="3" t="n">
        <v>46063</v>
      </c>
      <c r="I93" t="inlineStr">
        <is>
          <t>As a **Product Manager** , you will lead product strategy and execution for Moore’s Media, Digital, and Creative Tech solutions, directly supporting the Vice President of Product Management, Media, Digital, \&amp; Creative. As part of the Innovation \&amp; Development team, t his role will drive innovation and operational excellence across media , digital and creative technology.
**Moore** is a data\-driven constituent experience management (CXM) company achieving accelerated growth for clients through integrated supporter experiences across all platforms, channels, and devices. We are an innovation\-led company that is the largest marketing, data, and fundraising company in North America, serving the purpose\-driven industry with clients across education, association, political, and commercial sectors.
Check out www.WeAreMoore.com for more information.
This is a Hybrid Position located in any of our hubs (Westminster CO, Lanham MD or Peabody MA)
**Your Impact:**
Media \&amp; Digital Leadership:
* Partner with Moore agencies and cross\-functional teams to identify client needs and deliver data\-driven product solutions for media and digital channels (Search, Social, Programmatic, Email, etc.)
* Develop and enhance products such as growth planning tools, attribution models, analytics, and benchmarking for media and digital fundraising effectiveness.
Lead roadmap planning and execution for media and digital product lines, ensuring alignment with CXM platform and client objectives .  
* 
Creative Tech \&amp; DAM Oversight:
* Take ownership of Creative Tech product development, including AI\-driven solutions (e.g., MUSE, Copy That), automation, and creative optimization platforms.
* Provide strategic and operational leadership for the Digital Asset Management (DAM) project, ensuring seamless integration, adoption, and value delivery across media, digital, and creative teams.
Collaborate with engineering, data science, and creative teams to deliver innovative tech solutions for fundraising and supporter engagement.  
* 
Strategic Planning \&amp; Communication:
* Define and communicate the vision for media, digital, creative tech, and DAM products to stakeholders.
* Document requirements, track delivery, and ensure timely launch of new capabilities.
Coordinate with GTM, finance, marketing, communications, training, and other teams to package and launch products.  
* 
Continuous Improvement:
* Implement and mature product management best practices and tools.
Respond to in\-market client needs and feedback for ongoing product enhancement.  
* 
**Your Profile:**
* 1 0 \+ years of product management experience in media, digital, or creative technology at a fast\-growing, data\-driven B2B organization.
* Proven ability to lead cross\-functional teams and drive organizational change.
* Experience with nonprofit fundraising, media, and digital channels preferred.
Strong quantitative analysis and communication skills .  
* 
**How** **We’ll** **Support You:**
Join the largest marketing and fundraising company in North America serving the nonprofit industry, where we prioritize innovation and professional growth.
Collaborate with industry subject matter experts with over 5,000 employees across the enterprise.
To help you stay energized, engaged, and inspired, we offer a wide range of benefits, including comprehensive healthcare, paid holidays, and generous paid time off so you can have the time and space to recharge and pursue your other passions and be with the people you care about.
Moore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\#LI\-MM2 \#LI\-hybrid</t>
        </is>
      </c>
    </row>
    <row r="94">
      <c r="A94" t="inlineStr">
        <is>
          <t>in-28d24e0d7bd8faab</t>
        </is>
      </c>
      <c r="B94" t="inlineStr">
        <is>
          <t>Principal Technical Program Manager - Developer Experience</t>
        </is>
      </c>
      <c r="C94" t="inlineStr">
        <is>
          <t>General Motors (GM)</t>
        </is>
      </c>
      <c r="D94" t="inlineStr">
        <is>
          <t>indeed</t>
        </is>
      </c>
      <c r="E94">
        <f>HYPERLINK("https://www.indeed.com/viewjob?jk=28d24e0d7bd8faab", "https://www.indeed.com/viewjob?jk=28d24e0d7bd8faab")</f>
        <v/>
      </c>
      <c r="F94">
        <f>HYPERLINK("https://generalmotors.wd5.myworkdayjobs.com/en-US/Careers_GM/job/Warren-Michigan-United-States-of-America/Principal-Technical-Program-Manager---Developer-Experience_JR-202601368-1", "https://generalmotors.wd5.myworkdayjobs.com/en-US/Careers_GM/job/Warren-Michigan-United-States-of-America/Principal-Technical-Program-Manager---Developer-Experience_JR-202601368-1")</f>
        <v/>
      </c>
      <c r="G94" t="inlineStr">
        <is>
          <t>Warren, MI, US</t>
        </is>
      </c>
      <c r="H94" s="3" t="n">
        <v>46063</v>
      </c>
      <c r="I94" t="inlineStr">
        <is>
          <t>**Job Description**
**Principal Technical Program Manager \- Developer Experience**
**Hybrid:** This role is categorized as hybrid. This means the successful candidate is expected to report to the Technical Innovation Center in Warren, MI three times per week, at minimum.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the Principal Technical Program Manager (TPM) for Developer Experience, you will be a strategic partner to the Director of Developer Experience, driving the enterprise\-wide DevOps transformation at General Motors. This is a technical leadership role responsible for orchestrating the shift in how GM builds, secures, and ships software.
You will drive execution of the operational strategy for our developer platform, steward high\-stakes vendor relationships, and support the cultural adoption of modern engineering practices. You will act as a force multiplier for the Developer Experience organization, translating technical vision into executed reality across thousands of engineers.
**What You’ll Do**
**Operationalize Strategy \&amp; Execution**
* Translate Vision to Roadmap: Partner with Engineering Directors and Architects to decompose high\-level strategic goals (e.g., "Move to GitHub Enterprise," "Adopt AI Coding Assistants") into execution\-ready program plans with clear milestones and dependencies.
* Drive Delivery Cadence: Establish and manage the operating rhythm of the DevEx organization. You will ensure that critical initiatives are tracking against 2026 targets, identifying blockers early and forcing decisions to keep momentum.
* Manage Complexity: Orchestrate complex, multi\-quarter initiatives that touch every engineer at GM, ensuring minimal disruption while maximizing velocity.
**Governance \&amp; Cross\-Functional Alignment**
* Broker Identity \&amp; Access Solutions: Drive resolution on complex structural challenges such as Enterprise Managed Users (EMU) and external collaborator access. You will facilitate the necessary alignment at the Director, Executive Director, and VP level between Cyber Security, Legal, and Engineering to codify access models that are both secure and frictionless.
* Streamline Policy: Work with compliance partners to shift governance left. You will support the transition from manual "gatekeeping" to automated "Policy as Code," ensuring safety without slowing down the developer loop.
**Stewardship of Vendor Partnerships**
* Optimize Commercial Value: Steward the strategic relationship with key partners, ensuring GM maximizes the ROI on its developer tool spend.
* Facilitate Emerging Tech Evaluation: Coordinate the evaluation lifecycle for new tools. You will ensure that pilots are structured effectively to yield clear data on productivity and security impact.
**Cultural Transformation \&amp; Enablement**
* Accelerate Adoption: Support the organizational change management required for DevOps success. You will help design and implement engagement models (InnerSource, Community of Practice) that encourage teams to adopt modern standards voluntarily.
* Scale Knowledge: Oversee the strategy for developer documentation and "paved road" templates, ensuring that the "right way" to build software at GM is also the easiest way.
**Performance Measurement \&amp; Value Realization**
* Establish the Metric Framework: Drive the implementation of engineering efficiency standards (DORA metrics) and developer satisfaction signals (SPACE framework).
* Surface Productivity Insights: Gather and synthesize data to answer "How much faster are we?" and present these findings to leadership to justify future investment.
**Your Skills \&amp; Abilities (Required Qualifications)**
* **Strategic Program Leadership:** 10\+ years of experience leading technical programs, with a focus on DevOps, Cloud, or Platform Engineering.
* **Education:** BS or MS degree in an Engineering\-related discipline, or equivalent experience.
* **Force Multiplier Mindset:** Proven ability to act as a "Chief of Staff" or strategic deputy, operating with broad autonomy handling operational friction and cross\-functional politics so engineering leaders can focus on architecture and code.
* **Transformation Experience:** A track record of driving large\-scale cultural and technical shifts (e.g., Waterfall to Agile, On\-Prem to Cloud) in complex, regulated enterprise environments.
* **Commercial \&amp; Vendor Acumen:** Experience managing enterprise\-scale software vendor relationships and navigating the complexities of vendor integration (licensing, identity, support).
* **Data\-Driven storytelling:** Ability to synthesize complex metrics into clear narratives for executive audiences.
* **Experience with the DevOps Toolchain:** Deep expertise in the end\-to\-end software delivery lifecycle. You understand the intricate interplay between source control, work management, CI/CD automation, and quality/security scanning, and how to integrate them into a seamless "Golden Path" for developers.
* **Strategic Vision \&amp; Execution:** Demonstrated ability to define and drive multi\-year platform strategies in complex, regulated enterprise environments. You have a track record of taking ambiguous long\-term goals and breaking them down into actionable quarters of delivery.
* **Executive Influence \&amp; Alignment:** Exceptional stakeholder management skills with the ability to operate as a trusted advisor to senior engineering and IT leaders. You can navigate organizational politics, bridge gaps between conflicting teams, and drive consensus on difficult technical decisions without relying on direct authority.
**What will give you a competitive edge (Preferred Qualifications)**
* **"AI\-Native" mindset:** You are an active practitioner who consistently experiments with the latest AI tools in your own daily work and brings a genuine enthusiasm for their potential to the team.
* **Navigating Security vs. Velocity:** A track record of cross\-functional partnering to design access and governance models that satisfy compliance requirements without destroying developer productivity.
* Advanced degree in Computer Science, Engineering, Data Science, or MBA with technical focus.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job may be eligible for relocation benefits.
\#LI\-LL2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95">
      <c r="A95" t="inlineStr">
        <is>
          <t>in-8498e4a4e3ba5145</t>
        </is>
      </c>
      <c r="B95" t="inlineStr">
        <is>
          <t>Staff Product Manager - AI SaaS Collaboration</t>
        </is>
      </c>
      <c r="C95" t="inlineStr">
        <is>
          <t>General Motors (GM)</t>
        </is>
      </c>
      <c r="D95" t="inlineStr">
        <is>
          <t>indeed</t>
        </is>
      </c>
      <c r="E95">
        <f>HYPERLINK("https://www.indeed.com/viewjob?jk=8498e4a4e3ba5145", "https://www.indeed.com/viewjob?jk=8498e4a4e3ba5145")</f>
        <v/>
      </c>
      <c r="F95">
        <f>HYPERLINK("https://generalmotors.wd5.myworkdayjobs.com/en-US/Careers_GM/job/Warren-Michigan-United-States-of-America/Staff-Product-Manager---AI-SaaS-Collaboration_JR-202601398", "https://generalmotors.wd5.myworkdayjobs.com/en-US/Careers_GM/job/Warren-Michigan-United-States-of-America/Staff-Product-Manager---AI-SaaS-Collaboration_JR-202601398")</f>
        <v/>
      </c>
      <c r="G95" t="inlineStr">
        <is>
          <t>Warren, MI, US</t>
        </is>
      </c>
      <c r="H95" s="3" t="n">
        <v>46063</v>
      </c>
      <c r="I95" t="inlineStr">
        <is>
          <t>**Job Description**
**The Role:**
The SaaS Collaboration Engineering Team within GM’s Core IT organization is looking for a Staff level Product Managers. Responsible for managing a distinct set of IT tools focused on Enterprise AI Tools.
The successful candidate will demonstrate the ability to own the end\-to\-end product lifecycle for their suite of designated tools. Each will partner with key senior stakeholders to deliver modern, intuitive and scalable experiences while ensuring strong governance, measurable value, and high adoption across a global, diverse workforce.
**What You’ll Do:**
**Product Strategy \&amp; Leadership**
* Define and own the long\-term product vision and multi\-year roadmap for GM’s Core IT Enterprise AI tools.
* Translate IT strategies into prioritized product outcomes, clear use cases, and measurable business value.
* Serve as a thought leader influencing product direction and strategy.
* Collaborate closely with engineering, UX, change management, and operations to ensure on\-time, high\-quality delivery and resilient, supportable solutions.
**Executive \&amp; Business Partnership**
* Partner with senior leaders to shape strategy, clarify priorities, and align on desired outcomes and success metrics.
* Lead discovery and framing of complex problems, synthesizing user research, analytics, and stakeholder input into clear problem statements and solution approaches.
* Influence decision\-making across collaboration, infrastructure, data, security, legal, and compliance stakeholders, driving consensus on roadmap, investment, and risk posture.
**Vendor \&amp; Platform Strategy**
* Manage strategic relationships with vendors and key partners.
* Lead fit\-gap analysis, build\-vs\-buy decisions, and business cases for new capabilities and platform investments.
* Drive vendor accountability for roadmap alignment, delivery quality, security, innovation, and value realization, including SLAs and performance metrics.
* Monitor the external market for technologies, identifying opportunities to pilot and scale new capabilities.
**Value Realization \&amp; Optimization**
* Define and track KPIs to measure adoption, engagement, quality, productivity, and impact (e.g., time saved, reduced manual effort, improved decision speed).
* Use analytics, user feedback, and experimentation to continuously optimize product performance and user experience.
* Proactively identify low\-value, redundant, or underused tools and features and lead efforts to rationalize, simplify, or retire them.
**Employee Digital Experience Leadership**
* Champion a consistent, intuitive, and personalized employee and manager experience across platforms and endpoints (desktop, mobile, web).
* Partner with UX, change management, and communications teams to design user\-centric experiences and drive awareness, adoption, and sustained behavior change.
* Ensure solutions scale globally, support diverse workstyles (remote, hybrid, on\-site), and meet accessibility and localization needs.
**Your Skills and Abilities (Required Qualifications):**
* Experience leading Enterprise AI Tools: Experience supporting tools within the AI technology space such as MoveWorks, Serval, and Glean.
* Bachelor’s degree in Business, Information Systems, Computer Science, Human\-Computer Interaction, Technology Management, related field; or equivalent work experience.
* 7\+ years of relevant experience in product management, digital workplace/collaboration platforms, SaaS applications, or enterprise technology roles.
* Demonstrated hands\-on experience using tools like Jira to manage complex backlogs, multiple workstreams, and cross\-team delivery.
* Strong understanding of collaboration and productivity use cases, digital employee experience, and end\-user support models.
* Excellent communication, facilitation, and storytelling skills, with the ability to engage both technical and non\-technical audiences.
**What Will Give You A Competitive Edge (Preferred Qualifications):**
* Experience supporting large, global organizations with diverse roles, regions, and environments.
* Experience leading SaaS transformations, migrations from on\-prem or legacy tools to modern cloud collaboration and AI platforms.
* Background in user research, service design, or design thinking for digital employee experiences.
* Experience working closely with security, legal, and compliance teams on collaboration and AI\-related risks.
* Master’s Degree Business, Information Systems, Computer Science, Human\-Computer Interaction, Technology Management or related field.
* Strategic product leadership with the ability to define vision, set direction, and drive execution.
* Executive\-level communication and influence, including the ability to build business cases and drive consensus.
* Strong business and technology acumen related to collaboration, productivity, and digital employee experience.
* AI\-first and employee\-experience mindset, focused on simplifying work and augmenting human potential.
* Data\-driven decision\-making using quantitative and qualitative insights.
* Comfort navigating ambiguity and change, with a bias toward experimentation, learning, and iterative improvement.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96">
      <c r="A96" t="inlineStr">
        <is>
          <t>in-55b464a65d8d36bb</t>
        </is>
      </c>
      <c r="B96" t="inlineStr">
        <is>
          <t>Staff Product Manager – Corporate Communication Applications, SaaS Collaboration</t>
        </is>
      </c>
      <c r="C96" t="inlineStr">
        <is>
          <t>General Motors (GM)</t>
        </is>
      </c>
      <c r="D96" t="inlineStr">
        <is>
          <t>indeed</t>
        </is>
      </c>
      <c r="E96">
        <f>HYPERLINK("https://www.indeed.com/viewjob?jk=55b464a65d8d36bb", "https://www.indeed.com/viewjob?jk=55b464a65d8d36bb")</f>
        <v/>
      </c>
      <c r="F96">
        <f>HYPERLINK("https://generalmotors.wd5.myworkdayjobs.com/en-US/Careers_GM/job/Warren-Michigan-United-States-of-America/Staff-Product-Manager---Corporate-Communication-Applications--SaaS-Collaboration_JR-202601400", "https://generalmotors.wd5.myworkdayjobs.com/en-US/Careers_GM/job/Warren-Michigan-United-States-of-America/Staff-Product-Manager---Corporate-Communication-Applications--SaaS-Collaboration_JR-202601400")</f>
        <v/>
      </c>
      <c r="G96" t="inlineStr">
        <is>
          <t>Warren, MI, US</t>
        </is>
      </c>
      <c r="H96" s="3" t="n">
        <v>46063</v>
      </c>
      <c r="I96" t="inlineStr">
        <is>
          <t>**Job Description**
**The Role:**
The SaaS Collaboration Engineering Team within GM’s Core IT organization is looking for a Staff level Product Manager. Responsible for managing a distinct set of IT tools focused on Enterprise Collaboration Tools.
The successful candidate will demonstrate the ability to own the end\-to\-end product lifecycle for their suite of designated tools. This individual will partner with key senior stakeholders to deliver modern, intuitive and scalable experiences while ensuring strong governance, measurable value, and high adoption across a global, diverse workforce.
**What You’ll Do:**
**Product Strategy \&amp; Leadership**
* Define and own the long\-term product vision and multi\-year roadmap for GM’s Core IT Enterprise Corporate Communications Applications.
* Translate IT strategies into prioritized product outcomes, clear use cases, and measurable business value.
* Serve as a thought leader influencing product direction and strategy.
* Collaborate closely with engineering, UX, change management, and operations to ensure on\-time, high\-quality delivery and resilient, supportable solutions.
**Executive \&amp; Business Partnership**
* Partner with senior leaders to shape strategy, clarify priorities, and align on desired outcomes and success metrics.
* Lead discovery and framing of complex problems, synthesizing user research, analytics, and stakeholder input into clear problem statements and solution approaches.
* Influence decision\-making across collaboration, infrastructure, data, security, legal, and compliance stakeholders, driving consensus on roadmap, investment, and risk posture.
**Vendor \&amp; Platform Strategy**
* Manage strategic relationships with vendors and key partners.
* Lead fit\-gap analysis, build\-vs\-buy decisions, and business cases for new capabilities and platform investments.
* Drive vendor accountability for roadmap alignment, delivery quality, security, innovation, and value realization, including SLAs and performance metrics.
* Monitor the external market for technologies, identifying opportunities to pilot and scale new capabilities.
**Value Realization \&amp; Optimization**
* Define and track KPIs to measure adoption, engagement, quality, productivity, and impact (e.g., time saved, reduced manual effort, improved decision speed).
* Use analytics, user feedback, and experimentation to continuously optimize product performance and user experience.
* Proactively identify low\-value, redundant, or underused tools and features and lead efforts to rationalize, simplify, or retire them.
**Employee Digital Experience Leadership**
* Champion a consistent, intuitive, and personalized employee and manager experience across platforms and endpoints (desktop, mobile, web).
* Partner with UX, change management, and communications teams to design user\-centric experiences and drive awareness, adoption, and sustained behavior change.
* Ensure solutions scale globally, support diverse workstyles (remote, hybrid, on\-site), and meet accessibility and localization needs.
**Your Skills and Abilities (Required Qualifications):**
* Experience leading Corporate Communications Applications: Experience supporting enterprise level communication tools such as Adobe Experience Manager, Adobe Campaign, WorkJam, Sharefluence, and Symbolic.AI
* Bachelor’s degree in Business, Information Systems, Computer Science, Human\-Computer Interaction, Technology Management, related field; or equivalent work experience.
* 7\+ years of relevant experience in product management, digital workplace/collaboration platforms, SaaS applications, or enterprise technology roles.
* Demonstrated hands\-on experience using tools like Jira to manage complex backlogs, multiple workstreams, and cross\-team delivery.
* Strong understanding of collaboration and productivity use cases, digital employee experience, and end\-user support models.
* Excellent communication, facilitation, and storytelling skills, with the ability to engage both technical and non\-technical audiences.
**What Will Give You A Competitive Edge (Preferred Qualifications):**
* Experience supporting large, global organizations with diverse roles, regions, and environments.
* Experience leading SaaS transformations, migrations from on\-prem or legacy tools to modern cloud collaboration and AI platforms.
* Background in user research, service design, or design thinking for digital employee experiences.
* 10\+ years of relevant experience in product management, digital workplace/collaboration platforms, SaaS applications, or enterprise technology roles.
* Experience working closely with security, legal, and compliance teams on collaboration and AI\-related risks.
* Master’s Degree Business, Information Systems, Computer Science, Human\-Computer Interaction, Technology Management or related field.
* Strategic product leadership with the ability to define vision, set direction, and drive execution.
* Executive\-level communication and influence, including the ability to build business cases and drive consensus.
* Strong business and technology acumen related to collaboration, productivity, and digital employee experience.
* AI\-first and employee\-experience mindset, focused on simplifying work and augmenting human potential.
* Data\-driven decision\-making using quantitative and qualitative insights.
* Comfort navigating ambiguity and change, with a bias toward experimentation, learning, and iterative improvement.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97">
      <c r="A97" t="inlineStr">
        <is>
          <t>in-e4fc49b5f284fc03</t>
        </is>
      </c>
      <c r="B97" t="inlineStr">
        <is>
          <t>Staff Product Manager - Digital Transformation SaaS Collaboration</t>
        </is>
      </c>
      <c r="C97" t="inlineStr">
        <is>
          <t>General Motors (GM)</t>
        </is>
      </c>
      <c r="D97" t="inlineStr">
        <is>
          <t>indeed</t>
        </is>
      </c>
      <c r="E97">
        <f>HYPERLINK("https://www.indeed.com/viewjob?jk=e4fc49b5f284fc03", "https://www.indeed.com/viewjob?jk=e4fc49b5f284fc03")</f>
        <v/>
      </c>
      <c r="F97">
        <f>HYPERLINK("https://generalmotors.wd5.myworkdayjobs.com/en-US/Careers_GM/job/Warren-Michigan-United-States-of-America/Staff-Product-Manager---Digital-Transformation-SaaS-Collaboration_JR-202601399", "https://generalmotors.wd5.myworkdayjobs.com/en-US/Careers_GM/job/Warren-Michigan-United-States-of-America/Staff-Product-Manager---Digital-Transformation-SaaS-Collaboration_JR-202601399")</f>
        <v/>
      </c>
      <c r="G97" t="inlineStr">
        <is>
          <t>Warren, MI, US</t>
        </is>
      </c>
      <c r="H97" s="3" t="n">
        <v>46063</v>
      </c>
      <c r="I97" t="inlineStr">
        <is>
          <t>**Job Description**
**The Role:**
The SaaS Collaboration Engineering Team within GM’s Core IT organization is looking for a Staff level Product Manager. Responsible for managing a distinct set of IT tools focused on Enterprise Collaboration Tools.
The successful candidate will demonstrate the ability to own the end\-to\-end product lifecycle for their suite of designated tools. Each will partner with key senior stakeholders to deliver modern, intuitive and scalable experiences while ensuring strong governance, measurable value, and high adoption across a global, diverse workforce.
**What You’ll Do:**
**Product Strategy \&amp; Leadership**
* Define and own the long\-term product vision and multi\-year roadmap for GM’s Core IT Enterprise Collaboration Tools.
* Translate IT strategies into prioritized product outcomes, clear use cases, and measurable business value.
* Serve as a thought leader influencing product direction and strategy.
* Collaborate closely with engineering, UX, change management, and operations to ensure on\-time, high\-quality delivery and resilient, supportable solutions.
**Executive \&amp; Business Partnership**
* Partner with senior leaders to shape strategy, clarify priorities, and align on desired outcomes and success metrics.
* Lead discovery and framing of complex problems, synthesizing user research, analytics, and stakeholder input into clear problem statements and solution approaches.
* Influence decision\-making across collaboration, infrastructure, data, security, legal, and compliance stakeholders, driving consensus on roadmap, investment, and risk posture.
**Vendor \&amp; Platform Strategy**
* Manage strategic relationships with vendors and key partners.
* Lead fit\-gap analysis, build\-vs\-buy decisions, and business cases for new capabilities and platform investments.
* Drive vendor accountability for roadmap alignment, delivery quality, security, innovation, and value realization, including SLAs and performance metrics.
* Monitor the external market for technologies, identifying opportunities to pilot and scale new capabilities.
**Value Realization \&amp; Optimization**
* Define and track KPIs to measure adoption, engagement, quality, productivity, and impact (e.g., time saved, reduced manual effort, improved decision speed).
* Use analytics, user feedback, and experimentation to continuously optimize product performance and user experience.
* Proactively identify low\-value, redundant, or underused tools and features and lead efforts to rationalize, simplify, or retire them.
**Employee Digital Experience Leadership**
* Champion a consistent, intuitive, and personalized employee and manager experience across platforms and endpoints (desktop, mobile, web).
* Partner with UX, change management, and communications teams to design user\-centric experiences and drive awareness, adoption, and sustained behavior change.
* Ensure solutions scale globally, support diverse workstyles (remote, hybrid, on\-site), and meet accessibility and localization needs.
**Your Skills and Abilities (Required Qualifications):**
* Experience leading Enterprise Collaboration Tools: Experience supporting tools within the enterprise collaboration tools space such as M365 Suite, Copilot, Google Workspace, and Glean.
* Bachelor’s degree in Business, Information Systems, Computer Science, Human\-Computer Interaction, Technology Management, related field; or equivalent work experience.
* 7\+ years of relevant experience in product management, digital workplace/collaboration platforms, SaaS applications, or enterprise technology roles.
* Demonstrated hands\-on experience using tools like Jira to manage complex backlogs, multiple workstreams, and cross\-team delivery.
* Strong understanding of collaboration and productivity use cases, digital employee experience, and end\-user support models.
* Excellent communication, facilitation, and storytelling skills, with the ability to engage both technical and non\-technical audiences.
**What Will Give You A Competitive Edge (Preferred Qualifications):**
* Experience supporting large, global organizations with diverse roles, regions, and environments.
* Experience leading SaaS transformations, migrations from on\-prem or legacy tools to modern cloud collaboration and AI platforms.
* Background in user research, service design, or design thinking for digital employee experiences.
* 10\+ years of relevant experience in product management, digital workplace/collaboration platforms, SaaS applications, or enterprise technology roles.
* Experience working closely with security, legal, and compliance teams on collaboration and AI\-related risks.
* Master’s Degree Business, Information Systems, Computer Science, Human\-Computer Interaction, Technology Management or related field.
* Strategic product leadership with the ability to define vision, set direction, and drive execution.
* Executive\-level communication and influence, including the ability to build business cases and drive consensus.
* Strong business and technology acumen related to collaboration, productivity, and digital employee experience.
* AI\-first and employee\-experience mindset, focused on simplifying work and augmenting human potential.
* Data\-driven decision\-making using quantitative and qualitative insights.
* Comfort navigating ambiguity and change, with a bias toward experimentation, learning, and iterative improvement.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98">
      <c r="A98" t="inlineStr">
        <is>
          <t>in-82e2704f1157aede</t>
        </is>
      </c>
      <c r="B98" t="inlineStr">
        <is>
          <t>Senior Product Manager - Reporting and Reconciliation</t>
        </is>
      </c>
      <c r="C98" t="inlineStr">
        <is>
          <t>BMO Financial Group</t>
        </is>
      </c>
      <c r="D98" t="inlineStr">
        <is>
          <t>indeed</t>
        </is>
      </c>
      <c r="E98">
        <f>HYPERLINK("https://www.indeed.com/viewjob?jk=82e2704f1157aede", "https://www.indeed.com/viewjob?jk=82e2704f1157aede")</f>
        <v/>
      </c>
      <c r="F98">
        <f>HYPERLINK("https://bmo.wd3.myworkdayjobs.com/en-US/External/job/New-York-NY-USA/Senior-Product-Manager---Reporting-and-Reconciliation_R260004556?source=Indeed", "https://bmo.wd3.myworkdayjobs.com/en-US/External/job/New-York-NY-USA/Senior-Product-Manager---Reporting-and-Reconciliation_R260004556?source=Indeed")</f>
        <v/>
      </c>
      <c r="G98" t="inlineStr">
        <is>
          <t>New York, NY, US</t>
        </is>
      </c>
      <c r="H98" s="3" t="n">
        <v>46063</v>
      </c>
      <c r="I98" t="inlineStr">
        <is>
          <t>151 W 42nd Street New York New York,10036
Global Trading Solutions (GTS) partners with Global Markets businesses to execute on a multi\-year technology and middle office strategy and is driving rationalization and modernization of the technology landscape to increase operational efficiencies and improve customer experience while maintaining current on evolving regulatory and compliance needs.
Within GTS, the Core Platform Product Management (CPPM) group is dedicated to product solutions that span Global Markets lines of business, technical operations on core platform components, and the delivery of scalable, reusable capabilities. The team is comprised of Product Managers, Delivery Managers, Business Analysts, and technology partners working closely across engineering, operations, and business stakeholders.
The CPPM group is seeking a Reporting \&amp; Reconciliation Manager to lead the delivery of two foundational products built on the GMTC (Global Markets Transaction Capture) platform: a reconciliation product built from the ground up and a reporting tool built on top of GMTC. This role combines people management, hands\-on product ownership, and delivery accountability and is best suited for a build\-from\-scratch product leader motivated by ownership, impact, and growth rather than maintaining fully mature products.
**Responsibilities of the Job:**
* Own end\-to\-end delivery of the GMTC reconciliation product and reporting tool, from discovery through execution.
* Write clear product specifications, user stories, workflows, and acceptance criteria to translate business needs into development work.
* Define core functionality, use cases, and UI workflows supporting both technology\-driven and business\-driven reconciliations.
* Develop and maintain product roadmaps, including a clearly defined near\-term and longer\-term vision.
* Partner closely with development teams while allowing flexibility in technical design and implementation.
* Manage team staffing and financial planning activities, including hiring and interview execution, budget forecasting, and employee performance reviews.
* Manage a small product team, initially with one dedicated resource per product, providing coaching, feedback, and prioritization.
* Collaborate with business users, operations teams, and management to align stakeholders around priorities and delivery.
* Communicate progress, trade\-offs, risks, and roadmap updates clearly to stakeholders and leadership.
**Success Metrics:**
* Adoption of the reconciliation and reporting products by business, operations, and technology users.
* Stakeholder satisfaction with product usability, functionality, and delivery.
* A defined and actively underway foundation for a new reconciliation tool.
* A report center with a new UI delivered and supported by a clear roadmap.
**Qualifications:**
* Experience managing at least a small team with accountability for delivery and outcomes.
* Demonstrated experience building products from early\-stage.
* Strong hands\-on product management skills, including documentation and workflow definition.
* Comfort operating in ambiguous environments and creating structure where none exists.
* Strong verbal and written communication skills and ability to work across technology, business, and operations.
**Additional Information:**
This role is not intended for candidates seeking to work solely on fully mature products. It requires a high degree of ownership, comfort with ambiguity, and a willingness to be hands\-on in building new capabilities while leading a team.
**Salary:**
$112,200\.00 \- $209,000\.00
**Pay Type:**
Salaried
The above represents BMO Financial Group’s pay range and type.
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Group’s expected target for the first year in this position.
BMO Financial Group’s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
**About Us**
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https://jobs.bmo.com/us/en
BMO is proud to be an equal employment opportunity employer. We evaluate applicants without regard to race, religion, color, national origin, sex (including pregnancy, childbirth, or related medical conditions), sexual orientation, gender identity, gender expression, transgender status, sexual stereotypes, age, status as a protected veteran, status as an individual with a disability, or any other legally protected characteristics. We also consider applicants with criminal histories, consistent with applicable federal, state and local law.
BMO is committed to working with and providing reasonable accommodations to individuals with disabilities. If you need a reasonable accommodation because of a disability for any part of the employment process, please send an e\-mail to BMOCareers.Support@bmo.com and let us know the nature of your request and your contact information.
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t>
        </is>
      </c>
    </row>
    <row r="99">
      <c r="A99" t="inlineStr">
        <is>
          <t>in-a570083f501d337e</t>
        </is>
      </c>
      <c r="B99" t="inlineStr">
        <is>
          <t>Technical Program Manager 5</t>
        </is>
      </c>
      <c r="C99" t="inlineStr">
        <is>
          <t>Lam Research</t>
        </is>
      </c>
      <c r="D99" t="inlineStr">
        <is>
          <t>indeed</t>
        </is>
      </c>
      <c r="E99">
        <f>HYPERLINK("https://www.indeed.com/viewjob?jk=a570083f501d337e", "https://www.indeed.com/viewjob?jk=a570083f501d337e")</f>
        <v/>
      </c>
      <c r="F99">
        <f>HYPERLINK("https://careers.lamresearch.com/careers/job/1099551692649", "https://careers.lamresearch.com/careers/job/1099551692649")</f>
        <v/>
      </c>
      <c r="G99" t="inlineStr">
        <is>
          <t>Fremont, CA, US</t>
        </is>
      </c>
      <c r="H99" s="3" t="n">
        <v>46063</v>
      </c>
      <c r="I99" t="inlineStr">
        <is>
          <t>Requisition ID**194674**
Date posted**02/11/2026**
Work Location Model**On\-site Flex**
Work Location**Fremont\-CA**
Work Country**United States****The group you’ll be a part of**
---------------------------------
The Customer Support Business Group focuses on enabling our customers with premier customer support throughout their lifecycle with Lam. We drive performance, productivity, safety, and quality of customers installed base performance and deliver service and lifecycle solutions for their most critical equipment and processes.
**The impact you’ll make**
--------------------------
As a Technical Program Manager, you will play a critical role in driving the development and productization of advanced software solutions that power Lam’s global Service Business. You will lead crossfuntioncal teams to deliver high quality, scalable products while shaping the long\-term systems architecture that supports engineers, the field and customers worldwide.**What you’ll do**
------------------
* Lead complex, multidisciplinary software programs from concept through global deployment
* Actively listen, participate, and lead project team activities to promote collaboration and high performance
* Take ownership of assigned tasks, implementing and participating in corrective actions to ensure timely closure; make appropriate decisions within scope and escalate when necessary
* Drive end to end program planning and execution, including roadmap development,
scheduling, risk management, and crossfuntioncal issue resolution across global teams* Translate ambiguous business needs into clear technical requirements and user stories
* Influence and align senior stakeholders across product, engineering, business development, marketing, and field organizations to achieve cohesive decision making and successful program outcomes
* Manage feature pipelines and evaluate progress, quality, and release readiness across project and program tiers
* Own and evolve scalable business systems, software integrations, and process architecture
* Deliver executive level reporting, communications, and program updates with clarity and precision
* Champion operational excellence through improved processes, metrics, and best practices
* Perform deep analysis, generate insights, and present data driven recommendations to leadership
* Drive adoption and continuous improvement of Agile/SAFe methodologies to enhance delivery efficiency and team alignment
* Serve as a champion for customer and engineer experience, ensuring products and systems deliver measurable value and global impact
**Who we’re looking for**
-------------------------
* Bachelor’s degree with 12\+ years of experience, or Master’s degree with 8\+ years of experience, or PhD with 5\+ years of experience, or equivalent industry experience
* 12\+ years of experience in technical program management, continuous improvement, or related technical leadership roles
* Ability to travel up to 10% to engage with field users and understand customer and engineering requirements
* Demonstrated ability to make effective decisions that drive successful implementation of technical, process, or operational changes
* Strong understanding of business process development, process controls, and mapping work item execution to organizational objectives
* Required tool proficiency: Jira, Confluence, Workboard or equivalent Agile and OKR platforms
**Preferred qualifications**
----------------------------
* Experience or domain knowledge in semiconductor fabrication, equipment operations, or related high\-tech industries
* Strong understanding of program management methodologies and experience with Product Development \&amp; Release (PDR) processes
* Relevant project/program management certifications such as PMP, CAPM, or Scrum Master
* Familiarity with OKR (Objectives and Key Results) frameworks for alignment and execution
* Experience with Lean Six Sigma methodologies; Green Belt or Black Belt certification is a plus
* Hands\-on experience with Agile and/or Waterfall delivery methodologies
* Proficiency with program and project management tools such as MS Project, QuickBase, Office Timeline, or equivalent platforms
* Experience with organizational change management and adoption methodologies is a plus
* Demonstrated ability to champion field needs and drive alignment between customer\-facing teams and internal organizations
**Our commitment**
------------------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*\#LI\-LE1*
**Salary**
CA San Francisco Bay Area Salary Range for this position: $125,000\.00 \- $270,000\.00\.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100">
      <c r="A100" t="inlineStr">
        <is>
          <t>in-262aa7d14c4b4890</t>
        </is>
      </c>
      <c r="B100" t="inlineStr">
        <is>
          <t>COE Program Manager</t>
        </is>
      </c>
      <c r="C100" t="inlineStr">
        <is>
          <t>University of North Carolina at Chapel Hill</t>
        </is>
      </c>
      <c r="D100" t="inlineStr">
        <is>
          <t>indeed</t>
        </is>
      </c>
      <c r="E100">
        <f>HYPERLINK("https://www.indeed.com/viewjob?jk=262aa7d14c4b4890", "https://www.indeed.com/viewjob?jk=262aa7d14c4b4890")</f>
        <v/>
      </c>
      <c r="F100">
        <f>HYPERLINK("https://unc.peopleadmin.com/postings/313111", "https://unc.peopleadmin.com/postings/313111")</f>
        <v/>
      </c>
      <c r="G100" t="inlineStr">
        <is>
          <t>Chapel Hill, NC, US</t>
        </is>
      </c>
      <c r="H100" s="3" t="n">
        <v>46063</v>
      </c>
      <c r="I100" t="inlineStr">
        <is>
          <t>Posting Information
**Department** SW\-Research Projects\-382000
**Career Area** Research Professionals
**Posting Open Date** 02/11/2026
**Application Deadline** 02/27/2026
**Open Until Filled** No
**Position Type** Permanent Staff (EHRA NF)
**Working Title** COE Program Manager
**Appointment Type** EHRA Non\-Faculty
**Position Number** 20074680
**Vacancy ID** NF0009523
**Full Time/Part Time** Full\-Time Permanent
**FTE** 1
**Hours per week** 40
**Position Location** North Carolina, US
**Hiring Range** $80,000\-$85,000
**Proposed Start Date** 04/01/2026
Position Information
**Be a Tar Heel!**
A global higher education leader in innovative teaching, research and public service, the **University of North Carolina at Chapel Hill** consistently ranks as **one of the nation’s top public universities**. Known for its beautiful campus, world\-class medical care, commitment to the arts and top athletic programs, Carolina is an ideal place to teach, work and learn.
One of the best college towns and best places to live in the United States, Chapel Hill has diverse social, cultural, recreation and professional opportunities that span the campus and community.
University employees can choose from a wide range of **professional training opportunities** for career growth, skill development and lifelong learning and enjoy **exclusive perks** for numerous retail, restaurant and performing arts discounts, savings on local child care centers and special rates on select campus events. UNC\-Chapel Hill offers full\-time employees a **comprehensive benefits package**, paid leave, and a variety of health, life and retirement plans and additional programs that support a healthy work/life balance.
**Primary Purpose of Organizational Unit**
The mission of the School of Social Work is to advance equity, transform systems, improve lives. The School’s curriculum supports the mission and recognizes the uniqueness of the region served, including concerns for disadvantaged, vulnerable, and oppressed individuals, families and communities. Classes provide rigorous and evidence\-based content, and give students the opportunity to explore theory, learn intervention skills and engage in challenging dialogue with colleagues.
**Position Summary**
The Behavioral Health Springboard (BHS) at the School of Social Work, University of North Carolina at Chapel Hill links current research to initiatives in mental health and substance use disorder treatment systems. BHS offers curricula development, technical assistance, program consultation, and face\-to\-face and online educational programs. Collaboration between the university and the community (local, regional/state, global) is mutually beneficial for the exchange of knowledge and resources in a context of partnership and reciprocity. These exchanges enrich scholarship and research; enhance curriculum, teaching and learning; prepare educated, engaged citizens; strengthen values and civic responsibility; address critical societal issues; and contribute to the public good. Our training resources, products, and experienced staff help organizations design effective service delivery systems and assist with the transitions needed to implement evidenced based practices for improved client outcomes and systems efficiencies.  
BHS is seeking a highly skilled, experienced Child Behavioral Health Program Manager to provide support to the NC Division of Child and Family Well\-Being (NC DCFW)’s Center of Excellence Technical Assistance Program (COE\-TAP). This role involves collaboration with multiple stakeholders including NC divisions and departments (DCFW, DSS, DMHDDSUS) , Local Management Entity\-Managed Care Organizations (LME\-MCO), provider associations, providers, and family advocacy organizations. The Child Behavioral Health Program Manager will serve as lead project manager on the development and establishment of the Center of Excellence Technical Assistance Program, lead cross\-divisional professional learning communities, translate ideas and plans into digestible presentation material, collect and utilize programmatic performance data to inform strategic action and implementation plans, and apply research tools and policy formulation skills to new and revised NC initiatives. The Child Behavioral Health Program manager will be responsible for task management and leadership for the Child Behavioral Health POD.
**Minimum Education and Experience Requirements**
Relevant post\-Baccalaureate degree required (or foreign degree equivalent); for candidates demonstrating comparable independent research productivity or comparable background in independent academic or instructional activities, will accept a relevant Bachelor’s degree (or foreign degree equivalent) and 3 or more years of relevant experience in substitution. This experience may be related to the direction/oversight of programs that focus the academic and research resources of a higher education institution towards community or regional issues.
**Required Qualifications, Competencies, and Experience**
Master’s degree in social work, human services, public administration, psychology, public health, or related field.  
Five or more years of progressively responsible program development and/or project management experience using implementation science frameworks. Experience to include program administration, budget management, monitoring and evaluation, team facilitation and reporting
**Preferred Qualifications, Competencies, and Experience**
Licensed as a NC mental/behavioral health professional.  
Thorough knowledge of policies related to NC’s child serving systems including child welfare, juvenile justice, and mental health  
Experience writing grants and proposals, executive summaries; framing problem statements  
Exceptional verbal and written communication skills  
Effective project management skills including setting goals and timelines; evaluating and monitoring progress; and engagement with multiple stakeholders in order to gain and maintain their focus on project overtime.  
Experience using implementation science tools and strategies to support programmatic adaptations and innovations  
Approachable, calm style encouraging open and solution\-oriented communication across high\-level stakeholders  
Highly proficient in all Microsoft programs (Word/Excel/PowerPoint/Outlook) as well as in teleconferencing technology (Zoom, Big Blue Button, Teams, Canvas, Moodle, etc.)  
Leadership, coaching, and teambuilding skills  
Ability to manage conflict and works well with multiple stakeholders bridging university, community organizations and state government  
Ability to be effective under stressful deadlines and timeframes, with frequently changing priorities
**Special Physical/Mental Requirements**
**Campus Security Authority Responsibilities**
Not Applicable.</t>
        </is>
      </c>
    </row>
    <row r="101">
      <c r="A101" t="inlineStr">
        <is>
          <t>in-82a88f3c0a3623db</t>
        </is>
      </c>
      <c r="B101" t="inlineStr">
        <is>
          <t>Business Unit Program Manager</t>
        </is>
      </c>
      <c r="C101" t="inlineStr">
        <is>
          <t>Jabil</t>
        </is>
      </c>
      <c r="D101" t="inlineStr">
        <is>
          <t>indeed</t>
        </is>
      </c>
      <c r="E101">
        <f>HYPERLINK("https://www.indeed.com/viewjob?jk=82a88f3c0a3623db", "https://www.indeed.com/viewjob?jk=82a88f3c0a3623db")</f>
        <v/>
      </c>
      <c r="F101">
        <f>HYPERLINK("https://jabil.wd5.myworkdayjobs.com/en-US/Jabil_Careers/job/San-Jose-CA/Business-Unit-Program-Manager_J2438558", "https://jabil.wd5.myworkdayjobs.com/en-US/Jabil_Careers/job/San-Jose-CA/Business-Unit-Program-Manager_J2438558")</f>
        <v/>
      </c>
      <c r="G101" t="inlineStr">
        <is>
          <t>San Jose, CA, US</t>
        </is>
      </c>
      <c r="H101" s="3" t="n">
        <v>46063</v>
      </c>
      <c r="I101" t="inlineStr">
        <is>
          <t>At Jabil we strive to make ANYTHING POSSIBLE and EVERYTHING BETTER. We are proud to be a trusted partner for the world's top brands, offering comprehensive engineering, manufacturing, and supply chain solutions. With over 50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  
Jabil is seeking a Business Unit Program Manager to work in San Jose, CA.
**How will you make an impact?**
As a Business Unit Program Manager with Jabil, you will work independently and lead large scale projects for a designated client typically related to quality assurance, systems, manufacturing operations, etc. to achieve internal and external customer satisfaction. The qualified candidate will use their extensive knowledge and skills obtained through education and experience to lead multiple large projects with significant scope and impact.
**What will you do?**
* Work independently on difficult assignments that are broad in nature requiring originality and ingenuity with appreciable latitude for un\-reviewed actions or decisions.
* Provide comprehensive solutions to complex problems. Results are evaluated at agreed upon milestones for effectiveness in achieving specified results.
* Extensive contact with internal and external customers is required to obtain, clarify or provide facts and information.
* Responsible for oversight of key projects or for multiple, related projects / programs aligned with an assigned Business Unit’s strategy. Request for Quotes (RFQ), New Product Introduction (NPI) Costing, Non\-Disclosure and Legal compliance.
* Manage projects/programs under assigned Business Unit direction.
* Work closely with vendors and cross functional team.
* Demonstrate knowledge and skill in leading and directing project teams and in delivering project results within the constraints of schedule, budget and resources.
* Manage key customer programs with less P\&amp;L responsibility.
* Provide customers with Jabil point of contact and interface.
* Work with internal and external customers to provide excellent customer satisfaction and exceed customer expectations.
* Lead and implement specific programs both internal and external to Jabil that span functions, organizations,
geographic regions and cultures.
* Lead and manage the development of specific products through the various stages of the product lifecycle from concept to end\-of\-life.
* May perform other duties and responsibilities as assigned.
**How will you get here?**
**Education \&amp; Experience:**
* Bachelor’s Degree in Mechanical or Electromechanical degree preferred or any type of Engineering Degree required.
* At least 3 years of experience in program management or quality management in a manufacturing \&amp; operations environment required.
**Knowledge, Skills, Abilities:**
* Ability to travel 50\-60% of the time to locations such as India, Penang, China and Taiwan.
* Technical knowledge of equipment’s used on end\-to\-end process in AI networking switches as well as Electronic Manufacturing Services (EMS).
* Strong communication skills, both verbal and written.
* Strong Technical Skills, in Liquid Cooling Technology, Large BGA technology in SMT process, Network Computing and Switch manufacturing.
* Experience working with AI Networking and EMS Industry.
* Strong Enterprise Resource Planning (ERP) skills
* Strong project and/or program management skills
* Ability to effectively present information and respond to questions from groups of managers, clients, customers, and the general public.
* Ability to define problems, collect data, establish facts, and draw valid conclusions.
**Benefits you will receive while working with Jabil:**
Along with growth, stability, and the opportunity to be challenged, Jabil offers a competitive benefits package that includes:
* Medical, Dental, Prescription Drug, and Vision Insurance with HRA and HSA options
* 401K match
* Employee Stock Purchase Plan
* Paid Time Off
* Tuition Reimbursement
* Life, AD\&amp;D, and Disability Insurance
* Commuter Benefits
* Employee Assistance Program
* Pet Insurance
* Adoption Assistance
* Annual Merit Increases
* Community Volunteer Opportunities
The pay range for this role is $99,300 \- $178,600\. Job\-related, non\-discriminatory factors used to determine the actual offered rate include qualifications and experience, geographic location, education, external market data, and consideration of internal equity. The anticipated close date of this job requisition is: April 30, 2026\.
As part of the total rewards package, this position is eligible for a short\-term incentive based on performance. In addition, Jabil offers benefits to enhance your health, wealth and resilient self. These include medical, dental, and vision insurance plans; 401(k) retirement plan and employee stock purchase plan; and paid time off.  
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the Federal Bureau of Investigations internet crime hotline (www.ic3\.gov), the Federal Trade Commission identity theft hotline (www.identitytheft.gov) and/or your local police department. Any scam job listings should be reported to whatever website it was posted in.
**Jabil,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
**Accessibility Accommodation**
===============================
If you are a qualified individual with a disability, you have the right to request a reasonable accommodation if you are unable or limited in your ability to use or access Jabil.com/Careers site as a result of your disability. You can request a reasonable accommodation by sending an e\-mail to Always\_Accessible@Jabil.com or calling 727\-803\-7988 with the nature of your request and contact information. Please do not direct any other general employment related questions to this e\-mail or phone number. Please note that only those inquiries concerning a request for reasonable accommodation will be responded to.  
\#whereyoubelong  
\#AWorldofPossibilities</t>
        </is>
      </c>
    </row>
    <row r="102">
      <c r="A102" t="inlineStr">
        <is>
          <t>in-64bd88e9b694ff9a</t>
        </is>
      </c>
      <c r="B102" t="inlineStr">
        <is>
          <t>Product Manager, Accessories</t>
        </is>
      </c>
      <c r="C102" t="inlineStr">
        <is>
          <t>Amrize</t>
        </is>
      </c>
      <c r="D102" t="inlineStr">
        <is>
          <t>indeed</t>
        </is>
      </c>
      <c r="E102">
        <f>HYPERLINK("https://www.indeed.com/viewjob?jk=64bd88e9b694ff9a", "https://www.indeed.com/viewjob?jk=64bd88e9b694ff9a")</f>
        <v/>
      </c>
      <c r="F102">
        <f>HYPERLINK("https://careers.amrize.com/Amrize/job/Nashville-Product-Manager%2C-Accessories-TN-37214/1364035300/", "https://careers.amrize.com/Amrize/job/Nashville-Product-Manager%2C-Accessories-TN-37214/1364035300/")</f>
        <v/>
      </c>
      <c r="G102" t="inlineStr">
        <is>
          <t>Nashville, TN, US</t>
        </is>
      </c>
      <c r="H102" s="3" t="n">
        <v>46063</v>
      </c>
      <c r="I102" t="inlineStr">
        <is>
          <t>**Product Manager, Accessories**
================================
Requisition ID: 15793
Location:
Nashville, TN, US, 37214
Pay Type: Salary
**COMPANY OVERVIEW**  
Amrize is building North America. From bridges and railways to data centers, schools, offices and homes, our solutions are inside the buildings and infrastructure that connect people and advance how we live. And we invite you to come and build with us.
As the partner of choice for professional builders, we offer advanced branded solutions from foundation to rooftop. Wherever our customers are, whatever their job, we’re ready to deliver. Our 19,000 colleagues work across 1,000 sites supported by an unparalleled distribution network. Infrastructure, commercial and residential, new build, repair and refurbishment: We’re in every construction market.
Amrize listed on the New York Stock Exchange and the SIX Swiss Exchange on June 23, 2025, following our spinoff as an independent company. Join us and build *your* ambition.
Learn more atwww.amrize.com/careers
Description:  
Elevate is committed to providing the highest quality commercial roofing, wall and lining systems to solve our customers’ challenges, grounded by a 45\-year legacy of proven experience. Our mission is to deliver solutions that save time, perform reliably and protect our communities. We are devoted to building partnerships rooted in trust in reflection of our Elevate promise that Nobody Covers You Better™.
Elevate is part of the Amrize family of brands. Visit ElevateCommercialBP.com to learn more.
We’re seeking a Product Manager, Accessories who’s ready to be part of a people\-first company offering best\-in\-class products, exceptional training, and deep industry pride—all built to help our partners and team succeed.
ABOUT THE ROLE  
The Accessories Product Manager is responsible and accountable for the Accessories Product P\&amp;L and driving the strategic growth of Elevate’s roofing business. This includes providing clear and customer centric inputs to product development, product rationalization, market positioning, and market launch using a stage\-gate process for all products in the Amrize Building Envelope Portfolio of that product category.
WHAT YOU’LL ACCOMPLISH
Lead the development and implementation of a:
* Comprehensive understanding of the Accessories markets, incl. Edge Metal Elevate is competing in, both on a macro\-economic and product\-specific scale. In alignment with sales and management, analyze our product solution sales and profitability along our sales channels
* Comprehensive understanding of the competitive landscape and the customer value of our product solutions.
* Regular, strategic customer relationship strategy in alignment with sales to assess customer and industry needs and to identity strategic customer partnerships for launching new products
* Life cycle strategy to optimize our existing product solution portfolio with a focus on optimizing cost, complexity and portfolio efficiency and effectiveness related to business impact.
* Product solution roadmap to expand our product solution portfolio to drive growth through innovation and new product solutions.
Execute  
* Strategies per agreed to timeline and KPIs
* Continuous and regular customer interactions in alignment with sales, strategies
* Special projects as requested by management
Ensure  
* Alignment with the organization, especially sales, field technical experts and management.
* Effective and efficient communication to customers, working teams and management
* Support of cross\-functional projects as prioritized by the business
* Support of marketing activities as prioritized by management
* Support of pricing activities with market and competitive data in coordination with sales and management.
WHAT WE’RE LOOKING FOR
* BS degree in Engineering/Business or related field, MBA Preferred;
* Direct experience and knowledge base in PVC roofing products a must
* 10 years progressive experience in Engineering/Technology/Marketing/Sales functions or related field.
* Experience in a combination of the following areas: Project Management, Product Management, Product Development, Marketing \&amp; Sales, Engineering, Manufacturing, Finance for a Building Material major supplier.
* Experience in managing a portfolio of products related to Construction industry, B2B or Industrial goods.
* Travel required up to 25%
* Data driven personality with strong interpersonal skills and analytical capabilities. Excel capabilities is a must.
* Can do attitude and ambition to have an impact on the business
WHAT WE OFFER:
* Competitive Compensation
* Retirement Savings
* Medical, Dental, Disability and Life Insurance Coverage
* Holistic Health \&amp; Well\-Being Programs
* Health Savings Accounts (HSA) and Flexible Spending Accounts (FSA) for Health and Dependent Care
* Vision and other Voluntary Benefits and Discounts
* Paid Time Off and Holidays
* Paid Parental Leave (Maternity and Paternity)
* Educational Assistance Program
\#BuildingEnvelope
\#LI\-Onsite
**Amrize is an equal opportunity employer. We celebrate diversity and are committed to creating an inclusive environment for all employees.**
*We thank all applicants for their interest; however, only those selected for an interview will be contacted.*
**BUILDING INCLUSIVE WORKSPACES**  
At Amrize, there is endless opportunity for you to play your part. Whether you’re in a technical, managerial, or frontline role, you can shape a career that works for you. We're seeking builders, creative thinkers and innovators. Come put your expertise to work while developing the knowledge and skills to drive your career forward. With us you’ll have the chance to build your ambition!
Amrize North America Inc. takes pride in our hiring processes and our commitment that all qualified applicants will receive consideration for employment without regard to age, race, color, ethnicity, religion, creed, national origin, ancestry, gender, gender identity, gender expression, sex, sexual orientation, marital status, pregnancy, parental status, genetic information, citizenship, physical or mental disability, past, current, or prospective service in the uniformed services, or any other characteristic protected by applicable federal, state or local law. Amrize North America Inc, and its respective subsidiaries are Equal Opportunity Employers, deciding all employment on the basis of qualification, merit and business need. Amrize Canada Inc. is committed to the principles of employment equity and encourages the applications from women, visible minorities, and persons with disabilities.
In compliance with the ADA Amendments Act (ADAAA), if you have a disability and would like to request accommodation in order to apply for a position with us, please email recruiting\-accommodations@amrize.com. This email address should only be used for accommodations and not general inquiries or resume submittals. In Ontario, our organization/business is committed to fulfilling our requirements under the Accessibility for Ontarians with Disabilities Act. Under the Act, accommodations are available on request for candidates taking part in all aspects of the selection process.
While we sincerely appreciate all applications, only candidates selected for an interview will be contacted.
**Nearest Major Market:** Nashville</t>
        </is>
      </c>
    </row>
    <row r="103">
      <c r="A103" t="inlineStr">
        <is>
          <t>in-470fe1a8cb24671d</t>
        </is>
      </c>
      <c r="B103" t="inlineStr">
        <is>
          <t>Technical Program Manager</t>
        </is>
      </c>
      <c r="C103" t="inlineStr">
        <is>
          <t>General Dynamics Information Technology</t>
        </is>
      </c>
      <c r="D103" t="inlineStr">
        <is>
          <t>indeed</t>
        </is>
      </c>
      <c r="E103">
        <f>HYPERLINK("https://www.indeed.com/viewjob?jk=470fe1a8cb24671d", "https://www.indeed.com/viewjob?jk=470fe1a8cb24671d")</f>
        <v/>
      </c>
      <c r="F103">
        <f>HYPERLINK("https://www.gdit.com/careers/job/4f413919c/technical-program-manager", "https://www.gdit.com/careers/job/4f413919c/technical-program-manager")</f>
        <v/>
      </c>
      <c r="G103" t="inlineStr">
        <is>
          <t>IN, US</t>
        </is>
      </c>
      <c r="H103" s="3" t="n">
        <v>46063</v>
      </c>
      <c r="I103" t="inlineStr">
        <is>
          <t>Your Impact
Own your opportunity to work alongside federal civilian agencies. Make an impact by providing services that help the government ensure the well being of U.S. citizens.
Job Description
Transform technology into opportunity as a Technical Program Manager at GDIT. Shape what’s next for mission\-critical government projects while shaping what’s next for your engineering career.
MEANINGFUL WORK AND PERSONAL IMPACT
Lead and manage the development team to modernize and migrate legacy mainframe\-based systems to the cloud, follow cloud best practices, and introduce AI/ML capabilities into the product.
Key activities include:
* Requirements Definition and Management
* Service Level Management
* Risk Management
* Process Design and Management
* Business Management
* Application Design and Modernization
* Cybersecurity
* Disaster Recovery / Business Continuity Operations
* End User and Service Desk Training
A key attribute is the ability to collaborate with USPS Government representatives to enable mission readiness and success for critical applications at the point of need.
Ensure business processes that exist in the legacy system are successfully migrated.
Collaborate with stakeholders and product architects to introduce AI/ML capabilities throughout the development process and into the final product.
As the Technical Program Manager, you will play a critical role in modernizing applications to optimize operations and sustainment in the cloud.
Education
* Bachelor’s Degree (or additional years of relevant work experience may be considered in lieu of degree)
* Candidates without a degree may qualify by demonstrating 4 additional years of directly related professional experience
Required Experience
* 10\+ years of experience in Project/Program Management
Required Skills and Abilities (MUST HAVE)
* Experience managing FFP Software Development Cloud Application migrations and modernization
* Experience building applications using AI\-assisted development
* Experience building AI\-powered applications, including model selection, model training, and application integration using AWS
* Excellent written and oral communication skills to develop and present complex information to senior Government officials using Microsoft Office Suite
* Ability to manage large\-scale IT contracts of similar size (over 25 FTEs) and scope
Preferred Skills
* Experience deploying large\-scale hardware and software system enhancements and/or upgrades for organizations with widely distributed geographic sites
* Experience with current and emerging cloud and infrastructure management technologies and business practices
* Experience with mainframe\-to\-cloud application modernization introducing AI to legacy applications
Preferred Certifications
* Program Management Professional (PMP) Certification or DAWIA Level III
Security Clearance
* Ability to obtain and maintain a Public Trust clearance and successfully pass a thorough Government background screening process requiring the completion of detailed forms and fingerprinting
* This position has a U.S. residency requirement. The USPS security clearance process requires the selected candidate to have resided in the U.S. (including U.S. Territories) for the last five years as follows: U.S. Citizens cannot have left the U.S. (including U.S. Territories) for longer than 6 months consecutively in the last 3 years (unless they meet certain exceptions). Non\-U.S. Citizens cannot have left the U.S. (including U.S. Territories) for longer than 90 days consecutively in the last 3 years.
Location:
* Remote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competitive pay and paid time off
* Community: Award\-winning culture of innovation and a military\-friendly workplace
OWN YOUR OPPORTUNITY  
Explore a career in data science and engineering at GDIT and you’ll find endless opportunities to grow alongside colleagues who share your determination for solving complex data challenges.
\#zxc726
Work Requirements
Years of Experience
10 \+ years of related experience* may vary based on technical training, certification(s), *or* degree
Certification
Project Management Professional (PMP) \| Project Management Institute (PMI) \- Project Management Institute (PMI)
Travel Required
Less than 10%
Salary and Benefit Information
The likely salary range for this position is $164,382 \- $218,500\.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04">
      <c r="A104" t="inlineStr">
        <is>
          <t>in-eb44baf075e5e443</t>
        </is>
      </c>
      <c r="B104" t="inlineStr">
        <is>
          <t>SEIC III Program Manager</t>
        </is>
      </c>
      <c r="C104" t="inlineStr">
        <is>
          <t>General Dynamics Information Technology</t>
        </is>
      </c>
      <c r="D104" t="inlineStr">
        <is>
          <t>indeed</t>
        </is>
      </c>
      <c r="E104">
        <f>HYPERLINK("https://www.indeed.com/viewjob?jk=eb44baf075e5e443", "https://www.indeed.com/viewjob?jk=eb44baf075e5e443")</f>
        <v/>
      </c>
      <c r="F104">
        <f>HYPERLINK("https://www.gdit.com/careers/job/3f32f6a61/seic-iii-program-manager", "https://www.gdit.com/careers/job/3f32f6a61/seic-iii-program-manager")</f>
        <v/>
      </c>
      <c r="G104" t="inlineStr">
        <is>
          <t>Boston, MA, US</t>
        </is>
      </c>
      <c r="H104" s="3" t="n">
        <v>46063</v>
      </c>
      <c r="I104" t="inlineStr">
        <is>
          <t>Your Impact
Own your opportunity to work with the largest government agency in the nation. Make an impact by advancing the Department of Defense’s mission to keep our country safe and secure.
Job Description
Join General Dynamics IT and be a part of a team that solve some of the world's most complex technical challenges.
The SEIC III team is seeking an experienced Technical Program Manager with a strong background in System/Software Engineering and Mission Planning to lead a large Systems Engineering Contract for the Department of War. This position is located in Boston, MA.
Key Responsibilities:
* Manage and oversee the execution of a complex systems engineering contract, ensuring timely and within\-budget delivery of high\-quality products and services
* Develop and maintain strong relationships with Air Force stakeholders, including program managers, engineers, and logistics personnel
* Provide technical leadership and guidance to a team of systems engineers, software developers, and mission planning specialists
* Coordinate and integrate the work of multiple subcontractors and vendors to ensure seamless execution of contract requirements
* Develop and manage project schedules, resource allocation plans, and budget forecasts
* Identify and mitigate risks, and develop contingency plans as needed
* Ensure compliance with all relevant laws, regulations, and DoW policies and procedures
Required Qualifications:
* Bachelor's degree; technical field preferred
* Minimum 10 years of experience in systems engineering, software development, or mission planning
* 5 years of experience as a Program Manager for DoW technical programs
* Strong understanding of DoW acquisition processes and procedures
* Experience with running Agile software projects and DevSecOps practices
* PMP certification or equivalent
* TS clearance \- SCI eligible
Desired Qualifications:
* Master's degree in a relevant field (e.g., Systems Engineering, Software Engineering, Computer Science, or related field)
* Experience with DoW systems engineering and acquisition processes, including the Defense Acquisition System and the Joint Capabilities Integration and Development System (JCIDS)Familiarity with ITAR and export control regulations
* Experience with cloud\-based technologies and cybersecurity best practices
WHAT CAN GDIT OFFER YOU?
* Excellent customizable health benefits (Medical, Dental and Vision)
* 401K with company match
* Educational Assistance and eLearning
* Flexible work week
* Internal mobility team dedicated to employee advancement
* Rewards and Recognition programs
* Innovative and collaborative environment encouraging of highly motivated critical thinking
Work Requirements
Years of Experience
10 \+ years of related experience* may vary based on technical training, certification(s), *or* degree
Certification
Project Management Professional (PMP) \| Project Management Institute (PMI) \- Project Management Institute (PMI)
Travel Required
10\-25%
Citizenship
U.S. Citizenship Required
Salary and Benefit Information
The likely salary range for this position is $128,039 \- $173,229\.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05">
      <c r="A105" t="inlineStr">
        <is>
          <t>in-6c1ce89f4a78a5bd</t>
        </is>
      </c>
      <c r="B105" t="inlineStr">
        <is>
          <t>Cloud Services Program Manager</t>
        </is>
      </c>
      <c r="C105" t="inlineStr">
        <is>
          <t>General Dynamics Information Technology</t>
        </is>
      </c>
      <c r="D105" t="inlineStr">
        <is>
          <t>indeed</t>
        </is>
      </c>
      <c r="E105">
        <f>HYPERLINK("https://www.indeed.com/viewjob?jk=6c1ce89f4a78a5bd", "https://www.indeed.com/viewjob?jk=6c1ce89f4a78a5bd")</f>
        <v/>
      </c>
      <c r="F105">
        <f>HYPERLINK("https://www.gdit.com/careers/job/4a0c71dc1/cloud-services-program-manager", "https://www.gdit.com/careers/job/4a0c71dc1/cloud-services-program-manager")</f>
        <v/>
      </c>
      <c r="G105" t="inlineStr">
        <is>
          <t>IN, US</t>
        </is>
      </c>
      <c r="H105" s="3" t="n">
        <v>46063</v>
      </c>
      <c r="I105" t="inlineStr">
        <is>
          <t>Your Impact
Own your opportunity to work alongside federal civilian agencies. Make an impact by providing services that help the government ensure the well being of U.S. citizens.
Job Description
CLOUD SERVICES PROGRAM MANAGER
Own your career as a Cloud Services Program Manager at GDIT. Here, you’ll have the opportunity to build strong lines of cyber defense and develop your skills using cutting\-edge technologies. Your work in cyber security at GDIT will have an impact on securing our clients’ missions and ensuring we anticipate the threats of tomorrow.
At GDIT, people are our differentiator. As a Cloud Services Program Manager supporting the CDC in Atlanta, you will help ensure today is safe and tomorrow is smarter—and grow your skills as you go. Our work depends on PM joining our team to support CDC systems that protect the United States and the world by preventing, detecting and responding to disease threats.
HOW A CLOUD SERVICES PROGRAM MANAGER WILL MAKE AN IMPACT:
The Cloud Services Program Manager Is responsible for maintaining the operational integrity, security, and performance of Cloud infrastructure. This role ensures high availability of systems, manages hardware and network components, and supports business continuity through proactive monitoring and maintenance.
* Monitor and maintain data center systems, servers, storage, and network equipment
* Install, configure, and decommission hardware and software
* Manage rack layouts, cabling, power, and cooling systems
* Perform system upgrades, patches, and backups
* Ensure compliance with security, safety, and regulatory standards
* Troubleshoot hardware, network, and environmental issues
* Support disaster recovery and business continuity plans
* Maintain documentation, inventory, and asset tracking
* Coordinate with vendors, engineers, and IT teams
* Monitor environmental conditions (temperature, humidity, power usage)
WHAT YOU’LL NEED TO SUCCEED:
Education: BS in Computer Science
Experience:
* 10\+ years of managing cloud environments
* 5\+ years of Coordinating with vendors, engineers, and IT teams
* Deep understanding in managing Cloud Environments including Azure and AWS
Technical skills:
* Azure, AWS, Zero Trust
Security clearance level: Public Trust
Skills and abilities:
* Demonstrated experience as an (Azure Administrator/AWS SysOps Administrator)
Location: Remote
Travel: 10%
Preferred Skills:
* Infrastructure Management: Configuring and maintaining virtualized resources (VMs, containers) and the physical hardware that supports them. Performance Monitoring: Using tools to track network traffic, server loads, and resource utilization to prevent downtime. Security \&amp; Compliance: Managing Identity and Access Management (IAM), firewalls, and security groups to protect sensitive data. System Maintenance: Handling OS patching (Linux/Windows), software upgrades, and robust backup strategies. Capacity Planning: Analyzing usage trends to scale resources efficiently and avoid "cloud sprawl" or unnecessary costs.
GDIT IS YOUR PLACE:
* Full\-flex work week to own your priorities at work and at home
* 401K with company match
* Comprehensive health and wellness packages
* Internal mobility team dedicated to helping you build your skills and own your career
* Professional growth opportunities including paid education and certifications
* Cutting\-edge technology you can learn from
* Rest and recharge with paid vacation and 10 company\-paid holidays
Work Requirements
Years of Experience
10 \+ years of related experience* may vary based on technical training, certification(s), *or* degree
Certification
Travel Required
None
Salary and Benefit Information
The likely salary range for this position is $150,450 \- $203,550\.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06">
      <c r="A106" t="inlineStr">
        <is>
          <t>in-499558dd692a0b9d</t>
        </is>
      </c>
      <c r="B106" t="inlineStr">
        <is>
          <t>Energy and Sustainability, Program Manager - Senior Consultant</t>
        </is>
      </c>
      <c r="C106" t="inlineStr">
        <is>
          <t>Guidehouse</t>
        </is>
      </c>
      <c r="D106" t="inlineStr">
        <is>
          <t>indeed</t>
        </is>
      </c>
      <c r="E106">
        <f>HYPERLINK("https://www.indeed.com/viewjob?jk=499558dd692a0b9d", "https://www.indeed.com/viewjob?jk=499558dd692a0b9d")</f>
        <v/>
      </c>
      <c r="F106">
        <f>HYPERLINK("https://guidehouse.searchgreatcareers.com/job/chicago/energy-and-sustainability-program-manager-senior-consultant/25181/91619632816", "https://guidehouse.searchgreatcareers.com/job/chicago/energy-and-sustainability-program-manager-senior-consultant/25181/91619632816")</f>
        <v/>
      </c>
      <c r="G106" t="inlineStr">
        <is>
          <t>Chicago, IL, US</t>
        </is>
      </c>
      <c r="H106" s="3" t="n">
        <v>46063</v>
      </c>
      <c r="I106" t="inlineStr">
        <is>
          <t>Job Family:
Management Consulting  
Travel Required:
Up to 50%  
Clearance Required:
None
What You Will Do:
Guidehouse is seeking a Program Manager \- Senior Consultant, to support our Energy Efficiency/Electrification programs with experience in the energy industry. This Senior Consultant will support the implementation of energy efficiency rebate programs for our state and local government clients. This individual will also work with partners to the support the building and management of trade ally networks and provide day to day contact with our subconsultants to achieve continuous improvement in the customer journey.
Essential Job Functions \&amp; Responsibilities:
* Partner and coordinate with Guidehouse market teams and the national team to support the development of EE, electrification and/or decarbonization solutions that can be scaled across our the Guidehouse client base.
* Developing and delivering Energy Efficiency (EE), electrification and/or decarbonization solutions as well as team and partner management of various functional groups (internal and external), client, and stakeholders.
* Support the development and shaping of opportunities in collaboration with the market teams to meet bookings goals.
* Manage client relationship and expectations, work to resolve project issues, proactively identify project risks and make recommendations for resolution to ensure project success throughout the project lifecycle.
* Coordinate and lead internal and external meetings with internal teams, clients, partners and diverse stakeholders (all levels including leadership).
* Ensure solution aligns with client program goals, and client needs/overall business objectives.
* Provide leadership and mentoring to team members on project development and client management skills.
* Provide ongoing feedback and input into future solution needs and enhancements.
What You Will Need:
* Bachelor’s degree from an accredited university.
* Minimum of three (3\)\+ years of overall work experience.
* Experience in the energy industry and/or state and local energy programs.
* Experience in program management and solution development.
* Experience for complex solutions such as EE, electrification, decarbonization.
* Solid understanding of energy efficiency measures for residential homes and multi\-family housing.
* Knowledge of economic analysis in developing business cases for businesses to implement energy efficiency measures.
* Ability to coordinate diverse program stakeholders both internal and external.
* Excellent verbal, interpersonal, written communication, and presentation skills.
* Strong analytical, creative problem\-solving and decision\-making capabilities.
* Team player with the ability to work in a fast\-paced environment
* Must have a passion for customer satisfaction and have the ability to deliver on customer’s needs and expectations while meeting Guidehouse objectives.
* Due to nature of client engagements, must either be a US Citizen or US Permanent Resident.
What Would Be Nice To Have:
* PMP certification
* Management consulting experience in energy industry and or state and local with engagements related to energy programs.
The annual salary range for this position is $89,000\.00\-$148,000\.00\.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07">
      <c r="A107" t="inlineStr">
        <is>
          <t>in-2c9ca85376d275bb</t>
        </is>
      </c>
      <c r="B107" t="inlineStr">
        <is>
          <t>Substitute Program Manager (Roseville School District)</t>
        </is>
      </c>
      <c r="C107" t="inlineStr">
        <is>
          <t>Right at School</t>
        </is>
      </c>
      <c r="D107" t="inlineStr">
        <is>
          <t>indeed</t>
        </is>
      </c>
      <c r="E107">
        <f>HYPERLINK("https://www.indeed.com/viewjob?jk=2c9ca85376d275bb", "https://www.indeed.com/viewjob?jk=2c9ca85376d275bb")</f>
        <v/>
      </c>
      <c r="F107">
        <f>HYPERLINK("https://rightatschool.sensehq.cloud/careers/jobs?jobId=5807&amp;utm_source=Indeed&amp;utm_medium=JOB_PORTAL", "https://rightatschool.sensehq.cloud/careers/jobs?jobId=5807&amp;utm_source=Indeed&amp;utm_medium=JOB_PORTAL")</f>
        <v/>
      </c>
      <c r="G107" t="inlineStr">
        <is>
          <t>Roseville, CA, US</t>
        </is>
      </c>
      <c r="H107" s="3" t="n">
        <v>46063</v>
      </c>
      <c r="I107" t="inlineStr">
        <is>
          <t>**Inspire a Love of Learning \| Support Schools \| Give Parents Peace of Mind**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**Pay range: $25\-$28/hr.** *(Dependent on education \&amp; experience)*
**Program hours: (On call)** M\-F 12:00pm \- 6pm \*\*No Weekends!
**You’ll drive the mission by:**
* Deliver quality enrichment programs for children using our internally crafted Disguised Learning curriculum
* Develop and coach a team who are passionate about providing a safe, fun, engaging environment
* Work closely with principals and school staff to enhance the instructional experience
* Instill the Right At School footprint by participating in local community events (Back to School, Right Club gives back, Field Day, and more!)
* Manage and maintain safety standards including supervision and program paperwork
Job Requirement
**Benefits of being an Educator with Right at School:**
* Competitive compensation
* Commuter benefits, supplemental insurance (short term disability, life insurance, etc.), based on eligibility
* Employee perks and discounts (hotels, car rentals, theme parks, sports events, shopping, etc)!
* 401k \- Opportunity to contribute to your future
* Free before \&amp; after school childcare with Right At School
* Growth Opportunities! We invest in your growth and offer options geared towards several career paths.
* Continue your learning with access to our online training library with over 600 online courses and counting. Topics include leadership, child development, after\-school programming, and more.
* It’s FUN! From day one, we take you through a guided training experience including online and in\-person learning.
* Earn school\-age professional development certificates while receiving transferable continuing education credits.
* You’re involved. Curate a hands\-on experience for children that blends into the school fabric
**Ideal Candidates will have the following:**
* Prior experience supervising others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LIVE Scan fingerprint, FA/CPR, Mandated Reporter training, Health Certificate with Negative TB Test (from a physician)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08">
      <c r="A108" t="inlineStr">
        <is>
          <t>in-acc3c6be60bc552b</t>
        </is>
      </c>
      <c r="B108" t="inlineStr">
        <is>
          <t>Part Time Floating Afterschool Site Program Manager (Alamo Heights)</t>
        </is>
      </c>
      <c r="C108" t="inlineStr">
        <is>
          <t>Right at School</t>
        </is>
      </c>
      <c r="D108" t="inlineStr">
        <is>
          <t>indeed</t>
        </is>
      </c>
      <c r="E108">
        <f>HYPERLINK("https://www.indeed.com/viewjob?jk=acc3c6be60bc552b", "https://www.indeed.com/viewjob?jk=acc3c6be60bc552b")</f>
        <v/>
      </c>
      <c r="F108">
        <f>HYPERLINK("https://rightatschool.sensehq.cloud/careers/jobs?jobId=5805&amp;utm_source=Indeed&amp;utm_medium=JOB_PORTAL", "https://rightatschool.sensehq.cloud/careers/jobs?jobId=5805&amp;utm_source=Indeed&amp;utm_medium=JOB_PORTAL")</f>
        <v/>
      </c>
      <c r="G108" t="inlineStr">
        <is>
          <t>San Antonio, TX, US</t>
        </is>
      </c>
      <c r="H108" s="3" t="n">
        <v>46063</v>
      </c>
      <c r="I108" t="inlineStr">
        <is>
          <t>Right At School – a place to be a kid!
**Part Time After School School Site**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**giving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**Part\-Time Floating Program Manager: $17\-$20** per hour (based on education, and experience)
* Part\-time positions are available for our After\-School Site Program Manager
* **Schedule/Hours:** ;Float between after\-school site locations as needed, Monday through Friday (must be able to work Monday through Friday). 2:45 pm to 6:00 pm (may vary slightly)
* **Location: Inside Alamo Heights and Promesa area after\-school site schools**
**Required: ;**
* Must be 21 years of age with a High School diploma/GED.
* One year of supervisor/management experience
* **70 clock hours** of training in child or youth development, recreational leadership, or management.
* At least **1 year** of experience in a licensed program.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**70 clock hours**of training in child or youth development, recreational leadership, or management
* At least **1 year** of experience in a licensed program in a childcare/school setting.
* One year experience managing/supervising employees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**Requirements:**
o Ability to meet state\-specific requirements;
o 21\+ years of age
o **70 clock hours** of training in child or youth development, recreational leadership, or management
o At least **1 year** of experience in a licensed program in a childcare/school setting.
o One year of experience managing/supervising employees
o Proof of High School diploma/GED required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**THE RIGHT FIT FOR THIS ROLE:**
* High school diploma or GED completed
* 2 plus years experience working with children and knowledge of unique and special needs
* **70 clock hours** of training in child or youth development, recreational leadership, or management
* 1 years of supervisory experience
* Coursework or training in child development and/or related field is a PLUS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FA/CPR, Mandated Reporter, Cleared TB
* 21 years of age of older</t>
        </is>
      </c>
    </row>
    <row r="109">
      <c r="A109" t="inlineStr">
        <is>
          <t>in-99e6fe5177243900</t>
        </is>
      </c>
      <c r="B109" t="inlineStr">
        <is>
          <t>Product Manager II</t>
        </is>
      </c>
      <c r="C109" t="inlineStr">
        <is>
          <t>Mativ</t>
        </is>
      </c>
      <c r="D109" t="inlineStr">
        <is>
          <t>indeed</t>
        </is>
      </c>
      <c r="E109">
        <f>HYPERLINK("https://www.indeed.com/viewjob?jk=99e6fe5177243900", "https://www.indeed.com/viewjob?jk=99e6fe5177243900")</f>
        <v/>
      </c>
      <c r="F109">
        <f>HYPERLINK("https://careers.mativ.com/job/Alpharetta-Product-Manager-II-GA-30009/1355377500/?feedId=427200&amp;utm_source=Indeed&amp;utm_campaign=Mativ_Indeed", "https://careers.mativ.com/job/Alpharetta-Product-Manager-II-GA-30009/1355377500/?feedId=427200&amp;utm_source=Indeed&amp;utm_campaign=Mativ_Indeed")</f>
        <v/>
      </c>
      <c r="G109" t="inlineStr">
        <is>
          <t>Alpharetta, GA, US</t>
        </is>
      </c>
      <c r="H109" s="3" t="n">
        <v>46063</v>
      </c>
      <c r="I109" t="inlineStr">
        <is>
          <t>Mativ is a global leader in specialty materials headquartered in Alpharetta, Georgia. The Company offers a wide range of critical components and engineered solutions that connect, protect, and purify our world.
At Mativ, we manufacture growth – for our people, customers, end users and shareholders. We do this by creating critical components that create possibilities in our growth platforms of filtration, specialty coatings, engineered solutions, and imaging \&amp; packaging.
Our Industrial Nets business segment is growing and looking for a Product Manager II (NON IT) to help drive the transformation of the business through insights\-based strategies that increase profitability and enable a product pipeline that delivers on the unmet needs of the market.
The primary responsibilities for the Product Manager II (NON IT) include business and product development (including development of product roadmap), improving the profitability of the business, working with supply chain to ensure we are making the right products in the right places, and market and competitive intelligence.
RESPONSIBILITIES Manage development and commercialization of new products. Perform research to develop clear understanding of markets, customers, competition, relative performance, positioning and right to win for products. Develop roadmap for specific markets \&amp; products aligned with business segment strategy. Initiate and drive new product development projects aligned with business segment strategy. Develop specific project and business plans including opportunity size, product requirements, pricing, and value proposition. The plans should be validated via voice of the customer (“VOC”) and market research. Execute project plans; actively manage development and commercialization projects working closely with R\&amp;D, customers/OEM partners and sales. Improve the profitability of the business. Review customer and sku level profitability and develop recommendations to improve In conjunction with supply chain, finance and pricing, monitor needs for pricing actions to maintain margin Work closely with supply chain to ensure we make the right products in the right places to maximize customer service levels and profitability Partner with the sales team to deliver on the business strategy. Perform sales training on products. Collaborate with marketing leads to develop and maintain sales tools\- Collateral, Product Demos/Sample Kits, Website, Advertising, Press Releases, White Papers, etc. Assist in developing content and presenting insights to strategic customers. Create market and competitive intelligence capability designed to inform profitable management of our core portfolio. Leverage internal and external resources to develop competitive insights that drive better informed decisions around pricing, product development, and positioning Track market \&amp; product trends that will impact product roadmap and business direction.
EDUCATION/EXPERIENCE Bachelor’s degree in business, marketing or engineering preferred 5\-10 years’ experience in product management, sales, and/or marketing Minimum two years’ experience in product management. Knowledge of thermoplastics is ideal but not required.
QUALIFICATIONS Preference would be to have this individual located near Athens, GA; Minneapolis, MN; or Roanoke, VA. Must be able to partner effectively with key stakeholders in the organization, including sales, operations, quality, supply chain and engineering teams Proficiency for understanding the financial implications of recommendations and/or decisions. Product/Project Management training and certification is desirable. Experience developing product specifications based on customer VOC and market trends. Ability to travel up to 25%, both domestically and internationally
**Note:** The above statements are intended to describe the general nature and level of work being performed by the incumbent. They are not intended to be construed as an exhaustive list of all responsibilities, duties and skills required of this position.
WHAT WE OFFER
Mativ benefits say a lot about how we care for each other. Our employees and their families have many different needs. As a result, our benefits offer choices on many levels and are high in quality, competitive in the marketplace, and affordable.
ABOUT MATIV
Mativ Holdings, Inc. is a global leader in specialty materials headquartered in Alpharetta, Georgia. The company connects, protects, and purifies the world every day through a wide range of critical components and engineered solutions that solve our customers’ most complex challenges. We manufacture on three continents and generate sales in nearly 100 countries through our family of business\-to\-business and consumer product brands. The company’s two segments, Filtration \&amp; Advanced Materials and Sustainable \&amp; Adhesive Solutions, target premium applications across diversified and growing end\-markets, from filtration to healthcare to sustainable packaging and more. Our broad portfolio of technologies combines polymers, fibers, and resins to optimize the performance of our customers’ products across multiple stages of the value chain. Our leading positions are a testament to our best\-in\-class global manufacturing, supply chain, and materials science capabilities. We drive innovation and enhance performance, finding potential in the impossible.</t>
        </is>
      </c>
    </row>
    <row r="110">
      <c r="A110" t="inlineStr">
        <is>
          <t>in-dc7dc0442f3c474b</t>
        </is>
      </c>
      <c r="B110" t="inlineStr">
        <is>
          <t>Clinical Operations Program Manager - Remote</t>
        </is>
      </c>
      <c r="C110" t="inlineStr">
        <is>
          <t>Heartland Dental</t>
        </is>
      </c>
      <c r="D110" t="inlineStr">
        <is>
          <t>indeed</t>
        </is>
      </c>
      <c r="E110">
        <f>HYPERLINK("https://www.indeed.com/viewjob?jk=dc7dc0442f3c474b", "https://www.indeed.com/viewjob?jk=dc7dc0442f3c474b")</f>
        <v/>
      </c>
      <c r="F110">
        <f>HYPERLINK("https://click.appcast.io/t/6np0uMIkG59aZy8XEE8MFsab3Shuv4dFZgPjLWpTjDU=", "https://click.appcast.io/t/6np0uMIkG59aZy8XEE8MFsab3Shuv4dFZgPjLWpTjDU=")</f>
        <v/>
      </c>
      <c r="G110" t="inlineStr">
        <is>
          <t>Effingham, IL, US</t>
        </is>
      </c>
      <c r="H110" s="3" t="n">
        <v>46063</v>
      </c>
      <c r="I110" t="inlineStr">
        <is>
          <t>**Clinical Operations Program Manager**  
The Clinical Operations Program Manager is a strategic leader responsible for designing, executing, and optimizing programs that drive organizational growth and operational excellence. This role partners with clinical operations and interdepartmental leaders to deliver innovative solutions, manage complex projects, and ensure the highest standards of clinical/operational success for Heartland Dental supported dentists and their teams.
**About Heartland Dental**
Heartland Dental is the nation's largest dental support organization, providing non\-clinical administrative support services to more than 3,000 supported doctors across 39 states and the District of Columbia in over 1,900 dental offices. Each Heartland Dental supported office is unique to the community and the patients they serve. Supported doctors are the clinical leaders of their practice, retain full clinical autonomy, and establish their own care philosophies. All Heartland Dental supported doctors are united by a common goal: delivering the highest quality dental care and patient experiences.
To give you an idea of the team structure, you will work on a project team within clinical/operations, reporting to the director of clinical/operations with a direct connection to programs supported by Clinical/Operations.
**Below is an overview of the duties and responsibilities you would take on in this role:**
* Lead cross\-functional programs from business case development through implementation, ensuring alignment with organizational goals and operational excellence.
* Facilitate steering committees, stakeholder meetings, and working groups to drive alignment, consensus, and timely decision\-making.
* Develop and execute clear communication, training, and change management plans that enable adoption and long\-term program success.
* Partner with subject\-matter experts to create resources, guides, and job aids that equip supported doctors and team members with the tools needed for success.
* Define, track, and report program KPIs and success metrics, translating data into actionable insights and recommendations for senior leadership.
* Prepare and deliver board\-level presentations, program updates, and business cases that influence executive decision\-making.
* Oversee program budgets, resource allocation, and vendor relationships to ensure cost\-effective execution and strong ROI.
* Identify and manage program risks, escalating critical issues and implementing corrective actions to achieve on\-time, on\-budget outcomes.
* Collaborate with stakeholders across executive, business, clinical, and operations functions to build alignment and enhance program impact.
* Drive continuous improvement initiatives by leveraging analytics, stakeholder feedback, and lessons learned to optimize future program performance.
* Mentor and support junior team members, fostering collaboration, innovation, and professional growth.
* Ensure all programs and related activities adhere to company policies and procedures and comply with applicable regulatory requirements.
* Support other projects as assigned.
* Deliver weekly, monthly and quarterly project updates
**Minimum Qualifications**
* An Associates Degree or 2 years of college or 2 years of dental operations experience
* Dental office experience, clinical and/or operational
* Excel, PowerPoint experience
* Strong organizational skills
* Self\-starter
* Ability to work in a fast\-paced environment
* Be flexible and adapt easily to consistently changing projects and priorities
* Have strong written, verbal and presentation skills
* High level of customer service and experience
**Desirable Qualifications**
* Knowledge of Heartland Dental’s internal systems and processes for programs and projects.
* College degree
* Strong understanding of clinical operations and provider program management.
* Certification in Project Management (PMP, CAPM) or related discipline)
* Operations Experience to contribute to field knowledge
 **Physical Requirements:**
* Ability to perform essential duties satisfactorily with or without reasonable accommodation. Reasonable accommodation may be made to enable individuals with disabilities to perform the essential duties of the position
* Prolonged periods sitting at a desk and working on a computer
* Must be able to lift up to 15 pounds at times
* Ability to travel to training and offsite meetings. Travel \&lt; 10% of time.
*We put our people first at Heartland Dental, and that shows in our generous benefits package.*
*Company retains the sole discretion to change the duties of the position at any time.*
*We provide all employees and applicants for employment the protections of federal, state, and local laws affording equal opportunity in employment.*</t>
        </is>
      </c>
    </row>
    <row r="111">
      <c r="A111" t="inlineStr">
        <is>
          <t>in-6b170676b2f8391d</t>
        </is>
      </c>
      <c r="B111" t="inlineStr">
        <is>
          <t>Senior Product Manager</t>
        </is>
      </c>
      <c r="C111" t="inlineStr">
        <is>
          <t>Ford Motor Company</t>
        </is>
      </c>
      <c r="D111" t="inlineStr">
        <is>
          <t>indeed</t>
        </is>
      </c>
      <c r="E111">
        <f>HYPERLINK("https://www.indeed.com/viewjob?jk=6b170676b2f8391d", "https://www.indeed.com/viewjob?jk=6b170676b2f8391d")</f>
        <v/>
      </c>
      <c r="F111">
        <f>HYPERLINK("https://efds.fa.em5.oraclecloud.com/hcmUI/CandidateExperience/en/sites/CX_1/requisitions/preview/58499", "https://efds.fa.em5.oraclecloud.com/hcmUI/CandidateExperience/en/sites/CX_1/requisitions/preview/58499")</f>
        <v/>
      </c>
      <c r="G111" t="inlineStr">
        <is>
          <t>Dearborn, MI, US</t>
        </is>
      </c>
      <c r="H111" s="3" t="n">
        <v>46063</v>
      </c>
      <c r="I111" t="inlineStr">
        <is>
          <t>**What You'll Do:**
As a Senior Product Manager, you will be a strategic leader responsible for inspiring change, leading high\-performing teams, and driving continuous improvement across our portfolio. The position is highly involved in transitioning the prototype portfolio from legacy applications into a modern integrated ecosystem. You will work closely with cross\-functional partners spanning different levels and development teams to translate strategic roadmaps into tangible deliverables, ensuring efficient execution and alignment across all stakeholders. This role demands a blend of strategic thinking, agile leadership, and a deep understanding of both business and technical requirements to deliver high\-quality, customer\-centric software Products.
**Qualifications:**
* 8\+ years of knowledge of software development
* Prototype domain knowledge
* Understanding of Agile methods \&amp; best practices
* Develop and manage the product roadmap with business Managers.
* Convert roadmap into features and prioritize the product backlog.
* Data\-driven mindset for decision\-making and prioritization
* Internal \&amp; external management skillset for managing cross\-team capabilities
* Clear communication style both laterally to business partners as well as upwards to management for relationship building
* Ability to develop deep understanding of product functionality to provide high\-level guidance to development teams
* Experience leading a global team from both technical and delivery perspectives.
* Proven ability to 'own working together' with global IT teams.
* Excellent organizational skills to thrive in a dynamic and fast\-paced environment.
* Strong independent and collaborative skills.
Bachelor’s in Computer Science, IT, or related field, Master’s preferred.  
* 
**Preferred Qualifications:**
* Technical background in cloud deployment/CI/CD technologies
* Vendor management experience
SAP or 3DX experience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leadership level 6 and ranges from $129,600\-244,680\.
For more information on salary and benefits, click here: https://fordcareers.co/LL6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
\#LI\-GR1
* Guide the development, testing, delivery, and support of modern solutions utilizing contemporary tools such as cloud\-based computing technologies (GCP, CaaS), JAVA, Angular, Spring Boot, GitHub, Tekton, Junit, jMETER, Gradle, Eclipse/IntelliJ, Docker/Kubernetes, SonarQube, FOSSA, Cycode, CI/CD pipelines, 42 Crunch, Quay, Hoppscotch, and Artificial Intelligence.
* Implement robust Agile development methodologies, including JIRA for Epic/Sub management, iteration planning, ceremonies, and retrospectives.
* Drive the adoption and implementation of modern development methods such as integrated use of GitHub CoPilot in IDE for development acceleration.
* Develop and implement strategic migration paths from legacy technologies to new, advanced platforms modernizing and simplifying the portfolio
* Guide and share a deep understanding of the core functionality of the prototype planning and management process
* Lead day to day management and development for a team of Ford and Agency members, including responsibilities for position posting, hiring, releasing, and fostering career growth. (approx. 10\)</t>
        </is>
      </c>
    </row>
    <row r="112">
      <c r="A112" t="inlineStr">
        <is>
          <t>in-2db44b95cfc35c93</t>
        </is>
      </c>
      <c r="B112" t="inlineStr">
        <is>
          <t>Senior Clinical Quality Program Manager - Heart and Vascular Institute</t>
        </is>
      </c>
      <c r="C112" t="inlineStr">
        <is>
          <t>Johns Hopkins Health System</t>
        </is>
      </c>
      <c r="D112" t="inlineStr">
        <is>
          <t>indeed</t>
        </is>
      </c>
      <c r="E112">
        <f>HYPERLINK("https://www.indeed.com/viewjob?jk=2db44b95cfc35c93", "https://www.indeed.com/viewjob?jk=2db44b95cfc35c93")</f>
        <v/>
      </c>
      <c r="F112">
        <f>HYPERLINK("https://click.appcast.io/t/z3LL8B2bd9VYAcAmYpzBe7k38JZAYiw1EIKQUyFBXCY=", "https://click.appcast.io/t/z3LL8B2bd9VYAcAmYpzBe7k38JZAYiw1EIKQUyFBXCY=")</f>
        <v/>
      </c>
      <c r="G112" t="inlineStr">
        <is>
          <t>Baltimore, MD, US</t>
        </is>
      </c>
      <c r="H112" s="3" t="n">
        <v>46063</v>
      </c>
      <c r="I112" t="inlineStr">
        <is>
          <t>**YOU BELONG HERE**
**What Awaits You?**
* Career growth and development
* Employee and Dependent Tuition Assistance
* Diverse and collaborative working environment
* Affordable and comprehensive benefits package
Our **competitive benefit package** is designed to support the well\-being and financial security of our employees. You can explore the details of our benefits offering by visiting the following link: Johns Hopkins Hospital \| Your benefits virtually (mybenefitsjhhs.com)
**SUMMARY**
The Senior Clinical Quality Program Manager is responsible for the overall integrity and coherence of the clinical quality program(s) in a department that has large enterprise\-wide programs that contain several interconnected project work streams. The Senior Clinical Quality Program Manager will develop and maintain an environment that supports all clinical quality improvement projects and related regulatory requirements within the department. The Senior Clinical Quality Program Manager is responsible for the effective coordination of the program’s clinical quality improvement projects and management of their inter\-dependencies including oversight of any risks and issues arising. This will include the coordination of resources to enable effective change and realization of projected benefits and risk mitigation.
**Education:**
Masters degree or Masters candidate required in a healthcare related field such as Healthcare Quality, Nursing, Public Health, Health Policy, Business Administration, Health Administration, Physical Sciences, or Technology. Completion of an accredited Nursing, Pharmacy, Medical Doctor, Doctor of Osteopathy or Physician’s Assistant program is preferred
**Required Licensure, Certification, On\-going Training:**
* Licensed as a Registered Nurse (RN), Medical Doctor (MD), Doctor of Osteopathy (DO), Physician Assistant (PA), or Pharmacist in the State of Maryland optional.
* Must attain certification from the National Association for Healthcare Quality (NAHQ) as a Certified Professional in Healthcare Quality (CPHQ), or an approved equivalent, within two years of employment in the role. Must then maintain the certification.
* Professional (PMP) or equivalent project/program management certification strongly preferred
**Work Experience:**
Five (5\) years in process/quality improvement, consulting or leadership role with a focus on healthcare, involving the application of quality improvement, change management and project management methods in the workplace
* leading or actively participating in quality improvement projects/activities using quality tools to analyze problems (e.g. fish\-bone diagrams, root cause analysis, fault tree analysis, failure mode and effect analysis, flow\-charting, pareto analyses), and applying six sigma, lean, Toyota production System, or PDSA/PDCA for the overall project.
* applying quality measurement methods in projects such as sampling, frequency/distributional analysis, reliability analysis, and statistical process control.
* executing small tests of change, building small tests of change into implementation, spreading changes across the larger organization, and sustaining change over\-time.
* working with front\-line staff (people who touch the work process) to analyze problems, test changes, efficiently measure results, and implement changes.
**Salary Range:** Minimum 47\.68/hour \- Maximum 78\.74/hour.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is>
      </c>
    </row>
    <row r="113">
      <c r="A113" t="inlineStr">
        <is>
          <t>in-a5b9b7e3321c5b1a</t>
        </is>
      </c>
      <c r="B113" t="inlineStr">
        <is>
          <t>Program Manager 2 - Administrative</t>
        </is>
      </c>
      <c r="C113" t="inlineStr">
        <is>
          <t>University of Houston</t>
        </is>
      </c>
      <c r="D113" t="inlineStr">
        <is>
          <t>indeed</t>
        </is>
      </c>
      <c r="E113">
        <f>HYPERLINK("https://www.indeed.com/viewjob?jk=a5b9b7e3321c5b1a", "https://www.indeed.com/viewjob?jk=a5b9b7e3321c5b1a")</f>
        <v/>
      </c>
      <c r="F113">
        <f>HYPERLINK("https://careers.uh.edu/jobs/program-manager-2-administrative-houston-texas-united-states", "https://careers.uh.edu/jobs/program-manager-2-administrative-houston-texas-united-states")</f>
        <v/>
      </c>
      <c r="G113" t="inlineStr">
        <is>
          <t>Houston, TX, US</t>
        </is>
      </c>
      <c r="H113" s="3" t="n">
        <v>46063</v>
      </c>
      <c r="I113" t="inlineStr">
        <is>
          <t>* 495698
* Full\-Time
* Mechanical Engineering
**Add to favorites** **View favorites****Department**: Mechanical Engineering **Salary**: 49,400 \- 56,200
**Description**:
Manages the day\-to\-day operations of a large university program or department, including the supervision of staff employees, student workers, programs or processes.
1\. Plans and develops procedures for administering a large or complex department or program.
2\. Manages fiscal activities, including procurement and budget analysis.
3\. Provides guidance to subordinate staff and evaluates performance.
4\. Prepares abstracts, research reports, funding proposals, operations and procedure manuals, and other written material and documentation.
5\. Creates and reviews reports of expenditures and activities.
6\. May administer grants and grant\-related related communications, scholarships and other operations.
7\. Develops, implements and maintains appropriate policies and procedures.
8\. May serve as property custodian for the department.
9\. Performs other job\-related duties as assigned.
**Experience will be considered in lieu of education.**  
**Education will be considered in lieu of experience.**
MQ: Education: Requires a thorough understanding of both theoretical and practical aspects of an analytical, technical or professional discipline; or the basic knowledge of more than one professional discipline. Knowledge of the discipline is normally obtained through a formal, directly job\-related 4 year degree from a college or university or an equivalent in\-depth specialized training program that is directly related to the type of work being performed. Experience: Requires a minimum of one (1\) year of directly job\-related experience. Certification/Licensing: None.
All positions at the University of Houston\-System are security sensitive and will require a criminal history check.
The University of Houston System and its universities are Equal Opportunity Institutions. Everyone is encouraged to apply.</t>
        </is>
      </c>
    </row>
    <row r="114">
      <c r="A114" t="inlineStr">
        <is>
          <t>in-52b8eadde09861c8</t>
        </is>
      </c>
      <c r="B114" t="inlineStr">
        <is>
          <t>Senior Product Manager Absence Experience</t>
        </is>
      </c>
      <c r="C114" t="inlineStr">
        <is>
          <t>Alight Solutions</t>
        </is>
      </c>
      <c r="D114" t="inlineStr">
        <is>
          <t>indeed</t>
        </is>
      </c>
      <c r="E114">
        <f>HYPERLINK("https://www.indeed.com/viewjob?jk=52b8eadde09861c8", "https://www.indeed.com/viewjob?jk=52b8eadde09861c8")</f>
        <v/>
      </c>
      <c r="F114">
        <f>HYPERLINK("https://careers.alight.com/us/en/job/ALIGUSR36464EXTERNALENUS/Senior-Product-Manager-Absence-Experience?utm_source=indeed&amp;utm_medium=phenom-feeds", "https://careers.alight.com/us/en/job/ALIGUSR36464EXTERNALENUS/Senior-Product-Manager-Absence-Experience?utm_source=indeed&amp;utm_medium=phenom-feeds")</f>
        <v/>
      </c>
      <c r="G114" t="inlineStr">
        <is>
          <t>IL, US</t>
        </is>
      </c>
      <c r="H114" s="3" t="n">
        <v>46063</v>
      </c>
      <c r="I114" t="inlineStr">
        <is>
          <t>**We** **provide** **absence** **management** **solutions** **designed** **to** **improve** **health** **and** **productivity** **outcomes** **while** **helping** **organizations** **manage** **costs.** **Our** **services** **and** **technology** **support** **employees** **in** **returning** **to** **work** **and** **help** **businesses** **operate** **effectively.**
The Senior Product Manager is the strategic lead for Absence products. This role is accountable for product scope, direction, and outcomes—ensuring development teams build the right capabilities in the right sequence to maximize business value and customer satisfaction. Absence Management experience is required. Must be a SME in this area.
**Responsibilities**
* Lead the product roadmap for Alight’s leave and absence experience.
* Expand and improve the experience for both employee and employer users.
* Oversee maintenance of existing solutions to ensure a consistent, compliant, end‑to‑end experience.
* Own and advance the product strategy across outsourcing, insourcing, and co‑sourcing models.
* Partner with Product Directors and Product Managers to ensure alignment and shared prioritization.
* Drive a multi‑year roadmap for experience capabilities, including partnership and program expansion opportunities.
* Manage and refine existing products to minimize client risk.
* Maintain roadmap visibility for leadership, engineering, delivery, and client‑facing teams.
* Represent the organization at conferences, advisory groups, audits, and client feedback forums.
* Develop content, frameworks, and documentation that support thought leadership.
* Collaborate with engineering, legal, delivery, and client success to ensure high‑quality execution.
* Validate solutions through discovery, prototyping, and user feedback.
* Support launch readiness across commercial, implementation, and enablement teams.
**Qualifications**
* 5\+ years in absence management, ideally with experience in human‑centered design across digital and assisted channels.
* 5\+ years of product management experience with increasing responsibility, preferably in SaaS, HCM, claims, or digital platforms.
* Proven ability to lead cross‑functional product initiatives in an Agile environment.
* Proven skills in product strategy, user‑centered design, requirements analysis, and competitive assessment.
We offer you a competitive total rewards package, continuing education \&amp; training, and tremendous potential with a growing worldwide organization.
Salary Pay Range
Minimum :
147,000\.00 USD
Maximum :
165,000\.00 USD
Pay Transparency Statement: Alight considers a variety of factors in determining whether to extend an offer of employment and in setting the appropriate compensation level, including, but not limited to, a candidate’s experience, education, certification/credentials, market data, internal equity, and geography. Alight makes these decisions on an individualized, non\-discriminatory basis. Bonus and/or incentive eligibility are determined by role and level. Alight also offers a comprehensive benefits package; for specific details on our benefits package, please visit: Wellbeing and Benefits Selector Page \- Alight
 **DISCLAIMER:**
Nothing in this job description restricts management's right to assign or reassign duties and responsibilities of this job to other entities; including but not limited to subsidiaries, partners, or purchasers of Alight business units.
Alight Solutions provides equal employment opportunities (EEO) to all employees and applicants for employment without regard to race, color, religion, creed, sex, sexual orientation, gender identity, national origin, age, disability, genetic information, pregnancy, childbirth or related medical condition, veteran, marital, parental, citizenship, or domestic partner status, or any other status protected by applicable national, federal, state or local law. Alight Solutions is committed to a diverse workforce and is an affirmative action employer.</t>
        </is>
      </c>
    </row>
    <row r="115">
      <c r="A115" t="inlineStr">
        <is>
          <t>in-d8ab46a282743cec</t>
        </is>
      </c>
      <c r="B115" t="inlineStr">
        <is>
          <t>Manufacturing Systems Product Owner</t>
        </is>
      </c>
      <c r="C115" t="inlineStr">
        <is>
          <t>Allison Transmission</t>
        </is>
      </c>
      <c r="D115" t="inlineStr">
        <is>
          <t>indeed</t>
        </is>
      </c>
      <c r="E115">
        <f>HYPERLINK("https://www.indeed.com/viewjob?jk=d8ab46a282743cec", "https://www.indeed.com/viewjob?jk=d8ab46a282743cec")</f>
        <v/>
      </c>
      <c r="F115">
        <f>HYPERLINK("https://allisontransmission.wd1.myworkdayjobs.com/en-US/ATI-External/job/Indianapolis-IN/Manufacturing-Systems-Product-Owner_R007325", "https://allisontransmission.wd1.myworkdayjobs.com/en-US/ATI-External/job/Indianapolis-IN/Manufacturing-Systems-Product-Owner_R007325")</f>
        <v/>
      </c>
      <c r="G115" t="inlineStr">
        <is>
          <t>Indianapolis, IN, US</t>
        </is>
      </c>
      <c r="H115" s="3" t="n">
        <v>46063</v>
      </c>
      <c r="I115" t="inlineStr">
        <is>
          <t>JOIN THE TEAM THAT’S POWERING PROGRESS
Building cities. Driving commerce. Fueling Progress. For over 100 years, Allison has powered the vehicles and technology that move our world forward.  
What powers us? Our employees. From the first person hired by James Allison in 1915 to the thousands across the globe who work for Allison today, we're driving progress everywhere because we employ top talent worldwide. In both the Allison Transmission and Allison Off\-Highway Drive and Motion Systems business units, our team strives to Improve the Way the World Works.
Learn more about this role and how you can begin *driving your career forward!*
Benefits:
The below list features some of the benefits currently available. Eligibility may be subject to the terms and conditions of governing documents and available benefits may be subject to change at the company’s discretion.* Choice of medical plans with prescription coverage
* Employer HSA contribution
* Dental \&amp; Vision Insurance
* Paid Parental Leave
* Short \&amp; Long\-Term Disability
* Other voluntary benefits including: Critical Illness, Hospital Indemnity, Identity Theft Protection and Pet Insurance
* 401K with generous Company match \&amp; contribution
* Accrued Paid Time Off
* 12 Paid Holidays \+ 1 Floating Holiday
* Robust employee wellness program
* Tuition assistance program
Job Description:
The Manager, Manufacturing Systems IT Development and Operations provides direct oversight of internal IT staff, suppliers, technologies, functions, and processes as assigned. This individual manages internal technical team, tracks operations performance, and handles day to day operations and development of global manufacturing systems. Manufacturing systems includes those IT applications that interface with plant floor assembly devices and devices used in product distribution services such as label printing and RF devices. This person serves as Product Owner, and works in conjunction with IT Operations, Architecture and IT Security to ensure the technology landscape is stable, supportable, and secure.
Key Responsibilities:* Provide technical and process management oversight to IT infrastructure technologies, functions, applications, and people relating to manufacturing systems operations and development
* Manage service providers and track operational performance in accordance with agreed service levels
* Ensure operational adherence to IS\&amp;S ITIL\-based IT Service Management policies and processes.
* Ensure adherence to Product management and agile scrum approach.
* Manage day\-to\-day service delivery and application development escalations
* Ensure that contingency planning is executed for manufacturing systems
* Direct the team responsible for Manufacturing Execution Systems that support plant assembly and distribution operations
* Identify and execute continual service improvement initiatives
* Liaison with PMO and other implementation teams to help ensure operational readiness of manufacturing system IT projects
* Liaison with Scrum master and product owners in successful execution of sprints and releases.
* Liaison with architect and IT Strategic business partner in defining portfolio projects that will be worked by the insourced MES team
* Ensure initial delivery and refresh of RF and printer devices and software to optimize productivity
* Ensure physical and virtual servers, workstations, and network components are updated with vulnerability patching and risk mitigation
* Maintain a strong customer service focus and ability to engage with employees and suppliers at all levels of the organization
Key Performance Measures:* Critical systems availability related to assembly plant and customization/distribution center operations as related to IT components
* % of application, server and peripheral items monitored and alerting
* Manufacturing and Distribution incident meantime to resolve
* Enhancement request meantime to fulfill
* Demonstrate that continency planning is complete, managed, and tested
Qualifications:
Associates degree or equivalent related job experience. Bachelor’s degree in CS, CIS, CIT, EE, EET or similar technical field preferred.
Experience:
Required* 8 \+ years experience in an IT support role
* 5 \+ years directly supporting or managing the manufacturing systems. This should include Supervisory Control and Data Acquisition (SCADA) systems such as Cimplicity,
* Working familiarity with ITIL service management concepts and principles
* Working familiarity with PMP Project Management concepts and principles
* Proficient in agile scrum and product management approach
* Effective interpersonal and communication skills (verbal and written)
* Analytical and problem\-solving skills
* Ability to manage multiple tasks
* Ability to manage a global staff
Preferred* 8 \+ years of IT manufacturing systems support or management experience in a highly outsourced environment
* ITIL v3 or v4 Foundation, PMP, or relevant technical certifications
* Experience with ServiceNow ITSM
* Experience with the Cimplicity SCADA or similar software
* Experience with infrastructure monitoring tools
Allison Transmission is an equal opportunity employer. We have opportunities for all qualified applicants regardless of age, race, color, sex, religion, creed, national origin, disability, sexual orientation, gender identity/expression or veteran status.
If you are an individual with a disability or a disabled veteran requiring assistance and/or reasonable accommodations reviewing any of the careers information, please contact us at *ati\+ask4max@service\-now.com*.
Please note that Allison Transmission will make an offer of employment only to individuals who have applied for a position using our official application. Be on alert for possible fraudulent offers of employment. Allison Transmission will not solicit money or banking information from applicants.</t>
        </is>
      </c>
    </row>
    <row r="116">
      <c r="A116" t="inlineStr">
        <is>
          <t>in-2ec1a9c43b22a909</t>
        </is>
      </c>
      <c r="B116" t="inlineStr">
        <is>
          <t>Principal Technical Program Manager - Intuit - Data Lifecycle Management</t>
        </is>
      </c>
      <c r="C116" t="inlineStr">
        <is>
          <t>Intuit</t>
        </is>
      </c>
      <c r="D116" t="inlineStr">
        <is>
          <t>indeed</t>
        </is>
      </c>
      <c r="E116">
        <f>HYPERLINK("https://www.indeed.com/viewjob?jk=2ec1a9c43b22a909", "https://www.indeed.com/viewjob?jk=2ec1a9c43b22a909")</f>
        <v/>
      </c>
      <c r="F116">
        <f>HYPERLINK("https://dsp.prng.co/HV-m4Bb", "https://dsp.prng.co/HV-m4Bb")</f>
        <v/>
      </c>
      <c r="G116" t="inlineStr">
        <is>
          <t>Mountain View, CA, US</t>
        </is>
      </c>
      <c r="H116" s="3" t="n">
        <v>46063</v>
      </c>
      <c r="I116" t="inlineStr">
        <is>
          <t>**Overview**
------------
At Intuit, we are reimagining the way the world does business. As an AI\-driven expert platform, we harness the power of data to solve our customers’ most pressing challenges and deliver experiences that truly matter. Behind the scenes, this innovation is fueled by our Data and Analytics Foundation team, stewarding a vast ecosystem of more than 90 petabytes of data.
We are looking for a Principal Technical Program Manager to drive Data Lifecycle Management to help lead this transformation \- someone who thrives on tackling complex problems, shaping powerful technologies, and driving programs that unlock the full potential of data. The ideal candidate is one colleagues describe as the ideal balance of strategic technical leadership and disciplined program execution, with a proven ability to scale enterprise processes. You will thrive in this role if you bring strong program management experience, deep technical understanding, customer empathy, strong execution capability, and a track record of building partnerships and delivering impactful results. If you’re passionate about turning bold ideas into lasting impact, we’d love for you to join us.
Intuit has embraced a hybrid working model with the expectation of working from our Mountain View office 3 days per week.
 **Responsibilities**
* **Advance Data Maturity and Governance:** Educate, align, and drive organizational adoption of data maturity models, governance standards, and best practices for data producers and consumers.
* Do you instinctively see opportunities to simplify complex processes and improve how work gets done? You’ll partner across Intuit’s most critical initiatives to reduce friction in how humans and AI produce, govern, and consume data—elevating data quality, trust, and usability at scale.
* **Lead with Influence:** Drive strategic programs in partnership with VP\+ leaders, accelerating business outcomes and ensuring alignment with Intuit's overall strategy.
* Want to have a truly significant impact? You'll drive Intuit's technical strategy and adoption across Data and Analytics for the entire company, influencing investment decisions and shaping the future of our technology and how we work.
* **Champion Change:** Foster a culture of collaboration and open communication, effectively navigating organizational change and driving continuous improvement.
* Do you enjoy making a real difference? You'll lead transformational change across Intuit, influencing senior leadership, building strong partnerships, and driving adoption of game\-changing strategies and technologies.
* **Deliver Exceptional Results:** Develop and execute high\-quality program plans, utilizing data to track progress, mitigate risks, and communicate effectively with stakeholders.
* Ready for the biggest challenges? You'll lead large, cross\-organizational programs with significant scope and complexity, navigating challenges across multiple domains and mitigating risks.
* **Build and Mentor:** Define and implement program management best practices, coach and mentor other program managers, and contribute to the growth of the program management community.
* Want to leave a lasting legacy? You'll elevate the TPM discipline across Intuit by developing and driving the adoption of best practices, tools, and frameworks.
* **Master the Domain:** Possess deep expertise in software development methodologies and apply them effectively to programs. Lead strategic discussions on data architecture and AI\-native platform technologies, influencing technical direction and standards within the Data Platform organization.
* Driven by a desire to solve the impossible? You'll tackle Intuit's biggest, most complex challenges with expert\-level technical understanding across multiple domains, acting as a trusted advisor to senior leadership.
 **Qualifications**
* **Proven Leadership:** 12\+ years of experience building, leading, and delivering complex, large\-scale technical programs within a matrixed organization. A track record of delivering cross\-functional initiatives such as Data Mesh, Data Fabric, Master Data Management in multi\-cloud environments is a must. Experience incorporating AI and machine learning into big data ecosystems is highly desired.
* **Technical Acumen:** Strong understanding of software development methodologies, data architecture, and lifecycle management, combined with Agile coaching experience that enables high\-performing teams to deliver scalable data platforms and capabilities efficiently.
* **Process Acumen:** Demonstrated experience in evolving, standardizing, and scaling enterprise data contracts across platform and product teams by partnering with upstream data producers and downstream consumers to improve data reliability, governance, and controlled publishing workflows.
* **Strategic Thinker:** Ability to analyze industry trends, understand Intuit's strategy, and make data\-driven decisions that accelerate business outcomes.
* **Exceptional Communicator:** Excellent communication and interpersonal skills, with the ability to influence at all levels in a matrixed organization, from individual contributors to senior executives.
* **Data\-Driven Mindset:** Recognized as an expert in applying data to assess program health, identify risks, and inform strategic decisions. Known for educating and mentoring others on data analytics, AI/ML concepts, and best practices for evidence\-based decision\-making.
* **Education:** Degree in Computer Science, Engineering, or a related field, or equivalent work experience. PMP, Agile certifications or equivalent demonstrated practical technical program management experience is desired.
 **How You Will Grow**
You will be part of a strong, cross organizational Intuit Program Management community that comes together to share experiences and solve problems in areas where we are passionate. You’ll partner with an experienced program leadership team that helps break down barriers \- allowing you to grow and develop your career, increase contribution to the company, and accelerate delivery of innovation for our customers. You’ll give back to the community by sharing your craft expertise, mentoring junior colleagues, and fostering a culture of trust and engagement.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$230,000 \- $311,000 USD</t>
        </is>
      </c>
    </row>
    <row r="117">
      <c r="A117" t="inlineStr">
        <is>
          <t>in-c1ec5ca446b9b4ee</t>
        </is>
      </c>
      <c r="B117" t="inlineStr">
        <is>
          <t>Principal Technical Program Manager - Intuit - Data Lifecycle Management</t>
        </is>
      </c>
      <c r="C117" t="inlineStr">
        <is>
          <t>Intuit</t>
        </is>
      </c>
      <c r="D117" t="inlineStr">
        <is>
          <t>indeed</t>
        </is>
      </c>
      <c r="E117">
        <f>HYPERLINK("https://www.indeed.com/viewjob?jk=c1ec5ca446b9b4ee", "https://www.indeed.com/viewjob?jk=c1ec5ca446b9b4ee")</f>
        <v/>
      </c>
      <c r="F117">
        <f>HYPERLINK("https://dsp.prng.co/q4pxijb", "https://dsp.prng.co/q4pxijb")</f>
        <v/>
      </c>
      <c r="G117" t="inlineStr">
        <is>
          <t>San Diego, CA, US</t>
        </is>
      </c>
      <c r="H117" s="3" t="n">
        <v>46063</v>
      </c>
      <c r="I117" t="inlineStr">
        <is>
          <t>**Overview**
------------
At Intuit, we are reimagining the way the world does business. As an AI\-driven expert platform, we harness the power of data to solve our customers’ most pressing challenges and deliver experiences that truly matter. Behind the scenes, this innovation is fueled by our Data and Analytics Foundation team, stewarding a vast ecosystem of more than 90 petabytes of data.
We are looking for a Principal Technical Program Manager to drive Data Lifecycle Management to help lead this transformation \- someone who thrives on tackling complex problems, shaping powerful technologies, and driving programs that unlock the full potential of data. The ideal candidate is one colleagues describe as the ideal balance of strategic technical leadership and disciplined program execution, with a proven ability to scale enterprise processes. You will thrive in this role if you bring strong program management experience, deep technical understanding, customer empathy, strong execution capability, and a track record of building partnerships and delivering impactful results. If you’re passionate about turning bold ideas into lasting impact, we’d love for you to join us.
Intuit has embraced a hybrid working model with the expectation of working from our Mountain View office 3 days per week.
 **Responsibilities**
* **Advance Data Maturity and Governance:** Educate, align, and drive organizational adoption of data maturity models, governance standards, and best practices for data producers and consumers.
* Do you instinctively see opportunities to simplify complex processes and improve how work gets done? You’ll partner across Intuit’s most critical initiatives to reduce friction in how humans and AI produce, govern, and consume data—elevating data quality, trust, and usability at scale.
* **Lead with Influence:** Drive strategic programs in partnership with VP\+ leaders, accelerating business outcomes and ensuring alignment with Intuit's overall strategy.
* Want to have a truly significant impact? You'll drive Intuit's technical strategy and adoption across Data and Analytics for the entire company, influencing investment decisions and shaping the future of our technology and how we work.
* **Champion Change:** Foster a culture of collaboration and open communication, effectively navigating organizational change and driving continuous improvement.
* Do you enjoy making a real difference? You'll lead transformational change across Intuit, influencing senior leadership, building strong partnerships, and driving adoption of game\-changing strategies and technologies.
* **Deliver Exceptional Results:** Develop and execute high\-quality program plans, utilizing data to track progress, mitigate risks, and communicate effectively with stakeholders.
* Ready for the biggest challenges? You'll lead large, cross\-organizational programs with significant scope and complexity, navigating challenges across multiple domains and mitigating risks.
* **Build and Mentor:** Define and implement program management best practices, coach and mentor other program managers, and contribute to the growth of the program management community.
* Want to leave a lasting legacy? You'll elevate the TPM discipline across Intuit by developing and driving the adoption of best practices, tools, and frameworks.
* **Master the Domain:** Possess deep expertise in software development methodologies and apply them effectively to programs. Lead strategic discussions on data architecture and AI\-native platform technologies, influencing technical direction and standards within the Data Platform organization.
* Driven by a desire to solve the impossible? You'll tackle Intuit's biggest, most complex challenges with expert\-level technical understanding across multiple domains, acting as a trusted advisor to senior leadership.
 **Qualifications**
* **Proven Leadership:** 12\+ years of experience building, leading, and delivering complex, large\-scale technical programs within a matrixed organization. A track record of delivering cross\-functional initiatives such as Data Mesh, Data Fabric, Master Data Management in multi\-cloud environments is a must. Experience incorporating AI and machine learning into big data ecosystems is highly desired.
* **Technical Acumen:** Strong understanding of software development methodologies, data architecture, and lifecycle management, combined with Agile coaching experience that enables high\-performing teams to deliver scalable data platforms and capabilities efficiently.
* **Process Acumen:** Demonstrated experience in evolving, standardizing, and scaling enterprise data contracts across platform and product teams by partnering with upstream data producers and downstream consumers to improve data reliability, governance, and controlled publishing workflows.
* **Strategic Thinker:** Ability to analyze industry trends, understand Intuit's strategy, and make data\-driven decisions that accelerate business outcomes.
* **Exceptional Communicator:** Excellent communication and interpersonal skills, with the ability to influence at all levels in a matrixed organization, from individual contributors to senior executives.
* **Data\-Driven Mindset:** Recognized as an expert in applying data to assess program health, identify risks, and inform strategic decisions. Known for educating and mentoring others on data analytics, AI/ML concepts, and best practices for evidence\-based decision\-making.
* **Education:** Degree in Computer Science, Engineering, or a related field, or equivalent work experience. PMP, Agile certifications or equivalent demonstrated practical technical program management experience is desired.
 **How You Will Grow**
You will be part of a strong, cross organizational Intuit Program Management community that comes together to share experiences and solve problems in areas where we are passionate. You’ll partner with an experienced program leadership team that helps break down barriers \- allowing you to grow and develop your career, increase contribution to the company, and accelerate delivery of innovation for our customers. You’ll give back to the community by sharing your craft expertise, mentoring junior colleagues, and fostering a culture of trust and engagement.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$230,000 \- $311,000 USD</t>
        </is>
      </c>
    </row>
    <row r="118">
      <c r="A118" t="inlineStr">
        <is>
          <t>in-36d9887ed28dcc3b</t>
        </is>
      </c>
      <c r="B118" t="inlineStr">
        <is>
          <t>Fund Product Manager – Private Capital</t>
        </is>
      </c>
      <c r="C118" t="inlineStr">
        <is>
          <t>Career Launch AI</t>
        </is>
      </c>
      <c r="D118" t="inlineStr">
        <is>
          <t>indeed</t>
        </is>
      </c>
      <c r="E118">
        <f>HYPERLINK("https://www.indeed.com/viewjob?jk=36d9887ed28dcc3b", "https://www.indeed.com/viewjob?jk=36d9887ed28dcc3b")</f>
        <v/>
      </c>
      <c r="F118">
        <f>HYPERLINK("https://app.workwolf.com/pipelineLink/ZGDNUH43?utm_source=indeed", "https://app.workwolf.com/pipelineLink/ZGDNUH43?utm_source=indeed")</f>
        <v/>
      </c>
      <c r="G118" t="inlineStr">
        <is>
          <t>New York, NY, US</t>
        </is>
      </c>
      <c r="H118" s="3" t="n">
        <v>46063</v>
      </c>
      <c r="I118" t="inlineStr">
        <is>
          <t>**Fund Product Manager – Private Capital**
------------------------------------------
**Location:** New York, NY  
**Employment Type:** Full\-Time  
**Estimated Compensation:**  
**$140,000 – $185,000 total annual compensation** (varies by employer)
**About This Posting**
----------------------
This job description represents a sample **Fund Product Manager – Private Capital** position commonly found through the **Career Launch AI Talent Network**. It is intended to help job seekers understand the responsibilities and qualifications typically associated with product\-focused roles supporting private capital investment vehicles.
Actual openings may vary based on employer type (private equity, private credit, venture capital, real assets, multi\-asset managers), fund structure (closed\-end funds, evergreen vehicles, co\-investments, SMAs), and investor type.
For more information on the Career Launch AI Talent Network, visit:  
https://www.careerlaunch.ai/
**Position Overview**
---------------------
Fund Product Managers in Private Capital oversee the design, launch, and ongoing management of private investment products. The role blends product strategy, fund operations, regulatory coordination, and investor\-facing considerations to ensure funds meet market demand, investment objectives, and operational requirements.
These roles involve close collaboration with investment teams, legal and compliance, fund operations, investor relations, distribution, and external service providers.
**Key Responsibilities**
------------------------
* Own the end\-to\-end product lifecycle for private capital funds and vehicles
* Partner with investment teams to translate strategy into scalable fund structures
* Coordinate fund launches, amendments, and product enhancements
* Work with legal and compliance teams on fund documentation, disclosures, and regulatory requirements
* Collaborate with operations, administrators, and technology teams to ensure operational readiness
* Develop and maintain product materials, specifications, and internal documentation
* Support investor onboarding, product due diligence, and responses to investor inquiries
* Monitor product performance, scalability, and investor feedback
* Identify opportunities for new products, structures, or enhancements within private markets
* Prepare product updates and recommendations for senior leadership
**Preferred Qualifications**
----------------------------
* Bachelor’s degree in Finance, Economics, Business, Accounting, or a related field
* Strong understanding of private capital fund structures and investment strategies
* Experience in product management, fund operations, investment operations, or investor relations is a plus
* Familiarity with private equity, private credit, venture capital, or real assets
* Strong project management and cross\-functional coordination skills
* Advanced analytical and problem\-solving abilities
* Proficiency in Excel; familiarity with fund administration or CRM systems is a plus
* Excellent written and verbal communication skills
* Strong interest in private markets, fund products, and investment platform design
**About the Career Launch AI Talent Network**
---------------------------------------------
The Career Launch AI Talent Network helps job seekers pursue opportunities similar to this role through:
* Skills\-based role matching
* Resume and profile optimization
* Guidance on outreach to private capital and product teams
* Interview preparation for product management, fund structuring, and private markets roles
To learn more or express interest in private capital product roles, visit:  
https://www.careerlaunch.ai/
\#Workwolf</t>
        </is>
      </c>
    </row>
    <row r="119">
      <c r="A119" t="inlineStr">
        <is>
          <t>in-c0de8152e853f67c</t>
        </is>
      </c>
      <c r="B119" t="inlineStr">
        <is>
          <t>Hardware Operations Program Manager</t>
        </is>
      </c>
      <c r="C119" t="inlineStr">
        <is>
          <t>Mashgin</t>
        </is>
      </c>
      <c r="D119" t="inlineStr">
        <is>
          <t>indeed</t>
        </is>
      </c>
      <c r="E119">
        <f>HYPERLINK("https://www.indeed.com/viewjob?jk=c0de8152e853f67c", "https://www.indeed.com/viewjob?jk=c0de8152e853f67c")</f>
        <v/>
      </c>
      <c r="F119">
        <f>HYPERLINK("https://jobs.lever.co/mashgin/77605bf4-1db8-43ff-9be6-a4441eda4591", "https://jobs.lever.co/mashgin/77605bf4-1db8-43ff-9be6-a4441eda4591")</f>
        <v/>
      </c>
      <c r="G119" t="inlineStr">
        <is>
          <t>San Jose, CA, US</t>
        </is>
      </c>
      <c r="H119" s="3" t="n">
        <v>46063</v>
      </c>
      <c r="I119" t="inlineStr">
        <is>
          <t>About Mashgin
Mashgin powers the world's best checkout experience for over 40 million users. Customers just place their items on our kiosks and our AI rings up their entire order in less than a second. With Mashgin, lines are now optional.  
Mashgin's technology powers over 1 billion transactions at your favorite locations, including over half of all US professional sports teams, 4,000 convenience stores, major airports, universities, and more.  
We’re not just building cutting\-edge AI—we’re creating real\-world impact and unforgettable experiences. Backed by a well\-funded Series B, we’re also one of the rare AI startups that’s already profitable.  
Our secret? A culture of extreme ownership, autonomy, and customer obsession. At Mashgin, we are building something extraordinary by challenging conventional wisdom. We’ve thrown out the old rules to focus on what truly matters: creating a kickass product that makes people say, 'Wow'. We don’t care about short\-term wins; we build systems that stand the test of time. If you thrive in a culture of excellence without compromise and want to see your work have an immediate, remarkable impact, you’re in the right place.  
Position Summary
We are seeking an experienced, hands\-on, execution\-focused Operations Program Manager (OPM) to lead hardware product mass production and serve as the key liaison between Mashgin and contract manufacturers (CMs). This role will own production readiness, quality systems, and execution to ensure successful product launches and sustained manufacturing performance.  
This is a hybrid remote role where you'd be required to be onsite in San Jose, CA at least 2 times a week.### **What We Value:**
+ **Impact**: You will own significant responsibility and have total ownership over your work. We stay lean and efficient, so your work directly impacts the product we ship every day.
+ **Simplicity**: Complexity is a waste of time here—we take pride in building things that just work.
+ **Hard Work**: Forget the glamorous research papers. We prioritize the hard work it takes to achieve real\-world clarity and accuracy. You will innovate relentlessly to push the boundaries of what’s possible in visual automation.
+ **Humility**: No task is beneath you. Whether it's high\-level architecture or grunt work to fix a bug, we check our egos at the door and get real work done.
+ **Ruthless Prioritization**: If everything is on fire, nothing is. You will be expected to prioritize ruthlessly, cutting through distractions to focus on the most impactful product improvements.
+ **Customer Innovation**: We are customer\-centric, not customer\-pleasing. You won’t bend to every client demand; you will let innovation drive the product forward to solve the real problems our users face.
+ **Efficiency**: Meetings suck. We keep them short and only use them for alignment, giving you your time back to focus on real work.
### **You Will Be**
+ Owning mass production, quality assurance (QA) and contract manufacturing (CM) management
+ Leading contract manufacturers through ramp and mass production
+ Driving build readiness, production schedules, and on\-time delivery
+ Managing yield, capacity planning, and factory performance
+ Creating and implementing scalable QA processes and quality criteria
+ Defining inspection standards, acceptance criteria, and production controls
+ Owning yield improvement and root cause analysis
+ Driving corrective/preventive actions (CAPA)
+ Establishing quality metrics that support growth and reliability
+ Aligning manufacturing strategy with product requirements and business goals
+ Providing clear, no\-surprise updates to leadership
+ Acting as the escalation point for production and quality issues
### **Minimum Qualifications**
+ Bachelor’s degree in Engineering, Operations, Supply Chain, or related field
+ 5\+ years of experience in hardware operations, manufacturing, QA, or program management
+ Professional fluency in Mandarin Chinese (written and spoken) is required You must be able to communicate technical specifications and negotiate timelines directly with factory floor leads and overseas suppliers without a translator
+ Ability to travel (domestic and international) up to 25% to visit manufacturing sites and vendors
+ Proven experience releasing products into mass production
+ Strong experience managing contract manufacturers
+ Deep understanding of NPI, ramp, and manufacturing processes
+ Experience building or improving QA systems
+ Comfortable working in a fast\-paced startup environment
### **Preferred Qualifications**
+ Consumer electronics or hardware startup experience
+ Familiarity with NPI processes and manufacturing ramp
+ Experience working closely with Asia\-based supply chains
### **What We Offer**
+ An opportunity to work on a small, multidisciplinary team with the potential to break new ground in many different industries
+ Excellent health, dental and vision insurance for you and your dependents
+ 401k plan
+ Flexible PTO policy
+ Catered lunch in office with fully stocked snacks and beverages
+ Pet insurance for your fur babies
+ Voluntary life insurance plan
+ Competitive salary and options in a small, rapidly scaling company
$125,000 \- $175,000 a year
For roles based in Palo Alto, CA, the overall market range for Mashgin is typically $125,000 \- $175,000 USD annually. Note that total compensation for this position will be determined by candidate’s relevant qualifications, work experience, skills, and other relevant factors. This estimate excludes the value of any benefits offered by Mashgin, and the potential future value of any other long\-term incentives.
Mashgin is proud to be an equal opportunity employer. Individuals seeking employment at Mashgin are considered without regards to race, color, religion, national origin, age, sex, marital status, ancestry, physical or mental disability, veteran status, gender identity, or sexual orientation.  
Notice on fraudulent jobs
We have been made aware of instances of fraudulent job postings and/or fraudulent recruiting activity by bad actors, claiming to represent Mashgin. These fraudulent schemes often seek monetary contributions or payments from job seekers (such as for "start up costs" or "equipment"), or seek to collect sensitive personal or banking information from job seekers. These job postings and offers are not authorized by Mashgin, and Mashgin is not responsible for fraudulent offers or requests for personal information or payments. Mashgin will never ask for any financial commitment or contribution from a candidate at any stage of the recruitment process. Candidates who have questions about the validity of Mashgin job postings or offers should consult the job postings on our mashgin.com career site. If you think you've been scammed, please reference this site for more information.*We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0">
      <c r="A120" t="inlineStr">
        <is>
          <t>in-8d7f9667120a1734</t>
        </is>
      </c>
      <c r="B120" t="inlineStr">
        <is>
          <t>Lead FDE Product Manager</t>
        </is>
      </c>
      <c r="C120" t="inlineStr">
        <is>
          <t>Pelico</t>
        </is>
      </c>
      <c r="D120" t="inlineStr">
        <is>
          <t>indeed</t>
        </is>
      </c>
      <c r="E120">
        <f>HYPERLINK("https://www.indeed.com/viewjob?jk=8d7f9667120a1734", "https://www.indeed.com/viewjob?jk=8d7f9667120a1734")</f>
        <v/>
      </c>
      <c r="F120">
        <f>HYPERLINK("https://careers.pelico.io/jobs/7068981-lead-fde-product-manager", "https://careers.pelico.io/jobs/7068981-lead-fde-product-manager")</f>
        <v/>
      </c>
      <c r="G120" t="inlineStr">
        <is>
          <t>Miami, FL, US</t>
        </is>
      </c>
      <c r="H120" s="3" t="n">
        <v>46063</v>
      </c>
      <c r="I120" t="inlineStr">
        <is>
          <t>### **About Pelico**
We are creating the factory of the future where disruptions are avoided, processes synchronized and value captured. Our factory operations management platform enables factory teams to be more agile and resilient in a world where supply chain disruptions occur every 16 minutes. Pelico empowers users to identify bottlenecks, avoid problems, and focus on innovation instead of fire\-fighting. Since our foundation in 2019, we’ve partnered with industry leaders across aerospace, industrial equipment, and luxury watchmaking, revolutionizing factory operations in over 15 countries. Esteemed clients include Airbus, Safran, Cartier, Daikin, and Eaton.
### **Our Team**
With a dynamic team of over 180 professionals across the US and France, Pelico is a melting pot of top\-tier talent from Tech, Data Science, and Manufacturing domains.  
Our collaborative environment fosters innovation and excellence, driving us to solve complex challenges and shape the future of manufacturing.
Our work has been recognized by Safran (Digital Transformation Award) and Microsoft (scale\-up of the year).
Engineering turns Product ambition into **scalable, reliable solutions** that empower **on\-site operational teams**.
We design a platform that **handles high volumes, concurrent users, and complex workflows**, while remaining modular, maintainable, and future\-proof.
**Your Missions**
-----------------
Pelico is seeking a **Lead AI Product Manager** to pioneer our **agent\-first product strategy** in Miami. You'll define and build the next generation of autonomous AI agents that transform how aerospace and manufacturing companies plan, optimize, and execute complex supply chain operations. This is a unique opportunity to work at the frontier of agentic AI in enterprise B2B, creating intelligent systems that make decisions, take actions, and deliver measurable business value autonomously.
### **What you'll do \&amp; learn**
* **Agentic AI Product Strategy:** Own the product vision and execution for autonomous AI agents within the Pelico platform. This includes:
	+ Defining the architecture and capabilities of AI agents that autonomously handle supply chain planning, inventory optimization, production scheduling, and MRO workflows
	+ Designing multi\-agent systems and orchestration patterns that enable agents to collaborate, delegate tasks, and resolve conflicts
	+ Building agentic workflows that integrate LLMs, specialized models, knowledge bases, tool use, and real\-time decision\-making
	+ Establishing guardrails, approval mechanisms, and human\-in\-the\-loop patterns for safe autonomous operation at enterprise scale
	+ Defining success metrics for agent performance: task completion rates, decision quality, time savings, and business impact
* **Product Leadership for Autonomous Systems:** Lead complex agentic AI initiatives requiring contribution from multiple Product Managers, Software Engineers, and Operations Researchers:
	+ Drive continuous discovery to identify high\-value use cases where autonomous agents can replace manual workflows or augment human decision\-making
	+ Translate complex operational challenges into agent capabilities and tool interactions
	+ Design agent personas, reasoning patterns, and action spaces tailored to supply chain planners, inventory managers, and operations teams
	+ Pioneer agent\-native UX paradigms: conversational interfaces, task delegation, proactive recommendations, and explainable autonomous actions
	+ Launch new agentic products and capabilities that deliver 10x productivity improvements to enterprise customers
* **Cross\-functional Collaboration:** Work closely with engineering (algorithms, backend, data), customer operations, sales, and enterprise customers to ensure AI features deliver measurable value and achieve adoption at scale
* **Strategic Roadmap:** Collaborate with VP Product and engineering leadership to define the AI product vision and strategy, balancing innovation with enterprise deployment requirements (scalability, explainability, security, compliance)
* **Continuous Improvement:** Drive excellence in AI product development processes, from experimentation frameworks to deployment best practices. Champion data\-driven decision making and rapid iteration
### **Preferred Experience**
***Pelico promotes inclusion and non\-discrimination, and acts daily in favour of social mix, gender equality, and disability inclusion***
**What you embody**
* **Agentic AI Expertise:** 5\+ years in product management with 3\+ years building AI/ML products, including hands\-on experience with agentic AI systems, autonomous agents, or intelligent automation in Enterprise B2B SaaS
* **Deep Understanding of Agent Architectures:** Strong grasp of agentic AI concepts including:
	+ Multi\-agent systems, agent orchestration, and task decomposition
	+ LLM\-based reasoning, planning, and tool use (function calling, retrieval, code execution)
	+ Agent memory systems, context management, and knowledge bases
	+ Reinforcement learning from human feedback (RLHF) and agent training paradigms
	+ Safety mechanisms: guardrails, approval workflows, explainability, and human oversight
* **Enterprise B2B Experience:** Proven track record shipping autonomous AI products to large enterprise customers. Experience navigating enterprise concerns around safety, compliance, auditability, and controlled autonomy
* **Technical Depth:** Strong technical acumen to collaborate with ML engineers, data scientists, and algorithm developers on complex agentic systems. Comfortable discussing agent frameworks, prompt engineering, retrieval\-augmented generation (RAG), fine\-tuning strategies, and inference optimization
* **Product Vision for Autonomy:** Ability to envision how autonomous agents will transform user workflows, identify high\-ROI use cases for automation, and design the right balance between full autonomy and human collaboration
* **Leadership:** Demonstrated ability to lead cross\-functional teams on cutting\-edge AI initiatives, influence senior stakeholders, and drive 0\-to\-1 product innovation from concept to production
* **Domain Interest:** Genuine interest in supply chain, operations research, optimization algorithms, or manufacturing/aerospace industries. Passion for solving complex operational problems with intelligent automation
* **Analytical \&amp; Strategic Mindset:** Data\-driven approach to decision making, able to balance ambitious innovation with pragmatic enterprise deployment
* **Communication Excellence:** Outstanding written and verbal communication skills. Able to articulate complex agentic AI concepts to executives, engineers, and end users alike
* **US Citizenship Required:** This position requires US citizenship due to customer requirements and data handling obligations
**Nice to have:**
* Experience building agent\-based products with frameworks like LangChain, AutoGPT, CrewAI, or custom agent architectures
* Background in operations research, optimization, constraint programming, or simulation
* Experience with supply chain, manufacturing, or operational planning software
* Familiarity with enterprise AI deployment challenges: model governance, versioning, monitoring, and observability
* Previous experience at high\-growth B2B SaaS startups or AI\-first companies
**What we offer**
Join an exciting adventure with a lot of challenges at all levels!
* Work on a highly impactful AI\-native product that transforms how the world's leading manufacturers plan and optimize operations
* **Miami office location** with modern workspace and collaborative environment
* **Competitive compensation** including base salary, performance bonus, and equity (Stock Options for every Pelican)
* **Comprehensive benefits package:**
	+ Premium health, dental, and vision coverage
	+ 401(k) with company match
	+ Generous PTO policy \+ company holidays
	+ 6 weeks of Work from Anywhere
* **Professional development:** Budget for conferences, courses, and learning
* **Flexible work arrangements** with remote flexibility
* Work directly with world\-class aerospace and manufacturing customers
* Collaborative, impact\-driven culture with quarterly team events
**Our recruitment Process**
* **HR introduction call** (30 mins)
* **Screening interview** with VP Product (45 mins)
* **Case study:** AI product scenario \+ 2\-hour onsite presentation and discussion
* **Leadership interview** with CEO (30 mins)
* **Reference checks** \&amp; **Job offer** within 48 hours
**Ready to shape the future of AI in manufacturing?** We're excited to hear from you.
Department
Product
Role
Product Manager
Locations
Miami
Remote status
Hybrid</t>
        </is>
      </c>
    </row>
    <row r="121">
      <c r="A121" t="inlineStr">
        <is>
          <t>in-ff9ece0bf73b1772</t>
        </is>
      </c>
      <c r="B121" t="inlineStr">
        <is>
          <t>TB PROGRAM MANAGER (PUBLIC SERVICE ADMINISTRATOR, OPT. 6F)</t>
        </is>
      </c>
      <c r="C121" t="inlineStr">
        <is>
          <t>State of Illinois</t>
        </is>
      </c>
      <c r="D121" t="inlineStr">
        <is>
          <t>indeed</t>
        </is>
      </c>
      <c r="E121">
        <f>HYPERLINK("https://www.indeed.com/viewjob?jk=ff9ece0bf73b1772", "https://www.indeed.com/viewjob?jk=ff9ece0bf73b1772")</f>
        <v/>
      </c>
      <c r="F121">
        <f>HYPERLINK("https://illinois.jobs2web.com/job/Chicago-TB-PROGRAM-MANAGER-%28PUBLIC-SERVICE-ADMINISTRATOR%2C-OPT_-6F%29-IL-60603/1363982600/", "https://illinois.jobs2web.com/job/Chicago-TB-PROGRAM-MANAGER-%28PUBLIC-SERVICE-ADMINISTRATOR%2C-OPT_-6F%29-IL-60603/1363982600/")</f>
        <v/>
      </c>
      <c r="G121" t="inlineStr">
        <is>
          <t>Chicago, IL, US</t>
        </is>
      </c>
      <c r="H121" s="3" t="n">
        <v>46063</v>
      </c>
      <c r="I121" t="inlineStr">
        <is>
          <t>We continually strive for a workforce that reflects the growing diversity within the State of Illinois. A variety of employee backgrounds, perspectives, ideas and experiences are crucial to our ability to most effectively serve the public. Bilingual skills welcome
**Reasonable Accommodation Statement**
The State of Illinois is committed to working with and providing reasonable accommodations to people with disabilities. Further, federal law requires employers to provide reasonable accommodation to qualified individuals with disabilities. Please tell us if you require a reasonable accommodation to apply for a job, interview for a job, or for any other activity related to the hiring process. Examples of reasonable accommodation include, but are not limited to, making a change to the application process (if possible), providing documents in an alternate format, using a sign language interpreter, or using specialized equipment.
To be provided a Reasonable Accommodation during the hiring process, you will need to provide a certification of disability from a physician, psychiatrist, school official or an Illinois Department of Human Services (DHS) Division of Rehabilitation Services (DRS) Vocational Rehabilitation (VR) Counselor. Supporting documentation should be uploaded under **My Documents Additional Documents** section for each application.
Any questions on Reasonable Accommodations can be directed to Central Management Services Disability Resource Center at CMS.DisabilityResCen@illinois.gov or call (217\) 524\-7514 for further information and to request or discuss an accommodation.
**Sponsorship for Employment**
The State of Illinois does not provide sponsorship for employment visa status (e.g. H\-1B visa status), nor is the State able to provide extensions of optional practical training (OPT) under the STEM\-designated degree program for F\-1 students. To be considered for permanent employment with the State of Illinois, applicants must be currently authorized to work in the United States on a full\-time basis.
**Disclosure of Salary Information**
In compliance with the Illinois Equal Pay Act, 820 ILCS 112/1 et seq., the State does not seek, request, or require a job applicant’s wage or salary history. Employment decisions are not made based on an applicant’s wage or salary history. To that end, please **do not include wage or salary information in your resume or other profile or application materials**.
**Job Requisition ID:** 52424  
**Closing Date:** 02/27/2026  
**Agency:** Department of Public Health  
**Class Title:** PUBLIC SERVICE ADMINISTRATOR \- 37015
**Office:** Disease Control
**Division:** HHST
**Posting ID:** 86\-26\-0186 / 52424
**Posted:** 02/11/2026 \- 02/27/2026
**Skill Option:** Infectious Disease
**Bilingual Option:** None  
**Salary:** Anticipated Starting Salary $8,281 /month; Full Range $8,281\-$12223/month  
**Job Type:** Salaried  
**Category:** Full Time  
**County:** Cook  
**Number of Vacancies:** 1  
**Bargaining Unit Code:** RC062 Technical Employees, AFSCME  
**Merit Comp Code:**  
**This position is a union position; therefore, provisions of the relevant collective bargaining agreement/labor contract apply to the filling of this position.**  
**All applicants who want to be considered for this position** **MUST** **apply electronically through the** **illinois.jobs2web.com** **website. State of Illinois employees should click the link near the top left to apply through the** **SuccessFactors** **employee career portal.****Applications submitted via email or any paper manner (mail, fax, hand delivery) will not be considered.**  
**Why Work for Illinois?**
Working with the State of Illinois is a testament to the values of compassion, equity, and dedication that define our state. Whether you’re helping to improve schools, protect our natural resources, or support families in need, you’re part of something bigger—something that touches the lives of every person who calls Illinois home.
No matter what state career you’re looking for, we offer jobs that fit your life and your schedule—flexible jobs that provide the gold standard of benefits. Our employees can take advantage of various avenues to advance their careers and realize their dreams. Our top\-tier benefits and great retirement packages can help you build a rewarding career and lasting future with the State of Illinois.
Position Overview
The Illinois Department of Public Health is seeking a highly motivated and experienced individual to serve as the Tuberculosis (TB) Program Manager. The TB Program Manager plans and directs statewide program activities for Tuberculosis efforts including supervision of epidemiological data, grants management, TB elimination and coalition building. This position is also serves as the state representative to federal and local representatives and between state regional organizations for TB control and elimination.
Benefits Statement
As a State of Illinois Employee, you will receive a robust benefit package that includes the following:
* Flexible and hybrid work schedules are available in many program areas (when available and dependent upon position)
* Competitive Group Insurance benefits including health, life, dental and vision plans.
* Pension plan through the State Employees Retirement System
* Deferred Compensation Program – voluntary supplemental retirement plan
* Optional pre\-tax programs \-Medical Care Assistance Plan (MCAP) \&amp; Dependent Care Assistant Plan (DCAP)
* 10\-25 days of paid vacation time annually (10 days for first year of state employment)
* 12 paid sick days annually which carryover year to year
* 3 paid personal business days per calendar year (pro\-rated dependent on start date)
* 13\-14 paid holidays per year
* 12 weeks of paid parental leave
* Employee Assistance Program and/or mental health resources
These are just a few of the many perks available to all State employees. For more information about our benefits please follow this link: https://www2\.illinois.gov/cms/benefits/Pages/default.aspx.
Essential Functions
* Plans, develops, evaluates and directs the statewide Tuberculosis (TB) Control and Prevention Program.
* Serves as a working supervisor.
* Provides epidemiologic consultation to Program staff through the application of TB structure policies and guidelines to private physicians, local health agencies, hospitals, school nurses and others for the control and prevention of TB.
* Maintains liaison with professionals at the federal level and with other state agencies and between states for discussions related to federal funds awarded to the program, and regarding TB prevention and control activities.
* Maintains and develops local and state operating procedures for the Illinois Disease Surveillance System (IDSS) for TB agencies.
* Performs other duties as required or assigned which are reasonably within the scope of the duties enumerated above.
Minimum Qualifications
* Requires a Bachelor’s degree in public health, registered nursing, microbiology, sociology, anthropology, veterinary medicine, biology, psychology, chemistry, epidemiology, or a related field.
* Requires four (4\) years of professional experience in communicable disease or infectious disease surveillance and/or control programs at the local, state or federal level.
Preferred Qualifications
* Illinois Registered Nurse License.
* Two (2\) years of experience supervising subordinate employees.
* Three (3\) years of experience with statistical software (SPSS, SAS or EpiInfo).
* Three (3\) years of experience with mapping software (ArcGIS).
* Two (2\) years of experience in tuberculosis case management, health care delivery systems, and/or managed care programs.
* Three (3\) years of experience with Business Objects.
* Three (3\) years of experience in planning, developing, implementing, and evaluating health care systems.
* Two (2\) years of experience using productivity software such as Microsoft Word, Excel, Access, PowerPoint, Infopath, Outlook or their equivalent.
About the Agency
The Illinois Department of Public Health (IDPH) is tasked with the oversight of communities within Illinois to achieve and maintain optimal health and safety. With an annual budget of over $2 billion in state and federal funds, 6 regional offices, 3 laboratories and over 1,200 employees, IDPH is equipped to fulfill its mission of protecting the health and wellness of the people of Illinois through the prevention, health promotion, regulation and control of disease and injury.**Work Hours:** Monday\- Friday 8:30am to 5:00pm  
**Headquarter Location:** 115 S Lasalle St, Chicago, Illinois, 60603  
**Work County:**  
**Agency Contact:** DPH.HRRecruiter@Illinois.gov  
**Posting Group:** Leadership \&amp; Management; Health Services  
**This position DOES NOT contain “Specialized Skills” (as that term is used in CBAs)**.  
**APPLICATION INSTRUCTIONS**  
If you are not already signed in, you will be prompted to do so.
State employees should sign in to the career portal for State of Illinois employees – a link is available at the top left of the Illinois.jobs2web.com homepage in the blue ribbon.
Non\-State employees should log in on the using the “View Profile” link in the top right of the Illinois.jobs2web.com homepage in the blue ribbon. If you have never before signed in, you will be prompted to create an account.
If you have questions about how to apply, please see the following resources:
State employees: Log in to the career portal for State employees and review the Internal Candidate Application Job Aid
Non\-State employees: on Illinois.jobs2web.com – click “Application Procedures” in the footer of every page of the website.  
The main form of communication will be through email. Please check your “junk mail”, “spam”, or “other” folder for communication(s) regarding any submitted application(s). You may receive emails from the following addresses:
donotreply@SIL\-P1\.ns2cloud.com
systems@SIL\-P1\.ns2cloud.com  
**Nearest Major Market:** Chicago</t>
        </is>
      </c>
    </row>
    <row r="122">
      <c r="A122" t="inlineStr">
        <is>
          <t>in-3bd1d14d9e2110f5</t>
        </is>
      </c>
      <c r="B122" t="inlineStr">
        <is>
          <t>Technical Product Manager</t>
        </is>
      </c>
      <c r="C122" t="inlineStr">
        <is>
          <t>Digital Dynamics</t>
        </is>
      </c>
      <c r="D122" t="inlineStr">
        <is>
          <t>indeed</t>
        </is>
      </c>
      <c r="E122">
        <f>HYPERLINK("https://www.indeed.com/viewjob?jk=3bd1d14d9e2110f5", "https://www.indeed.com/viewjob?jk=3bd1d14d9e2110f5")</f>
        <v/>
      </c>
      <c r="F122">
        <f>HYPERLINK("https://phx.us-west.paycomonline.net/v4/ats/web.php/jobs/ViewJobDetails?job=836&amp;clientkey=695AFC587A758D0117AC079CF0BD119C&amp;source=Indeed", "https://phx.us-west.paycomonline.net/v4/ats/web.php/jobs/ViewJobDetails?job=836&amp;clientkey=695AFC587A758D0117AC079CF0BD119C&amp;source=Indeed")</f>
        <v/>
      </c>
      <c r="G122" t="inlineStr">
        <is>
          <t>Scotts Valley, CA, US</t>
        </is>
      </c>
      <c r="H122" s="3" t="n">
        <v>46062</v>
      </c>
      <c r="I122" t="inlineStr">
        <is>
          <t>Job Description: Technical Product Manager
Location: 5550 Scotts Valley Drive, Scotts Valley, CA, 95066
On\-site
Skills: Technical problem solving; Verbal \&amp; written communication; Team management
Digital Dynamics is a fast\-growing provider of safety rated control solutions for mission critical OEM process machinery. We are seeking a skilled, experienced Technical Product Manager to join our team. The position is a foundational opening in response to DDI’s rapid growth to meet market needs. The ideal candidate will have a passion for establishing a competitive technical edge, with proven experience in successful product launch and product management.
Responsibilities:
* Be the point person for the strategic product planning process to maintain competitiveness and increase market reach
* Contribute to and manage the requirements definition process for new products in collaboration with sales, marketing and engineering.
* Curate and manage product roadmaps to maintain competitive edge, capturing and documenting input from customers, marketing and engineering stakeholders.
* Support cross\-functional management of the product development process from conception through go\-to\-market.
* Participate in the product development process to ensure technical and commercial requirements are aligned with market needs \&amp; wants.
* Develop and maintain interactive working relationships with key stakeholders, including customers, partners, and vendors
* Research and report on industry technology trends for served markets
* Lead the creation of technical manuals, application notes, and product announcements.
Requirements:
* Bachelor’s or master’s degree in engineering or related technology field
* 10\+ years of experience in engineering and product management
* Proven track record of success in building \&amp; leading a focused, success\-oriented team
* Strong technical background with understanding of product development processes
* Aptitude to leverage CRM, ERP and PLM software systems
* Excellent communication and presentation skills
* Ability to work effectively in a fast\-paced, dynamic \&amp; competitive market environment
* Goal oriented and willing to take on new responsibilities as the company grows
* Strong problem\-solving and analytical skills
* Domestic and international travel is required.
Digital Dynamics, Inc. is an Equal Opportunity Employer.
This document provides a detailed job description for the position of Technical Product Manager at Digital Dynamics, located on\-site in Scotts Valley, California. It outlines the skills required, responsibilities, and qualifications necessary for the role.
Position Overview
The Technical Product Manager role is a foundational position created in response to the rapid growth of Digital Dynamics, a company specializing in safety\-rated control solutions for mission\-critical OEM process machinery. The ideal candidate is expected to have a passion for gaining a competitive technical edge and a proven track record in successful product launches and management.
Required Skills
Key skills emphasized for this role include:
* Technical problem solving
* Verbal and written communication
* Team management
Responsibilities
The Technical Product Manager will be responsible for:
* Leading strategic product planning to maintain competitiveness and expand market reach.
* Collaborating with sales, marketing, and engineering teams to define requirements for new products.
* Managing and curating product roadmaps by incorporating feedback from customers and stakeholders.
* Supporting cross\-functional management throughout the product development lifecycle, from conception to go\-to\-market.
* Ensuring alignment of technical and commercial requirements with market needs.
* Building and maintaining interactive relationships with customers, partners, and vendors.
* Perform research and reporting on industry technology trends relevant to served markets.
* Leading the creation of technical documentation such as manuals, application notes, and product announcements.
Requirements
Candidates must meet the following criteria:
* Hold a bachelor’s or master’s degree in engineering or a related technology field.
* Have over 10 years of experience in engineering and product management.
* Demonstrate a proven ability to build and lead focused, success\-oriented teams.
* Possess a strong technical background with an understanding of product development processes.
* Be adept at using CRM, ERP, and PLM software systems.
* Exhibit excellent communication and presentation skills.
* Thrive in a fast\-paced, dynamic, and competitive market environment.
* Be goal\-oriented and ready to take on new responsibilities as the company grows.
* Display strong problem\-solving and analytical skills.
* Be willing to travel domestically and internationally .
Equal Opportunity Employer
Digital Dynamics, Inc. is committed to being an Equal Opportunity Employer .
Answers to HR Questions to clarify the role:
1\. Core outcomes this role owns vs. influences
Owns:
* Product vision and strategy for safety\-rated I/O controllers
* Customer and market requirements (voice of customer, standards, competitive analysis)
* Product roadmap and prioritization aligned to business and compliance goals
* Product requirements (PRDs, safety requirements, use cases, constraints)
* Go\-to\-market readiness from a product perspective (positioning, differentiation, feature clarity)
Influences:
* Detailed technical architecture and implementation approach
* Engineering execution timelines and resourcing
* Sales strategy and pricing (input, not ownership)
* Manufacturing, certification, and quality processes (alignment, not direct ownership)
2\. Roadmap ownership
This role owns the product roadmap end\-to\-end.
Engineering leadership owns how and when features are built; the Product Manager owns what, why, and priority. Roadmap decisions are made collaboratively but are product\-led.
3\. Pure product vs. hybrid engineering role
This is a technical product role, not an engineering execution role.
The Product Manager must be technically fluent in functional safety (SIL, IEC standards, safety lifecycles) but does not perform ongoing engineering design, coding, or detailed implementation.
4\. People management
Initially, this is a senior individual contributor role.
No direct people management is required at hire, though mentoring and cross\-functional leadership are expected.
5\. Clear handoffs between Product and Engineering
* Product: Defines market needs, safety requirements, product scope, acceptance criteria, and priority
* Engineering: Owns technical design, implementation, verification, validation, and delivery
* Handoff point: A well\-defined, approved product requirements package (including safety requirements) before development begins
* Ongoing collaboration: Change control, tradeoff discussions, and risk assessment remain joint, but accountability is not shared
6\. How success is measured
Primary success metrics:
* Clarity and quality of the roadmap
* Strength of market fit and customer alignment
* Regulatory and safety requirements correctly captured and prioritized
Secondary metrics:
* Predictability and smoothness of delivery (via strong requirements, not direct execution)
* Reduced rework due to clearer product definition
7\. Growth path of the role
As the company scales, this role is expected to grow into broader product leadership (e.g., Principal PM or Head of Product for safety systems).
In the near term, the focus remains on deep ownership of the safety I/O product line rather than managing a portfolio or team.</t>
        </is>
      </c>
    </row>
    <row r="123">
      <c r="A123" t="inlineStr">
        <is>
          <t>in-1522aba86717e282</t>
        </is>
      </c>
      <c r="B123" t="inlineStr">
        <is>
          <t>Research Program Manager</t>
        </is>
      </c>
      <c r="C123" t="inlineStr">
        <is>
          <t>University of Wisconsin–Madison</t>
        </is>
      </c>
      <c r="D123" t="inlineStr">
        <is>
          <t>indeed</t>
        </is>
      </c>
      <c r="E123">
        <f>HYPERLINK("https://www.indeed.com/viewjob?jk=1522aba86717e282", "https://www.indeed.com/viewjob?jk=1522aba86717e282")</f>
        <v/>
      </c>
      <c r="F123">
        <f>HYPERLINK("https://jobs.wisc.edu/jobs/research-program-manager-madison-wisconsin-united-states-a2de7323-05a6-45bb-8b29-f944d1f46eb6", "https://jobs.wisc.edu/jobs/research-program-manager-madison-wisconsin-united-states-a2de7323-05a6-45bb-8b29-f944d1f46eb6")</f>
        <v/>
      </c>
      <c r="G123" t="inlineStr">
        <is>
          <t>Madison, WI, US</t>
        </is>
      </c>
      <c r="H123" s="3" t="n">
        <v>46062</v>
      </c>
      <c r="I123" t="inlineStr">
        <is>
          <t>*Current employees: if you are currently employed at any of the universities of wisconsin, log in to workday to apply through the internal application process.*
Job category:
Academic Staff
Employment type:
Regular
Job profile:
Research Program Manager
Job summary:
This position will serve as the Assistant Coordinator for the National Atmospheric Deposition Program (NADP) at the Wisconsin State Lab of Hygiene (WSLH)/University of Wisconsin Madison. The Assistant Coordinator will be responsible for managing the operational, administrative, and outreach activities that support NADP's mission to monitor and assess atmospheric deposition across North America. This position plays a critical role in ensuring smooth program operations, maintaining effective communication with monitoring sites and stakeholders, and facilitating scientific meetings and events.
The Assistant Coordinator will work closely with the NADP Coordinator, Program Office (PO) staff, NADP Analytical Lab (NAL) staff, and NADP committees including the Executive Committee to coordinate site management, data dissemination, external communications, and staff supervision. The Assistant Coordinator will also serve as the primary backup to the NADP Coordinator for any NADP presentations, reports, and other project deliverables. This position requires strong organizational skills, attention to detail, and the ability to manage multiple priorities while maintaining positive relationships with federal, state, tribal, and academic partners.
The employee in this position is expected to use the tools and principles of quality management in performing their daily work including the following: Demonstrate exceptional customer service by establishing and maintaining effective professional relationships with other managers, supervisors, coworkers, and all customers and colleagues. Provide constructive feedback for the purpose of continuous improvement in a manner that is supportive of the State Laboratory of Hygiene and its mission. Use effective team skills to contribute to the effective operation of the unit. Present ideas, carry out assignments, and provide information as required. Participate in continuous learning through professional development activities.
Key Job Responsibilities
Directs day\-to\-day operational, PO, and NAL activities \- 20%
* Coordinate day\-to\-day operational, PO, and NAL administrative activities, such as equipment/protocol testing, building space management, and purchase of supplies and services
* Manage NADP site documentation and maintain accurate records in appropriate databases, including tracking site status, funding mechanism, and equipment type
* Coordinate NADP site management ensuring proper siting and equipment are installed at new sites, and that closing and mothballed sites follow appropriate procedures to ensure equipment is prepared for extended periods of no operator interaction
* Coordinate with PO and field personnel on quality assurance activities and site surveys
Develop and implement processes and protocols to support research goals \- 20%
* Develop and maintain standard operating procedures for site management and communications, including the maintenance and expansion of NADP Google Sheet trackers
* Prepare and distribute site status reports to NADP’s Executive and Budget Committees including funding agency information, completeness criteria status, contact details, and problem descriptions
* Assist with program reviews and audits as needed and serve as primary NADP representative for key field operation partners, such as ECCC, EPA CASTNET, EEMS, WSP, and ARS
Assist in development, coordination, and facilitation of meetings, trainings, and workshops for internal and external audiences \- 20%
* Coordinate NADP meeting planning, specifically the annual Spring Scientific Symposium, including develop meeting schedules and other requirements in partnership with the Vice Chair, configure online registration and obtain abstracts and biographies of presenters, coordinate proceedings booklet, and execute comprehensive meeting logistics
* Assist with spring and fall subcommittee business meeting logistics, ensuring any motions are properly voted upon and tracked
* Run internal NADP managers meetings
Oversee digital communication and systems information \- 20%
* Administer all NADP listservs, including managing membership, moderating incoming emails, and maintaining group owners and managers
* Serve as primary DoIT contact for website operations and regularly update with any new information to disseminate to the broader NADP community, such as meeting dates and agendas, annual publication lists, and subcommittee and network updates
* Produce annual NADP calendar from concept through print, including solicitating site operator photos, coordinating the Chair’s Message, approving final layout, and managing printing logistics
* Track and coordinate long\-service operator awards for milestone years, collaborate with the Executive Committee on other NADP recognition awards, and oversee award wording, ordering, and procurement
* Maintain oversight of all NADP social media accounts, assign user permissions, manage content, and serve as primary contact to the Education and Outreach Subcommittee on social media initiatives
* Produce Annual Summary Report, including highlights from the year, and coordinate development of mapping and program graphics and plots for the report
Exercises supervisory authority \- 20%
* Conduct performance reviews for NAL and PO staff
* Approve leave requests, manage staff schedules, and provide guidance and mentorship to support staff
* Ensure training of new NADP staff in coordination with the NADP Coordinator
Key job responsibilities:
* Plans, develops, and implements processes and protocols to support research aims \- 20%
* Assists in the development, coordination, and facilitation of trainings and workshops for internal and external audiences to disseminate research program developments and information \- 20%
Oversee digital communication and systems information \- 20%
* Administer all NADP listservs, including managing membership, moderating incoming emails, and maintaining group owners and managers
* Serve as primary DoIT contact for website operations and regularly update with any new information to disseminate to the broader NADP community, such as meeting dates and agendas, annual publication lists, and subcommittee and network updates
* Produce annual NADP calendar from concept through print, including solicitating site operator photos, coordinating the Chair’s Message, approving final layout, and managing printing logistics
* Track and coordinate long\-service operator awards for milestone years, collaborate with the Executive Committee on other NADP recognition awards, and oversee award wording, ordering, and procurement
* Maintain oversight of all NADP social media accounts, assign user permissions, manage content, and serve as primary contact to the Education and Outreach Subcommittee on social media initiatives
* Produce Annual Summary Report, including highlights from the year, and coordinate development of mapping and program graphics and plots for the report
* Plans and directs the day\-to\-day operational activities of one or multiple research programs or units according to established research objectives in alignment with strategic plans and initiatives \- 20%
* Exercises supervisory authority, including hiring, transferring, suspending, promoting, managing conduct and performance, discharging, assigning, rewarding, disciplining, and/or approving hours worked of at least 2\.0 full\-time equivalent (FTE) employees \- 20%
Department:
WSLH \- Environmental Health Division \- NADP
Compensation:
$80,000/year minimum (Depending on qualifications)
Required qualifications:
Demonstrate exceptional customer service by establishing and maintaining effective professional relationships with other managers, supervisors, coworkers, and all customers and colleagues. Provide constructive feedback for the purpose of continuous improvement in a manner that is supportive of the State Laboratory of Hygiene and its mission. Use effective team skills to contribute to the effective operation of the unit. Present ideas, carry out assignments, and provide information as required. Participate in continuous learning through professional development activities.
Preferred qualifications:
See above
Education:
Bachelor's Degree Preferred Minimum
How to Apply:
To begin the application process please click on the "Apply Now" button. You will be asked to upload a current resume/CV AND cover letter briefly describing your qualifications relevant to the position.
*WSLH does not sponsor work visas at the time of hire or anytime during employment for this position. All persons hired will be required to verify identity and eligibility to work in the United States and complete the required Employment Eligibility Form I\-9\.*
The selected applicant will be required to pass a criminal background check prior to an offer of employment.
Contact information:
Please reach out to Dan Makovec at hrstaff@slh.wisc.edu with any questions.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124">
      <c r="A124" t="inlineStr">
        <is>
          <t>in-2905f68f222d7555</t>
        </is>
      </c>
      <c r="B124" t="inlineStr">
        <is>
          <t>Product Manager (Global Automotive Products) IV</t>
        </is>
      </c>
      <c r="C124" t="inlineStr">
        <is>
          <t>TE Connectivity</t>
        </is>
      </c>
      <c r="D124" t="inlineStr">
        <is>
          <t>indeed</t>
        </is>
      </c>
      <c r="E124">
        <f>HYPERLINK("https://www.indeed.com/viewjob?jk=2905f68f222d7555", "https://www.indeed.com/viewjob?jk=2905f68f222d7555")</f>
        <v/>
      </c>
      <c r="F124">
        <f>HYPERLINK("https://careers.te.com/job/Product-Manager-%28Global-Automotive-Products%29-IV/147271-en_US", "https://careers.te.com/job/Product-Manager-%28Global-Automotive-Products%29-IV/147271-en_US")</f>
        <v/>
      </c>
      <c r="G124" t="inlineStr">
        <is>
          <t>Harrisburg, PA, US</t>
        </is>
      </c>
      <c r="H124" s="3" t="n">
        <v>46061</v>
      </c>
      <c r="I124" t="inlineStr">
        <is>
          <t>TE Connectivity's Product Management Teams manage all aspects of a product, from driving new product development to manufacturing to marketing. They are responsible for overall product strategy, business leadership and capacity plans in order to meet sales and profit targets.
**Role Responsibilities:**
* Driver of the internal product strategies for product lines in the EMA Portfolio
* Owner of the Product Business Plan
* Shape a powerful portfolio for connectivity solutions for Mechatronics \&amp; Relays
* Responsible for forecast and profitability of the product line
* Develop and execute strategic product roadmaps aligning with overall business objectives
* Initiator of improvement measures in order to continuously develop the margin of the product line
* Active management of the product life cycle and closing of portfolio gaps
* Business Partner in cross\-functional project teams for the new development of products
* Implementation of sales activities both on site at the customer as well as in online and print media
* Responsible for the pricing strategy and definition of the new product introduction in cooperation with adjacent departments (Marketing, Sales, Engineering, Operations, Manufacturing Engineering)
* Support of the sales department in commercialization of new technologies
* Analysis of competitors, their products and market strategies
* Participation in the continuous further development of the Product \&amp; Technology Roadmap
* Leading role in coordination the product portfolio strategy with other regions
**What your background should look like:**  
* Bachelor's or Master's degree in (electrical) engineering or similar
* Minimum 3 years proven track record in Product Management
* Advanced technical and commercial understanding
* Open to innovative ideas and food for thought, excellent analytical and problem\-solving skills, with the ability to translate customer requirements into actionable product strategies
* Knowledge of TE systems such as SAP, C2S, iBP and Planisware as a plus
* Strategic mindset with the ability to think creatively and drive innovation in a competitive market
* Proactive, dynamic team player who can independently and seamlessly take on internal, external and cross\-departmental activities within the organization
* Automotive industry experience is highly preferred
* Exceptional communication and interpersonal skills
* Curiosity as well as high flexibility and agility in assessing, planning and executing
* Willingness to travel is required
**Competencies**
Values: Integrity, Accountability, Inclusion, Innovation, Teamwork
**ABOUT TE CONNECTIVITY**
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 Learn more at www.te.com and on LinkedIn, Facebook, WeChat, Instagram and X (formerly Twitter).
**COMPENSATION**  
* Competitive base salary commensurate with experience: $139,000 \- $190,000 (subject to change dependent on physical location)
* Posted salary ranges are made in good faith. TE Connectivity reserves the right to adjust ranges depending on the experience/qualification of the selected candidate as well as internal and external equity.
* Total Compensation \= Base Salary \+ Incentive(s) \+ Benefits
**BENEFITS**  
* A comprehensive benefits package including health insurance, 401(k), disability, life insurance, employee stock purchase plan, paid time off and voluntary benefits.
**EOE, Including Disability/Vets**
**IMPORTANT NOTICE REGARDING RECRUITMENT FRAUD**  
TE Connectivity has become aware of fraudulent recruitment activities being conducted by individuals or organizations falsely claiming to represent TE Connectivity. Please be advised that TE Connectivity **never requests payment or fees** from job applicants at any stage of the recruitment process. All legitimate job openings are posted exclusively on our official careers website at te.com/careers, and all email communications from our recruitment team will come **only from actual email addresses ending in @te.com**. If you receive any suspicious communications, we strongly advise you not to engage or provide any personal information, and to report the incident to your local authorities.
**Job Locations:**
\#, \_  
United States
**Posting City:** Harrisburg
**Job Country:** United States
**Travel Required:** 25% to 50%
**Requisition ID:** 147271
**Workplace Type:** Remote
**External Careers Page:** Engineering \&amp; Technology</t>
        </is>
      </c>
    </row>
    <row r="125">
      <c r="A125" t="inlineStr">
        <is>
          <t>in-84399228583b6b26</t>
        </is>
      </c>
      <c r="B125" t="inlineStr">
        <is>
          <t>PRODUCT MANAGER (High-speed Cable Products) II</t>
        </is>
      </c>
      <c r="C125" t="inlineStr">
        <is>
          <t>TE Connectivity</t>
        </is>
      </c>
      <c r="D125" t="inlineStr">
        <is>
          <t>indeed</t>
        </is>
      </c>
      <c r="E125">
        <f>HYPERLINK("https://www.indeed.com/viewjob?jk=84399228583b6b26", "https://www.indeed.com/viewjob?jk=84399228583b6b26")</f>
        <v/>
      </c>
      <c r="F125">
        <f>HYPERLINK("https://careers.te.com/job/PRODUCT-MANAGER-%28High-speed-Cable-Products%29-II/147148-en_US", "https://careers.te.com/job/PRODUCT-MANAGER-%28High-speed-Cable-Products%29-II/147148-en_US")</f>
        <v/>
      </c>
      <c r="G125" t="inlineStr">
        <is>
          <t>Harrisburg, PA, US</t>
        </is>
      </c>
      <c r="H125" s="3" t="n">
        <v>46061</v>
      </c>
      <c r="I125" t="inlineStr">
        <is>
          <t>The Data and Devices business unit of TE Connectivity has an opportunity for a Product Manager for the External High\-Speed Cable, based in US.  
The Product manager will help our global product management team identify and understand trends in in the data center ecosystems and support those trends with the appropriate promotions, collateral and various internal functions to ensure a seamless transition from NPI to order delivery. In addition, this product manager will work on cost savings initiatives, marketing collateral, business analysis, as well as overall portfolio enhancement activities.
This role requires strong strategic thinking, experience working across regions and a strong proactive work ethic. This role must closely collaborate cross\-functionally with colleagues in Sales, Engineering, Operations and Marketing to gain alignment and drive the successful execution of the product roadmaps.
**Responsibilities**:
* Define market trends, demand drivers, customer needs, industry trends, and competitive landscape
* Conduct market segmentation to develop market segment\-specific strategies
* Business development in US region\- Drive sales/FAE/SA team to fuel pipeline
* Conduct competitive analysis and benchmarking
* Develop product roadmaps that aligns with business strategy
* Work with R\&amp;D and Operations in the development of new products to meet current and future customer requirements
* Develop market\-based cost targets to align with BU profitability targets, and align product teams to achieve those targets
* Manage the product lifecycle, focusing on capacity expansion ramps, and defining the right cost early in design cycles
* Establish pricing policy
* Attend customer meetings to target winning new business
* Exercise thought leadership
* Manage the P\&amp;L (sales and gross or standard margin) for the assigned portfolios
**What your background should look like:**  
* 2\-4 years of product management and/or relevant engineering experience
* Relevant product or industry experience desired
* 4\-year degree required
* Creative and innovative thinker able to provide input on the development of the product strategies and the relevant business plans with the ability to execute
* Strong interpersonal, planning, organization, and teamwork skills
* Experienced leader with an ability to influence cross functional teams and to build strong relationships both internally and externally
**Competencies**
Values: Integrity, Accountability, Inclusion, Innovation, Teamwork
**ABOUT TE CONNECTIVITY**
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 Learn more at www.te.com and on LinkedIn, Facebook, WeChat, Instagram and X (formerly Twitter).
**COMPENSATION**  
* Competitive base salary commensurate with experience: $82,000 \- $110,000 (subject to change dependent on physical location)
* Posted salary ranges are made in good faith. TE Connectivity reserves the right to adjust ranges depending on the experience/qualification of the selected candidate as well as internal and external equity.
* Total Compensation \= Base Salary \+ Incentive(s) \+ Benefits
**BENEFITS**  
* A comprehensive benefits package including health insurance, 401(k), disability, life insurance, employee stock purchase plan, paid time off and voluntary benefits.
**EOE, Including Disability/Vets**
**IMPORTANT NOTICE REGARDING RECRUITMENT FRAUD**  
TE Connectivity has become aware of fraudulent recruitment activities being conducted by individuals or organizations falsely claiming to represent TE Connectivity. Please be advised that TE Connectivity **never requests payment or fees** from job applicants at any stage of the recruitment process. All legitimate job openings are posted exclusively on our official careers website at te.com/careers, and all email communications from our recruitment team will come **only from actual email addresses ending in @te.com**. If you receive any suspicious communications, we strongly advise you not to engage or provide any personal information, and to report the incident to your local authorities.
**Job Locations:**
\#, \_  
United States
**Posting City:** Harrisburg
**Job Country:** United States
**Travel Required:** 10% to 25%
**Requisition ID:** 147148
**Workplace Type:** Remote
**External Careers Page:** Sales \&amp; Marketing</t>
        </is>
      </c>
    </row>
    <row r="126">
      <c r="A126" t="inlineStr">
        <is>
          <t>in-8debb2cd6837a61b</t>
        </is>
      </c>
      <c r="B126" t="inlineStr">
        <is>
          <t>Sr Product Manager-WM</t>
        </is>
      </c>
      <c r="C126" t="inlineStr">
        <is>
          <t>Ameriprise Financial</t>
        </is>
      </c>
      <c r="D126" t="inlineStr">
        <is>
          <t>indeed</t>
        </is>
      </c>
      <c r="E126">
        <f>HYPERLINK("https://www.indeed.com/viewjob?jk=8debb2cd6837a61b", "https://www.indeed.com/viewjob?jk=8debb2cd6837a61b")</f>
        <v/>
      </c>
      <c r="F126">
        <f>HYPERLINK("https://ameriprise.wd5.myworkdayjobs.com/Ameriprise/job/Minneapolis-Minnesota/Sr-Product-Manager-WM_R26_0116-1", "https://ameriprise.wd5.myworkdayjobs.com/Ameriprise/job/Minneapolis-Minnesota/Sr-Product-Manager-WM_R26_0116-1")</f>
        <v/>
      </c>
      <c r="G126" t="inlineStr">
        <is>
          <t>Charlotte, NC, US</t>
        </is>
      </c>
      <c r="H126" s="3" t="n">
        <v>46057</v>
      </c>
      <c r="I126" t="inlineStr">
        <is>
          <t>The Senior Product Manager will be part of the Wealth Management Solutions (WMS) department and will participate in the development, delivery, and/or support of advisory products/programs. In this role, you will primarily focus on providing deep subject matter expert (SME) information on the Signature Wealth Program (flexible unified managed account program) as it relates to operational processes, best practices for onboarding onto the program, documenting feedback from the field, and trends captured to support prioritization of the roadmap of new features \&amp; capabilities including industry comparison. Additionally, you will support WMS Consultants, Field Team Members, and Advisors with deeper tool \&amp; system functioning experience, operational management of practices, and respond to escalated product\-related issues. **Key Responsibilities**
* Driving Ameriprise Client Experience initiatives in advisory business that grows assets, increases net flows, drives revenue generation, and implements cost/expense saves
* Supports the development of the Advisor/Client Experience across the advisory platform
* Supports advisory product/programs as a SME for projects, initiatives, marketing, sales and adoption
* Contributes to the requirements and delivery of new products and services to enhance the client and advisor experience, increase ease of use, meet competitive evolution in the marketplace and/or improve profitability
* Act as an advisory experience SME and provide recommendations from products perspective and working across the organization to drive projects forward
* Provide program demonstrations and support advisor practice consultations, training meetings, and conferencing events
* Seeks to learn and track industry trends for continual advancement and competitiveness
 **Required Qualifications**
* 7\+ years’ experience in Financial Services industry, preferably product development and/or product management
* Bachelor’s degree in finance, Economics, Business or other related degree and equivalent experience
* Active Series 7 or ability to obtain within 120 days
* Ability to travel up to 10%
**Preferred Qualifications**
* Experience working on projects in various roles (Product Manager, Product Analyst, Consultant, subject matter expert, etc.)
* Ability to influence and collaborate with or lead across the organization and at all levels to drive results
* Demonstrated analytical and problem\-solving skills
* Proven organizational skills, including managing multiple tasks simultaneously
* Ability to think strategically, while being able to implement tactical plans
* Proficient knowledge and familiarity with multiple Ameriprise products/platforms
* Strong knowledge of Advisory platforms and solutions
* Advanced degrees or financial services certifications
* Service and Operational process knowledge for Advisory solutions
* Ability to work with advisors related to understanding their practice, accumulating feedback, addressing concerns
* Proficient skill level in Microsoft Office data analytic tool sets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$128,400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27">
      <c r="A127" t="inlineStr">
        <is>
          <t>in-28dc53c81682d39d</t>
        </is>
      </c>
      <c r="B127" t="inlineStr">
        <is>
          <t>Product Manager - Manufacturing</t>
        </is>
      </c>
      <c r="C127" t="inlineStr">
        <is>
          <t>SUBARU OF INDIANA AUTOMOTIVE</t>
        </is>
      </c>
      <c r="D127" t="inlineStr">
        <is>
          <t>indeed</t>
        </is>
      </c>
      <c r="E127">
        <f>HYPERLINK("https://www.indeed.com/viewjob?jk=28dc53c81682d39d", "https://www.indeed.com/viewjob?jk=28dc53c81682d39d")</f>
        <v/>
      </c>
      <c r="F127">
        <f>HYPERLINK("https://careers.subaru-sia.com/job/Lafayette-Product-Manager-Manufacturing-IN-47905/1358194900/", "https://careers.subaru-sia.com/job/Lafayette-Product-Manager-Manufacturing-IN-47905/1358194900/")</f>
        <v/>
      </c>
      <c r="G127" t="inlineStr">
        <is>
          <t>Lafayette, IN, US</t>
        </is>
      </c>
      <c r="H127" s="3" t="n">
        <v>46042</v>
      </c>
      <c r="I127" t="inlineStr">
        <is>
          <t>**Date:** Jan 21, 2026
**Location:** Lafayette, IN, US, 47905
**Company:** Subaru
**Product Manager**
***Manufacturing Department***  
**Position Summary:**
The Product Manager, Production Manufacturing manages and leads the activities of the Production Manufacturing section to accomplish manufacturing targets/objectives, budgeted financial objectives, and customer requirements. This role is responsible for driving manufacturing excellence in support of short and long\-term objectives and strategies.  
**Outline of Duties:**
* Provides direct support in the day\-to\-day coaching and leading of section
* Manages and oversees section TPM, Kaizen, Training activities, and KPIs
* Ensures compliance to all SIA policies and procedures
* Responsible for development of Section strategies and targets to support all initiatives.
* Supports all budget planning, controls
* Studies the manufacturing processes and identifies opportunities for process improvement or efficiency optimization.
* Responsible for safety of all Associates in section
* Oversee and support daily staffing needs
* Performs other related duties as assigned.
**Minimum Qualifications:**
* Bachelor's degree in organizational leadership, industrial manufacturing, related field, or equivalent combination of relevant experience and education
* Four years of relevant experience including previous supervisory experience within a manufacturing facility
* Willingness and ability to rotate between 1st and 2nd shift assignments on a schedule or as needed
**Desired Qualifications:**
* Master's degree in relavent field
* Previous management experience in automotive manufacturing
***Subaru of Indiana Automotive, Inc. is an equal opportunity employer committed to employing a diverse workforce.***  
**Nearest Major Market:** Lafayette</t>
        </is>
      </c>
    </row>
    <row r="128">
      <c r="A128" t="inlineStr">
        <is>
          <t>in-997338bed2155293</t>
        </is>
      </c>
      <c r="B128" t="inlineStr">
        <is>
          <t>Program Manager (Cancer Surveillance Operations) (Trenton, NJ)</t>
        </is>
      </c>
      <c r="C128" t="inlineStr">
        <is>
          <t>Rutgers University</t>
        </is>
      </c>
      <c r="D128" t="inlineStr">
        <is>
          <t>indeed</t>
        </is>
      </c>
      <c r="E128">
        <f>HYPERLINK("https://www.indeed.com/viewjob?jk=997338bed2155293", "https://www.indeed.com/viewjob?jk=997338bed2155293")</f>
        <v/>
      </c>
      <c r="F128">
        <f>HYPERLINK("https://jobs.rutgers.edu/postings/269054", "https://jobs.rutgers.edu/postings/269054")</f>
        <v/>
      </c>
      <c r="G128" t="inlineStr">
        <is>
          <t>New Brunswick, NJ, US</t>
        </is>
      </c>
      <c r="H128" s="3" t="n">
        <v>45846</v>
      </c>
      <c r="I128" t="inlineStr">
        <is>
          <t>**Position Details**
--------------------
Position Information
**Recruitment/Posting Title** Program Manager (Cancer Surveillance Operations) (Trenton, NJ)
**Job Category** Staff \&amp; Executive \- Healthcare \- Administrative Services
**Department** CINJ \- Cancer Registry Operati
**Overview**
**RUTGERS****CANCER****INSTITUTE****VISION****,** **MISSION****,** **AND****CORE****VALUES****:** **VISION****:**
Through our science, our evidence\-based actions, our openness, and our respect for those we serve, we will advance cancer\-focused research worldwide and reduce the burden of cancer in our catchment area. By engaging with and empowering our exceptionally diverse populations, and addressing their questions and fears, we will engender hope for cancer patients and their families and play a critical role in strengthening the fabric of our communities by gaining and protecting their trust and providing access to the outstanding oncology care each person deserves.**MISSION****:**
Our mission is to accelerate scientific discovery focused on understanding cancer, innovating cancer treatment, and improving cancer prevention; to provide outstanding, novel, and compassionate patient care; to provide evidence\-based and culturally informed education to physicians, nurses, researchers, staff, and the community; and to achieve cancer health equity in our state through outreach to and engagement of our extraordinarily diverse communities.**CORE****VALUES****:**
*Curiosity and Discovery*: encouraging an environment of continuous inquiry, creativity, and innovation to generate new knowledge
*Integrity*: earning the trust of those we serve and each other through honesty, transparency, accountability, and continuous reflection
*Collaboration*: approaching all opportunities with an understanding that together we are better and can achieve more; promoting and maintaining an environment of teamwork and shared knowledge
*Respect and Caring*: consistently demonstrating caring, compassion, and respect through our words and actions  
*Perseverance*: maintaining an unwavering commitment to our mission; embracing change, overcoming obstacles, and creating and recreating the path to achieve our goals
**Posting Summary**
Rutgers, The State University of New Jersey is seeking a Program Manager (Cancer Surveillance Operations) within the Rutgers Cancer Institute\-Cancer Registry\-Operations Department.  
The Program Manager of Cancer Surveillance Operations at the New Jersey State Cancer Registry oversees all operational and programmatic aspects of data collection and quality assurance activities for New Jersey’s statewide cancer surveillance system. The Program Manager works closely with the Director of Cancer Epidemiology Services/New Jersey State Cancer Registry and Deputy Director of Cancer Surveillance Research to manage and fulfill deliverables of the Center of Excellence for Cancer Surveillance, which was formed through a partnership between the New Jersey Department of Health and the Rutgers Cancer Institute. The Program Manager also works closely with partners from local, state, and national agencies, including but not limited to the New Jersey Department of Health, the National Cancer Institute’s Surveillance, Epidemiology, and End Results (SEER) Program; the Centers for Disease Control and Prevention’s National Program of Cancer Registries (NPCR); the North American Association of Central Cancer Registries (NAACCR); and the National Cancer Registrar’s Association (NCRA).  
Among the key duties for this position are the following:  
* Assists Director in relevant short\-and long\-term planning, policy development, funding procurement and sustainability; and direction of professional activities and projects to ensure excellence in cancer surveillance statewide.
* Represents the New Jersey State Cancer Registry at state, regional and national planning meetings, both in\-person and virtually.
* Assists Director by recommending, drafting, and executing renewals, revisions, and amendments to cancer surveillance regulations and statutes as necessary.
* Contributes to national dialogue for developing cancer surveillance and registry standards, procedures, and best practices through active participation in NAACCR, SEER, NPCR, and NCRA.
* Leads the data collection and quality assurance activities of the New Jersey State Cancer Registry.
* Works with local providers, hospitals, and registrars, SEER, NPCR, NAACCR and other state and national agencies to assure the highest quality cancer surveillance data are collected in a timely and effective manner.
* Ensures compliance with state and federal reporting requirements for the collection of cancer data including the monitoring of completeness and timeliness of reporting.
* Manages the development of new methods to assure the efficient processing of cancer surveillance data including but not limited to new methods of electronic data collection, automation, transmission, and use of bioinformatics tools.
**FLSA** Exempt
**Grade** 32S
**Salary Details**
**Minimum Salary** 116601\.000
**Mid Range Salary** 147501\.000
**Maximum Salary** 178400\.000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provides a comprehensive benefits package to eligible employees. The specific benefits vary based on the position and may include:
* Medical, prescription drug, and dental coverage
* Paid vacation, holidays, and various leave programs
* Competitive retirement benefits, including defined contribution plans and voluntary tax\-deferred savings options
* Employee and dependent educational benefits (when applicable)
* Life insurance coverage
* Employee discount programs
**Position Status** Full Time
**Working Hours**
**Standard Hours** 37\.50
**Daily Work Shift**
**Work Arrangement**
This position requires a fully on\-site work arrangement.
**Union Description** MPSC \- Legacy UMD
**Payroll Designation** PeopleSoft
**Seniority Unit**
**Terms of Appointment** Staff \- 12 month
**Position Pension Eligibility** ABP
Qualifications
**Minimum Education and Experience**
* Bachelor’s Degree (Master’s Degree preferred) in Health Information Management, Public Health, Business Administration, or related field.
* At least six (6\) years of demonstrated progressive experience in cancer registry management, operations and effective leadership.
* Must be a certified Oncology Data Specialist (ODS) or grandfathered CTR (Certified Tumor Registrar).
* Equivalent education, experience and/or training may be substituted for the degree requirement.
**Certifications/Licenses**
* Must be a certified Oncology Data Specialist (ODS) or grandfathered CTR (Certified Tumor Registrar).
**Required Knowledge, Skills, and Abilities**
* Demonstrated knowledge and expertise of cancer surveillance methods as well as data management in conformance with national standards and cancer surveillance best practices.
* Outstanding human relations and leadership skills, and the ability to function in a team environment are required.
* Effective oral and communication skills.
* Must be computer literate with proficiency and working knowledge of database and reporting tools Microsoft Office software including Outlook, Word, Excel, Access, and PowerPoint.
**Preferred Qualifications**
* Experience with PostgreSQL, relational database management, hospital cancer registry reporting software, electronic health records, and cancer surveillance reporting systems preferred.
* Prior experience working in central registries that are part of the SEER Program is preferred.
* Prior experience dealing with human resources and personnel issues preferred.
* Knowledge of how to accomplish superior performance in a unionized environment is preferred.
**Equipment Utilized**
**Physical Demands and Work Environment**
PHYSICAL DEMANDS:* Standing, sitting, walking, talking and hearing.
* No special vision requirements.
* Lifting up to 25 lbs.
WORK ENVIRONMENT:* Office environment with work\-related travel within New Jersey, other registry sites, and relevant conference and national organization travel.
* Expected minimal exposure to infection and communicable diseases.
* Moderate noise.
**Special Conditions**
* Primary work site will be located at the State Department of Health, Trenton, NJ with periodic travel to the Rutgers Cancer Institute in New Brunswick for meetings and other activities.
Posting Details
**Posting Number** 25ST1496
**Posting Open Date** 07/09/2025
**Special Instructions to Applicants**
**Regional Campus** Rutgers Biomedical and Health Sciences (RBHS)
**Home Location Campus** Rutgers University \-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
Equal Employment Opportunity Statement
It is university policy to provide equal employment opportunity to all its employees and applicants for employment regardless of their race, creed, color, national origin, age, ancestry, nationality, marital or domestic partnership or civil union status, sex, pregnancy, gender identity or expression, disability status, liability for military service, protected veteran status, affectional or sexual orientation, atypical cellular or blood trait, genetic information (including the refusal to submit to genetic testing), or any other category protected by law. As an institution, we encourage all qualified applicants to apply. For additional information please see the Non\-Discrimination Statement at the following web address: http://uhr.rutgers.edu/non\-discrimination\-statement
**Supplemental Questions**
--------------------------
Required fields are indicated with an asterisk (\*).
* \* Do you have a bachelor’s degree in Health Information Management, Public Health, Business Administration, or related field and at least six (6\) years of demonstrated progressive experience in cancer registry management, operations and effective leadership?
	+ Yes
	+ No
* \* Are you currently certified as an Oncology Data Specialist (ODS) or as a grandfathered Certified Tumor Registrar (CTR)?
	+ Yes
	+ No
**Applicant Documents**
-----------------------
**Required Documents**
* Resume/CV
**Optional Documents**
* Cover Letter/Letter of Application
* List of Professional References (contact Info)</t>
        </is>
      </c>
    </row>
    <row r="129">
      <c r="A129" t="inlineStr">
        <is>
          <t>in-575e3c2a7c565809</t>
        </is>
      </c>
      <c r="B129" t="inlineStr">
        <is>
          <t>Sr. Product Manager Technical, Deal Tooling &amp; Insights, Strategic Customer Engagements</t>
        </is>
      </c>
      <c r="C129" t="inlineStr">
        <is>
          <t>Amazon Web Services</t>
        </is>
      </c>
      <c r="D129" t="inlineStr">
        <is>
          <t>indeed</t>
        </is>
      </c>
      <c r="E129">
        <f>HYPERLINK("https://www.indeed.com/viewjob?jk=575e3c2a7c565809", "https://www.indeed.com/viewjob?jk=575e3c2a7c565809")</f>
        <v/>
      </c>
      <c r="F129">
        <f>HYPERLINK("https://www.amazon.jobs/jobs/3138889/sr-product-manager-technical-deal-tooling--insights-strategic-customer-engagements?cmpid=DA_INAD200785B", "https://www.amazon.jobs/jobs/3138889/sr-product-manager-technical-deal-tooling--insights-strategic-customer-engagements?cmpid=DA_INAD200785B")</f>
        <v/>
      </c>
      <c r="G129" t="inlineStr">
        <is>
          <t>Herndon, VA, US</t>
        </is>
      </c>
      <c r="H129" s="3" t="n">
        <v>45994</v>
      </c>
      <c r="I12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0">
      <c r="A130" t="inlineStr">
        <is>
          <t>in-f2ab03947d3059c2</t>
        </is>
      </c>
      <c r="B130" t="inlineStr">
        <is>
          <t>Sr. Product Manager Technical, Deal Tooling &amp; Insights, Strategic Customer Engagements</t>
        </is>
      </c>
      <c r="C130" t="inlineStr">
        <is>
          <t>Amazon Web Services</t>
        </is>
      </c>
      <c r="D130" t="inlineStr">
        <is>
          <t>indeed</t>
        </is>
      </c>
      <c r="E130">
        <f>HYPERLINK("https://www.indeed.com/viewjob?jk=f2ab03947d3059c2", "https://www.indeed.com/viewjob?jk=f2ab03947d3059c2")</f>
        <v/>
      </c>
      <c r="F130">
        <f>HYPERLINK("https://www.amazon.jobs/jobs/3138889/sr-product-manager-technical-deal-tooling--insights-strategic-customer-engagements?cmpid=DA_INAD200785B", "https://www.amazon.jobs/jobs/3138889/sr-product-manager-technical-deal-tooling--insights-strategic-customer-engagements?cmpid=DA_INAD200785B")</f>
        <v/>
      </c>
      <c r="G130" t="inlineStr">
        <is>
          <t>Dallas, TX, US</t>
        </is>
      </c>
      <c r="H130" s="3" t="n">
        <v>45994</v>
      </c>
      <c r="I13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1">
      <c r="A131" t="inlineStr">
        <is>
          <t>in-38a8c0c9e3f3b6af</t>
        </is>
      </c>
      <c r="B131" t="inlineStr">
        <is>
          <t>Sr. Product Manager Technical, Deal Tooling &amp; Insights, Strategic Customer Engagements</t>
        </is>
      </c>
      <c r="C131" t="inlineStr">
        <is>
          <t>Amazon Web Services</t>
        </is>
      </c>
      <c r="D131" t="inlineStr">
        <is>
          <t>indeed</t>
        </is>
      </c>
      <c r="E131">
        <f>HYPERLINK("https://www.indeed.com/viewjob?jk=38a8c0c9e3f3b6af", "https://www.indeed.com/viewjob?jk=38a8c0c9e3f3b6af")</f>
        <v/>
      </c>
      <c r="F131">
        <f>HYPERLINK("https://www.amazon.jobs/jobs/3138889/sr-product-manager-technical-deal-tooling--insights-strategic-customer-engagements?cmpid=DA_INAD200785B", "https://www.amazon.jobs/jobs/3138889/sr-product-manager-technical-deal-tooling--insights-strategic-customer-engagements?cmpid=DA_INAD200785B")</f>
        <v/>
      </c>
      <c r="G131" t="inlineStr">
        <is>
          <t>Seattle, WA, US</t>
        </is>
      </c>
      <c r="H131" s="3" t="n">
        <v>45994</v>
      </c>
      <c r="I13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2">
      <c r="A132" t="inlineStr">
        <is>
          <t>in-c480d808aa5bec45</t>
        </is>
      </c>
      <c r="B132" t="inlineStr">
        <is>
          <t>Sr. Product Manager Technical, Deal Tooling &amp; Insights, Strategic Customer Engagements</t>
        </is>
      </c>
      <c r="C132" t="inlineStr">
        <is>
          <t>Amazon Web Services</t>
        </is>
      </c>
      <c r="D132" t="inlineStr">
        <is>
          <t>indeed</t>
        </is>
      </c>
      <c r="E132">
        <f>HYPERLINK("https://www.indeed.com/viewjob?jk=c480d808aa5bec45", "https://www.indeed.com/viewjob?jk=c480d808aa5bec45")</f>
        <v/>
      </c>
      <c r="F132">
        <f>HYPERLINK("https://www.amazon.jobs/jobs/3138889/sr-product-manager-technical-deal-tooling--insights-strategic-customer-engagements?cmpid=DA_INAD200785B", "https://www.amazon.jobs/jobs/3138889/sr-product-manager-technical-deal-tooling--insights-strategic-customer-engagements?cmpid=DA_INAD200785B")</f>
        <v/>
      </c>
      <c r="G132" t="inlineStr">
        <is>
          <t>New York, NY, US</t>
        </is>
      </c>
      <c r="H132" s="3" t="n">
        <v>45994</v>
      </c>
      <c r="I13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3">
      <c r="A133" t="inlineStr">
        <is>
          <t>in-438ffdae8c5caec8</t>
        </is>
      </c>
      <c r="B133" t="inlineStr">
        <is>
          <t>Sr. Product Manager Technical, Deal Tooling &amp; Insights, Strategic Customer Engagements</t>
        </is>
      </c>
      <c r="C133" t="inlineStr">
        <is>
          <t>Amazon Web Services</t>
        </is>
      </c>
      <c r="D133" t="inlineStr">
        <is>
          <t>indeed</t>
        </is>
      </c>
      <c r="E133">
        <f>HYPERLINK("https://www.indeed.com/viewjob?jk=438ffdae8c5caec8", "https://www.indeed.com/viewjob?jk=438ffdae8c5caec8")</f>
        <v/>
      </c>
      <c r="F133">
        <f>HYPERLINK("https://www.amazon.jobs/jobs/3138889/sr-product-manager-technical-deal-tooling--insights-strategic-customer-engagements?cmpid=DA_INAD200785B", "https://www.amazon.jobs/jobs/3138889/sr-product-manager-technical-deal-tooling--insights-strategic-customer-engagements?cmpid=DA_INAD200785B")</f>
        <v/>
      </c>
      <c r="G133" t="inlineStr">
        <is>
          <t>Austin, TX, US</t>
        </is>
      </c>
      <c r="H133" s="3" t="n">
        <v>45994</v>
      </c>
      <c r="I13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4">
      <c r="A134" t="inlineStr">
        <is>
          <t>in-36751d04902c6e30</t>
        </is>
      </c>
      <c r="B134" t="inlineStr">
        <is>
          <t>Sr. Product Manager Technical, Deal Tooling &amp; Insights, Strategic Customer Engagements</t>
        </is>
      </c>
      <c r="C134" t="inlineStr">
        <is>
          <t>Amazon Web Services</t>
        </is>
      </c>
      <c r="D134" t="inlineStr">
        <is>
          <t>indeed</t>
        </is>
      </c>
      <c r="E134">
        <f>HYPERLINK("https://www.indeed.com/viewjob?jk=36751d04902c6e30", "https://www.indeed.com/viewjob?jk=36751d04902c6e30")</f>
        <v/>
      </c>
      <c r="F134">
        <f>HYPERLINK("https://www.amazon.jobs/jobs/3138889/sr-product-manager-technical-deal-tooling--insights-strategic-customer-engagements?cmpid=DA_INAD200785B", "https://www.amazon.jobs/jobs/3138889/sr-product-manager-technical-deal-tooling--insights-strategic-customer-engagements?cmpid=DA_INAD200785B")</f>
        <v/>
      </c>
      <c r="G134" t="inlineStr">
        <is>
          <t>Arlington, VA, US</t>
        </is>
      </c>
      <c r="H134" s="3" t="n">
        <v>45994</v>
      </c>
      <c r="I13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35">
      <c r="A135" t="inlineStr">
        <is>
          <t>in-272e3b189f778654</t>
        </is>
      </c>
      <c r="B135" t="inlineStr">
        <is>
          <t>Sr. Product Manager - Tech, Workforce Solutions - Talent Mobility</t>
        </is>
      </c>
      <c r="C135" t="inlineStr">
        <is>
          <t>Amazon.com</t>
        </is>
      </c>
      <c r="D135" t="inlineStr">
        <is>
          <t>indeed</t>
        </is>
      </c>
      <c r="E135">
        <f>HYPERLINK("https://www.indeed.com/viewjob?jk=272e3b189f778654", "https://www.indeed.com/viewjob?jk=272e3b189f778654")</f>
        <v/>
      </c>
      <c r="F135">
        <f>HYPERLINK("https://www.amazon.jobs/jobs/3112703/sr-product-manager--tech-workforce-solutions--talent-mobility?cmpid=DA_INAD200785B", "https://www.amazon.jobs/jobs/3112703/sr-product-manager--tech-workforce-solutions--talent-mobility?cmpid=DA_INAD200785B")</f>
        <v/>
      </c>
      <c r="G135" t="inlineStr">
        <is>
          <t>Seattle, WA, US</t>
        </is>
      </c>
      <c r="H135" s="3" t="n">
        <v>45867</v>
      </c>
      <c r="I135"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36">
      <c r="A136" t="inlineStr">
        <is>
          <t>in-191143a0d3cf2ee5</t>
        </is>
      </c>
      <c r="B136" t="inlineStr">
        <is>
          <t>Sr. Product Manager - Tech, Workforce Solutions - Talent Mobility</t>
        </is>
      </c>
      <c r="C136" t="inlineStr">
        <is>
          <t>Amazon.com</t>
        </is>
      </c>
      <c r="D136" t="inlineStr">
        <is>
          <t>indeed</t>
        </is>
      </c>
      <c r="E136">
        <f>HYPERLINK("https://www.indeed.com/viewjob?jk=191143a0d3cf2ee5", "https://www.indeed.com/viewjob?jk=191143a0d3cf2ee5")</f>
        <v/>
      </c>
      <c r="F136">
        <f>HYPERLINK("https://www.amazon.jobs/jobs/3112703/sr-product-manager--tech-workforce-solutions--talent-mobility?cmpid=DA_INAD200785B", "https://www.amazon.jobs/jobs/3112703/sr-product-manager--tech-workforce-solutions--talent-mobility?cmpid=DA_INAD200785B")</f>
        <v/>
      </c>
      <c r="G136" t="inlineStr">
        <is>
          <t>Arlington, VA, US</t>
        </is>
      </c>
      <c r="H136" s="3" t="n">
        <v>45867</v>
      </c>
      <c r="I136"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37">
      <c r="A137" t="inlineStr">
        <is>
          <t>in-f971562b9f1fc6d7</t>
        </is>
      </c>
      <c r="B137" t="inlineStr">
        <is>
          <t>Sr. Product Manager - Tech, Workforce Solutions - Talent Mobility</t>
        </is>
      </c>
      <c r="C137" t="inlineStr">
        <is>
          <t>Amazon.com</t>
        </is>
      </c>
      <c r="D137" t="inlineStr">
        <is>
          <t>indeed</t>
        </is>
      </c>
      <c r="E137">
        <f>HYPERLINK("https://www.indeed.com/viewjob?jk=f971562b9f1fc6d7", "https://www.indeed.com/viewjob?jk=f971562b9f1fc6d7")</f>
        <v/>
      </c>
      <c r="F137">
        <f>HYPERLINK("https://www.amazon.jobs/jobs/3112703/sr-product-manager--tech-workforce-solutions--talent-mobility?cmpid=DA_INAD200785B", "https://www.amazon.jobs/jobs/3112703/sr-product-manager--tech-workforce-solutions--talent-mobility?cmpid=DA_INAD200785B")</f>
        <v/>
      </c>
      <c r="G137" t="inlineStr">
        <is>
          <t>New York, NY, US</t>
        </is>
      </c>
      <c r="H137" s="3" t="n">
        <v>45867</v>
      </c>
      <c r="I137"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38">
      <c r="A138" t="inlineStr">
        <is>
          <t>in-bd0bf2ce63090f3f</t>
        </is>
      </c>
      <c r="B138" t="inlineStr">
        <is>
          <t>Sr. Product Manager - Tech, Workforce Solutions - Talent Mobility</t>
        </is>
      </c>
      <c r="C138" t="inlineStr">
        <is>
          <t>Amazon.com</t>
        </is>
      </c>
      <c r="D138" t="inlineStr">
        <is>
          <t>indeed</t>
        </is>
      </c>
      <c r="E138">
        <f>HYPERLINK("https://www.indeed.com/viewjob?jk=bd0bf2ce63090f3f", "https://www.indeed.com/viewjob?jk=bd0bf2ce63090f3f")</f>
        <v/>
      </c>
      <c r="F138">
        <f>HYPERLINK("https://www.amazon.jobs/jobs/3112703/sr-product-manager--tech-workforce-solutions--talent-mobility?cmpid=DA_INAD200785B", "https://www.amazon.jobs/jobs/3112703/sr-product-manager--tech-workforce-solutions--talent-mobility?cmpid=DA_INAD200785B")</f>
        <v/>
      </c>
      <c r="G138" t="inlineStr">
        <is>
          <t>Nashville, TN, US</t>
        </is>
      </c>
      <c r="H138" s="3" t="n">
        <v>45867</v>
      </c>
      <c r="I138"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39">
      <c r="A139" t="inlineStr">
        <is>
          <t>in-8a4665c25bddb7d4</t>
        </is>
      </c>
      <c r="B139" t="inlineStr">
        <is>
          <t>Sr. Product Manager - Tech, Workforce Solutions - Talent Mobility</t>
        </is>
      </c>
      <c r="C139" t="inlineStr">
        <is>
          <t>Amazon.com</t>
        </is>
      </c>
      <c r="D139" t="inlineStr">
        <is>
          <t>indeed</t>
        </is>
      </c>
      <c r="E139">
        <f>HYPERLINK("https://www.indeed.com/viewjob?jk=8a4665c25bddb7d4", "https://www.indeed.com/viewjob?jk=8a4665c25bddb7d4")</f>
        <v/>
      </c>
      <c r="F139">
        <f>HYPERLINK("https://www.amazon.jobs/jobs/3112703/sr-product-manager--tech-workforce-solutions--talent-mobility?cmpid=DA_INAD200785B", "https://www.amazon.jobs/jobs/3112703/sr-product-manager--tech-workforce-solutions--talent-mobility?cmpid=DA_INAD200785B")</f>
        <v/>
      </c>
      <c r="G139" t="inlineStr">
        <is>
          <t>Tempe, AZ, US</t>
        </is>
      </c>
      <c r="H139" s="3" t="n">
        <v>45867</v>
      </c>
      <c r="I139"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140">
      <c r="A140" t="inlineStr">
        <is>
          <t>in-05f4eebe9dfc9197</t>
        </is>
      </c>
      <c r="B140" t="inlineStr">
        <is>
          <t>Sr. Product Manager - Tech, WHS Data-Tech</t>
        </is>
      </c>
      <c r="C140" t="inlineStr">
        <is>
          <t>Amazon.com</t>
        </is>
      </c>
      <c r="D140" t="inlineStr">
        <is>
          <t>indeed</t>
        </is>
      </c>
      <c r="E140">
        <f>HYPERLINK("https://www.indeed.com/viewjob?jk=05f4eebe9dfc9197", "https://www.indeed.com/viewjob?jk=05f4eebe9dfc9197")</f>
        <v/>
      </c>
      <c r="F140">
        <f>HYPERLINK("https://www.amazon.jobs/jobs/3156736/sr-product-manager--tech-whs-datatech?cmpid=DA_INAD200785B", "https://www.amazon.jobs/jobs/3156736/sr-product-manager--tech-whs-datatech?cmpid=DA_INAD200785B")</f>
        <v/>
      </c>
      <c r="G140" t="inlineStr">
        <is>
          <t>Arlington, VA, US</t>
        </is>
      </c>
      <c r="H140" s="3" t="n">
        <v>45836</v>
      </c>
      <c r="I140"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41">
      <c r="A141" t="inlineStr">
        <is>
          <t>in-1f4fa926440d116e</t>
        </is>
      </c>
      <c r="B141" t="inlineStr">
        <is>
          <t>Sr. Product Manager - Tech, WHS Data-Tech</t>
        </is>
      </c>
      <c r="C141" t="inlineStr">
        <is>
          <t>Amazon.com</t>
        </is>
      </c>
      <c r="D141" t="inlineStr">
        <is>
          <t>indeed</t>
        </is>
      </c>
      <c r="E141">
        <f>HYPERLINK("https://www.indeed.com/viewjob?jk=1f4fa926440d116e", "https://www.indeed.com/viewjob?jk=1f4fa926440d116e")</f>
        <v/>
      </c>
      <c r="F141">
        <f>HYPERLINK("https://www.amazon.jobs/jobs/3156736/sr-product-manager--tech-whs-datatech?cmpid=DA_INAD200785B", "https://www.amazon.jobs/jobs/3156736/sr-product-manager--tech-whs-datatech?cmpid=DA_INAD200785B")</f>
        <v/>
      </c>
      <c r="G141" t="inlineStr">
        <is>
          <t>Bellevue, WA, US</t>
        </is>
      </c>
      <c r="H141" s="3" t="n">
        <v>45836</v>
      </c>
      <c r="I141"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42">
      <c r="A142" t="inlineStr">
        <is>
          <t>in-387ea212b8aac348</t>
        </is>
      </c>
      <c r="B142" t="inlineStr">
        <is>
          <t>Sr. Product Manager - Tech, WHS Data-Tech</t>
        </is>
      </c>
      <c r="C142" t="inlineStr">
        <is>
          <t>Amazon.com</t>
        </is>
      </c>
      <c r="D142" t="inlineStr">
        <is>
          <t>indeed</t>
        </is>
      </c>
      <c r="E142">
        <f>HYPERLINK("https://www.indeed.com/viewjob?jk=387ea212b8aac348", "https://www.indeed.com/viewjob?jk=387ea212b8aac348")</f>
        <v/>
      </c>
      <c r="F142">
        <f>HYPERLINK("https://www.amazon.jobs/jobs/3156736/sr-product-manager--tech-whs-datatech?cmpid=DA_INAD200785B", "https://www.amazon.jobs/jobs/3156736/sr-product-manager--tech-whs-datatech?cmpid=DA_INAD200785B")</f>
        <v/>
      </c>
      <c r="G142" t="inlineStr">
        <is>
          <t>Nashville, TN, US</t>
        </is>
      </c>
      <c r="H142" s="3" t="n">
        <v>45836</v>
      </c>
      <c r="I142"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43">
      <c r="A143" t="inlineStr">
        <is>
          <t>in-6fc0ae076be3ba9e</t>
        </is>
      </c>
      <c r="B143" t="inlineStr">
        <is>
          <t>Product Manager - Alternative Data Analytics</t>
        </is>
      </c>
      <c r="C143" t="inlineStr">
        <is>
          <t>Bloomberg</t>
        </is>
      </c>
      <c r="D143" t="inlineStr">
        <is>
          <t>indeed</t>
        </is>
      </c>
      <c r="E143">
        <f>HYPERLINK("https://www.indeed.com/viewjob?jk=6fc0ae076be3ba9e", "https://www.indeed.com/viewjob?jk=6fc0ae076be3ba9e")</f>
        <v/>
      </c>
      <c r="F143">
        <f>HYPERLINK("https://click.appcast.io/t/HehPkAVdnqAz1Ed3va_wS9wvV8g9TSsL_XTK1PWiQbk=", "https://click.appcast.io/t/HehPkAVdnqAz1Ed3va_wS9wvV8g9TSsL_XTK1PWiQbk=")</f>
        <v/>
      </c>
      <c r="G143" t="inlineStr">
        <is>
          <t>New York, NY, US</t>
        </is>
      </c>
      <c r="H143" s="3" t="n">
        <v>46063</v>
      </c>
      <c r="I143" t="inlineStr">
        <is>
          <t>Product Manager \- Alternative Data Analytics
Location
New York
Business Area
Product
Ref \#
10049200
**Description \&amp; Requirements**
-------------------------------
**Who we are:**
The Bloomberg Alternative Data team is a fast\-growing, high\-impact product group building the next generation of data and analytics for company research and intelligence. Our mission is to make alternative data as essential to investment workflows as traditional fundamentals — at global scale.  
We sit at the intersection of data science, finance, and product, and are responsible for some of Bloomberg’s most differentiated analytics.  
**What's in it for you:**
As a Product Manager on Bloomberg’s Alternative Data team, you will own and evolve a core set of proprietary analytics that translate raw alternative datasets into actionable insights for investors.  
In this role, you will lead the development of new proprietary analytics that will provide clients with real\-time data\-driven insights into company performance. These products sit at the heart of Bloomberg’s alternative data strategy and are critical to scaling adoption. You’ll work closely with data scientists, engineers, and research partners to design methodologies, validate signals, and deliver analytics used daily by thousands of clients.  
The analytics you build will become foundational across Bloomberg — powering Terminal workflows, AI\-driven insights, and future data products. This is a highly visible role with the opportunity to shape how alternative data is used by investors and help transform the future of investment research.  
**We’ll trust you to:**
* Collaborate with the product team to drive the strategy, roadmap and requirements for alternative data in the company research workflow applications
* Own the product vision, roadmap, and execution for proprietary alternative data analytics
* Partner closely with data science and engineering to define methodologies
* Translate complex analytical concepts into intuitive, client\-facing product experiences embedded in Bloomberg workflows
* Deeply understand our target user’s business, workflows, and objectives to ensure analytics address real investment questions
* Lead cross\-functional collaboration across product, engineering, data science, research, sales, and GTM teams
* Define success metrics for analytics adoption, usage, and downstream impact on client workflows
* Act as product owner for one or more Agile teams, managing priorities, trade\-offs, and delivery
**You’ll need to have:**
* 3\+ years of experience in the financial services or alternative data, with a data\-driven mindset
* Demonstrated understanding of alternative data and how it is applied to investment research and company analysis
* Experience working with analytical products, metrics, or models (e.g., estimates, benchmarks, indices, composites, signals)
* Understanding of the alternative data market landscape and associated use cases/workflows for our products in the market
* Ability to collaborate closely with data scientists and engineers on complex analytical problems
* Strong judgment in making trade\-offs between analytical sophistication, scalability, and usability
* Excellent written and verbal communication skills, including the ability to explain complex problems clearly to technical and non\-technical audiences
* A highly collaborative, ownership\-oriented mindset
**We’d love to see:**
* Product management experience building data, analytics, or research platforms
* Experience operating in large organizations with multiple stakeholders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44">
      <c r="A144" t="inlineStr">
        <is>
          <t>in-68859d578bf13525</t>
        </is>
      </c>
      <c r="B144" t="inlineStr">
        <is>
          <t>Sr. Product Manager-Technical, World Wide Operations Security Tech (WWOS Tech)</t>
        </is>
      </c>
      <c r="C144" t="inlineStr">
        <is>
          <t>Amazon.com</t>
        </is>
      </c>
      <c r="D144" t="inlineStr">
        <is>
          <t>indeed</t>
        </is>
      </c>
      <c r="E144">
        <f>HYPERLINK("https://www.indeed.com/viewjob?jk=68859d578bf13525", "https://www.indeed.com/viewjob?jk=68859d578bf13525")</f>
        <v/>
      </c>
      <c r="F144">
        <f>HYPERLINK("https://www.amazon.jobs/jobs/3152463/sr-product-managertechnical-world-wide-operations-security-tech-wwos-tech?cmpid=DA_INAD200785B", "https://www.amazon.jobs/jobs/3152463/sr-product-managertechnical-world-wide-operations-security-tech-wwos-tech?cmpid=DA_INAD200785B")</f>
        <v/>
      </c>
      <c r="G144" t="inlineStr">
        <is>
          <t>Seattle, WA, US</t>
        </is>
      </c>
      <c r="H144" s="3" t="n">
        <v>46008</v>
      </c>
      <c r="I144"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145">
      <c r="A145" t="inlineStr">
        <is>
          <t>in-60ccefb414a8654d</t>
        </is>
      </c>
      <c r="B145" t="inlineStr">
        <is>
          <t>Sr. Product Manager-Technical, World Wide Operations Security Tech (WWOS Tech)</t>
        </is>
      </c>
      <c r="C145" t="inlineStr">
        <is>
          <t>Amazon.com</t>
        </is>
      </c>
      <c r="D145" t="inlineStr">
        <is>
          <t>indeed</t>
        </is>
      </c>
      <c r="E145">
        <f>HYPERLINK("https://www.indeed.com/viewjob?jk=60ccefb414a8654d", "https://www.indeed.com/viewjob?jk=60ccefb414a8654d")</f>
        <v/>
      </c>
      <c r="F145">
        <f>HYPERLINK("https://www.amazon.jobs/jobs/3152463/sr-product-managertechnical-world-wide-operations-security-tech-wwos-tech?cmpid=DA_INAD200785B", "https://www.amazon.jobs/jobs/3152463/sr-product-managertechnical-world-wide-operations-security-tech-wwos-tech?cmpid=DA_INAD200785B")</f>
        <v/>
      </c>
      <c r="G145" t="inlineStr">
        <is>
          <t>Austin, TX, US</t>
        </is>
      </c>
      <c r="H145" s="3" t="n">
        <v>46008</v>
      </c>
      <c r="I145"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146">
      <c r="A146" t="inlineStr">
        <is>
          <t>in-3a949e67a95d0ecf</t>
        </is>
      </c>
      <c r="B146" t="inlineStr">
        <is>
          <t>Principal Product Manager - Tech, Recommender Systems, Prime Video Personalization &amp; Discovery</t>
        </is>
      </c>
      <c r="C146" t="inlineStr">
        <is>
          <t>Amazon.com</t>
        </is>
      </c>
      <c r="D146" t="inlineStr">
        <is>
          <t>indeed</t>
        </is>
      </c>
      <c r="E146">
        <f>HYPERLINK("https://www.indeed.com/viewjob?jk=3a949e67a95d0ecf", "https://www.indeed.com/viewjob?jk=3a949e67a95d0ecf")</f>
        <v/>
      </c>
      <c r="F146">
        <f>HYPERLINK("https://www.amazon.jobs/jobs/2956622/principal-product-manager--tech-recommender-systems-prime-video-personalization--discovery-?cmpid=DA_INAD200785B", "https://www.amazon.jobs/jobs/2956622/principal-product-manager--tech-recommender-systems-prime-video-personalization--discovery-?cmpid=DA_INAD200785B")</f>
        <v/>
      </c>
      <c r="G146" t="inlineStr">
        <is>
          <t>Washington, DC, US</t>
        </is>
      </c>
      <c r="H146" s="3" t="n">
        <v>45753</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in-901d6bb53415883a</t>
        </is>
      </c>
      <c r="B147" t="inlineStr">
        <is>
          <t>Principal Product Manager - Tech, Recommender Systems, Prime Video Personalization &amp; Discovery</t>
        </is>
      </c>
      <c r="C147" t="inlineStr">
        <is>
          <t>Amazon.com</t>
        </is>
      </c>
      <c r="D147" t="inlineStr">
        <is>
          <t>indeed</t>
        </is>
      </c>
      <c r="E147">
        <f>HYPERLINK("https://www.indeed.com/viewjob?jk=901d6bb53415883a", "https://www.indeed.com/viewjob?jk=901d6bb53415883a")</f>
        <v/>
      </c>
      <c r="F147">
        <f>HYPERLINK("https://www.amazon.jobs/jobs/2956622/principal-product-manager--tech-recommender-systems-prime-video-personalization--discovery-?cmpid=DA_INAD200785B", "https://www.amazon.jobs/jobs/2956622/principal-product-manager--tech-recommender-systems-prime-video-personalization--discovery-?cmpid=DA_INAD200785B")</f>
        <v/>
      </c>
      <c r="G147" t="inlineStr">
        <is>
          <t>Seattle, WA, US</t>
        </is>
      </c>
      <c r="H147" s="3" t="n">
        <v>45753</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li-4363126344</t>
        </is>
      </c>
      <c r="B2" t="inlineStr">
        <is>
          <t>Staff Product Manager, Personalization</t>
        </is>
      </c>
      <c r="C2" t="inlineStr">
        <is>
          <t>Headspace</t>
        </is>
      </c>
      <c r="D2" t="inlineStr">
        <is>
          <t>linkedin</t>
        </is>
      </c>
      <c r="E2" t="inlineStr"/>
      <c r="F2" t="inlineStr"/>
      <c r="G2" t="inlineStr"/>
      <c r="H2" t="inlineStr"/>
      <c r="I2" t="inlineStr">
        <is>
          <t>**About the** 
**Staff Product Manager, Personalization** 
**at Headspace:** 
 We are seeking a Staff Product Manager, Personalization to create a relevant product experience that is personalized to major audience segments, maximizing activation, retention, and LTV for specialized demographic audiences and accelerating efficient global market adoption. This role will be pivotal in ensuring Headspace products are culturally, linguistically, and functionally ready for global and demographic expansion, delivering deeply tailored, equitable experiences for all core user groups. At Headspace, product leaders are expected to model experimentation with purpose, share feedback with care, and a deep commitment to the member journey. This role will require strategic leadership, clarity, and curiosity to scale our personalization capabilities for a diverse, global audience.
**What you will do:** 
* **Define and own the personalization strategy for all key segments,** 
 including both geographic and demographic.
* **Manage the Localization (L10N)/Internationalization (I18N) Platform,** 
 ensuring the foundational technology supports global readiness and expansion.
* **Collaborate with Design Research to spearhead efforts in investigating and prioritizing consumer expansion into new locales.**
* **Implement and optimize Explicit/Implicit Language of Preference (LoP)** 
 logic to deliver the right experiences in the right language.
* **Drive Translation Quality Assurance** 
 processes to maintain high\-quality, culturally sensitive product experiences worldwide.
* **Lead Feature Prioritization for New Locales/Specialized Segments,** 
 ensuring feature parity and compliance across all markets and user groups
* **Partner closely** 
 with Core \&amp; Personalization Product, Engineering, Data Science, Content, and Legal teams to ensure the successful execution and adoption of the roadmap.
**What you will bring** 
 :
**Required Skills:** 
* 6\+ years of experience in Product Management with at least 2\+ years of experience in consumer applications.
* Proven track record of defining and launching successful products that scale globally and address diverse user segments.
* Exceptional strategic thinking and analytical skills, capable of translating complex global and demographic requirements into clear product roadmaps and detailed specifications.
* Strong communication and interpersonal skills, with the ability to influence and align stakeholders at all levels, both internally and externally.
**Preferred Skills:** 
* Experience launching personalized content experiences for kids.
* Deep understanding of L10N/I18N (Localization and Internationalization) platforms, workflows, and best practices.
* Hands\-on experience managing products focused on content delivery in multiple languages/locales.
* Experience in the digital health, wellness, or consumer subscription (D2C/B2C) sectors.
* A passion for mindfulness, mental health, and the mission of Headspace.
**Location: We are currently hiring this role in San Francisco (hybrid), Los Angeles (remote), New York City (remote) and Seattle (remote). Candidates must permanently reside in the US full\-time and be based in these cities.** 
 For candidates with a primary residence in the greater SF area, this role will follow our hybrid model. You’ll work 3 days per week from our office, allowing for impactful in\-office collaboration and connection, while enjoying the flexibility of remote work for the rest of the week. Your recruiter will share more details about our hybrid model. 
**Pay \&amp; Benefits** 
 :
 The anticipated new hire base salary range for this full\-time position is
 **$140,400 \- $224,250** 
  \+ equity \+ benefits. 
 Our salary ranges are based on the job, level, and location, and reflect the lowest to highest geographic markets where we are hiring for this role within the United States. Within this range, individual compensation is determined by a candidate’s location as well as a range of factors including but not limited to: unique relevant experience, job\-related skills, and education or training. 
*Your recruiter will provide more details on the specific salary range for your location during the hiring process.* 
 At Headspace, base salary is but one component of our Total Rewards package. We’re proud of our robust package inclusive of: base salary, stock awards, comprehensive healthcare coverage, monthly wellness stipend, retirement savings match, lifetime Headspace membership, generous parental leave, and more. Additional details about our Total Rewards package will be provided during the recruitment process. 
**About Headspace** 
 Headspace exists to provide every person access to lifelong mental health support. We combine evidence\-based content, clinical care, and innovative technology to help millions of members around the world get support that’s effective, personalized, and truly accessible whenever and wherever they need it.
 At Headspace, our values aren’t just what we believe, they’re how we work, grow, and make an impact together. We live them daily:
 **Make the Mission Matter, Iterate to Great, Own the Outcome, and Connect with Courage.** 
 These values shape our decisions, guide our collaborations, and define our culture. They’re our shared commitment to building a more connected, human\-centered team—one that’s redefining how mental health care supports people today and for generations to come.
**Why You’ll Love Working Here:** 
* A mission that matters—with impact you can see and feel
* A culture that’s collaborative, inclusive, and grounded in our values
* The chance to shape what mental health care looks like next
* Competitive pay and benefits that support your whole self
**How we feel about Diversity, Equity, Inclusion and Belonging:**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by filling out***
***this form***
***if you need any assistance completing any forms or to otherwise participate in the application or interview process.***
*Headspace participates in the* 
*E\-Verify Program* 
*.* 
***Privacy Statement***
*All member records are protected according to our
 Privacy Policy
 . Further, while employees of Headspace (formerly Ginger) cannot access Headspace products/services, they will be offered benefits according to the company's benefit plan. To ensure we are adhering to best practice and ethical guidelines in the field of mental health, we take care to avoid dual relationships. A dual relationship occurs when a mental health care provider has a second, significantly different relationship with their client in addition to the traditional client\-therapist relationship—including, for example, a managerial relationship.*
*As such, Headspace requests that individuals who have received coaching or clinical services at Headspace wait until their care with Headspace is complete before applying for a position. If someone with a Headspace account is hired for a position, please note their account will be deactivated and they will not be able to use Headspace services for the duration of their employment.*
*Further, if Headspace cannot find a role that fails to resolve an ethical issue associated with a dual relationship, Headspace may need to take steps to ensure ethical obligations are being adhered to, including a delayed start date or a potential leave of absence. Such steps would be taken to protect both the former member, as well as any relevant individuals from their care team, from impairment, risk of exploitation, or harm.*
 For how how we will use the personal information you provide as part of the application process, please see: https://www.headspace.com/applicant\-notice</t>
        </is>
      </c>
    </row>
    <row r="3">
      <c r="A3" t="inlineStr">
        <is>
          <t>li-4371169848</t>
        </is>
      </c>
      <c r="B3" t="inlineStr">
        <is>
          <t>Sr. Product Manager</t>
        </is>
      </c>
      <c r="C3" t="inlineStr">
        <is>
          <t>Allego</t>
        </is>
      </c>
      <c r="D3" t="inlineStr">
        <is>
          <t>linkedin</t>
        </is>
      </c>
      <c r="E3" t="inlineStr"/>
      <c r="F3" t="inlineStr"/>
      <c r="G3" t="inlineStr">
        <is>
          <t>New York, NY</t>
        </is>
      </c>
      <c r="H3" t="inlineStr"/>
      <c r="I3" t="inlineStr">
        <is>
          <t>**Why Allego?**
 Allego is a high growth SaaS company headquartered in the greater Boston area and a leader in modern revenue enablement. Our platform is purpose built to help revenue teams learn, practice, share, and apply knowledge more effectively, ensuring they are prepared to perform in every customer interaction. By combining learning, content, and performance enablement into a single integrated experience, Allego drives measurable impact across sales and customer facing organizations.
 With offices in the United Kingdom and Colombia, we are a truly global organization supporting customers across regions and industries. Our distributed team reflects the modern workforce we serve. Customers love Allego not only for the measurable results our platform delivers, but also for the people behind it. They value the partnership, expertise, and commitment our employees bring every day.
 Our growth is matched by our culture. Allego has been recognized by The Boston Business Journal, The Boston Globe, and Inc. Magazine as a Best Place to Work, and we were honored by Selling Power as one of the 50 Best Companies to Sell For in 2024 and 2025\. We are proud to build a platform customers love and a workplace employees love.
**What You'll Do**
 As a Senior Product Manager at Allego, you'll play a key role in shaping and scaling core capabilities within our award\-winning, market\-leading Revenue Enablement Platform. You'll work at the intersection of strategy, customer insight, and execution by turning bold ideas into impactful product experiences that help revenue teams sell smarter, coach better, and win more consistently.
 Partnering closely with product leadership, engineering, design, and go\-to\-market teams, you'll own the evolution of high\-impact product areas from discovery through launch and iteration. Your work will directly influence how sales and marketing teams prepare, engage buyers, and drive measurable revenue outcomes.
**Product Strategy \&amp; Vision**
* Own and evolve the roadmap for key product capabilities, aligning customer needs, business priorities, and Allego's long\-term platform vision
* Lead continuous discovery through customer conversations, usage data, and market research to uncover unmet needs and opportunities
* Balance strategic investments with near\-term value delivery, making thoughtful trade\-offs to maximize impact
* Evaluate emerging AI opportunities and evaluate where they can streamline revenue enablement workflows, informing future roadmap decisions
**Customer \&amp; Market Insight**
* Engage directly with customers and partner with Sales, Customer Success, and Solutions teams to build a deep understanding of revenue team workflows, pain points, and success drivers
* Conduct competitive and market analysis to sharpen differentiation and identify new opportunities within the revenue enablement ecosystem
* Translate qualitative insights and quantitative signals into clear product decisions and priorities
**Execution \&amp; Delivery**
* Collaborate closely with Engineering and UX to design intuitive, scalable, and high\-quality solutions
* Drive end\-to\-end feature delivery, from concept and validation through launch and iteration
* Own backlog prioritization, clearly articulating trade\-offs across customer value, feasibility, and business impact
* Ensure teams are aligned on goals, scope, and success metrics throughout development
**Go\-To\-Market \&amp; Adoption**
* Partner with Product Marketing and Enablement to shape positioning, messaging, and launch readiness
* Support internal teams with product expertise and act as a product evangelist across GTM functions
* Monitor post\-launch performance, adoption, and customer feedback, iterating to improve ROI and outcomes
**Requirements**
**What We're Looking For**
* 5\-7 years of product management experience in B2B SaaS environments
* Experience building products for sales, marketing, enablement, or revenue operations users
* Demonstrated experience delivering AI\-enhanced or data\-driven product features in a SaaS context
* Strong communicator and influencer, comfortable working with executives, customers, and cross\-functional teams
* Proven ability to navigate ambiguity, prioritize effectively, and deliver results in a fast\-paced environment
* Hands\-on experience with Agile development methodologies and modern product practices
**Why Allego**
 At Allego, you'll help define how modern revenue teams learn, coach, and engage buyers at scale. You'll work with passionate teammates, solve meaningful problems, and see the direct impact of your work on customer success and revenue growth.
**Benefits**
 Allego offers a comprehensive and competitive benefits program that enables employees to choose the benefits that best fit their needs and the needs of their families. Full time new hires are eligible for most benefits on the first day of employment:
* Medical/dental/vision
* Unlimited vacation
* Paid parental leave
* Health Reimbursement Account (HRA)
* Flexible Spending Account (FSA)
* 401(k) with matching
* Short \&amp; long term disability, AD\&amp;D, life insurance
* Allego Stock options
* This position is posted as hybrid, however remote candidates may be considered.\*
*****Salary range:***
*$140,000\-$200,000***</t>
        </is>
      </c>
    </row>
    <row r="4">
      <c r="A4" t="inlineStr">
        <is>
          <t>li-4363116963</t>
        </is>
      </c>
      <c r="B4" t="inlineStr">
        <is>
          <t>Product Owner - Machine Learning</t>
        </is>
      </c>
      <c r="C4" t="inlineStr">
        <is>
          <t>Mitek Systems</t>
        </is>
      </c>
      <c r="D4" t="inlineStr">
        <is>
          <t>linkedin</t>
        </is>
      </c>
      <c r="E4" t="inlineStr"/>
      <c r="F4" t="inlineStr"/>
      <c r="G4" t="inlineStr"/>
      <c r="H4" t="inlineStr"/>
      <c r="I4" t="inlineStr">
        <is>
          <t>**Mitek** 
**(NASDAQ: MITK)** 
 is a global leader in digital \&amp; biometric identity authentication, fraud prevention, and mobile deposit solutions. Our verified identity platform and advanced image capture solutions are built on the latest advancements in biometric recognition, artificial intelligence, computer vision and machine learning, and trusted by over 7,500 organizations worldwide. We are headquartered in San Diego, California, with operations in the United Kingdom, Spain, France, Mexico, and the Netherlands. Visit us at www.miteksystems.com.
 At Mitek, we believe that teams are more resilient, effective, and innovative when they benefit from a wide range of ideas, lived experiences, and perspectives. The strength of our organization is deeply rooted in the people who power it.
 We know that a workforce reflecting the richness of our communities and customers helps us better serve their needs. These lived experiences influence our decisions, shape our products, services, and help us grow with intention. When it comes to talent, our goal is clear: to discover exceptional individuals and to ensure they discover us. We prioritize drive, skill, experience, and ambition in everything we do for our clients.
**We are Virtual 1st!** 
 Whether you choose to work remotely from your home office or in\-person from one of Mitek’s offices, our practices, processes and tools are designed to enable your success. At Mitek, the Future of Work is about flexibility and preference wherever and whenever we are working.
 We are seeking a Product Owner to drive execution of machine learning based capabilities across biometric authentication and document verification. This role is deeply embedded with machine learning, engineering, and fraud teams, ensuring initiatives are clearly defined, well scoped, and delivered into production with measurable impact.
 **This is a hands\-on delivery role, not a strategy ownership position.**
 The ideal candidate has direct experience building and operating ML driven products in biometric and document environments, understands how these systems behave in production, and is comfortable challenging assumptions, proposing alternatives, and pushing back when needed to ensure outcomes align with fraud risk, customer needs, and operational realities.
**What You Will Do (Essential Responsibilities):**
* ML Feature and Capability Ownership
* Own and manage the backlog for ML\-driven biometric and document verification capabilities
* Translate fraud, identity, and customer requirements into clear and actionable ML work items
* Partner closely with ML engineers and data scientists to refine problem statements into feasible deliverables
* Define acceptance criteria that reflect real world performance, not just offline model metrics
* Embedded ML Team Collaboration
* Serve as the primary product owner for ML and data science teams
* Participate actively in model design discussions, prioritization, and tradeoff analysis
* Challenge scope, timelines, and modeling approaches when misaligned with business or risk objectives
* Propose alternate ideas across data strategy, modeling approaches, workflow design, or deployment patterns
* Production Readiness and Lifecycle Support
* Support model lifecycle activities including training, evaluation, deployment, and retraining
* Ensure monitoring, drift detection, and feedback loops are incorporated into delivery plans
* Help define rollout, experimentation, and rollback guardrails
* Data and Labeling Execution
* Partner with agent operations and data teams on labeling strategy and data quality
* Help define labeling schemas and workflows to support effective model training
* Identify risks related to label noise, bias, or insufficient coverage across geographies and document types
* Fraud and Adversarial Awareness
* Incorporate fraud patterns and adversarial thinking into backlog prioritization
* Ensure features and models are resilient to evolving attack vectors such as spoofs, deepfakes, and injection attacks
* Support layered and defense in depth approaches rather than single model dependency
* Cross Functional Coordination
* Work closely with engineering, fraud, compliance, legal, and customer teams
* Support internal and external conversations where ML behavior or performance needs explanation
* Translate technical constraints into clear delivery expectations for non technical stakeholders
**What You Will Need (Required Knowledege, Skills \&amp; Abilities):**
* Experience
* 3\-5 years of experience in product ownership, product management, or equivalent delivery focused roles
* Demonstrated experience supporting ML based products in production
* Direct experience working with data science and ML engineering teams
* Domain and Technical Fluency
* Strong working knowledge of computer vision and ML fundamentals
* Experience with biometric technologies such as face matching, liveness detection, and spoof prevention
* Experience with document verification, document classification, or document fraud detection
* Hands\-on experience building ML based products in the biometric and document identity space is highly valuable
* Ability to evaluate tradeoffs between different modeling and data approaches without being a data scientist
* Execution and Judgment
* Comfortable pushing back on ML teams when solutions are over engineered, misaligned, or not production ready
* Able to propose alternate approaches grounded in data availability, fraud realities, and delivery constraints
* Strong attention to detail and a bias toward shipping reliable and measurable capabilities
* Communication Skills
* Able to clearly articulate ML concepts, risks, and tradeoffs to non technical stakeholders
* Comfortable supporting customer facing or internal discussions around model behavior and limitations
* Able to document requirements and acceptance criteria with precision
**What Would Be Nice (Preferred Experience):**
* Hands on experience shipping biometric or document based ML solutions into production
* Experience in fraud, identity, or regulated environments such as financial services or fintech
* Familiarity with model monitoring, drift management, and feedback loops
* Experience working with global document types and jurisdictional variation
**What We Offer:**
* Work with a global leader in Digital Identity and Fraud prevention
* Build products that power secure, seamless digital experiences
* High\-impact role in a fast\-growing market
* Excellent working atmosphere and great culture
* 100% remote\-friendly (with optional work from our Barcelona office in Sant Cugat)
* Work with a diverse global team passionate about technology and impact
* Continuous learning and growth opportunities
**We take pride in enabling career growth in an environment of innovation and teamwork.** 
 Our commitment to all Mitekians is to do meaningful work that matters. Our culture is defined by delivering our best to our customers by providing high value solutions and impactful outcomes, by continuously challenging convention, and by caring for each other through collaboration and celebrating our successes. We are committed to creating competitive, equitable compensation \&amp; benefits programs and career development opportunities.
**Benefit offerings** 
 –
*may vary based on geographic location*
 Wellness: Universal, supplemental, and private healthcare plan choices based on country specifics
 Financial future: retirement/pension plan contributions, MTK stock plan participation
 Income protection: life event \&amp; disability coverage
 Paid time off: generous annual leave, company holidays, volunteer time off
 Learning: e\-learning license, tuition reimbursement, hackathons
 Home office setup allowance
**Additional/optional benefits** 
 : pet insurance, identity theft protection, legal assistance
 We sincerely appreciate your interest in Mitek. We know your time is valuable and look forward to the potential of speaking with you further!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
      <c r="A5" t="inlineStr">
        <is>
          <t>li-4371612013</t>
        </is>
      </c>
      <c r="B5" t="inlineStr">
        <is>
          <t>Technical Product Owner</t>
        </is>
      </c>
      <c r="C5" t="inlineStr">
        <is>
          <t>The Value Maximizer</t>
        </is>
      </c>
      <c r="D5" t="inlineStr">
        <is>
          <t>linkedin</t>
        </is>
      </c>
      <c r="E5" t="inlineStr"/>
      <c r="F5" t="inlineStr"/>
      <c r="G5" t="inlineStr">
        <is>
          <t>South Carolina, United States</t>
        </is>
      </c>
      <c r="H5" t="inlineStr"/>
      <c r="I5" t="inlineStr">
        <is>
          <t>**Role: Technical Product Owner** 
**Location: Fort Mill SC** 
**Experience: 10\+ years** 
**Duration: Full time**
**Job description:\-\-** 
**Below are the requirements for the role:\-**
* Minimum 10 years of experience in data\-driven and systems business analysis roles
* Strong SQL expertise with the ability to analyze complex datasets, perform data profiling, and validate transformations
* Deep understanding of databases, data warehouses, and data lakes, including ETL/ELT flows and data lineage tracking
* Experience analyzing end\-to\-end data pipelines, including upstream/downstream impacts and schema changes
* Hands\-on exposure to APIs (REST/SOAP/JSON/XML) with the ability to interpret request/response structures and derive requirements
* Proven ability to document data mappings, system integrations, functional requirements, BRDs/FRDs, and user stories
* Skilled in requirement elicitation using workshops, interviews, process flows, and data‑analysis techniques
* Experience working with tools like JIRA, Confluence, Postman, Swagger, Visio/Lucidchart, and data modeling tools
* Strong understanding of ETL transformations, joins, subqueries, and window functions
* Ability to investigate data issues, perform root‑cause analysis, and resolve data quality gaps
* Familiarity with AWS/Snowflake or similar cloud data platforms
* Demonstrated experience in analyzing complex system integrations across multiple applications
* Ability to assess and communicate the impact of system and data changes to cross\-functional stakeholders
* Strong BA fundamentals: requirements gathering, story writing, acceptance criteria, change management, sprint practices
* Preferred domain knowledge in Wealth Management, client portfolios, brokers/dealers, trade lifecycle, custodians, and clearing processes</t>
        </is>
      </c>
    </row>
    <row r="6">
      <c r="A6" t="inlineStr">
        <is>
          <t>li-4371178442</t>
        </is>
      </c>
      <c r="B6" t="inlineStr">
        <is>
          <t>Sr. Product Manager</t>
        </is>
      </c>
      <c r="C6" t="inlineStr">
        <is>
          <t>Allego</t>
        </is>
      </c>
      <c r="D6" t="inlineStr">
        <is>
          <t>linkedin</t>
        </is>
      </c>
      <c r="E6" t="inlineStr"/>
      <c r="F6" t="inlineStr"/>
      <c r="G6" t="inlineStr">
        <is>
          <t>Washington, DC</t>
        </is>
      </c>
      <c r="H6" t="inlineStr"/>
      <c r="I6" t="inlineStr">
        <is>
          <t>**Why Allego?**
 Allego is a high growth SaaS company headquartered in the greater Boston area and a leader in modern revenue enablement. Our platform is purpose built to help revenue teams learn, practice, share, and apply knowledge more effectively, ensuring they are prepared to perform in every customer interaction. By combining learning, content, and performance enablement into a single integrated experience, Allego drives measurable impact across sales and customer facing organizations.
 With offices in the United Kingdom and Colombia, we are a truly global organization supporting customers across regions and industries. Our distributed team reflects the modern workforce we serve. Customers love Allego not only for the measurable results our platform delivers, but also for the people behind it. They value the partnership, expertise, and commitment our employees bring every day.
 Our growth is matched by our culture. Allego has been recognized by The Boston Business Journal, The Boston Globe, and Inc. Magazine as a Best Place to Work, and we were honored by Selling Power as one of the 50 Best Companies to Sell For in 2024 and 2025\. We are proud to build a platform customers love and a workplace employees love.
**What You'll Do**
 As a Senior Product Manager at Allego, you'll play a key role in shaping and scaling core capabilities within our award\-winning, market\-leading Revenue Enablement Platform. You'll work at the intersection of strategy, customer insight, and execution by turning bold ideas into impactful product experiences that help revenue teams sell smarter, coach better, and win more consistently.
 Partnering closely with product leadership, engineering, design, and go\-to\-market teams, you'll own the evolution of high\-impact product areas from discovery through launch and iteration. Your work will directly influence how sales and marketing teams prepare, engage buyers, and drive measurable revenue outcomes.
**Product Strategy \&amp; Vision**
* Own and evolve the roadmap for key product capabilities, aligning customer needs, business priorities, and Allego's long\-term platform vision
* Lead continuous discovery through customer conversations, usage data, and market research to uncover unmet needs and opportunities
* Balance strategic investments with near\-term value delivery, making thoughtful trade\-offs to maximize impact
* Evaluate emerging AI opportunities and evaluate where they can streamline revenue enablement workflows, informing future roadmap decisions
**Customer \&amp; Market Insight**
* Engage directly with customers and partner with Sales, Customer Success, and Solutions teams to build a deep understanding of revenue team workflows, pain points, and success drivers
* Conduct competitive and market analysis to sharpen differentiation and identify new opportunities within the revenue enablement ecosystem
* Translate qualitative insights and quantitative signals into clear product decisions and priorities
**Execution \&amp; Delivery**
* Collaborate closely with Engineering and UX to design intuitive, scalable, and high\-quality solutions
* Drive end\-to\-end feature delivery, from concept and validation through launch and iteration
* Own backlog prioritization, clearly articulating trade\-offs across customer value, feasibility, and business impact
* Ensure teams are aligned on goals, scope, and success metrics throughout development
**Go\-To\-Market \&amp; Adoption**
* Partner with Product Marketing and Enablement to shape positioning, messaging, and launch readiness
* Support internal teams with product expertise and act as a product evangelist across GTM functions
* Monitor post\-launch performance, adoption, and customer feedback, iterating to improve ROI and outcomes
**Requirements**
**What We're Looking For**
* 5\-7 years of product management experience in B2B SaaS environments
* Experience building products for sales, marketing, enablement, or revenue operations users
* Demonstrated experience delivering AI\-enhanced or data\-driven product features in a SaaS context
* Strong communicator and influencer, comfortable working with executives, customers, and cross\-functional teams
* Proven ability to navigate ambiguity, prioritize effectively, and deliver results in a fast\-paced environment
* Hands\-on experience with Agile development methodologies and modern product practices
**Why Allego**
 At Allego, you'll help define how modern revenue teams learn, coach, and engage buyers at scale. You'll work with passionate teammates, solve meaningful problems, and see the direct impact of your work on customer success and revenue growth.
**Benefits**
 Allego offers a comprehensive and competitive benefits program that enables employees to choose the benefits that best fit their needs and the needs of their families. Full time new hires are eligible for most benefits on the first day of employment:
* Medical/dental/vision
* Unlimited vacation
* Paid parental leave
* Health Reimbursement Account (HRA)
* Flexible Spending Account (FSA)
* 401(k) with matching
* Short \&amp; long term disability, AD\&amp;D, life insurance
* Allego Stock options
* This position is posted as hybrid, however remote candidates may be considered.\*
*****Salary range:***
*$140,000\-$200,000***</t>
        </is>
      </c>
    </row>
    <row r="7">
      <c r="A7" t="inlineStr">
        <is>
          <t>li-4366184790</t>
        </is>
      </c>
      <c r="B7" t="inlineStr">
        <is>
          <t>Global Product Manager</t>
        </is>
      </c>
      <c r="C7" t="inlineStr">
        <is>
          <t>Taco, Inc.</t>
        </is>
      </c>
      <c r="D7" t="inlineStr">
        <is>
          <t>linkedin</t>
        </is>
      </c>
      <c r="E7" t="inlineStr"/>
      <c r="F7" t="inlineStr"/>
      <c r="G7" t="inlineStr">
        <is>
          <t>Cranston, RI</t>
        </is>
      </c>
      <c r="H7" t="inlineStr"/>
      <c r="I7" t="inlineStr">
        <is>
          <t>As a family\-owned and operated company, we feel a special obligation to the employees who comprise our Taco family.  We are committed to offering employees access to the tools necessary to live long and productive lives. We strive to instill in all of our employees:
* A positive mental attitude that helps us to be a leader in the industry
* A commitment to building strong relationships, both inside and outside the organization
* A desire to learn, grow, and contribute to moving our strategy forward
* A need to create and to innovate
**Employment Type:** 
 Regular Full\-Time
**Shift:** 
 1st Shift
**Work Status:** 
 Hybrid
**Position Summary** 
 The
 Global
 Product Manager translates top\-level business strategy into actionable product strategy to achieve corporate sales, margin, and financial goals
 for a specific portfolio of products
 sold
 across multiple global markets
 .
 They manage
 the execution of all processes in the product lifecycle from concept to end\-of\-life, including market research, competitor analysis, planning, positioning, requirements, roadmap development, and product launch.
 They assess proposed product additions and enhancements, evaluating their fit, functionality, technical complexity, and viability within the existing product portfolio
 and company capabilities
 . By integrating channel and industry insights into the product development process, they create a product portfolio that meets
 identified
 market needs. Additionally, the Product Manager
 is responsible for
 developing and
 maintaining
 a dynamic 5\-year product roadmap, incorporating data from lifecycle evaluations of existing product lines.
 Measures of success:
* Maintain and deliver portfolio and product roadmap updates to stakeholders on a regularly scheduled basis.
* Facilitate
 timely
 , high quality product portfolio decisions in a collaborative and cross functional environment.
* I
 dentify
 , gain buy\-in
 for
 ,
 and
 execute
 cross\-functional
 product line initiatives
 to m
 eet or exceed revenue, profit, free cash flow, and wallet share targets
 .
* M
 eet pre\-determined deadlines to support product portfolio reviews and new product development teams
 .
* Effective co
 llaborat
 ion
 with international teams
 .
**Responsibilities** 
 Responsibilities include but are not limited to:
* Develop and
 maintain
 a comprehensive
 global
 product vision and strategy considering the entire product lifecycle
 .
* Oversee product development processes from
 inception
 to post\-launch, coordinating with sales, engineering, production, marketing, and other key stakeholders to ensure product success.
* Develop a deep understanding of
 global
 market size, trends, needs, pricing, and opportunities for assigned products and prepare strategic recommendations.
* Research,
 monitor
 , and evaluate competitive information,
 maintaining
 competitor tracking and information systems.
* Ensure compliance with regional and
 inter
 national codes
 and standards.
* Create and
 maintain
 product strategy documents detailing business cases, high\-level use cases, product requirements, revenue, and
 return on investment
 (
 ROI
 ). T
 ranslate
 into
 up to date 5\-year product roadmaps and s
 ecure internal approval
 for investments
 .
* Write Product Requirements and Market Requirements documents.
* Monitor sales and margin performance of new and existing products.
* Participate in monthly and annual unit, revenue, and profit forecasts for responsible product lines. Support sales and operations planning (S
 \&amp;
 OP).
 Determine
 product pricing strategies and recommend price adjustments to meet or exceed profitability targets.
* Coordinate and
 participate
 in voice of customer (VOC) interviews, beta tests, and field trials.
* Support the evaluation of existing and potential external vendors and
 identify
 new and existing product partnerships.
* Provide product and application
 expertise
 to enhance sales, advertising, public relations, and related activities.
* Participate in
 inter
 national and regional exhibitions as
 required
 .
* Assist
 sales personnel with product
 and technical
 document creation.
* Establish and support top\-level training for customers, manufacturer’s representatives, and internal teams covering new products and modifications.
* Evaluate warranty data
 ,
 p
 articipate
 in high\-level field troubleshooting analysis,
 and coordinate action plans for continuous product quality improvements.
* Participate in long\-range division planning and
 goal setting
 .
* Manage personal budget, including travel, education, and organizational memberships.
* Perform other related duties as
 required
 or directed.
**Qualifications** 
 Required:
* Bachelor’s degree in Marketing, Engineering or related field
* 5
 \+
 years of experience with
 progressive responsibility for sales, product
 management, product manufacturing, systems application
 ,
 or business development
 preferably in the HVAC or plumbing industry
* Experience collaborating with global teams across multiple continents, especially in North America, Latin America, Europe, the Middle East, and the Asia\-Pacific (APAC).
* Proficiency with Microsoft Office (Outlook, Word, Excel, etc.)
* Self\-directed, good communication skills
* Travel both domestically and internationally as needed up to 20% of the time to trade shows, sales reps, conferences, and product related job site visits, etc.
 Preferred:
* Master’s degree in Business Administration
* Project Management Professional (PMP) certification
* Experience with Epicor ERP (Enterprise Resource Planning), PowerBI, PDTrak and JIRA
**Work Environment:** 
 This position works primarily in an office environment using computers and technology.  Verbal and auditory capability are required.  Occasional exposure in production plant where large equipment and noise are prevalent.  Safety gear is required in these areas.
 This position may work from home up to 2X/week if performance is in good standing. 
**Management:** 
 This position has no direct reports.
**Benefits** 
 With nearly 1,000 people working at Taco worldwide, each with their own story, you will discover a sense of community and diverse, intelligent colleagues who help us innovate, create and explore.
 Taco employees benefit from a company that:
* Provides competitive salaries and benefits
* Offers tuition reimbursement, career development, and on\-site training programs in our learning center
* Believes in sharing profits with its employees
* Is mindful about family, health and well\-being
* Fosters conditions that allow people and communities to reach their full potential
* Embraces and celebrates diversity
 \#TacoComfortSolutions</t>
        </is>
      </c>
    </row>
    <row r="8">
      <c r="A8" t="inlineStr">
        <is>
          <t>li-4371183285</t>
        </is>
      </c>
      <c r="B8" t="inlineStr">
        <is>
          <t>Sr. Product Manager</t>
        </is>
      </c>
      <c r="C8" t="inlineStr">
        <is>
          <t>Allego</t>
        </is>
      </c>
      <c r="D8" t="inlineStr">
        <is>
          <t>linkedin</t>
        </is>
      </c>
      <c r="E8" t="inlineStr"/>
      <c r="F8" t="inlineStr"/>
      <c r="G8" t="inlineStr">
        <is>
          <t>Atlanta, GA</t>
        </is>
      </c>
      <c r="H8" t="inlineStr"/>
      <c r="I8" t="inlineStr">
        <is>
          <t>**Why Allego?**
 Allego is a high growth SaaS company headquartered in the greater Boston area and a leader in modern revenue enablement. Our platform is purpose built to help revenue teams learn, practice, share, and apply knowledge more effectively, ensuring they are prepared to perform in every customer interaction. By combining learning, content, and performance enablement into a single integrated experience, Allego drives measurable impact across sales and customer facing organizations.
 With offices in the United Kingdom and Colombia, we are a truly global organization supporting customers across regions and industries. Our distributed team reflects the modern workforce we serve. Customers love Allego not only for the measurable results our platform delivers, but also for the people behind it. They value the partnership, expertise, and commitment our employees bring every day.
 Our growth is matched by our culture. Allego has been recognized by The Boston Business Journal, The Boston Globe, and Inc. Magazine as a Best Place to Work, and we were honored by Selling Power as one of the 50 Best Companies to Sell For in 2024 and 2025\. We are proud to build a platform customers love and a workplace employees love.
**What You'll Do**
 As a Senior Product Manager at Allego, you'll play a key role in shaping and scaling core capabilities within our award\-winning, market\-leading Revenue Enablement Platform. You'll work at the intersection of strategy, customer insight, and execution by turning bold ideas into impactful product experiences that help revenue teams sell smarter, coach better, and win more consistently.
 Partnering closely with product leadership, engineering, design, and go\-to\-market teams, you'll own the evolution of high\-impact product areas from discovery through launch and iteration. Your work will directly influence how sales and marketing teams prepare, engage buyers, and drive measurable revenue outcomes.
**Product Strategy \&amp; Vision**
* Own and evolve the roadmap for key product capabilities, aligning customer needs, business priorities, and Allego's long\-term platform vision
* Lead continuous discovery through customer conversations, usage data, and market research to uncover unmet needs and opportunities
* Balance strategic investments with near\-term value delivery, making thoughtful trade\-offs to maximize impact
* Evaluate emerging AI opportunities and evaluate where they can streamline revenue enablement workflows, informing future roadmap decisions
**Customer \&amp; Market Insight**
* Engage directly with customers and partner with Sales, Customer Success, and Solutions teams to build a deep understanding of revenue team workflows, pain points, and success drivers
* Conduct competitive and market analysis to sharpen differentiation and identify new opportunities within the revenue enablement ecosystem
* Translate qualitative insights and quantitative signals into clear product decisions and priorities
**Execution \&amp; Delivery**
* Collaborate closely with Engineering and UX to design intuitive, scalable, and high\-quality solutions
* Drive end\-to\-end feature delivery, from concept and validation through launch and iteration
* Own backlog prioritization, clearly articulating trade\-offs across customer value, feasibility, and business impact
* Ensure teams are aligned on goals, scope, and success metrics throughout development
**Go\-To\-Market \&amp; Adoption**
* Partner with Product Marketing and Enablement to shape positioning, messaging, and launch readiness
* Support internal teams with product expertise and act as a product evangelist across GTM functions
* Monitor post\-launch performance, adoption, and customer feedback, iterating to improve ROI and outcomes
**Requirements**
**What We're Looking For**
* 5\-7 years of product management experience in B2B SaaS environments
* Experience building products for sales, marketing, enablement, or revenue operations users
* Demonstrated experience delivering AI\-enhanced or data\-driven product features in a SaaS context
* Strong communicator and influencer, comfortable working with executives, customers, and cross\-functional teams
* Proven ability to navigate ambiguity, prioritize effectively, and deliver results in a fast\-paced environment
* Hands\-on experience with Agile development methodologies and modern product practices
**Why Allego**
 At Allego, you'll help define how modern revenue teams learn, coach, and engage buyers at scale. You'll work with passionate teammates, solve meaningful problems, and see the direct impact of your work on customer success and revenue growth.
**Benefits**
 Allego offers a comprehensive and competitive benefits program that enables employees to choose the benefits that best fit their needs and the needs of their families. Full time new hires are eligible for most benefits on the first day of employment:
* Medical/dental/vision
* Unlimited vacation
* Paid parental leave
* Health Reimbursement Account (HRA)
* Flexible Spending Account (FSA)
* 401(k) with matching
* Short \&amp; long term disability, AD\&amp;D, life insurance
* Allego Stock options
* This position is posted as hybrid, however remote candidates may be considered.\*
*****Salary range:***
*$140,000\-$200,000***</t>
        </is>
      </c>
    </row>
    <row r="9">
      <c r="A9" t="inlineStr">
        <is>
          <t>li-4199414033</t>
        </is>
      </c>
      <c r="B9" t="inlineStr">
        <is>
          <t>Product Manager</t>
        </is>
      </c>
      <c r="C9" t="inlineStr">
        <is>
          <t>Meta</t>
        </is>
      </c>
      <c r="D9" t="inlineStr">
        <is>
          <t>linkedin</t>
        </is>
      </c>
      <c r="E9" t="inlineStr"/>
      <c r="F9" t="inlineStr"/>
      <c r="G9" t="inlineStr">
        <is>
          <t>Menlo Park, CA</t>
        </is>
      </c>
      <c r="H9" t="inlineStr"/>
      <c r="I9" t="inlineStr">
        <is>
          <t>Meta Product Managers work with cross\-functional teams of engineers, designers, data scientists and researchers to build products. We are looking for Product Managers who value moving quickly.
 Product Manager Responsibilities:
* Be responsible for driving one or more projects within a product area. Define success metrics, prioritize product problems and identify the best solutions to achieve the overall goals
* Work with the cross\-functional team to develop a roadmap, drive progress against milestones and resolve blockers, whilst maintaining team health
* Gather and analyze user research, product insights and market analysis to inform product decisions
* Coordinate effectively across all functions relevant to your product area, aligning and influencing roadmaps where appropriate
* Communicate clearly upwards and sideways on product plans and progress
 Minimum Qualifications:
* 3\+ years product management or related industry experience
* Bachelor's degree (or relevant degree equivalent): STEM subject ideal but not essential (Computer Science, Engineering, Information Systems, Analytics, Mathematics, Physics, Applied Sciences)
* Experience working with a cross\-functional product team on key product projects: Crafting product mission and strategy, defining product requirements, and driving the team to achieve key milestones and goals
* Proven experience to have an impact on the product outcomes and improve the effectiveness of a product team
* Extensive understanding to analyze data and deploy it to make the right decisions for a product
* Experience using a mixture of approaches to understand requirements from users and identifying the appropriate product solution
* Experience leading and motivating a product team
* Clear and concise communication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
      <c r="A10" t="inlineStr">
        <is>
          <t>li-4359264890</t>
        </is>
      </c>
      <c r="B10" t="inlineStr">
        <is>
          <t>Sr. Product Manager</t>
        </is>
      </c>
      <c r="C10" t="inlineStr">
        <is>
          <t>Allego</t>
        </is>
      </c>
      <c r="D10" t="inlineStr">
        <is>
          <t>linkedin</t>
        </is>
      </c>
      <c r="E10" t="inlineStr"/>
      <c r="F10" t="inlineStr"/>
      <c r="G10" t="inlineStr">
        <is>
          <t>Waltham, MA</t>
        </is>
      </c>
      <c r="H10" t="inlineStr"/>
      <c r="I10" t="inlineStr">
        <is>
          <t>**Why Allego?**
 Allego is a high growth SaaS company headquartered in the greater Boston area and a leader in modern revenue enablement. Our platform is purpose built to help revenue teams learn, practice, share, and apply knowledge more effectively, ensuring they are prepared to perform in every customer interaction. By combining learning, content, and performance enablement into a single integrated experience, Allego drives measurable impact across sales and customer facing organizations.
 With offices in the United Kingdom and Colombia, we are a truly global organization supporting customers across regions and industries. Our distributed team reflects the modern workforce we serve. Customers love Allego not only for the measurable results our platform delivers, but also for the people behind it. They value the partnership, expertise, and commitment our employees bring every day.
 Our growth is matched by our culture. Allego has been recognized by The Boston Business Journal, The Boston Globe, and Inc. Magazine as a Best Place to Work, and we were honored by Selling Power as one of the 50 Best Companies to Sell For in 2024 and 2025\. We are proud to build a platform customers love and a workplace employees love.
**What You'll Do**
 As a Senior Product Manager at Allego, you'll play a key role in shaping and scaling core capabilities within our award\-winning, market\-leading Revenue Enablement Platform. You'll work at the intersection of strategy, customer insight, and execution by turning bold ideas into impactful product experiences that help revenue teams sell smarter, coach better, and win more consistently.
 Partnering closely with product leadership, engineering, design, and go\-to\-market teams, you'll own the evolution of high\-impact product areas from discovery through launch and iteration. Your work will directly influence how sales and marketing teams prepare, engage buyers, and drive measurable revenue outcomes.
**Product Strategy \&amp; Vision**
* Own and evolve the roadmap for key product capabilities, aligning customer needs, business priorities, and Allego's long\-term platform vision
* Lead continuous discovery through customer conversations, usage data, and market research to uncover unmet needs and opportunities
* Balance strategic investments with near\-term value delivery, making thoughtful trade\-offs to maximize impact
* Evaluate emerging AI opportunities and evaluate where they can streamline revenue enablement workflows, informing future roadmap decisions
**Customer \&amp; Market Insight**
* Engage directly with customers and partner with Sales, Customer Success, and Solutions teams to build a deep understanding of revenue team workflows, pain points, and success drivers
* Conduct competitive and market analysis to sharpen differentiation and identify new opportunities within the revenue enablement ecosystem
* Translate qualitative insights and quantitative signals into clear product decisions and priorities
**Execution \&amp; Delivery**
* Collaborate closely with Engineering and UX to design intuitive, scalable, and high\-quality solutions
* Drive end\-to\-end feature delivery, from concept and validation through launch and iteration
* Own backlog prioritization, clearly articulating trade\-offs across customer value, feasibility, and business impact
* Ensure teams are aligned on goals, scope, and success metrics throughout development
**Go\-To\-Market \&amp; Adoption**
* Partner with Product Marketing and Enablement to shape positioning, messaging, and launch readiness
* Support internal teams with product expertise and act as a product evangelist across GTM functions
* Monitor post\-launch performance, adoption, and customer feedback, iterating to improve ROI and outcomes
**Requirements**
**What We're Looking For**
* 5\-7 years of product management experience in B2B SaaS environments
* Experience building products for sales, marketing, enablement, or revenue operations users
* Demonstrated experience delivering AI\-enhanced or data\-driven product features in a SaaS context
* Strong communicator and influencer, comfortable working with executives, customers, and cross\-functional teams
* Proven ability to navigate ambiguity, prioritize effectively, and deliver results in a fast\-paced environment
* Hands\-on experience with Agile development methodologies and modern product practices
**Why Allego**
 At Allego, you'll help define how modern revenue teams learn, coach, and engage buyers at scale. You'll work with passionate teammates, solve meaningful problems, and see the direct impact of your work on customer success and revenue growth.
**Benefits**
 Allego offers a comprehensive and competitive benefits program that enables employees to choose the benefits that best fit their needs and the needs of their families. Full time new hires are eligible for most benefits on the first day of employment:
* Medical/dental/vision
* Unlimited vacation
* Paid parental leave
* Health Reimbursement Account (HRA)
* Flexible Spending Account (FSA)
* 401(k) with matching
* Short \&amp; long term disability, AD\&amp;D, life insurance
* Allego Stock options
* This position is posted as hybrid, however remote candidates may be considered.\*
*****Salary range:***
*$140,000\-$200,000***</t>
        </is>
      </c>
    </row>
    <row r="11">
      <c r="A11" t="inlineStr">
        <is>
          <t>li-4371471825</t>
        </is>
      </c>
      <c r="B11" t="inlineStr">
        <is>
          <t>Product Manager</t>
        </is>
      </c>
      <c r="C11" t="inlineStr">
        <is>
          <t>Zaya Care</t>
        </is>
      </c>
      <c r="D11" t="inlineStr">
        <is>
          <t>linkedin</t>
        </is>
      </c>
      <c r="E11" t="inlineStr"/>
      <c r="F11" t="inlineStr"/>
      <c r="G11" t="inlineStr"/>
      <c r="H11" t="inlineStr"/>
      <c r="I11" t="inlineStr">
        <is>
          <t>**About Zaya:** 
 Zaya Care is a venture\-backed startup with a mission to establish a new standard of affordable prevention and recovery care, beyond the hospital setting. Zaya champions the voices of small private practices in an industry dominated by large health systems. Through strategic partnerships with insurance carriers and our technology platform, we eliminate the risk and administrative hurdles associated with insurance, enabling entrepreneurial providers to launch and grow successful in\-network practices, ultimately increasing access to affordable healthcare across the US.
**About the role** 
 As a Product Manager at Zaya and an early team member, you’ll play a pivotal role in building foundational products and processes from the ground up. You’ll work closely with leadership and cross\-functional teams (RCM, operations, sales, customer support) to translate company goals and customer needs into a strategic product roadmap. Then, in partnership with engineering, you’ll bring these plans to life.
 At Zaya, our team is action\-oriented, egoless, and highly communicative, with a deep commitment to our mission and our customers. We’re a small team, and each of us plays a significant role. Everything you do will have an impact on the company.
**Responsibilities:** 
**Build the product roadmap** 
* Combine customer insights and data to fuel decisions
* Prioritize initiatives each quarter, aligning with Zaya’s company goals
* Collaborate closely with the engineering team to assess technical feasibility, evaluate trade\-offs, and manage dependencies
**Execute the product roadmap** 
* Project plan and coordinate delivery timelines with the engineering team. Lead all meetings including sprint planning, retro and daily stand ups
* Breakdown the roadmap into manageable, shippable increments to consistently deliver value to customers and advance roadmap goals
* You’ll actively work with designs (Figma), data (Mixpanel / Looker), and research to help the team stay on track and keep momentum.
* Continuously monitor and evaluate product performance post\-release, gathering insights to iterate on features and optimize the user experience.
* You’ll partner closely with Operations to validate concepts before building. Operations will be your R\&amp;D lab.
**Communicate the "Why" \- internally and externally** 
* Become Zaya’s internal product expert
* Coordinate feature rollouts and all associated documentation
* Communicate product updates internally and externally
**About you:** 
* **You have a track record of success:** 
 3–5 years in product management and at least 1 year of experience in revenue cycle management / insurance operations.
* **B2B experience:** 
 You have a strong background in prioritizing feedback from customers across various scales, ensuring their voices are valued while maintaining a focus on a scalable and reusable product.
* **0 to 1:** 
 You have experience building processes and products from scratch and find working at startups rewarding.
* **Bias toward action:** 
 You confidently make decisions on what to prioritize, leveraging qualitative and quantitative inputs to pursue company goals, knowing there will always be trade\-offs.
* **Strong communication skills:** 
 You have the ability to convey complex ideas clearly, both internally to your team and externally to customers.
* **Detail\-oriented:** 
 You love the details and think critically about all the use cases, edge cases, and interdependencies of your work.
* **Maintain a customer\-first perspective:** 
 You seek to understand customer pain points and have experience organizing and conducting customer interviews.
* **You’re not afraid to roll up your sleeves:** 
 You have a bias toward execution and proactively work to unblock yourself. You’re able to dive into the messiest problem and come out with a clear plan forward.
* **(Nice to have) Experience with data integrations and APIs:** 
 You can interpret API documentation effectively and bridge the gap between technical and non\-technical stakeholders.
**Benefits and compensation:** 
* Salary of $125,000\-$145,000, plus equity package
* Medical, Dental and Vision Insurance
* Unlimited PTO and company wide week off during winter holidays
* Opportunity for impact: As an early team member joining during Seed stage, you’ll be an integral player in bringing our vision to life.
**Our values:** 
* **Move with urgency and focus:** 
 We act quickly and prioritize what matters most. Speed is important, but never at the cost of clarity or impact.
* **Own the outcome, start to finish:** 
 You are accountable for delivering results. If something’s off track, raise it early and drive it to resolution.
* **Be the expert in your craft:** 
 Strive to deeply understand your domain. Aim to be the person others turn to for insight, execution, and leadership.
* Work as one aligned team: We collaborate closely, communicate openly, and support each other. Success is shared, not siloed.
* **Feedback fuels excellence:** 
 If something’s unclear, off\-track, or going well \- say it early and with care. We name issues before they fester, assume good intent, and stay open when feedback comes our way. It’s how we grow, improve and build a culture of trust.
* **Build for continuity:** 
 Set up your work so the team can succeed even if you're out. Strong systems don’t rely on one person. They create long\-term clarity, consistency, and impact.
**Equal Opportunity Employment Notice** 
 Zaya Care is an equal opportunity employer and we value diversity at our company. We do not discriminate on the basis of race, religion, color, national origin, gender, sexual orientation, age, marital status, veteran status, or disability status.</t>
        </is>
      </c>
    </row>
    <row r="12">
      <c r="A12" t="inlineStr">
        <is>
          <t>li-4371476913</t>
        </is>
      </c>
      <c r="B12" t="inlineStr">
        <is>
          <t>Product Manager</t>
        </is>
      </c>
      <c r="C12" t="inlineStr">
        <is>
          <t>Axial</t>
        </is>
      </c>
      <c r="D12" t="inlineStr">
        <is>
          <t>linkedin</t>
        </is>
      </c>
      <c r="E12" t="inlineStr"/>
      <c r="F12" t="inlineStr"/>
      <c r="G12" t="inlineStr">
        <is>
          <t>New York, NY</t>
        </is>
      </c>
      <c r="H12" t="inlineStr"/>
      <c r="I12" t="inlineStr">
        <is>
          <t>**Location:** 
 New York City
**In\-office:** 
 3 days per week (Tuesday, Wednesday, Thursday)
**Reports to:** 
 Senior Product Manager
**About Axial**
 Axial is the trusted online M\&amp;A platform connecting buyers and sellers of $5M\-$100M American privately held companies. Trusted by over 4,500 professional acquirers and 3,000 M\&amp;A advisors, we have built a pioneering digital transaction platform that radically improves the speed, confidentiality, and success by which private companies achieve successful exits.
 Axial is a founder\-led, profitable company based in New York City with a hybrid office culture. We’ve been profitable since 2020 and are the category leader in our market. We are long\-term oriented, values\-driven, and focused on building a lasting company committed to member trust, operational excellence, and profitable long\-term growth.
 In 2025, over 12,500 private companies pursued an exit via the platform, leading to over 3,000,000 platform connections, and over $1B in annual transaction volume (Closed Transactions).
**The Role**
 As a Product Manager at Axial, you’ll work closely with a Senior Product Manager and cross\-functional partners to help build, improve, and scale meaningful product experiences.
 This role is designed for someone early in their career who is curious, motivated, and eager to learn how great products are built. You’ll be given real responsibility, trusted to work independently, and supported through close mentorship in an environment built on trust, autonomy, and collaboration.
 If you enjoy digging into ambiguous problems, learning new tools quickly, and thinking deeply about users and data, this role is for you.
**Key Responsibilities**
**Learn the Product, Users, and Market**
* Develop a strong understanding of Axial’s platform, users, and business model.
* Study user behavior through data analysis, user feedback, and competitive research.
* Ramp quickly on new problem spaces through focused, independent learning.
**Product Discovery \&amp; Delivery**
* Help research, shape, and evaluate new product ideas.
* Write clear product requirements, user stories, and acceptance criteria.
* Partner closely with Engineering and Design to deliver high\-quality features.
**Be Data\-Informed**
* Use SQL, analytics tools, dashboards, and AI\-assisted workflows to answer product questions.
* Proactively identify risks, gaps, or unclear assumptions in data, requirements, or proposed solutions.
* Communicate findings clearly and thoughtfully.
**Who We're Looking For**
**Required**
* 0–3 years of experience in product, analytics, consulting, engineering, operations, or a similarly analytical role.
* Strong curiosity and problem\-solving instincts.
* Excellent written and verbal communication skills.
* High attention to detail and pride in quality work.
* Comfort working independently in ambiguous environments.
* Demonstrated work ethic and follow\-through.
* Thoughtful use of modern tools (including AI and data tools), paired with strong judgment, attention to detail, and validation of work.
**Nice to Have**
* Exposure to B2B SaaS, marketplaces, fintech, or finance.
* Experience with SQL, data analysis, or experimentation.
* Interest in M\&amp;A, private markets, or complex workflows.
**Working at Axial**
 We are a small and tight\-knit team (currently 60 employees), and you’ll have the opportunity to have a direct impact on the growth of the company. We have a modern, well\-equipped office in Manhattan on 30th and Park. The atmosphere is collegial, the office is open and inviting, and full of accommodations (kitchen, snacks, coffee, relaxing spaces, games, and an upright piano). We work hard together, but also like to have fun together, and often enjoy company events like trivia, game nights, and our annual Axialite Day.
**At Axial, You Will Also Enjoy**
* Working with a great team of smart, motivated people
* Robust medical, dental, and vision insurance, paid for by Axial at nearly 100%
* 401k program
* Flexible vacation policy
* Paid Parental Leave Policy
* Monthly Health \&amp; Wellness stipend
* Pre\-tax commuter program
**Below are the values we subscribe to as a company**
* **Obsess Over Member Trust** 
 : Your daily choices reflect your awareness that we facilitate vital life\-altering transactions. You take this responsibility seriously and it’s top of mind.
* **Expect and Deliver Excellence** 
 : You demonstrate consistency so that your colleagues feel confident partnering and relying on you. You demonstrate a personal commitment to continuous improvement.
* **Communication Matters** 
 : You are concise and articulate in your communication, external or internal. You listen well and genuinely.
* **Invent and Simplify** 
 : You are open\-minded, looking for great new ideas that can elevate and even transform the member experience. You find novel ways to simplify complex status quos.
* **Be an Owner** 
 : You think about the long\-term effects of your decisions. You invest real time in building relationships with your colleagues.
**Below are the traits we look for and actively cultivate in every Axialite**
* **Humility:** 
 We seek truth, not credit, and learn from anyone.
* **Positivity:** 
 We bring energy, optimism, and belief, even when it is hard.
* **Grit:** 
 We show up, follow through, and push beyond the first draft.
* **Discernment:** 
 We choose wisely, prioritize sharply, and ask better questions.
* **Accountability:** 
 We take full responsibility for our work and results.
 NY Pay Range: $100,000 USD \- $130,000 USD</t>
        </is>
      </c>
    </row>
    <row r="13">
      <c r="A13" t="inlineStr">
        <is>
          <t>li-4371178776</t>
        </is>
      </c>
      <c r="B13" t="inlineStr">
        <is>
          <t>Senior AI Product Manager</t>
        </is>
      </c>
      <c r="C13" t="inlineStr">
        <is>
          <t>Studio Management</t>
        </is>
      </c>
      <c r="D13" t="inlineStr">
        <is>
          <t>linkedin</t>
        </is>
      </c>
      <c r="E13" t="inlineStr"/>
      <c r="F13" t="inlineStr"/>
      <c r="G13" t="inlineStr">
        <is>
          <t>New York, NY</t>
        </is>
      </c>
      <c r="H13" t="inlineStr"/>
      <c r="I13" t="inlineStr">
        <is>
          <t>**Company Description** 
 Studio Management operates at the intersection of venture capital, public markets, and venture studios to drive innovation and societal progress. Our team invests in startups during early stages, writes significant checks for emerging companies. At our Venture Studio, we identify unmet societal needs and incubate transformative companies, particularly in the AI, consumer apps, wellness, and productivity sectors.
 This is a full\-time remote opportunity for a Senior AI Product Manager, based in the US.
**Example Initiative w/in our incubator:** 
 Most "second brains" are digital graveyards. We’re on a mission to reinvent how humans, teams, and computers work together by building the next\-gen all\-in\-one workspace built for AI and voice.
* The Task: Build AI systems that ingest massive volumes of structured and unstructured data (images, links, voice, text) and turn them into "reasoning artifacts."
* The UI: This isn't just a chatbot and needs to work across devices. You will design and build intuitive interfaces for users to store, tag, and act on AI recommendations.
* The Goal: Unleveling the workflow so the AI handles the synthesis and the human handles the high\-level judgment.
**Who You Are** 
 You are a Systems Thinker. To you, a "product" isn't just a set of screens. You think about the end\-to\-end flow: how data is ingested, how the AI processes it, and how the UI must adapt to show the user exactly what they need. You can map out a complex multi\-step workflow and then build the code to make it real.
 You are AI\-Native. One\-shot prompting is your baseline, not your ceiling. You are fluent in the new stack—Cursor, Windsurf, Antigravity, Lovable, Replit. You know how to stitch together LLMs, vector databases, and agentic loops to build systems that actually work.
 You have "Product Taste" for Density. You prefer building "power user" interfaces over simplified consumer apps. You understand how to organize massive amounts of information on a single screen without it feeling cluttered.
 You are High\-Agency. There is no map. You have a heavy bias toward visionary execution and product\-led growth. You are comfortable identifying a bottleneck, sketching a solution, and shipping a working prototype in the same day.
**Why this is a unique seat** 
* Impact: You will build the tools that will power early\-stage teams in multiple markets.
* Visibility: Direct exposure to multiple business facets and founder\-level strategy.
* Execution over Process: No "growth hacks," no endless sprint planning. We focus on shipping cognitive leverage at the speed of the latest AI breakthroughs.
**Qualifications** 
* Proven experience in delivering successful software or AI\-driven products to market.
* Highly adept in core product management functions, including roadmap development, prototyping, feature prioritization, and product lifecycle management.
* Strong understanding of LLM's, Eval's, and data\-driven technologies, as well as experience working with data science and engineering teams.
* Experience in customer and market research, gathering feedback, and translating needs into actionable product features.
* Excellent communication, leadership, and collaboration skills to work effectively with cross\-functional teams.
* BS in engineering, computer science, mathematics, or a related field; advanced degrees are a plus.</t>
        </is>
      </c>
    </row>
    <row r="14">
      <c r="A14" t="inlineStr">
        <is>
          <t>li-4371180961</t>
        </is>
      </c>
      <c r="B14" t="inlineStr">
        <is>
          <t>Associate Product Manager I</t>
        </is>
      </c>
      <c r="C14" t="inlineStr">
        <is>
          <t>Hunter Douglas, Inc.</t>
        </is>
      </c>
      <c r="D14" t="inlineStr">
        <is>
          <t>linkedin</t>
        </is>
      </c>
      <c r="E14" t="inlineStr"/>
      <c r="F14" t="inlineStr"/>
      <c r="G14" t="inlineStr">
        <is>
          <t>Broomfield, CO</t>
        </is>
      </c>
      <c r="H14" t="inlineStr"/>
      <c r="I14" t="inlineStr">
        <is>
          <t>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*What’s yours?* 
**Position Overview** 
 The Associate Product Manager I plays a vital role in supporting the vision and direction of product lifecycle management at Hunter Douglas. This position is integral to driving product strategy, development, and quality through collaboration with cross\-functional teams. The Associate Product Manager I contributes to organizational success by ensuring product excellence, supporting new product development, and driving continuous improvement initiatives
**What you'll do** 
* Inspire and motivate cross\-functional teams to take action and achieve product goals while recognizing and valuing team contributions.
* Actively participate in meetings, trainings, and summits, gathering data and input from cross\-functional teams to make informed product decisions.
* Demonstrate strong verbal and written communication skills, create visual presentation content, and document requirements clearly for stakeholders.
* Lead small\-scale projects, support larger initiatives, and facilitate meetings using project management tools effectively.
* Participate in the product development process from ideation to implementation, develop product requirements, and support design and validation testing.
* Attend quality\-focused meetings, analyze and prioritize quality issues, and collaborate on continuous improvement projects.
* Understand product features, benefits, and user applications, conduct performance analysis, and support short\- and long\-term product strategies.
* Provide sales analysis related to product margin goals, track progress toward financial goals, and assist in writing AFE business cases.
* Conduct research to understand product trends, consumer needs, and competitive landscape, and develop voice\-of\-customer data to support initiatives.
* Organize and lead meetings to ensure alignment and progress on product\-related initiatives.
* Assist with alpha and beta testing, compile feedback, and analyze testing results to improve product quality.
* Collaborate with cross\-functional teams to identify inefficiencies and implement solutions for enhanced product quality and operational efficiency.
* Conduct detailed analysis of competitors and market trends to guide product positioning and strategy.
* All other duties as assigned
**Who you are** 
* Bachelor’s degree in a related field.
* Two or more years of product management experience.
* Demonstrated project management ability.
* Basic knowledge of SAP and product lifecycle management.
* Strong analytical, communication, and organizational skills.
* Ability to prioritize and manage multiple tasks independently.
* Proficiency in Microsoft Office and other software tools.
* Willingness to travel within the U.S. and internationally.
**What's in it for you** 
* Annual base salary range: $58,000\- $83,000
* Bonus target: 5% \- 10%
* Generous benefits package including medical, dental, vision, life, disability
* A company culture that prioritizes internal development and professional growth
* Time off with pay
* 401(k) plan with a degree of employer matching
* Paid parental leave
* Wellness programs and product discounts
*Please note, all offers presented to candidates are carefully crafted to ensure market competitiveness, equity, and reflect the individual candidate’s education, experience, skills and potential.
 Hunter Douglas is an Equal Opportunity Employer and complies with applicable employment laws. EOE/M/F/Vet/Disabled are encouraged to apply.*
 \[]
 \[]
*By submitting your application below, you are providing your prior consent to receive SMS messages to notify you of any updates to your application status and to engage in discussion throughout your application process. You can cancel the SMS service at any time. Just text “STOP” to any of our texts to unsubscribe. Message \&amp; data rates may apply. Message frequency may vary. If you have any questions regarding privacy, please read our privacy policy, https://www.hunterdouglas.com/privacy\-policy or terms of use https://www.hunterdouglas.com/terms\-of\-use*</t>
        </is>
      </c>
    </row>
    <row r="15">
      <c r="A15" t="inlineStr">
        <is>
          <t>li-4371467066</t>
        </is>
      </c>
      <c r="B15" t="inlineStr">
        <is>
          <t>Product Manager</t>
        </is>
      </c>
      <c r="C15" t="inlineStr">
        <is>
          <t>Baird Consulting Group</t>
        </is>
      </c>
      <c r="D15" t="inlineStr">
        <is>
          <t>linkedin</t>
        </is>
      </c>
      <c r="E15" t="inlineStr"/>
      <c r="F15" t="inlineStr"/>
      <c r="G15" t="inlineStr"/>
      <c r="H15" t="inlineStr"/>
      <c r="I15" t="inlineStr">
        <is>
          <t>Here is a clean, well\-formatted version of your job description:
 Product Manager
**Behavioral Health EHR \&amp; Practice Management Platform** 
 We are seeking a highly experienced
 **Product Manager** 
 to join our team and help scale a next\-generation EHR and Practice Management (PM) platform purpose\-built for behavioral health providers.
 This is a pivotal role for a product\-minded operator who thrives on execution, owns outcomes, and knows how to move strategy into production—quickly, cleanly, and with quality in mind.
 Our product team emphasizes excellence in three core areas:
**Product Sense · Execution · Analytical Skills** 
 Key Responsibilities
* Own and drive complex product initiatives across EHR and PM domains, including:
* Clinical workflows
* Billing
* Documentation
* Compliance
* Integrations
* Understand and optimize growth mechanisms, including:
* Retention
* Conversion
* Activation
* Product\-led growth and sales\-led growth
* Operate as a strong individual contributor:
* Write clear, actionable requirements
* Collaborate closely with engineering
* Make data\-informed decisions
* Leverage AI tools where appropriate to:
* Accelerate prototyping
* Structure exploratory work
* Increase throughput without sacrificing quality
* Partner with engineering, design, support, and senior leadership to define and prioritize the roadmap
* Conduct market and user research to validate opportunities and sharpen product direction
* Translate strategy into execution and proactively remove delivery blockers
* Monitor adoption, usage, and customer feedback; iterate based on signals—not assumptions
* Serve as a cross\-functional leader, operating confidently at both strategic and tactical levels
 Qualifications
* 3–5 years of product management experience, ideally in healthcare technology (EHR, PM, RCM, or adjacent systems)
* Demonstrated experience shipping and scaling production\-grade software with measurable customer and business impact
* Strong product judgment and execution discipline, balancing speed with rigor
* Excellent analytical skills:
* Ability to interrogate product usage
* Build models
* Drive decisions from data
* Technically adept and experienced collaborating closely with engineering teams
* Comfortable incorporating AI capabilities to streamline workflows, accelerate ideation, and increase execution leverage
* Proven ability to increase roadmap velocity and bring clarity in ambiguous, fast\-moving environments
* Comfortable engaging with executive leadership and frontline users alike
* Experience in the behavioral or mental health vertical is a significant plus</t>
        </is>
      </c>
    </row>
    <row r="16">
      <c r="A16" t="inlineStr">
        <is>
          <t>li-4371467431</t>
        </is>
      </c>
      <c r="B16" t="inlineStr">
        <is>
          <t>Senior Product Manager</t>
        </is>
      </c>
      <c r="C16" t="inlineStr">
        <is>
          <t>TailorMed</t>
        </is>
      </c>
      <c r="D16" t="inlineStr">
        <is>
          <t>linkedin</t>
        </is>
      </c>
      <c r="E16" t="inlineStr"/>
      <c r="F16" t="inlineStr"/>
      <c r="G16" t="inlineStr">
        <is>
          <t>New York, NY</t>
        </is>
      </c>
      <c r="H16" t="inlineStr"/>
      <c r="I16" t="inlineStr">
        <is>
          <t>**Join Us at TailorMed – Transforming Healthcare Affordability**
**Awarded Best in Class in Health Equity 2025**
 At
 **TailorMed** 
 , we’re on a mission to eliminate barriers across the entire medication journey—from affordability to access and adherence. As a pioneering force in healthcare, we’re building a new category that transforms how patients, providers, pharmacies, life sciences, and payers collaborate to ensure every patient receives the treatment they need without delay.
 Our enterprise solution streamlines the full lifecycle of patient support programs, reducing the cost of care and driving better outcomes. With the nation's
 **largest Affordability Network** 
 —deployed across
 **800\+ hospitals, 1,300 clinics, and 650 pharmacies** 
 —we’re reshaping healthcare with innovative automation and industry\-leading partnerships.
 If you’re passionate about making healthcare more accessible and impactful, we’d love to have you on our team.
 **Join us and help redefine what’s possible.** 
 Learn more at tailormed.co.
 As a
 **Senior Product Manager** 
 at TailorMed, you will own product initiatives focused on simplifying and accelerating complex healthcare affordability, access and adherence workflows within our product solutions.
 You will play a pivotal role in shaping and executing our strategy in the complex, high\-impact patient medication journey—connecting providers, pharmacies, patients, and pharma partners.
 This role requires strong domain knowledge in healthcare workflows, deep product craftsmanship, a data\-driven and patient\-first mindset, with the ability to build innovative solutions that reduce friction, improve outcomes, and drive faster therapy starts.
 Responsibilities:
* Own the product strategy and roadmap for a net\-new product area, building capabilities that streamline workflows and improve the medication journey and outcomes.
* Lead zero\-to\-one initiatives that bring automation, intelligence, and operational efficiency into complex healthcare processes.
* Oversee the end\-to\-end product development lifecycle—from discovery and validation through launch and ongoing optimization—using real\-world performance data and user behavior insights.
* Design solutions that address key healthcare workflow challenges, including documentation requirements, clinical data capture, rule variation across stakeholders, submissions, follow\-up workflows, exception handling and communication with patients.
* Own product analytics for your domain, including defining success metrics such as cycle times, drop\-off points, throughput, and workflow efficiency.
* Partner closely with engineering teams to deliver high\-quality product features, write PRDs, translate market needs into clear requirements, and mitigate risks to meet milestones.
* Collaborate cross\-functionally with operations, customer success, and commercial teams to ensure solutions align with real\-world customer workflows, desired patient experience and market dynamics.
* Define and measure end\-to\-end program impact, ensuring product insights directly inform roadmap, prioritization, and strategic investment.
* Own the integration of this product area into TailorMed’s broader product ecosystem, driving cohesion and consistency across platforms.
 Requirements:
* Bachelor’s degree in Computer Science, Engineering, Business, or a related field; MBA or advanced degree preferred.
* 5\+ years of product management experience in healthcare technology, digital health, or enterprise SaaS, including B2B and/or B2B2C products.
* Experience building or supporting complex healthcare workflow products, such as:
* provider\-facing platforms
* utilization or administrative workflow tools
* specialty medication access solutions
* rules\-based automation systems
* enterprise healthcare workflow software
* Strong understanding of the medication access landscape
* Experience using AI to drive product innovation
* Demonstrated strength in product analytics and data\-driven decision\-making, including funnel optimization, experimentation, and outcome measurement.
* Strong multi\-tasker who thrives in a fast\-paced, dynamic start\-up environment in growth mode
* Builder mindset with experience taking products from early discovery through MVP and scaling.
* Strong business orientation, with the ability to connect product strategy to commercial and customer outcomes.
* Excellent communication and stakeholder management skills, with the ability to influence across clinical, operational, and technical teams.
* Experience working in agile development environments, with a strong grasp of modern product methodologies and best practices.
 What We Offer:
* Competitive salary \+ equity
* Premium medical, dental, and vision insurance plans, a wide range of voluntary and supplemental benefits, and 24/7 benefits access and support \- all effective from your first day of work
* 401(k) plan with a 4% employer match
* Paid holidays, vacation, and sick leave
* Six weeks of paid parental leave
* Company\-paid life insurance
* New MacBook, plus all of the equipment and technology you’ll need to be successful in your role
* The opportunity to help shape the future of healthcare
 TailorMed is proud to be an equal opportunity employer. TailorMed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Due to the sensitive nature of the data that TailorMed handles, finalist candidates must complete a successful background and reference check.
 At this time, TailorMed is unable to provide sponsorship for employment. In order to be considered for employment, applicants must be currently legally authorized to work in the United States and not require future sponsorship in order to continue working in the United States.</t>
        </is>
      </c>
    </row>
    <row r="17">
      <c r="A17" t="inlineStr">
        <is>
          <t>li-4371618023</t>
        </is>
      </c>
      <c r="B17" t="inlineStr">
        <is>
          <t>Product Manager, iPad Ordering</t>
        </is>
      </c>
      <c r="C17" t="inlineStr">
        <is>
          <t>Afresh</t>
        </is>
      </c>
      <c r="D17" t="inlineStr">
        <is>
          <t>linkedin</t>
        </is>
      </c>
      <c r="E17" t="inlineStr"/>
      <c r="F17" t="inlineStr"/>
      <c r="G17" t="inlineStr">
        <is>
          <t>San Francisco, CA</t>
        </is>
      </c>
      <c r="H17" t="inlineStr"/>
      <c r="I17" t="inlineStr">
        <is>
          <t>Afresh is the leading AI company in fresh food—partnering with grocers like Albertsons, Wakefern, Meijer, and Stater Bros to order billions of dollars of fresh food in over 12,000 grocery departments nationwide.
 Following record\-breaking 70% growth in 2025, we’ve expanded our platform to cover all fresh departments, launched our full store suite, and debuted DC Fresh Buying.
 We’re on a mission to eliminate food waste and make fresh food accessible to all. In 2025 alone our software helped save 200M lbs of food waste. If you're looking for a role where your work directly translates into massive scale and social good, and you want to be part of the team that defines the future of fresh, there is no better time to join us.
**About The Role**
 As the PM for iPad Store Ordering, you’ll steward our flagship store ordering product, used by tens of thousands of grocery departments nationwide. You’ll own working with our current customers, prioritizing our roadmap, and maximizing the impact of a solution that is already driving 100s of millions of pounds of food waste each year. You'll work closely with product design, machine learning engineers, and mobile and full\-stack engineers to improve the holistic experience. Your ownership, attention to detail, and your obsession with outcomes will lead to both short and long term rewards: every incremental bit of performance you can deliver will directly result in less food waste.
 What You'll Do
* Steward and improve iPad Store Ordering for performance, reliability, and shrink and sales impact.
* Own roadmap and prioritization, balancing customer commitments, tech debt, and new value with pragmatic trade\-offs.
* Partner with Data and ML to monitor and evolve forecasting and ordering policies, adding guardrails to avoid regressions.
* Strengthen adherence and input quality across display controls, overrides, and detection of “gaming.”
* Lead cross\-functional delivery and change management for multi\-chain rollouts.
* Ensure reliability at scale: SLAs, incident response, telemetry, alerting, and on\-call playbooks.
* Maintain customer relationships and translate feedback into priorities. Track accuracy, adoption, adherence, and impact; support GTM on renewals.
**Skills And Experience**
* 2\+ years as a PM shipping customer\-facing software in a fast\-paced environment.
* Proven track record of improving an in\-market product: balance bugs and tech debt with new value, ship incremental, low\-risk rollouts.
* Technical fluency: Understands the basics of web app and mobile architecture, can read an API spec and make calls to it, write basic SQL or experienced with at least 1 programming language.
* Analytical decision\-making: define useful metrics, synthesize qual and quant; A/B tests or phased rollouts a plus.
* Ownership Mindset: incidents, SLAs, alerting, on\-call coordination, and follow\-ups that drive lasting fixes.
* Clear communicator who writes crisp PRDs and change specs and aligns cross\-functional stakeholders.
* Experience with rapidly creating prototypes using generative coding tools.
 We encourage all highly qualified candidates to apply, even if you don’t meet every bullet.
 Salary Band for U.S.
**About Afresh**
 Founded in 2017, Afresh is working on the \#1 solution to curb climate change: reducing food waste. By combining human insight and transformative technology, we're helping grocers provide fresher food to customers at more affordable prices.
 Afresh sits at an incredible intersection of positive social impact, rocket ship financial growth, and cutting\-edge technology. Our best\-in\-class AI research has been published in top journals including ICML, and we've raised over $148 million in funding from investors including former co\-CEO of Whole Foods Market Walter Robb and Eric Schmidt's Innovation Endeavors.
 Fresh is the past, present, and future of our food system – the waste we create today will impact our planet for years to come. Join us as we continue to build a vibrant, diverse, and inclusive team that embodies our company’s values of proactivity, kindness, candor, and humility.
**Afresh provides equal employment opportunities (EEO) to all employees and applicants for employment without regard to race, color, religion, sex, national origin, age, disability, genetics, sexual orientation, gender identity/expression, marital status, pregnancy or related condition, or any other basis protected by law.**
**Here at Afresh, many of our employees work remotely provided that they reside in one of the following states: AL, AR, CA, CO, FL, GA, IL, KY, MA, MI, MT, MO, NV, NJ, NY, NC, OR, PA, TX, WA, UT, VA, WI** 
 .</t>
        </is>
      </c>
    </row>
    <row r="18">
      <c r="A18" t="inlineStr">
        <is>
          <t>li-4363271273</t>
        </is>
      </c>
      <c r="B18" t="inlineStr">
        <is>
          <t>Product Manager</t>
        </is>
      </c>
      <c r="C18" t="inlineStr">
        <is>
          <t>DIGITAL HARBOR, Inc.</t>
        </is>
      </c>
      <c r="D18" t="inlineStr">
        <is>
          <t>linkedin</t>
        </is>
      </c>
      <c r="E18" t="inlineStr"/>
      <c r="F18" t="inlineStr"/>
      <c r="G18" t="inlineStr"/>
      <c r="H18" t="inlineStr"/>
      <c r="I18" t="inlineStr">
        <is>
          <t>**About Digital Harbor** 
 Digital Harbor is a
 **leading innovator of SaaS enterprise platforms** 
 , delivering data\-driven, collaborative, and scalable solutions for complex business environments. Our products are used by large organizations to improve decision\-making, operational efficiency, and product outcomes. We operate globally, with teams across the United States, Bolivia, and India, and a strong focus on building modern,
 **high\-impact SaaS products** 
 for the U.S. market.
 We are looking for
 **Product Managers with a strong Business Analysis** 
 foundation who have actively participated in the development and evolution of SaaS products and are ready to take ownership of product outcomes from strategy through execution.
**Job Description** 
 We are seeking experienced
 **Product Managers with solid Business Analysis expertise** 
 to drive the discovery, definition, and delivery of SaaS products. This role requires a professional who can deeply understand business needs, translate them into clear and actionable product requirements, and work closely with cross\-functional teams to deliver measurable business value.
 The ideal candidate combines
 **product mindset, analytical rigor, and hands\-on execution** 
 , ensuring alignment between business objectives, user needs, and technical delivery in an Agile environment.
**Key Responsibilities** 
**Product Ownership \&amp; Strategy** 
* This role owns day\-to\-day product discovery, requirements, and delivery decisions, while partnering closely with Product Leadership on broader portfolio direction and long\-term strategy.
**Business Analysis \&amp; Requirements Definition** 
* Lead requirements gathering and analysis with stakeholders.
* Develop and maintain high\-quality documentation including:
* User stories
* Acceptance criteria
* Functional specifications
* Process flows and business rules
* Business Requirements Documents (BRDs)
* Ensure clarity, feasibility, and alignment of requirements before development begins,
**Discovery, Delivery \&amp; Agile Execution** 
* Collaborate closely with Engineering, Design, QA, and DevOps teams throughout discovery and delivery.
* Actively participate in sprint planning, refinement, reviews, and release activities.
* Adjust priorities and scope based on changing business needs without losing execution momentum.
**Data, Metrics \&amp; Continuous Improvement** 
* Define and track product KPIs to measure adoption, performance, and business outcomes.
* Analyze data to identify trends, risks, and opportunities for product and process improvement.
* Use insights to drive continuous iteration and optimization.
**Stakeholder Collaboration \&amp; Communication** 
* Serve as a key point of contact between business, technical teams, and leadership.
* Clearly communicate product goals, trade\-offs, progress, and risks.
* Align cross\-functional stakeholders around shared outcomes and priorities.
**Qualifications** 
**Education \&amp; Experience** 
* Bachelor’s degree in Information Systems, Computer Science, or a related field, or equivalent practical experience.
* 5\+ years of experience in Product Management, Business Analysis, or closely related roles.
* Proven experience working on
 **SaaS products** 
 in Agile environments.
* Demonstrated background as a Business Analyst or in BA\-heavy product roles.
**Product \&amp; Analytical Skills** 
* Strong ability to break down complex business problems into structured, actionable solutions.
* Deep understanding of requirements analysis, backlog management, and product delivery.
* Experience tying product initiatives to measurable business results.
**Technical \&amp; Collaboration Skills** 
* Comfortable working with technical teams and understanding system\-level implications.
* Experience collaborating with distributed and cross\-functional teams.
* Strong communication skills, able to translate between business and technical contexts.
**Mindset \&amp; Ways of Working** 
* Ownership\-driven, proactive, and accountable for outcomes, not just outputs.
* Comfortable operating in ambiguous, fast\-moving environments.
* Strong product mindset with a balance of strategic thinking and hands\-on execution.
* Customer\- and value\-oriented approach to decision\-making.</t>
        </is>
      </c>
    </row>
    <row r="19">
      <c r="A19" t="inlineStr">
        <is>
          <t>li-4371192484</t>
        </is>
      </c>
      <c r="B19" t="inlineStr">
        <is>
          <t>Product Owner</t>
        </is>
      </c>
      <c r="C19" t="inlineStr">
        <is>
          <t>Wellspring Worldwide</t>
        </is>
      </c>
      <c r="D19" t="inlineStr">
        <is>
          <t>linkedin</t>
        </is>
      </c>
      <c r="E19" t="inlineStr"/>
      <c r="F19" t="inlineStr"/>
      <c r="G19" t="inlineStr"/>
      <c r="H19" t="inlineStr"/>
      <c r="I19" t="inlineStr">
        <is>
          <t>**About Wellspring**
****Wellspring Worldwide, Inc.****
 is a leading provider of web\-based software systems for managing research, technology commercialization, and innovation operations for universities, companies, government agencies, and independent labs. Founded in 2003, Wellspring has grown to serve over 500 organizations globally, including Fortune 500 companies, SMEs, hospitals, and universities. The company’s flagship products—Sophia, Flintbox, and Zeto—enable organizations to manage the entire innovation lifecycle, from discovery and IP management to commercialization and knowledge transfer.
**Job Summary**
 We are seeking a dynamic Product Owner to lead feature definition, backlog management, and release planning for our Innovation Management Platform, Accolade. The ideal candidate will be adept in overseeing the end\-to\-end product lifecycle, ensuring that our solution not only meets but surpasses customer expectations. You will be the key liaison between Product Managers, Engineering, Services and customers, translating complex business needs into robust and scalable product features. With a focus on enhancing and streamlining the capacity for innovation management processes within our software, you will drive innovation and maintain the highest standards of product quality.
****Essential Functions:****
* Craft and clearly communicate Product Backlog Items, ordering and refining them to ensure value maximization.
* Champion a transition from text\-based requirements to visually communicated product requirements driven by AI\-assisted prototyping tools.
* Facilitate transparency, ensuring that the Product Backlog is visible and understood by all stakeholders.
* Engage with the Product Manager, representing the market and business needs within the Product Backlog.
* Translate business objectives into detailed product requirements and user stories that align with our strategic vision.
* Manage the product backlog, refining and prioritizing features to ensure timely delivery of product enhancements.
* Lead agile\-like rituals related to backlog grooming, prioritization, and demos, fostering a collaborative environment that encourages ownership and accountability.
* Support internal services and customer facing teams during milestone build validation cycles by clarifying stories, reviewing build outputs, and ensuring alignment with business expectations.
* Support quality assurance by validating acceptance criteria, participating in triage, and ensuring test coverage reflects business intent.
* Serve as a subject matter expert and content provider for internal training and technical writing teams.
* Define and analyze metrics that inform the success of the product with the Product Manager and iterate accordingly.
* Serve as the primary point of contact for stakeholders, providing clear communication and aligning product vision with business goals.
****Qualifications:****
* Bachelor's degree in business, IT, or related field; or equivalent practical experience.
* Proven experience as a Product Owner or similar role in enterprise software development, it’s a bonus if there is prior experience with product development, innovation management and project management systems.
* Strong understanding of software development methodologies (waterfall, agile, and hybrids) and the ability to adapt in a fast\-paced, evolving environment.
* Excellent communication and stakeholder management skills.
* Demonstrated ability to work independently as well as part of a collaborative team.
* Critical thinkers with a focus on problem\-solving and continuous improvement.
* Passion for delivering high\-quality products that meet the nuanced needs of intellectual property management.</t>
        </is>
      </c>
    </row>
    <row r="20">
      <c r="A20" t="inlineStr">
        <is>
          <t>li-4309215151</t>
        </is>
      </c>
      <c r="B20" t="inlineStr">
        <is>
          <t>Product Manager, Codex</t>
        </is>
      </c>
      <c r="C20" t="inlineStr">
        <is>
          <t>OpenAI</t>
        </is>
      </c>
      <c r="D20" t="inlineStr">
        <is>
          <t>linkedin</t>
        </is>
      </c>
      <c r="E20" t="inlineStr"/>
      <c r="F20" t="inlineStr"/>
      <c r="G20" t="inlineStr">
        <is>
          <t>San Francisco, CA</t>
        </is>
      </c>
      <c r="H20" t="inlineStr"/>
      <c r="I20" t="inlineStr">
        <is>
          <t>**About The Team**
 With Codex we’re building an AI software engineer. One that you can pair with, delegate to, or even ask to take on future tasks proactively. Our team is a fast\-moving group within OpenAI, bringing together research, engineering, design, and product. We iteratively build the Codex agent harness and product to get the most out of the model, and we iteratively train the model to be great in the Codex.
**About The Role**
 As the product manager on Codex, you will lead the development of a highly technical product designed for a technical audience. Much of the work is 0–1, requiring you to shape product direction amid ambiguity and shape what the future of agents will look like. You’ll partner closely with world\-class engineers and researchers to bring cutting\-edge capabilities into the hands of developers, and you’ll shape how our AI tools support software development workflows.
 This role is based in San Francisco, CA. We use a hybrid work model of 3 days in the office per week and offer relocation assistance to new employees.
**In This Role, You Will**
* Shape product strategy for Codex, from early concepts through launch and iteration.
* Collaborate with engineering and research to translate breakthroughs into usable, high\-value developer experiences.
* Deeply understand developer workflows and identify opportunities where AI can make them faster, more intuitive, and more powerful.
* Navigate ambiguity and make thoughtful trade\-offs in 0–1 product environments.
* Partner with cross\-functional teams to deliver quickly while maintaining a high bar for technical quality and user experience.
**You Might Thrive In This Role If You**
* Bring a strong technical background and have recently shipped code to production
* Have a deep intuition for developer workflows and a passion for building tools that make coding more productive and enjoyable.
* Can define product direction in ambiguous, 0–1 environments and rally teams around it.
* Demonstrate strong product intuition, making thoughtful prioritization and sequencing decisions.
* Have experience driving execution across engineering, design, and research.
* Bring an entrepreneurial mindset and adaptability, whether from startup or high\-growth company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$325K</t>
        </is>
      </c>
    </row>
    <row r="21">
      <c r="A21" t="inlineStr">
        <is>
          <t>li-4311153293</t>
        </is>
      </c>
      <c r="B21" t="inlineStr">
        <is>
          <t>Senior Product Manager</t>
        </is>
      </c>
      <c r="C21" t="inlineStr">
        <is>
          <t>EarnIn</t>
        </is>
      </c>
      <c r="D21" t="inlineStr">
        <is>
          <t>linkedin</t>
        </is>
      </c>
      <c r="E21" t="inlineStr"/>
      <c r="F21" t="inlineStr"/>
      <c r="G21" t="inlineStr">
        <is>
          <t>Mountain View, CA</t>
        </is>
      </c>
      <c r="H21" t="inlineStr"/>
      <c r="I21"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product leader to lead efforts for a new product offering. The product leader will partner closely with senior leadership and a dedicated engineering team to define our vision, shape how the product works, and rapidly execute to get it to market. This is an exciting opportunity to define how we create value for our customers and our business.  
 This is a Mountain View\-based position requiring in\-office work 2\-3 days a week. The Mountain View base salary range for this full\-time position is $206,280 \- $252,120, plus equity and benefits. Our salary ranges are determined by role, level, and location.
**WHAT YOU'LL DO** 
* Shape the vision for a new product area. Communicate your product vision, roadmap, and results to your team, stakeholders, including the executive team, and our customers.
* Lead a diverse team of engineers, designers, and data analysts to create and scale impactful experiences for our customers.
* Own a business area end\-to\-end and drive financial and customer results.
* Create a fast\-paced environment facilitating product iterations and growth.
* Lead a cross\-functional team of engineers, designers, and data analysts to build and scale your products
**WHAT WE'RE LOOKING FOR** 
* 4\+ years of product management at a consumer technology product company
* Strong technical background, preferably with a background in payroll software and financial services
* Strong analytical skills in leveraging data to drive product decisions and improve metrics
* Strong product/design sense developed by shipping delightful and innovative products
* Exceptional communication skills to engage with executive leadership and key stakeholders.
* Deep user empathy and experience in building products based on user needs
* Ability to think outside the box to solve complex problems with creative and radical ideas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row>
    <row r="22">
      <c r="A22" t="inlineStr">
        <is>
          <t>li-4371452517</t>
        </is>
      </c>
      <c r="B22" t="inlineStr">
        <is>
          <t>Principal Product Manager</t>
        </is>
      </c>
      <c r="C22" t="inlineStr">
        <is>
          <t>League</t>
        </is>
      </c>
      <c r="D22" t="inlineStr">
        <is>
          <t>linkedin</t>
        </is>
      </c>
      <c r="E22" t="inlineStr"/>
      <c r="F22" t="inlineStr"/>
      <c r="G22" t="inlineStr">
        <is>
          <t>Chicago, IL</t>
        </is>
      </c>
      <c r="H22" t="inlineStr"/>
      <c r="I22" t="inlineStr">
        <is>
          <t>**About League**
 Founded in 2014, League is the leading healthcare consumer experience (CX) platform, powered by artificial intelligence (AI), reaching more than 63 million people around the world and delivering the highest level of personalization in the industry. Payers, providers, and consumer health partners build on League's platform to deliver high\-engagement healthcare solutions proven to improve health outcomes. League has raised over $285 million in venture capital funding to date, powering the digital experiences for some of healthcare's most trusted brands, including Highmark Health, Manulife, Medibank, and Shoppers Drug Mart.
**Position Summary:**
 As a
 **Principal Product Manager** 
 , you are the strategic architect of a sophisticated, high\-scale platform for our Member Portal Solution for payer customers.
 You are directly responsible for accelerating our 2026 growth trajectory and long\-term AI\-native vision. While we operate a robust digital infrastructure, we are at a pivotal moment of evolution—leveraging our high\-scale foundations to drive an AI\-native experience that is proactive, personalized, and dynamic.
 Your mission is to drive the successful hardening of our core digital product capabilities while leading this strategic shift. This role requires a high degree of fluency in the US Payer landscape, claims data, and benefits orchestration. You will leverage the voice of the customer and deep healthcare market insights to inform our data\-backed roadmap that prioritizes long\-term margin expansion, TAM growth, and member experience quality. You will provide the strategic leverage required to de\-risk delivery, mitigate architectural gaps before they become fires, and influence the Executive team with high\-quality logic and roadmap rigor.
**In this role, you will:**
* Serve as the subject matter expert for US Healthcare integrations, with a primary focus on helping members navigate the complexities of the healthcare system—specifically demystifying EOBs, claims status, accumulators, and complex benefits.
* Drive the product strategy for administrative self\-service, ensuring members can easily take care of necessary actions and understand their financial and health data without friction.
* Synthesize complex member needs and market dynamics into a solidified, roadmap focused on new revenue generation and efficiency.
* Create buy\-in for the product strategy with the Product Leadership Team through high\-quality logic and rigorous business\-case storytelling.
* Define and execute a roadmap to increase the utilization of key features, proving that users can successfully complete their intended tasks and derive tangible value from the portal.
* Ensures cross\-functional alignment across the 'Triangle' (Product, Engineering, Design) to eliminate silos to the Essential Duties.
* Define goals \&amp; measure success for the portfolio.
* Represent our platform and infrastructure externally with clients and prospects.
* Establish and deliver a high\-integrity roadmap built to ensure predictable, high\-scale execution, characterized by vetted trade\-offs and binary commitments.
* Significantly expand member reach and engagement. Accelerate program enrollment, feature adoption, and task completion rates through optimized member journeys, delivering measurable ROI for payer customers.
* Drive industry\-leading utilization and accuracy across core member domains including coverage, cost, claims, and accumulators, ensuring seamless member access to their financial and health data.
* Optimize the home screen and overall information architecture (IA) of the Member Portal to ensure the experience is optimized for discoverability, findability, self service, and ease of use.
* Successfully transition AI prototypes into production\-grade experiences that redefine the member experience and achieve market readiness.
**About You:**
* 6\+ years in Product Management with a minimum of 3 years specifically in the US Payer or Health Insurance space.
* Bachelor's degree (or equivalent), preferred
* Proven work experience in product management creating successful products
* Proven ability to move an organization through architecting rather than individual output.
* Experience working at a platform company or leading the implementation of complex platforms. You have deep experience in agile methodologies—leading agile release planning and demonstrating an iterative, incremental, and value\-driven delivery.
**What we offer:**
* Comprehensive Health Benefits: We prioritize your well\-being with complete medical, dental, and vision coverage
* Bonus Program: Be rewarded for your contributions with our performance\-based bonus program
* Employee Stock Option Program: Become an owner and share in our success through our stock option program
* Unlimited Paid Time Off: Take the time you need to recharge and maintain a healthy work\-life balance
* Spending Accounts: Manage your healthcare and dependent care expenses with tax\-advantaged spending accounts
* Wellness Days: Prioritize your mental and physical health with dedicated wellness days throughout the year
* Growth Opportunities: We invest in your future with abundant opportunities for professional development and advancement
* Mentorship Program: Benefit from guidance and support from experienced leaders in your field
**Security\-Related Responsibilities**
* Ensure access management is performed in compliance with the employee's role and responsibilities
* Responsibility and accountability for executing League's policies and procedures within the department/ team
* Notification of HR, Legal, Compliance \&amp; Security of any incidents, breaches or policy violations
* Compliance with Information Security Policies
***US APPLICANTS ONLY:***
*The US\-specific compensation range below for this full\-time position is exclusive of bonus, equity and benefits. This range reflects the minimum and maximum target for base salaries for the position across all US locations. The salary range is intentional to account for the performance and career progressions a Leaguer will experience in the role throughout their time at League. Where in the band you may land is determined by job\-related skills/experience. Your recruiter can share more about the specific salary range specific to your skills and experience during the hiring process.*
 Compensation range for USA applicants only
 $169,900—$207,700 USD
 Our employees come from different backgrounds, and we celebrate those differences. We are looking for the best candidates for our open roles, but do not expect applicants to meet every qualification in order to be considered. If you are excited about what you could accomplish at League and believe you can add value to our team, we would love to hear from you.
 We are committed to equal employment opportunity regardless of race, color, ancestry, religion, sex, national origin, sexual orientation, age, citizenship, marital status, disability, gender identity or Veteran status. If you are an individual in need of assistance at any time during our recruitment process, please contact us at recruitinginfo@league.com.
**Our Application Process:**
 Applying to a role you love can be exhausting, and understanding the next steps can feel vague and uncertain. You have done the hard part of submitting your application; let's do ours by sharing potential next steps
* You should receive a confirmation email after submitting your application.
* A recruiter (not a computer) reviews all applications at League.
* If we see alignment with League's needs, a recruiter will reach out to learn more about your goals. The recruiter will also share the team\-specific interview process depending on the roles you are exploring.
* The final step is an offer, which we hope you will accept!
* Prior to joining us, we conduct reference and background checks. Additional checks could be required for US Candidates, depending on the role you are exploring.
 Here are some additional resources to learn more about League:
* Learn about our platform, leadership team and partners
* Highmark Health, Google Cloud, League: new digital front door to seamless care
* Former Providence President and Workday EVP of Corporate Strategy join League Board of Directors
* League raises $95 million USD in Series C to build world's leading healthcare CX platform
* Forbes x League: The Platformization Of Healthcare Is Here
* Fast Company x League: If we want better innovations in healthtech, we need more competition
**Work Location:**
 We have a mix of office\-centric roles based in our vibrant Toronto office, and remote\-eligible roles based anywhere in Canada or US. Each job posting will indicate where the role will be based. Regardless of the role's posted location, all Toronto\-area Leaguers (living within 65 km of our downtown HQ) collaborate in\-office Monday through Thursday. Depending on your distance to the office, you'll enjoy 10 or 20 Flexible Remote Days each quarter for focus and deep\-work time. We are committed to fostering a meaningful work environment and connections for all Leaguers regardless of location.
**Recognize and Avoid Employment scams. Practice safe job searching.**
 Scammers are getting craftier and leveraging fake job postings to get personal information. Know the warning signs and protect yourself from scammers. Learn more here.
**Use of AI Notice**
 We are committed to ensuring fairness and transparency throughout our hiring process. League may use Artificial Intelligence (AI) tools to assist in the screening of applicants for this position. Please check out our stance on using AI in recruitment here.
**Privacy Policy**
 Review our Privacy Policy for information on how League is protecting personal data.</t>
        </is>
      </c>
    </row>
    <row r="23">
      <c r="A23" t="inlineStr">
        <is>
          <t>li-4371182563</t>
        </is>
      </c>
      <c r="B23" t="inlineStr">
        <is>
          <t>Product Manager, Fan Intelligence</t>
        </is>
      </c>
      <c r="C23" t="inlineStr">
        <is>
          <t>WMT Digital</t>
        </is>
      </c>
      <c r="D23" t="inlineStr">
        <is>
          <t>linkedin</t>
        </is>
      </c>
      <c r="E23" t="inlineStr"/>
      <c r="F23" t="inlineStr"/>
      <c r="G23" t="inlineStr"/>
      <c r="H23" t="inlineStr"/>
      <c r="I23" t="inlineStr">
        <is>
          <t>**About Us**
 WMT Digital is a SaaS technology company powering digital experiences across the sports and music \&amp; entertainment industries. We deliver innovative mobile, web, and engagement platforms that enhance fan and attendee experiences while giving organizations the tools they need to drive revenue, build loyalty, and operate more efficiently.
 Our solutions support colleges, teams, leagues, festivals, venues, and promoters, helping them connect with audiences through personalized experiences, data\-driven insights, and seamless integrations. From fan identity and ticketing to analytics and engagement, WMT Digital is trusted by some of the most recognized brands in sports and entertainment.
**About The Role**
 We’re looking for a Product Manager to lead our Fan Intelligence products, including data and identity platforms. This role sits at the intersection of product, data engineering, identity management, and customer outcomes. You will define the product strategy, craft roadmaps, collaborate with engineering, and serve as the subject\-matter expert to support sales, customer success, and go\-to\-market teams.
 Key Responsibilities
* Set product vision \&amp; strategy: Define the long\-term roadmap for the Fan Intelligence portfolio aligned with WMT Digital’s business goals and market opportunities.
* Drive execution: Translate vision into actionable product roadmaps, ensuring timely and successful delivery.
* Engage with customers \&amp; partners: Build trusted relationships with partners and customers to understand needs, validate solutions, and shape strategy.
* Requirements gathering: Translate business needs and customer feedback into clear user stories, acceptance criteria, and product requirements.
* Foster cross\-functional alignment: Collaborate with engineering, design, marketing, and sales to ensure products deliver value in\-market.
* Delivery management: Support sprint planning, reviews, and retrospectives to ensure teams remain aligned and productive.
* Data\-driven decisions: Track feature adoption, collect feedback, and recommend improvements based on KPIs and user insights.
* Market awareness: Stay current on trends in sports, music, and entertainment technology to inform backlog priorities and feature development.
* Product expert: Provide sales teams with technical product support, data solution expertise, and lead technical demos for customers.
**Requirements**
* Bachelor’s degree in Business, Engineering, Computer Science, or related field.
* At least 4 years in Product Management or Data Product roles within a technology SaaS company. Ideally in sports or music and entertainment.
* Proven success in scaling products from vision to market adoption.
* Strong knowledge of Agile/Scrum and modern product development practices.
* Excellent leadership, communication, and storytelling skills, with ability to influence across all levels of the organization.
* Analytical mindset with customer\-first orientation.
* Experience building data platforms with a knowledge of either the sports or music and entertainment industry ecosystems preferred.
* Thrives in fast\-paced, entrepreneurial environments.
* Strong communication skills with the ability to simplify complex concepts.
* Comfortable working with sales, engineers, data teams, and enterprise clients.
 Desired Technology Skills
* Understanding of data warehouses like Snowflake, BigQuery, ClickHouse.
* Familiarity with data transformation tools like dbt, Fivetran, Airbyte.
* Experience with BI and analytics tools.
* Knowledge of Customer Data Platforms (CDP) including data ingestion \&amp; normalization, master data records, building real\-time and fixed customer segmentation.
* Knowledge of identity platforms including authentication and authorization concepts: OAuth and OpenID Connect (OIDC).
* Familiarity with privacy, consent, and data governance frameworks (GDPR/CCPA).
 Desired Traits
* Customer\-first mindset with a passion for improving user experience.
* Strong attention to detail while keeping the bigger picture in mind.
* Collaborative and adaptable, able to work across teams and adjust priorities quickly.
* Curious, proactive, and eager to learn about evolving technologies such as personalization, AI, and customer data platforms.
* Experience working in the sports or entertainment industries</t>
        </is>
      </c>
    </row>
    <row r="24">
      <c r="A24" t="inlineStr">
        <is>
          <t>li-4371171676</t>
        </is>
      </c>
      <c r="B24" t="inlineStr">
        <is>
          <t>Technical Product Owner</t>
        </is>
      </c>
      <c r="C24" t="inlineStr">
        <is>
          <t>Speridian Technologies</t>
        </is>
      </c>
      <c r="D24" t="inlineStr">
        <is>
          <t>linkedin</t>
        </is>
      </c>
      <c r="E24" t="inlineStr"/>
      <c r="F24" t="inlineStr"/>
      <c r="G24" t="inlineStr">
        <is>
          <t>Sacramento, CA</t>
        </is>
      </c>
      <c r="H24" t="inlineStr"/>
      <c r="I24" t="inlineStr">
        <is>
          <t>**Join DHCS’s Behavioral Health Transformation: Where Purpose Meets Innovation** 
 Speridian Technologies is recruiting for a Senior Technical Product Owner for our State of California Client, the Department of Healthcare Services, Behavioral Health. This person will be part of a long\-term, fully budgeted, state\-of\-the\-art, extremely vast technical modernization project working with a variety of cross\-functional teams and stakeholders.
**This is a remote role; however, there will may meetings in the Sacramento area during the year.  Candidates are expected to work business hours, Monday\-Friday, Pacific Time Zone.**
**Join DHCS’s Behavioral Health Transformation: Where Purpose Meets Innovation**
**Location:** 
 Remote in the United States
**Department:** 
 Department of Healthcare Services (DHCS)
**Commitment:** 
 Full\-Time Consultant (W2 employee of Speridian or 1099/IC for Speridian) 
**Why DHCS?**
 At DHCS we are leading a transformative journey in Behavioral Health, reshaping systems and services to ensure better outcomes for communities across California. Our Behavioral Health transformation initiative is more than a project—it’s a movement to make California a leader in accessible, high\-quality health services. We’re setting the stage for a new era of government services built on agile methodologies, cutting\-edge technology, continuous improvement, and a relentless commitment to serving the public good.
 At DHCS, we’re looking for innovators who are passionate about purposeful work and excited by the opportunity to drive lasting change through innovative solutions.
**Our Core Values (Achieve Together, Be Curious, Elevate Yourself, and Deliver Value)** 
* We
 **achieve together** 
 by championing a team\-oriented workplace built on mutual respect, collaboration, and open communication.
* We encourage individuals and teams to constantly
 **be curious** 
 and seek a deeper understanding and fresh ideas that drive innovation and meaningful change.
* We provide a supportive workplace where you can
 **elevate yourself** 
 and achieve personal growth through continuous learning, focused effort, and perseverance.
* We
 **deliver value** 
 as part of every action we take to serve California’s citizens
 We work within government, for government—but we don’t work like government
 We’re agile in practice and philosophy
 We’re purpose\-driven and outcome\-obsessed
 We’re modernizing behavioral health technology in California—including addressing overdose, suicide, and the crises that leave people on the streets
 We’re honest about the challenges—state government is bureaucratic, and we can't match most tech salaries. But here’s what we can offer:
 Purpose that matters
 Teammates who care deeply
 Work\-life balance (no nights, weekends, offshore or burnout)
 Fully remote work
 We're not just changing legacy tech into modern, scalable tech—we're changing how the government sector uses technology
**Description**
 The Senior Technical Product Owner drives delivery of DHCS’s modern data platform and behavioral health (BH) data products. This role owns the backlog for data engineering teams and ensures alignment between business, policy, and technical objectives. The PO partners with Product Managers, data engineers, analysts, and policy experts to enable accurate, timely, and actionable data pipelines and reporting capabilities.
 This role is responsible for converting objectives, key results, product strategy, and roadmaps into well\-groomed, prioritized backlogs that deliver measurable value, improve data quality, and ensure compliance with state and federal behavioral health reporting requirements.
**Responsibilities**
* **Backlog Ownership \&amp; Prioritization** 
	+ Own, refine, and maintain the product backlog for data engineering teams delivering the DHCS data platform and BH data products
	+ Translate policy, program, and stakeholder requirements into actionable epics, features, and user stories with clear acceptance criteria
* **Strategic Alignment \&amp; Delivery** 
	+ Collaborate with Product Managers to define and maintain product objectives and key results (OKRs)
	+ Align backlog priorities with strategic goals, compliance mandates, and agency\-wide data initiatives
	+ Collaborates with Product \&amp; Delivery Managers on budget oversight and financial accountability—including tool procurement, monitoring burn rate relative to sprint velocity, and ensuring alignment between delivery cadence and contractual or funding constraints
* **Data Product Development** 
	+ Support delivery of core data products including reporting pipelines, compliance dashboards, analytics tools, and data integration services
	+ Ensure data solutions enable oversight, performance monitoring, and cross\-county learning
* **Stakeholder \&amp; Policy Integration** 
	+ Work with policy teams, analysts, and external partners (e.g., counties, MCPs, QHIOs) to gather requirements and validate outputs
	+ Ensure solutions align with behavioral health policy, reporting standards, and privacy regulations (HIPAA, 42 CFR Part 2\)
* **Metrics \&amp; Continuous Improvement** 
	+ Define, track, and report on success metrics (e.g., data quality, pipeline performance, reporting accuracy, adoption)
	+ Drive backlog items that improve data completeness, timeliness, and usability
	+ Facilitate discovery, prototyping, and testing to validate solutions
* **Collaboration \&amp; Leadership** 
	+ Lead agile ceremonies with cross\-functional teams (engineering, analytics, UX, policy)
	+ Champion the voice of data users and ensure solutions meet the needs of DHCS analysts, leadership, and counties
	+ Provide thought leadership on best practices in data product development and platform management
**Qualifications** 
* **Experience** 
	+ 7\+ years in product ownership with significant experience in
	 **data, analytics, and reporting**
	+ Proven track record managing complex data engineering or analytics backlogs in an Agile environment
	+ Experience with reporting requirements development, data modeling, data platforms, data pipelines, and analytics tools (e.g., Databricks, Snowflake, PowerBI, Tableau)
	+ Demonstrated ability to translate policy and compliance requirements into technical product deliverables
	+ Demonstrated experience supporting products or teams operating in cloud\-based environments such as AWS and Azure, with a strong understanding of infrastructure, deployment workflows, and cloud\-native service integration
	+ Background in
	 **healthcare, government, or compliance\-driven industries** 
	 strongly preferred
* **Skills** 
	+ Backlog and roadmap management for data products and/or platforms
	+ Strong understanding of data engineering concepts (ETL/ELT, entity resolution, semantic layers, data governance)
	+ Data\-driven decision\-making and outcome\-based prioritization
	+ Ability to define, track, and communicate product OKRs and metrics
	+ Exceptional communication and storytelling to bridge technical and non\-technical stakeholders
	+ Owns the full operational lifecycle of their product area—including backlog management, incident response, and risk mitigation—ensuring stability, resilience, and alignment with business goals
	+ Strategic and systems\-level thinking with ability to balance short\-term delivery and long\-term planning
	+ Effective leadership in cross\-functional, highly regulated environments
**Additional Preferred Skills** 
* Experience working with policy and program staff to align data products with legislative and regulatory mandates
* Knowledge of data privacy and security requirements in healthcare
 Speridian is an Equal Opportunity Employer</t>
        </is>
      </c>
    </row>
    <row r="25">
      <c r="A25" t="inlineStr">
        <is>
          <t>li-4371435985</t>
        </is>
      </c>
      <c r="B25" t="inlineStr">
        <is>
          <t>Product Manager</t>
        </is>
      </c>
      <c r="C25" t="inlineStr">
        <is>
          <t>Swooped</t>
        </is>
      </c>
      <c r="D25" t="inlineStr">
        <is>
          <t>linkedin</t>
        </is>
      </c>
      <c r="E25" t="inlineStr"/>
      <c r="F25" t="inlineStr"/>
      <c r="G25" t="inlineStr"/>
      <c r="H25" t="inlineStr"/>
      <c r="I25" t="inlineStr">
        <is>
          <t>**About Our Client** 
 Our client is a remote\-first, open\-source leader best known for its globally used visualization tool with over
 **20 million users** 
 , supporting everything from NASA launches to major global events. In addition, it serves
 **3,000\+ companies** 
 with its observability stack, offering scalable metrics, logs, and traces in both managed and self\-managed environments.
 Our client is rapidly growing while maintaining its open\-source roots, transparent culture, and commitment to autonomy, trust, and meaningful innovation.
 This is a fully remote U.S.\-based role, and the company encourages candidates to apply even if they don’t meet every requirement.
**About The Role** 
 The
 **Product Manager** 
 is responsible for defining the vision and strategy for their product domain, owning the roadmap, market research, and product collateral while aligning goals with leadership. They act as the main advocate and subject matter expert, communicating effectively with both customers and internal stakeholders in a fully remote, global environment.
 This role serves as the bridge between Engineering, Design, UX, and Go\-To\-Market teams, ensuring smooth collaboration and information flow. The PM is expected to be technically proficient and capable of representing the product confidently to customers.
 As a
 **Product Manager for AI** 
 , the focus is on shaping and driving the AI product roadmap, understanding customer needs, influencing what gets built next, and collaborating across R\&amp;D and GTM teams to deliver AI solutions—particularly in the observability space. The role also contributes to defining the organization’s broader AI vision.
**What You’ll Be Doing** 
* Partnering with the senior AI PM to define and own AI features end\-to\-end
* Working closely with product marketing and sales teams to shape AI messaging and support large commercial deals
* Understanding competitors, working with partners and staying on top of the broader AI market
* Being a hands\-on builder: prototyping, building, and shipping AI features end\-to\-end with the engineering team
* Partnering with the data function to analyze large amounts at scale about the product, usage patterns and commercials
* Empathizing with customer problems in order to collect user needs, requirements, and pain points
* Curating and properly representing user feedback to Engineering, while providing evidence to support tradeoffs and priorities
* Using deep product expertise to make decisions about go\-to\-market strategies, pricing, packaging, licensing, and tiering
**What Makes You a Great Fit** 
* Excellent written and verbal communication
* Strong product sense and curiosity about AI, including demonstrated evidence such as AI projects, blog posts and community contributions
* 2 years of product experience or equivalent experience in a related role with ownership of a feature or project
* Comfortable with basic data analysis (SQL, spreadsheets) and able to interpret experiment results
* Familiarity with large language models (LLMs), prompt engineering, or experience using open\-source models
**Bonus Points** 
* Experience using or building observability products and/or developer tools, either internally as an SRE or for external customers
**Salary Range** 
 In the United States, the base compensation range for this role is
 **$143,759 \- $172,511\.** 
 Actual compensation may vary based on level, experience, and skillset as assessed throughout the interview process. All roles include Restricted Stock Units (RSUs), giving every team member ownership in the organization's success. The organization believes in shared outcomes—RSUs help to stay aligned and invested as it scales globally.
 Compensation ranges are country specific. If you are applying for this role from a different location than listed above, your recruiter will discuss your specific market’s defined pay range \&amp; benefits at the beginning of the process.
**Why You’ll Thrive at This Organization** 
* **100% Remote, Global Culture** 
 – As a remote\-only company, the organization brings together talent from around the world, united by a culture of collaboration and shared purpose.
* **Scaling Organization** 
 – Tackle meaningful work in a high\-growth, ever\-evolving environment.
* **Transparent Communication** 
 – Expect open decision\-making and regular company\-wide updates.
* **Innovation\-Driven** 
 – Autonomy and support to ship great work and try new things.
* **Open Source Roots** 
 – Built on community\-driven values that shape how the organization works.
* **Empowered Teams** 
 – High trust, low ego culture that values outcomes over optics.
* **Career Growth Pathways** 
 – Defined opportunities to grow and develop your career.
* **Approachable Leadership** 
 – Transparent execs who are involved, visible, and human.
* **Passionate People** 
 – Join a team of smart, supportive folks who care deeply about what they do.
* **In\-Person onboarding** 
 \- The organization wants you to thrive from day 1 with your fellow new team members to learn all about what the organization does and how it does it.
* **Balance is Key** 
 \- The organization operates a global annual leave policy of 30 days per annum. 3 days of your annual leave entitlement are reserved for organization shutdown days to allow the team to really disconnect. The organization will comply with local legislation where applicable.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26">
      <c r="A26" t="inlineStr">
        <is>
          <t>li-4336373824</t>
        </is>
      </c>
      <c r="B26" t="inlineStr">
        <is>
          <t>Senior Product Manager</t>
        </is>
      </c>
      <c r="C26" t="inlineStr">
        <is>
          <t>Thistle</t>
        </is>
      </c>
      <c r="D26" t="inlineStr">
        <is>
          <t>linkedin</t>
        </is>
      </c>
      <c r="E26" t="inlineStr"/>
      <c r="F26" t="inlineStr"/>
      <c r="G26" t="inlineStr"/>
      <c r="H26" t="inlineStr"/>
      <c r="I26" t="inlineStr">
        <is>
          <t>**TITLE:** 
 Senior Product Manager
 **DEPARTMENT:** 
 Product \&amp; Data
 **REPORTS TO:** 
 Director of Product Management
**About The Role**
 The Senior Product Manager leads the end\-to\-end design process across both internal operational tools and customer\-facing experiences. This role plays a critical part in shaping product strategy, defining user\-centric solutions, and driving successful launches that align with business objectives and elevate the brand experience.
**How You’ll Make a Difference**
* Help set the vision for the future of Thistle’s products for customers and for internal teams.
* Constantly learn about our customers by co\-leading research, analyzing behavior and data, and collecting feedback.
* Identify and prioritize significant opportunities to map out both near\-term and long\-term product roadmaps.
* Work backward from customer needs to the technical capabilities that will best address those needs.
* Collaborate effectively with cross\-functional partners, including engineering, design, data science, marketing, culinary development, operations, customer support, and third\-party partners.
* Use quantitative and qualitative user data to build well\-crafted products for end\-users.</t>
        </is>
      </c>
    </row>
    <row r="27">
      <c r="A27" t="inlineStr">
        <is>
          <t>li-4371303080</t>
        </is>
      </c>
      <c r="B27" t="inlineStr">
        <is>
          <t>Senior Product Manager</t>
        </is>
      </c>
      <c r="C27" t="inlineStr">
        <is>
          <t>Hiive</t>
        </is>
      </c>
      <c r="D27" t="inlineStr">
        <is>
          <t>linkedin</t>
        </is>
      </c>
      <c r="E27" t="inlineStr"/>
      <c r="F27" t="inlineStr"/>
      <c r="G27" t="inlineStr">
        <is>
          <t>California, United States</t>
        </is>
      </c>
      <c r="H27" t="inlineStr"/>
      <c r="I27" t="inlineStr">
        <is>
          <t>Recognized as one of Canada’s top startups two years in a row — climbing from \#4 in 2024 to \#2 in 2025 — Hiive is a fintech/marketplace startup connecting buyers and sellers of stock in venture\-backed pre\-IPO companies🚀. Thanks to our industry\-leading technology and best\-in\-class sales and trading team, we are home to the fastest\-growing marketplace for the stock of “unicorns” on the planet. As a profitable and rapidly growing business backed by US venture capital investors, we are seeking to scale our high\-performing team.
 Interested in learning more about life at Hiive? Check out our careers page to see how you can grow with us!
 As a
 **Senior Product Manager** 
 , you would join our fast growing product team reporting to an experienced product leader with over 25 years in the industry. Hiive has a modern tech stack and quality engineering that ships high\-quality updates quickly. You will be expected to ramp up quickly and work with designers and engineers to deliver meaningful change in the business.
**In This Role, Your Responsibilities Would Include**
* Being a masterful prioritizer, able to balance competing objectives, customer versus business needs, and short\-term and long\-term goals.
* Being a highly organized thinker, able to structure their process around mental models and communicate those thoughts.
* Having a customer\-centric mindset and a passion for improving user experiences.
* Understanding systems and how to change them to achieve business and user goals while addressing the implications of change.
* Having a deep understanding and experience in effective product development processes.
**Required Experience**
* 6\+ years of product management experience at early\-stage to growth\-stage startups.
* A proven track record of managing and launching multiple successful products or large features that have solved meaningful customer problems.
* Strong analytical and problem\-solving skills, with the ability to work with databases and analytics tools to make data\-driven decisions.
* Defining, measuring, and optimizing around product KPIs.
* Exceptional communication and presentation skills.
* Experience collaborating with cross\-functional teams, including engineering, design, marketing and sales.
**Preferable Experience**
* Experience in marketplaces of any kind, fintech, or similar.
* Software engineering background.
* Knowledge of Amplitude and Business Intelligence solutions for querying data.
**Benefits**
* Opportunity to participate in ownership of a rapidly growing early\-stage startup through our employee stock option plan.
* Comprehensive 100% employer\-paid health and dental premiums, and a health spending account.
* A dedicated desk in our Vancouver, BC HQ, in the heart of downtown, with a fridge stocked with healthy snacks and drinks, an onsite gym and a gorgeous rooftop amenity.
* Preference to those willing to work in our Vancouver, BC HQ, with a first\-class view of the mountains. Open to Canadian or US\-based remote candidates.
* Enjoy a $20 per day commuter benefit for every day you work in our Vancouver HQ.
* An engaging social calendar, including bi\-weekly catered lunches, bi\-weekly “Friday bar”, team workouts, annual summer party and holiday party, two “onsite” all\-team retreats each year, semi\-annual team\-building events, and Hiive Womens’ Network events.
* Significant opportunities for growth into team leadership and management roles.
* Entrepreneurial culture, and a small and dynamic team.
* Sponsorship, immigration and relocation for exceptional candidates.
 Hiive is committed to fostering an inclusive workplace where all individuals have an opportunity to succeed.</t>
        </is>
      </c>
    </row>
    <row r="28">
      <c r="A28" t="inlineStr">
        <is>
          <t>li-4371146829</t>
        </is>
      </c>
      <c r="B28" t="inlineStr">
        <is>
          <t>Product Manager- Health (Remote)</t>
        </is>
      </c>
      <c r="C28" t="inlineStr">
        <is>
          <t>Forbes Advisor</t>
        </is>
      </c>
      <c r="D28" t="inlineStr">
        <is>
          <t>linkedin</t>
        </is>
      </c>
      <c r="E28" t="inlineStr"/>
      <c r="F28" t="inlineStr"/>
      <c r="G28" t="inlineStr">
        <is>
          <t>Wilmington, DE</t>
        </is>
      </c>
      <c r="H28" t="inlineStr"/>
      <c r="I28" t="inlineStr">
        <is>
          <t>At Forbes Advisor, our mission is to help readers turn their aspirations into reality. We arm people with trusted advice and guidance, so they can make informed decisions they feel confident in and get back to doing the things they care about most.We are an experienced team of industry experts dedicated to helping readers make smart decisions and choose the right products with ease.
 Forbes Advisor boasts decades of experience across dozens of geographies and teams, including Content, SEO, Business Intelligence, Finance, HR, Marketing, Production, Technology and Sales. The team brings rich industry knowledge to Forbes Advisor’s global coverage of consumer credit, debt, health, home improvement, banking, investing, credit cards, small business, education, insurance, loans, real estate and travel.
**Job Description**
 Forbes Advisor is hiring! We are searching for a Product Manager who will play a pivotal role in shaping ourselves as a tech leader in the US Health market. Reporting into the UK\-based Head of Product, you will collaborate closely with senior stakeholders, customers, and cross\-functional teams to drive product discovery, development, and delivery. This is an exciting opportunity to lead and influence the key areas of our business while working in an environment that values innovation, creativity, and adaptability.
**Responsibilities:**
* Take full ownership of the Health product vertical, leading initiatives that balance user needs, technical feasibility, and business goals. Drive both strategy and execution, ensuring the roadmap supports long\-term growth.
* Work collaboratively with cross\-functional teams—including engineering, design, analytics, and commercial—to deliver best\-in\-class product experiences from concept through to release and beyond.
* Define and manage a structured product backlog. Clearly prioritise initiatives based on impact, resource availability, and strategic alignment, while staying responsive to new information.
* Dive deep into user behaviours, feedback, and data to understand what drives value. Regularly test assumptions through prototyping, experimentation, and structured discovery.
* Track performance across key metrics, identifying areas of improvement and driving iterative enhancements post\-launch.
* Act as the central point of communication across the business for your product area, ensuring transparency, managing stakeholder expectations, and aligning on shared outcomes.
* Play a key role in refining product development practices across the team—bringing experience, structure, and a proactive mindset to each challenge.
**Qualifications:**
* 6\+ years of experience in product management, with a strong track record of delivering high\-impact features or owning a product area
* Proven experience of the US Health market, an extensive knowledge of key market trends and lead generation journeys
* Confident working across the full product lifecycle—from discovery and definition to delivery and iteration
* Comfortable leading cross\-functional teams and managing input from multiple stakeholders
* Data\-driven, with the ability to define and track performance metrics, and use insights to inform decisions
* Strong communication and influencing skills, able to build alignment and manage trade\-offs
* Curious, collaborative, and proactive in identifying new opportunities or resolving blockers
**What We Offer:**
* A visionary role with the freedom to shape the tech stack and strategic direction of your product area.
* Build a modern serverless setup, moving away from monolithic solutions to version\-controlled services and stores.
* Work with exciting brands like Forbes in a rapidly expanding environment.
* Enjoy a supportive and agile culture that encourages innovation and embraces change.
**Additional Information**
 Forbes Advisor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9">
      <c r="A29" t="inlineStr">
        <is>
          <t>li-4371610382</t>
        </is>
      </c>
      <c r="B29" t="inlineStr">
        <is>
          <t>Product Owner/Product Manager</t>
        </is>
      </c>
      <c r="C29" t="inlineStr">
        <is>
          <t>SRM Digital LLC</t>
        </is>
      </c>
      <c r="D29" t="inlineStr">
        <is>
          <t>linkedin</t>
        </is>
      </c>
      <c r="E29" t="inlineStr"/>
      <c r="F29" t="inlineStr"/>
      <c r="G29" t="inlineStr">
        <is>
          <t>Fort Mill, SC</t>
        </is>
      </c>
      <c r="H29" t="inlineStr"/>
      <c r="I29" t="inlineStr">
        <is>
          <t>**Job Overview:** 
 We are seeking an experienced
 **Product Owner with strong domain expertise in Wealth Management \&amp; Financial Services** 
 to lead the end\-to\-end execution of digital product initiatives. This role will collaborate with business stakeholders, technology teams, and cross\-functional partners to deliver value\-driven solutions that support investment operations, portfolio management, advisory platforms, and client servicing products.
**Key Responsibilities** 
* Own and prioritize the product backlog for wealth management and financial products (e.g., portfolio advisory, asset allocation platforms, investment research tools).
* Conduct requirement gathering with investment managers, traders, wealth advisors, and compliance teams.
* Translate business needs into detailed user stories, acceptance criteria, wireframes, and functional specifications.
* Drive end\-to\-end product lifecycle from conceptualization, planning, and delivery through release and post\-launch optimization.
* Partner with engineering, QA, UX, data, and finance operations to ensure timely execution of product releases.
* Conduct competitive research \&amp; market analysis to identify product gaps and growth opportunities in digital finance solutions.
* Ensure compliance with financial regulations (FINRA, SEC, MiFID II, KYC/AML when applicable).
* Facilitate sprint planning, backlog grooming, feature release planning, and product demos using Agile/Scrum.
* Define and track KPIs and analytics to measure product success and drive enhancements.
**Required Qualifications** 
* **3–8 years of experience** 
 as a Product Owner/Product Manager in
 **Wealth Management, Investment Banking, Brokerage, or Financial Services** 
 .
* Hands\-on experience working with platforms like
 **Portfolio Management Systems (PMS), Asset Management tools, Trading \&amp; Order Management Systems (OMS), Financial Advisory tools, or Retirement Planning products** 
 .
* Strong understanding of
 **investment products** 
 (Mutual Funds, ETFs, Equities, Bonds, Alternative Investments).
* Familiarity with
 **financial data sources/APIs** 
 such as Bloomberg, Morningstar, FactSet, Thomson Reuters, etc.
* Excellent communication skills, with the ability to influence senior stakeholders.
* Practical knowledge of
 **Agile/Scrum methodologies** 
 and tools (Jira, Confluence, Aha!, etc.).
 Bachelor's degree in Finance, Business, Computer Science, or related field;
 **MBA or CFA Level I/II preferred (not mandatory)** 
 .</t>
        </is>
      </c>
    </row>
    <row r="30">
      <c r="A30" t="inlineStr">
        <is>
          <t>li-4370090117</t>
        </is>
      </c>
      <c r="B30" t="inlineStr">
        <is>
          <t>Principal Product Manager</t>
        </is>
      </c>
      <c r="C30" t="inlineStr">
        <is>
          <t>The Walt Disney Company</t>
        </is>
      </c>
      <c r="D30" t="inlineStr">
        <is>
          <t>linkedin</t>
        </is>
      </c>
      <c r="E30" t="inlineStr"/>
      <c r="F30" t="inlineStr"/>
      <c r="G30" t="inlineStr">
        <is>
          <t>San Francisco, CA</t>
        </is>
      </c>
      <c r="H30" t="inlineStr"/>
      <c r="I30"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Product Management is responsible for driving the overall user experience, feature strategies and concepts, and engagement paradigms for Disney Entertainment \&amp; ESPN's global portfolio of consumer\-facing streaming and digital products – including Disney\+, Hulu, ESPN, ABC, ABC News, Nat Geo, Marvel, and Star Wars.
**About This Role**
 This position is part of the ESPN Product team. At ESPN, our mission is To Serve Sports Fans. Anytime. Anywhere. The mission statement is not just words; it is the mantra that we live by. The ESPN Product Team is responsible for setting strategy, building, executing and operating world\-class products for sports fans. Anytime. Anywhere. With unmatched scale, best\-in\-class content, incredible rights, and world class platforms, ESPN is the market leader in Sports, and we are never complacent. We are constantly innovating for our fans.
 As the Principal Product Manager of Fandom for ESPN Digital products, you will be a key leader responsible for shaping fan expression, “lean\-forward” participatory features, and connected social experiences across the ESPN suite of apps to unlock the full potential of sports fandom across the ESPN ecosystem.
 This role demands a seasoned product manager with a deep understanding of how to build an engaging fan experience in a brand safe way, a proven track record of operating online communities, navigating complex user experience projects, and the ability to collaborate effectively with cross\-functional teams, particularly in design and engineering. You will work with other leaders to define a unified strategic vision for creating engagement flywheels centered around sports fandom. The ability and excitement to strategize for a new generation of sports fans and how they engage with our products is vital for this position.
 This role demands a strong technical background, excellent product sense, strategic thinking, analytical capabilities, and the ability to collaborate with cross\-functional teams to deliver high\-quality, cutting\-edge solutions.
 The ideal candidate must be highly experienced in cultivating and operating online communities and connected social products that leverage user\-generated content (UGC). This person must operate with a high level of autonomy and demonstrate strong product vision, strategy, leadership and analytical thinking in furtherance of business objectives. This opportunity is uniquely positioned to make an immediate impact on the next generation of ESPN’s consumer experiences.
**Responsibilities**
***Product Strategy and Vison***
* Develop and communicate a strategic vision for engaging our fans, aligning with broader company goals and market trends.
* Effectively communicate product strategies, updates, and results to stakeholders at all levels, fostering a collaborative and transparent working environment.
* Work with leadership to craft product vision, strategy, OKRs, and roadmap while executing with great success.
* Stay abreast of industry trends and emerging technologies related to fan engagement and moderation, providing recommendations for continuous improvement.
* Be an ambassador and culture champion for ESPN products internally and externally.
***Product Development***
* Leverage previous experience building online communities and connected social experiences and apply those learnings to ESPN and Disney.
* Champion a fan\-centered design approach, ensuring that user needs and preferences drive the development of innovative and intuitive product features.
* Lead and inspire cross\-functional teams in the planning, execution, and delivery of complex user experience projects, ensuring timelines and quality standards are met.
* Write detailed product requirements, user stories, and documentation to drive development of features.
* Manage road maps, backlogs, and prioritize features to drive maximum impact.
* Fill in gaps across roles and functions as needed, performing as an adaptive problem solver.
* Engage in our sports\-obsessed culture to best serve our fans.
***OKRs and Analytics***
* Define and monitor Objectives and Key Results (OKRs) related to fan engagement and user satisfaction.
* Identify KPIs, build dashboards, and analyze data to understand user behaviors.
* Utilize data and analytics to make informed decisions, conduct A/B testing, and continuously iterate features to optimize performance and user satisfaction.
* Conduct user research to inform new features and improved user experiences.
**Basic Qualifications**
* 10\+ years of product management or highly\-relevant experience required.
* Direct product management experience cultivating and operating online communities and connected social products that leverage user\-generated content (UGC).
* Proven track record of building world\-class digital products for large, consumer\-focused companies.
* Keen product sense and demonstrated product leadership experience.
* Strong analytical skills with the ability to use data\-driven insights to inform product decisions, measure performance, and optimize the user experience.
* Ability to operate effectively in a team oriented and collaborative environment.
* Excellent written and verbal communication skills.
* Experience leading end\-to\-end product development processes, from concept through retrospective, for both consumer\-facing and back\-end features.
* Experience creating and delivering compelling, data\-driven presentations to both senior and junior audiences.
* Understanding of fandom, fan engagement, moderation, sports landscapes, and familiarity with terminologies and business models.
* Proven ability to drive product initiatives from concept to delivery.
**Required Education**
* Bachelor's degree in a relevant field or equivalent practical experience.
 The hiring range for this position in San Francisco is $201,900 \- $270,700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31">
      <c r="A31" t="inlineStr">
        <is>
          <t>li-4371192838</t>
        </is>
      </c>
      <c r="B31" t="inlineStr">
        <is>
          <t>Principal Product Manager</t>
        </is>
      </c>
      <c r="C31" t="inlineStr">
        <is>
          <t>Pebl</t>
        </is>
      </c>
      <c r="D31" t="inlineStr">
        <is>
          <t>linkedin</t>
        </is>
      </c>
      <c r="E31" t="inlineStr"/>
      <c r="F31" t="inlineStr"/>
      <c r="G31" t="inlineStr">
        <is>
          <t>Palo Alto, CA</t>
        </is>
      </c>
      <c r="H31" t="inlineStr"/>
      <c r="I31" t="inlineStr">
        <is>
          <t>**Purpose in Every Position**
 Pebl puts a world of talent at your fingertips. With our AI\-powered Global Work Platform™, companies can hire, pay, and manage employees in 185\+ countries—removing risk, red tape, and guesswork from global growth. Backed by more than a decade of compliance leadership and local expertise, Pebl helps businesses move fast, stay compliant, and scale with confidence. With Pebl, companies everywhere can hire great talent anywhere.
**Where Your Work Moves the Needle.**
 At Pebl, every team member drives our success. Joining us means more than filling a role—you’re accountable for results and impact. Our values guide how we operate, execute, and collaborate across borders. By putting them into action, you’ll help us scale faster, compete harder, and lead the future of global work.
**What Makes You a Great Fit**
 We are looking for an innovative, customer\-focused Principal Product Management to lead the Pricing/Packaging and Payments product area at Pebl. As the Principal Product Management , you will be at the helm of shaping a platform that powers AI\-driven solutions for the future of customer engagement. You will collaborate with designers, engineers, GTM teams, and the executive leadership to build a modern Payment platform with AI capabilities that accelerate growth and lead to market leadership. You will be a Product Leader with accountability for creating the vision \&amp; strategy, managing the roadmap, and building on the product backlog, working with cross\-functional teams to build great products for our customers.
 You will manage all facets (strategy, processes, reporting) surrounding the pricing and packaging of our product offerings.
 This is a hybrid position based in Palo Alto, California, and in\-office collaboration is required for 3 days per week. You will be an individual contributor reporting to the VP Product.
**How You'll Make An Impact**
* Strategy: Work with cross functional teams to develop vision and strategy for the payments platform, pricing and packaging solutions to accomplish effective outcomes across the enterprise
* Ownership: Align with strategy for multiple business teams, create and lead a portfolio of cross\-functional initiatives to achieve core elements of the business strategy. Maximize price and margin opportunities across brands. Manage KPI's to measure effectiveness and outcomes of pricing actions
* Definition: Explain business problems, gather evidence from users and outside sources, clarify the potential solutions with assumptions, guiding principles, strategic connections
* Roadmap: Define the roadmap and prioritization across the portfolio and create functional and non\-functional requirements and user stories to manage product backlog and execution through scrum teams
* Delivery: Partner with engineering teams, product managers and technology partners to ensure, efficient execution of key initiatives in a scaled agile delivery framework
* Communication: Serve as primary evangelist of pricing and payments strategy and product capabilities with internal, business, and executive stakeholders. Participate in industry events, customer briefings, analyst briefings, and advisory boards
* Outcomes: Drive product and feature launches aligned with company goals and report key metrics
* Stay ahead of the curve: Maintain a deep understanding of emerging trends in Payments, AI, and the EOR landscape
**Let's Connect If You Have**
* 10\+ years of Product Management experience
* Computer Science background or equivalent technical experience
* Experience building Payments platform
* Experience leading initiatives across large engineering and cross functional teams, to influence roadmap planning and execution
* Hands\-on experience in testing product/features before releasing and editing FAQ/documentation
* Strong written and verbal communication skills, structuring ambiguous concepts clearly and from first principles
* Experience working in a startup, preferably in FinTech
* Bonus points if you have taken a product from 0\-1 or founded a startup
**Our Commitment to You**
 At Pebl, we’re committed to supporting our team with comprehensive rewards and benefits designed to meet diverse needs across roles and locations. Our core offerings include:
* Flexible Time Off – Take the time you need to recharge.
* Parental Leave – Support for growing families.
* Health and Dental Insurance – Where applicable, to cover you and your loved ones.
* Retirement Savings \+ Employee Incentive Plan – Plan for the future while sharing our success.
 Please visit our career page for more information.
**Pebl is an Equal Opportunity Employer.**
 We power global teams and believe diverse perspectives drive innovation and impact. Employment decisions at Pebl are based on qualifications, merit, and business needs. We do not discriminate on the basis of race, color, religion, sex (including pregnancy, sexual orientation, or gender identity), national origin, age, disability, genetic information, veteran status, or any other status protected by applicable law. We’re committed to fostering an inclusive culture where every teammate can thrive and do the best work of their career—anywhere in the world.
 Compensation Range: $250K \- $300K</t>
        </is>
      </c>
    </row>
    <row r="32">
      <c r="A32" t="inlineStr">
        <is>
          <t>li-4322809373</t>
        </is>
      </c>
      <c r="B32" t="inlineStr">
        <is>
          <t>Product Manager, Accessories - 57th Street Flagship Boutique</t>
        </is>
      </c>
      <c r="C32" t="inlineStr">
        <is>
          <t>CHANEL</t>
        </is>
      </c>
      <c r="D32" t="inlineStr">
        <is>
          <t>linkedin</t>
        </is>
      </c>
      <c r="E32" t="inlineStr"/>
      <c r="F32" t="inlineStr"/>
      <c r="G32" t="inlineStr">
        <is>
          <t>New York, NY</t>
        </is>
      </c>
      <c r="H32" t="inlineStr"/>
      <c r="I32" t="inlineStr">
        <is>
          <t>**Manager, Product**
*At CHANEL, we are focused on creating an inclusive culture that nurtures personal growth, contributing to collective progress. We believe the uniqueness of each individual increases the diversity, complementarity, and effectiveness of our teams. We strongly encourage your application, as we value the perspective, experience, and potential you could bring to CHANEL.*
**About the role:**
 We are looking for a Product Manager who will be a brand ambassador and business leader focused on delivering extraordinary experiences for the internal team and clients. They will play a vital role for driving the business of their respective product category(ies), by coaching and managing a diverse team of salespeople, and will work closely with the Boutique Director by imparting critical business knowledge. The Product Manager will be responsible for fully owning and driving the business within the Shoes \&amp; Other Accessories division.
**What impact you can create at CHANEL:**
* Coach and inspire a team to deliver an elevated client experience for all clients
* Foster a positive working environment and create a culture of feedback, encouraging diversity, mutual respect, and teamwork
* Provide initial and frequent ongoing training and development for all team members, including CHANEL savoir faire, product details and service delivery
* Drive all aspects of the assigned product category, including analysis, reporting, assortment planning, and partnership with Home Office buying team
* Lead a team with agility and resilience by applying key performance indicators and lessons learned to enhance team and business performance
* Represent CHANEL in the market, developing the client base through community involvement, partnerships with local high\-profile businesses, as well as social and seasonal events
**You are energized by:**
* The history and heritage of The House of CHANEL
* Building collaborative partnerships and relationships
* People leadership and development
* Fostering a meaningful client experience centered around inclusion and connection
* Being comfortable in the middle of complexity and ambiguity
* Creativity and innovation by testing, learning, and taking new risks
**What you will bring to the team:**
* Ability to thrive in a team environment and work collaboratively
* Understanding of, and passion for client experience
* Excellent communication skills
* Foreign language skills are preferred but not required
* Passion for the House of CHANEL, its history, product offerings, and commitment to social and cultural initiatives
* Curiosity and desire to learn and grow professionally within the world of CHANEL
**Position Logistics:**
* Minimum 5 years of related experience
* Bachelor’s degree (preferred)
* Ability to lift 15 lbs.
* A flexible schedule with the ability to work late nights, weekends, and some holidays
* Boutique Management: Requires in\-store presence to develop and coach teams, ensure boutique image and operational standards are upheld, and deliver elevated client service to drive business results
* Chanel, Inc. reserves the right to edit, change, or make exceptions on designations where circumstances where deemed appropriate.
**What skills you will learn:**
 (This is best leveraged for internal job posting to best attract internal talents)
* Exposure to multiple boutique business functions and categories
* Growth in additional business and functional areas of the retail business
* Opportunity to collaborate and succeed as a team with colleagues and cross\-functionally
* Further grow and develop your skill set with thoughtful career development workshops and self\-directed learning modules
**Compensation:**
* The anticipated base salary range for this position is $87,500 through $121,800\. Base salary is one component of the total compensation for this position. Other forms of variable pay \[may/will] be offered for this position. Other components \[may/will] include bonus potential, benefits, and/or perks.
**Benefits and Perks:**
* Wellbeing resources include dedicated paid time off for wellbeing (Wellbeing Days in Retail) and a Wellbeing fund
* Family and care giving benefits (inclusive of parental leave, fertility support, Milk Stork, and Care.com Membership)
* Generous paid time off policies to include vacation, holiday, sick and volunteer days
* 401K and other incentives
* Robust healthcare offerings; medical, dental, vision, MDLIVE (virtual care), One Medical, Flexible Spending Accounts (Health Care \&amp; Dependent Care), Health Savings Account and Employee Assistance Program
* Life insurance, Accidental Death \&amp; Dismemberment, Short Term Disability, Long Term Disability, Health Advocate, International Business Travel Accident \&amp; Medical, and Commuter Transit \&amp; Parking
**Additional Information:**
 CHANEL is a private company whose values are grounded in creating the conditions for people to perform at their best and feel fulfilled and confident in their work. We offer a unique work environment where individuals are encouraged to better understand the brand, the business, and motivations, so that together we can unlock the possibilities of growth. This is reflected in:
**Diversity and Inclusion:**
* At CHANEL, we are intentional in promoting Diversity \&amp; Inclusion. We foster respect, empathy, and dignity for all. We believe strongly that the diversity of our people across the full spectrum of human differences is essential to our organisation and the connections we have with each other and our clients.
* We offer Employee Resource Groups in the US that are voluntary, open to all, employee\-led groups formed around a shared identity or lived experience, whose aim is to foster a diverse, inclusive, and equitable community aligned with the values and missions of the communities they support.
**CHANEL Community:**
* CHANEL Community empowers our employees to channel their passions, talents, and sense of purpose to contribute to and learn from our communities.
* Employees are encouraged to take time off annually to volunteer through CHANEL Community. CHANEL also matches employee donations to select charitable organizations.
**Sustainability:**
* CHANEL Mission 1\.5° is our climate action plan. It is focused on transforming the business in line with the ambitions of the Paris Agreement on climate change to limit the average global mean temperature increase to 1\.5 degrees Celsius above preindustrial levels.
* Employees are encouraged to contribute to our US Sustainability efforts at the corporate level and within the divisions, through organized taskforces and initiatives.
**Arts and Culture:**
* We are committed to extending our legacy of cultural engagement. Global support includes the CHANEL Culture Fund, which supports a select group of leading art culture institutions across the globe, and the CHANEL Next Prize for the next generation of creative talent. US support currently includes Annual sponsorship of the MoMA film program, Tribeca Film Festival programs and Through Her Lens, Support of the Academy Gold Fellowship for Women and Sponsorship of the BAAND Together Dance Festival at Lincoln Center.
**Fondation CHANEL:**
* Since 2011, Fondation CHANEL’s mission is for women and girls to be free to shape their own destiny. Through multi\-year partnerships with financial and technical support, Fondation CHANEL is committed to improving the safety and autonomy of women and adolescent girls around the world, impacting over a million women and girls in its first 10 years.
* For more information, please navigate to the Fondation CHANEL website here.
**Career and Leadership Development:**
* We have dedicated in\-house teams focused on supporting the onboarding of employees, developing leadership skills via custom programs like Imagine CHANEL People, Heart of Leadership and group and individual coaching, and blended online and live classes offered on our Bloom platform and by skilled trainers, such as Shape Your Career, to develop career building skills.
* CHANEL, Inc. benefits and perks are dependent on eligibility and subject to modification by CHANEL at any time.</t>
        </is>
      </c>
    </row>
    <row r="33">
      <c r="A33" t="inlineStr">
        <is>
          <t>li-4371160847</t>
        </is>
      </c>
      <c r="B33" t="inlineStr">
        <is>
          <t>Product Manager, Mobile Applications</t>
        </is>
      </c>
      <c r="C33" t="inlineStr">
        <is>
          <t>Black Diamond Group</t>
        </is>
      </c>
      <c r="D33" t="inlineStr">
        <is>
          <t>linkedin</t>
        </is>
      </c>
      <c r="E33" t="inlineStr"/>
      <c r="F33" t="inlineStr"/>
      <c r="G33" t="inlineStr">
        <is>
          <t>Scottsdale, AZ</t>
        </is>
      </c>
      <c r="H33" t="inlineStr"/>
      <c r="I33" t="inlineStr">
        <is>
          <t>**Scottsdale, AZ**
**About The Role**
 We’re seeking a driven Product Manager with strong experience in consumer\-facing Mobile applications (iOS \&amp; Android) to lead the development and optimization of the end\-to\-end experience for customers and travelers. You’ll collaborate closely with cross\-functional teams to define the product roadmap, translate customer needs into solutions, define success metrics, and ensure our platform evolves to meet the demands of a growing market.
 The ideal candidate will have strong analytical thinking abilities, as well as excellent communication and relationship\-building skills, being able to work across multiple teams to synthesize information and determine requirements. They will have 5\+ years of experience in product management, with strong mobile application experience, and a desire to collaborate with other product managers on platform (SaaS) solutions.
 This role is hybrid \- in\-office with 20% flexibility to work from home.
**Duties \&amp; Responsibilities**
**Product Strategy \&amp; Technical Vision**
* Define and articulate a clear product strategy that aligns with company goals and customer needs that defines the future of our mobile experiences
* Use data, research, and market insights to identify opportunities and prioritize initiatives.
* Develop and maintain a product roadmap that communicates priorities and progress to stakeholders.
**Stakeholder Collaboration**
* Collaborate with Product Management, Engineering, QA, and Design teams to prioritize and deliver high\-quality features.
* Communicate product plans, progress, and results to internal and external stakeholders.
* Partner with Sales, Marketing, and Customer Success to enable successful product launches.
**Execution \&amp; Delivery**
* Define clear, actionable requirements for new features and improvements through user stories, requirements and acceptance criteria.
* Manage product development from ideation to release, ensuring timely delivery of high\-impact initiatives.
* Monitor and analyze product performance post\-launch, using data to iterate and improve.
**Customer Focus**
* Act as the voice of the customer by deeply understanding their needs and advocating for solutions.
* Build relationships with users and gather insights to inform product direction
**Qualifications**
* 5 years of experience in product management with a focus on Mobile App development
* Bachelor’s degree in a relevant field;
* Strong understanding of Agile methodologies and experience working with engineering teams.
* Proven ability to define and deliver successful digital products or features.
* Excellent problem\-solving skills, with a user\-centric approach to product development.
* Familiarity with tools such as Jira, Confluence, Figma, or similar.
* Strong analytical skills, with the ability to interpret data and turn insights into action.
* Exceptional communication and collaboration skills, capable of influencing cross\-functional teams.
**Nice to Have**
* MBA or equivalent experience
* Experience in travel, logistics, or workforce solutions industries.
* Knowledge of travel or accommodation management challenges.
* Experience working with geographically distributed teams.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**LodgeLink Is a Black Diamond Group Company. Learn More**
 Black Diamond Group is a publicly traded company with 20 years of experience in modular space and workforce solutions, and operations across Canada, the United States, and Australia. Learn more: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t>
        </is>
      </c>
    </row>
    <row r="34">
      <c r="A34" t="inlineStr">
        <is>
          <t>li-4371463947</t>
        </is>
      </c>
      <c r="B34" t="inlineStr">
        <is>
          <t>Product Manager - Manufacturing</t>
        </is>
      </c>
      <c r="C34" t="inlineStr">
        <is>
          <t>Calnetix Technologies</t>
        </is>
      </c>
      <c r="D34" t="inlineStr">
        <is>
          <t>linkedin</t>
        </is>
      </c>
      <c r="E34" t="inlineStr"/>
      <c r="F34" t="inlineStr"/>
      <c r="G34" t="inlineStr">
        <is>
          <t>Cypress, CA</t>
        </is>
      </c>
      <c r="H34" t="inlineStr"/>
      <c r="I34" t="inlineStr">
        <is>
          <t>**Job description:** 
**Company Overview** 
 Calnetix Technologies, LLC is dedicated to transforming the energy landscape by developing innovative, high\-speed motor generator technologies that promote energy efficiency and environmental sustainability. We partner with Original Equipment Manufacturers (OEMs) across diverse industries to enhance existing products and pioneer new markets through cutting\-edge solutions.
**Overview** 
 We are seeking a
 **Product Manager** 
 with background in
 **Manufacturing** 
 to oversee the development, manufacturing and lifecycle management of mechanical components for a key client. This role will interface between internal teams, vendors and the client. You will manage product deliveries, scheduling and technical changes as needed.
 The ideal candidate has a strong mechanical engineering background, hands\-on manufacturing experience and experience managing mechanical products from concept to production.
**Duties** 
* Own and manage assigned mechanical component products throughout their lifecycle, from development through production and delivery
* Coordinate with internal engineering, manufacturing, and quality teams to ensure product requirements are met
* Manage external vendors and suppliers, including sourcing, technical alignment, timelines, and performance
* Develop and maintain project schedules, production timelines, and delivery plans
* Act as the primary point of contact for the customer, managing expectations, requirements, and ongoing communication
* Ensure products meet cost, quality, and performance targets
* Identify and mitigate technical, schedule, and supply chain risks
* Support design reviews, manufacturing readiness, and continuous improvement initiatives
* Track progress and report status to internal stakeholders and the client
**Requirements** 
* Bachelor’s degree in Mechanical Engineering or a related field
* Minimum of 3 years of experience in mechanical product management, manufacturing engineering, or a similar role
* Strong background in mechanical systems, with experience in motors, stators, magnetic bearings, or related electromechanical components preferred
* Hands\-on experience in a manufacturing environment
* Proven experience working with suppliers and contract manufacturers
* Strong project management skills, including scheduling and timeline management
* Some proficiency in Solidworks is a plus
* Use of MS Office tools for productivity and Project scheduling is necessary</t>
        </is>
      </c>
    </row>
    <row r="35">
      <c r="A35" t="inlineStr">
        <is>
          <t>li-4371305269</t>
        </is>
      </c>
      <c r="B35" t="inlineStr">
        <is>
          <t>Product Manager</t>
        </is>
      </c>
      <c r="C35" t="inlineStr">
        <is>
          <t>iperceptions</t>
        </is>
      </c>
      <c r="D35" t="inlineStr">
        <is>
          <t>linkedin</t>
        </is>
      </c>
      <c r="E35" t="inlineStr"/>
      <c r="F35" t="inlineStr"/>
      <c r="G35" t="inlineStr">
        <is>
          <t>Lake Mary, FL</t>
        </is>
      </c>
      <c r="H35" t="inlineStr"/>
      <c r="I35" t="inlineStr">
        <is>
          <t>**Product Manager** 
 Hybrid
 At Frontline Insurance, we are on a mission to Make Things Better, and our Product Manager plays a pivotal role in achieving this vision.  We strive to provide high quality service and proactive solutions to all our customers to ensure that we are making things better for each one.
 What makes us different? At Frontline Insurance, our core values – Integrity, Patriotism, Family, and Creativity – are at the heart of everything we do. We’re committed to making a difference and achieving remarkable things together. If you’re looking for a role, as a Product Manager, where you can make a meaningful impact and grow your career, your next adventure starts here!
 Our Product Manager enjoys robust benefits:
* Hybrid work schedule!
* Health \&amp; Wellness:  Company\-sponsored Medical, Dental, Vision, Life, and Disability Insurance (Short\-Term and Long\-Term).
* Financial Security: 401k Retirement Plan with up to a generous 9% match
* Work\-Life Balance:  Four weeks of PTO and Pet Insurance for your furry family members.
 What you can expect as a Product Manager:
* Develop new product lines as identified by senior leadership
* Conduct and/or oversee product research and provide intelligence to senior decision makers
* Make research backed product recommendations
* Oversee and continuously improve an efficient process to manage the company’s new product form filings.
* Coordinate with rating team in support of any related rate changes
* Lead market research into competitor’s filings, emerging markets, litigation trends, and innovative policy solutions to address key issues
* Work with compliance to ensure that new products comply with applicable state and/or federal regulations.
* Identify additional product opportunities to present to senior leadership
* As part of product development, assist in the formation of the complete product line including:
* Forms
* Underwriting Guidelines
* System Requirements
* Process Guidelines
* Manage state form filings and coordinate with regulators and senior leaders as required.
* Work with various departments and senior leadership to ensure successful launch of new products
* Provide new product training for various departments where appropriate
 What we are looking for as a Product Manager:
* 10\-15 years underwriting or forms development experience
* Product development experience preferred
* 5\+ years management experience
* College degree and/or insurance designation such as CPCU or CIC
* Knowledge of forms performance in matters of litigation is preferred
* Proficiency in policy forms drafting
* Well versed in the Florida insurance regulatory process and environment
 Why work for Frontline Insurance?
 At Frontline Insurance, we’re more than just a workplace – we’re a community of innovators, problem solvers, and dedicated professionals committed to our core values: Integrity, Patriotism, Family, and Creativity. We provide a collaborative, inclusive, and growth\-oriented work environment where every team member can thrive.
 Frontline Insurance is an equal\-opportunity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is>
      </c>
    </row>
    <row r="36">
      <c r="A36" t="inlineStr">
        <is>
          <t>li-4371169417</t>
        </is>
      </c>
      <c r="B36" t="inlineStr">
        <is>
          <t>Senior Product Manager</t>
        </is>
      </c>
      <c r="C36" t="inlineStr">
        <is>
          <t>Meltwater</t>
        </is>
      </c>
      <c r="D36" t="inlineStr">
        <is>
          <t>linkedin</t>
        </is>
      </c>
      <c r="E36" t="inlineStr"/>
      <c r="F36" t="inlineStr"/>
      <c r="G36" t="inlineStr">
        <is>
          <t>Charlotte, NC</t>
        </is>
      </c>
      <c r="H36" t="inlineStr"/>
      <c r="I36" t="inlineStr">
        <is>
          <t>**Description**
 About the Role
 Meltwater is looking for a Senior Product Manager to lead Search Services \- the foundational capabilities that power how customers discover, refine, organize, and reuse data across our social and media intelligence platform.
 Search sits at the heart of Meltwater’s products. The systems you own will enable customers to move seamlessly from exploration to insight, supporting workflows that span saved searches, filtering, enrichment, and downstream analytics and reporting. Your work will directly shape how efficiently users surface trends, monitor narratives, and make data\-driven decisions at scale.
 This role is ideal for a product leader who enjoys operating at the intersection of platform architecture, user experience, and data\-driven insights, and who thrives on solving complex problems with broad organizational impact.
 What You’ll Own
 Core Search \&amp; Asset Services
* Own the strategy and evolution of the services that allow customers to create, manage, organize, and reuse searches and related assets across Meltwater’s platform
* Enable intuitive organization and retrieval experiences that scale from individual users to large enterprise teams
* Provide reliable, scalable access to search assets and metadata for use across multiple Meltwater applications
 Search Filtering \&amp; Metadata
* Lead the development of powerful, usable search filtering capabilities, spanning both user experience and backend services
* Expand the metadata and dimensions customers can use to refine results while maintaining performance, clarity, and ease of use
* Define reusable filtering patterns that can be consistently applied across products and surfaces
 Cross\-Product Workflows
* Identify opportunities to connect search creation with downstream analysis, reporting, and monitoring workflows
* Enable natural, efficient transitions between finding data and turning it into insights across the Meltwater ecosystem
 What You’ll Do
* Define and execute a clear product vision and roadmap for Search Services in close partnership with Design and Engineering
* Balance near\-term delivery with longer\-term platform strategy and scalability
* Establish and track meaningful product KPIs, using data to inform decisions and continuously improve outcomes
* Collaborate closely with Product, Engineering, UX, Product Marketing, and Customer\-facing teams to align solutions with customer needs and business priorities
* Communicate progress, trade\-offs, and direction clearly to stakeholders across the organization
 What You’ll Bring
* 7\+ years of product management experience, with ownership of complex product areas involving search, data retrieval, content organization, or platform services
* Strong technical fluency, with the ability to partner effectively with engineering teams on APIs, services, and data\-driven systems
* Experience designing products that balance flexibility, usability, and performance at scale
* Proven ability to use product usage data and platform metrics to evaluate success and guide iteration
* Excellent communication and collaboration skills, with a track record of aligning cross\-functional teams around shared outcomes
* A strategic mindset paired with a hands\-on approach to execution
* Bachelor’s degree or equivalent practical experience required; advanced degree a plus.
 Why Join Meltwater
 At Meltwater, you’ll work on products that help organizations around the world understand the narratives shaping their industries. As Senior Product Manager for Search Services, you’ll own a highly visible, high\-impact product area that influences nearly every customer workflow \- and you’ll help define how search and insight generation evolve across a complex, data\-rich platform.
**What We Offer** 
 :
* 
+ Enjoy flexible paid time off that allows you to have an enhanced work\-life balance.
+ Excellent medical, dental, and vision options
+ 401(k) matching, life insurance, commuter benefits, and parental leave plans
+ Complimentary CalmApp subscription for you and your loved ones, because mental wellness matters.
+ Energetic work environment with a hybrid work style, providing the balance you need.
+ Thrive within our inclusive community and seize ongoing professional development opportunities to elevate your career.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
 We may use AI to assist in aspects of our hiring process, such as reviewing candidate information and supporting evaluation activities. These tools are used only to assist our team through increased efficiencies. Every output continues to be reviewed by humans, and all hiring decisions are made by humans. We remain committed to evaluating candidates fairly, consistently, and in compliance with all applicable laws.</t>
        </is>
      </c>
    </row>
    <row r="37">
      <c r="A37" t="inlineStr">
        <is>
          <t>li-4371485535</t>
        </is>
      </c>
      <c r="B37" t="inlineStr">
        <is>
          <t>Product Manager - Mobile Experiences</t>
        </is>
      </c>
      <c r="C37" t="inlineStr">
        <is>
          <t>Tive</t>
        </is>
      </c>
      <c r="D37" t="inlineStr">
        <is>
          <t>linkedin</t>
        </is>
      </c>
      <c r="E37" t="inlineStr"/>
      <c r="F37" t="inlineStr"/>
      <c r="G37" t="inlineStr"/>
      <c r="H37" t="inlineStr"/>
      <c r="I37" t="inlineStr">
        <is>
          <t>At Tive, we imagine a fully\-transparent world in which everything and everyone is connected. We innovate beyond what the world thought possible—so what people hold near and dear arrives on time and in full.
 We believe (and live!) four core values:
* Transparency First: We make everything visible so that everyone can operate better
* Always strive to make things simpler
* We are One Team, we have each other's backs
* Relentless iteration to optimize and improve
 Whether shipped by road, rail, ocean, or air, Tive reduces shipment delays, minimizes rejected loads, and decreases theft, damage, and spoilage. Our customers count on Tive to ensure that their shipments are delivered on time and in full—because every shipment matters.
 As the Product Manager for mobile experiences, you will own and evolve our mobile product—used daily by drivers, logistics operators, and frontline teams across the supply chain. You’ll be responsible for defining strategy, driving execution, and delivering intuitive, reliable mobile products that operate in high\-stakes, real\-world environments.
**Our Ideal Candidate Must Have**
* Bachelor's degree. Business, engineering, computer science, or related fields preferred.
* 5\+ total years of work experience and 3\+ years of product management experience
* Self\-starter with a proactive attitude and ability to thrive in a dynamic, entrepreneurial environment
* Proven track record of successfully shipping products and driving business results
* Strong analytical skills with the ability to use data to inform decision\-making
****Nice to Have****
* Experience delivering successful mobile experiences
* Experience delivering successful B2B products
* Previous experience at a high growth technology startup
**What You’ll Be Doing**
* Own the mobile product strategy and roadmap, aligned to company and customer outcomes
* Own the success and execution of initiatives, from concept to launch, including prioritizing features, creating product requirements, and coordinating release plans.
* Translate complex logistics workflows into simple, intuitive mobile experiences
* Maintain an exceptional product quality bar through deep collaboration during product development and ownership of launch decisions at the end of the process.
* Conduct user research with drivers, warehouse teams, and operations leaders to deeply understand real\-world constraints (connectivity, safety, time pressure)
* Define clear requirements, success metrics, and tradeoffs for mobile initiatives
* Manage execution across iOS and Android, including feature parity, performance, and reliability
* Balance near\-term delivery with long\-term mobile platform investments
* Communicate progress, decisions, and learnings to stakeholders across the company
**Need To Know Info**
* This role is remote, however candidates must be located in EST
* If you are located near our Boston HQ, you are welcome to work hybrid remote.
****What does Tive offer?****
* A chance to join what may very well turn out to be the most important company in your career.
* The autonomy and resources to build what you know how to build.
* Work with a committed global team that have each others back.
* Office\-based or hybrid options. Your choice.
* Competitive equity to ensure all of our employees have a sense of ownership in the long\-term success of Tive’s growth.
**We celebrate diversity, and consider it key to our success as both a team and a company. We are proud to be an equal\-opportunity employer, and we are committed to creating an inclusive environment of mutual respect for all employees.**</t>
        </is>
      </c>
    </row>
    <row r="38">
      <c r="A38" t="inlineStr">
        <is>
          <t>li-4371494085</t>
        </is>
      </c>
      <c r="B38" t="inlineStr">
        <is>
          <t>Technical Product Owner</t>
        </is>
      </c>
      <c r="C38" t="inlineStr">
        <is>
          <t>KCF Technologies, Inc.</t>
        </is>
      </c>
      <c r="D38" t="inlineStr">
        <is>
          <t>linkedin</t>
        </is>
      </c>
      <c r="E38" t="inlineStr"/>
      <c r="F38" t="inlineStr"/>
      <c r="G38" t="inlineStr">
        <is>
          <t>State College, PA</t>
        </is>
      </c>
      <c r="H38" t="inlineStr"/>
      <c r="I38" t="inlineStr">
        <is>
          <t>**Perks \&amp; Benefits:** 
 At KCF, we are committed to providing best\-in\-class benefits, engaging development opportunities, and powerful perks that are focused on bringing out the best in you.
 Full\-time benefits include:
* 100% company\-paid Medical, Dental, Vision, Disability, and Life Insurance premiums
* Health Savings Account with generous employer contributions
* Flexible work model for most positions, “work from home, work from anywhere”
* Competitive compensation \&amp; bonus opportunities
* Four weeks Paid Time Off; Paid Holidays \+ "Flex" Holiday
* 401(k) with company match
* Monthly cell phone and internet stipend
* $500 annual wellness reimbursement
* Learning culture committed to growth and continuous development
**Mission \&amp; Values:** 
 KCF Technologies exists to solve the world's machine health problems to drive safety and sustainability for our communities. We empower industry to eradicate downtime, waste, and injuries with KCF's Machine Health Solutions Platform.
 Learn more at www.kcftech.com
 Curious about what working at KCF is really like? Explore Life at KCF here! If you’re an A\-player who wants to be part of one of the most important companies revitalizing machine health across the world, KCF is the place for you. If our values resonate with you, please keep reading!
 Core Values:
 Smarts:
 We are humbly aggressive lifelong learners.
 Grit:
 We are scrappy, proactive problem solvers who don’t stop until the job is done.
 Drive:
 We demonstrate an insatiable hunger to serve others.
 Responsibility:
 We do the right thing and contribute to the greater good.
 Autonomy:
 We own our work and define how we do it, while aligned with the greater mission.
**Essential Functions:** 
* Work with stakeholders to define product vision, strategy, and the roadmap.
* Identify and document business requirements to fulfill the Roadmap initiatives along with acceptance criteria and work with Technical Leads to capture the technical and non\-functional requirements.
* Prioritize features based on business value, technical complexity, and customer feedback.
* Work closely with development teams to ensure timely delivery of features and enhancements.
* Conduct market research and competitive analysis to identify new opportunities and stay ahead of industry trends.
* Collaborate with other Technical Product Owners to prioritize features and resources across various bodies of work.
* Act as a subject matter expert for your product area, providing guidance and support to internal teams and stakeholders.
* Lead Initiative Kick\-Offs, Progress Reviews, and assist with knowledge sharing during Refinements and Sprint Planning sessions.
* Monitor and analyze product adoption rates and key performance metrics to track product performance and identify areas for improvement.
* Continuously iterate and improve products based on user feedback and market insights.
* Other duties as assigned by the supervisor and other KCF leadership staff.
**Qualifications:** 
* Prior experience as a Technical Product Owner or a similar role in a software, hardware, or analytics development environment preferred
* Strong understanding of Agile methodologies and frameworks (e.g. Scrum, Kanban)
* Superb communication skills with the ability to effectively collaborate with cross\-functional teams
* Solid technical background with experience in software development, web technologies, and cloud platforms
* Proven experience managing several large projects with tight timelines effectively
* Strong analytics and problem\-solving skills
* Ability to thrive in a fast\-paced, dynamic environment and manage multiple priorities simultaneously
* Experience working with Azure DevOps, GitHub, or other similar software development tools
* Bachelor’s degree in Computer Science, Engineering, or similar related field preferred
 At KCF Technologies, we are an Equal Opportunity Employer. The only things we require for employment, compensation, advancement and benefits are performance and a good team attitude. No one will be denied opportunities or benefits, and no employment decisions will be made, on the basis of race, religion/creed, national origin, ancestry, sex, sexual orientation, gender, gender identity, age, disability that does not prohibit performance of essential job functions, protected veteran status, medical condition, marital status, pregnancy, genetic information, possession of a general education development certificate (“GED”) as compared to a high school diploma, or any other characteristic protected by applicable federal or state laws. KCF complies with applicable state and local laws governing nondiscrimination in employment in every location in which KCF has facilities.</t>
        </is>
      </c>
    </row>
    <row r="39">
      <c r="A39" t="inlineStr">
        <is>
          <t>li-4363910011</t>
        </is>
      </c>
      <c r="B39" t="inlineStr">
        <is>
          <t>Product Manager (Retention and Rewards)</t>
        </is>
      </c>
      <c r="C39" t="inlineStr">
        <is>
          <t>Covert Recruiting</t>
        </is>
      </c>
      <c r="D39" t="inlineStr">
        <is>
          <t>linkedin</t>
        </is>
      </c>
      <c r="E39" t="inlineStr"/>
      <c r="F39" t="inlineStr"/>
      <c r="G39" t="inlineStr"/>
      <c r="H39" t="inlineStr"/>
      <c r="I39" t="inlineStr">
        <is>
          <t>**Product Manager, Retention \&amp; Rewards** 
**Full Time** 
**Full Remote** 
**$120\-150k base salary plus benefits.** 
**About the Client Company:** 
 We are a fast\-growing consumer fintech platform focused on expanding access to education and helping students reduce financial burden. Operating at the intersection of fintech, education, and payments, we build scalable products that drive long\-term value for millions of members. Our team prioritizes sustainable growth, strong unit economics, and meaningful user impact.
**The Role** 
 We are hiring a Product Manager, Retention \&amp; Rewards to own strategy and execution for increasing monthly active users (MAUs) and strengthening long\-term engagement.
 This is a high\-impact individual contributor role with full ownership of retention and engagement initiatives. You will lead the roadmap for rewards, lifecycle engagement, and in\-product experiences that deepen habit formation and long\-term value.
 You’ll collaborate closely with engineering, design, marketing, operations, and data to build durable growth loops and scalable retention systems.
**What You’ll Own** 
* MAU growth and retention across key lifecycle milestones
* Rewards strategy and roadmap (earning, redemption, ledger experience, expansion)
* Engagement surfaces including mobile, browser extensions, and in\-app experiences
* Lifecycle strategy across email, push, SMS, and in\-product messaging
* Experimentation and analytics to identify high\-leverage retention opportunities
* Cross\-functional execution to ship features that increase engagement and long\-term value
* Strategic input on product economics, user value, and support impact
* Platform\-level thinking across rewards, engagement tools, and core user flows
**What You Bring** 
* Proven experience as a retention, lifecycle, or rewards\-focused product manager in a consumer or fintech environment
* Strong analytical capability and comfort working in SQL; able to build dashboards and use data to guide decisions
* Track record of leading high\-impact initiatives in fast\-paced environments
* Experience with notifications, lifecycle messaging, rewards systems, or browser\-based products is a plus
* Ability to translate complex retention mechanics into intuitive product experiences
* Strong communication and cross\-functional collaboration skills
* Comfort operating in ambiguity and building from first principles
* A high\-performing individual contributor who enjoys ownership and deep work</t>
        </is>
      </c>
    </row>
    <row r="40">
      <c r="A40" t="inlineStr">
        <is>
          <t>li-4371440724</t>
        </is>
      </c>
      <c r="B40" t="inlineStr">
        <is>
          <t>Sr. Product Manager - Specialty Pharmacy</t>
        </is>
      </c>
      <c r="C40" t="inlineStr">
        <is>
          <t>Omnicell</t>
        </is>
      </c>
      <c r="D40" t="inlineStr">
        <is>
          <t>linkedin</t>
        </is>
      </c>
      <c r="E40" t="inlineStr"/>
      <c r="F40" t="inlineStr"/>
      <c r="G40" t="inlineStr">
        <is>
          <t>Austin, TX</t>
        </is>
      </c>
      <c r="H40" t="inlineStr"/>
      <c r="I40" t="inlineStr">
        <is>
          <t>The
 **Senior Product Manager – Specialty Pharmacy** 
 will lead the vision, strategy, and execution of our next‑generation specialty pharmacy. This individual will transform our current managed service offering into a
 **modular, scalable, technology‑first platform built on OmniSphere** 
 , enabling health systems to establish, manage, and optimize their own entity‑owned specialty pharmacies.
 In this role, you will define the product direction for a rapidly growing and strategically critical business. You’ll partner closely with engineering, design, operations, clinical, data science, and go‑to‑market teams to translate the evolving needs of health systems, pharmacists, prescribers, and patients into a compelling and differentiated product experience. You will guide products through the full lifecycle—from discovery and strategy to launch, customer adoption, and iterative enhancement—delivering meaningful improvements in patient access, pharmacy growth, operational efficiency, and margin performance.
**Key Responsibilities**
* Set and own the long‑term product strategy and roadmap for the Specialty Pharmacy platform, grounded in market trends, regulatory dynamics, payer/benefit design shifts, competitive offerings, and deep customer insight.
* Transform the specialty pharmacy offering from a managed model into a configurable, modular SaaS platform delivered on OmniSphere, enabling scalability, automation, and repeatability across health systems.
* Lead cross\-functional product development, partnering with Engineering, UX, Clinical, Operations, Data, Sales, and Marketing to ensure high‑quality delivery, launch readiness, and ongoing alignment across the business.
* Engage directly with health systems to uncover unmet needs, validate hypotheses, and shape product direction through research, interviews, workflow observations, and pilot programs.
* Drive rigorous prioritization, balancing customer value, strategic impact, technical considerations, and revenue potential—while managing innovation vs. technical debt vs. foundational work.
* Develop compelling value propositions and product positioning that support commercial readiness, pricing strategies, and differentiated messaging in the market.
* Ensure compliance and quality, aligning with regulatory, clinical, and pharmacy best practices in collaboration with internal experts.
* Monitor product performance to identify opportunities to improve adoption, reduce cost, accelerate time‑to‑value, or strengthen customer satisfaction.
**Required Qualifications**
* 5\+ years of product management experience delivering complex technology solutions (SaaS, platforms, workflow systems, or health IT).
* Experience in specialty pharmacy, pharmacy operations, health system solutions, care management, or medical benefit/claims workflows. Strong understanding of healthcare operations, specialty pharmacy workflows, or adjacent areas (e.g., prior authorization, benefits verification, HUB services, payer engagement).
* Deep experience translating user workflows and business models into structured product capabilities and platform components.
* Demonstrated ability to collaborate across technical and non‑technical teams and influence without authority.
* Proven success leading products from concept to launch in fast‑paced environments.
* Data‑driven mindset with the ability to define metrics, interpret insights, and make informed prioritization decisions.
* Skilled at breaking down complex problems into simple, actionable solutions.
* Proficient in modern product management tools (e.g., Jira, Confluence). Familiarity with AI prototyping tools (e.g., Builder.io, Figma AI)
* Excellent communication, storytelling, and presentation skills.
**Preferred Qualifications**
* Background working with platform architecture or modular product ecosystems.
* Familiarity with healthcare interoperability (FHIR, HL7\), EHR integrations, or pharmacy systems.
* Experience managing regulated healthcare products or working within hospital/health system environments.
* Bachelor’s degree in engineering, computer science, business, pharmacy, or related field; advanced degree or MBA a plus.
* Customer‑facing experience in technical, consulting, or implementation roles.
**Work Conditions**
* Remote position.
* Occasional travel up to 20% for customer visits, conferences, and internal collaboration.</t>
        </is>
      </c>
    </row>
    <row r="41">
      <c r="A41" t="inlineStr">
        <is>
          <t>li-4371199275</t>
        </is>
      </c>
      <c r="B41" t="inlineStr">
        <is>
          <t>Senior Product Manager</t>
        </is>
      </c>
      <c r="C41" t="inlineStr">
        <is>
          <t>Hiive</t>
        </is>
      </c>
      <c r="D41" t="inlineStr">
        <is>
          <t>linkedin</t>
        </is>
      </c>
      <c r="E41" t="inlineStr"/>
      <c r="F41" t="inlineStr"/>
      <c r="G41" t="inlineStr">
        <is>
          <t>Portland, OR</t>
        </is>
      </c>
      <c r="H41" t="inlineStr"/>
      <c r="I41" t="inlineStr">
        <is>
          <t>Recognized as one of Canada’s top startups two years in a row — climbing from \#4 in 2024 to \#2 in 2025 — Hiive is a fintech/marketplace startup connecting buyers and sellers of stock in venture\-backed pre\-IPO companies🚀. Thanks to our industry\-leading technology and best\-in\-class sales and trading team, we are home to the fastest\-growing marketplace for the stock of “unicorns” on the planet. As a profitable and rapidly growing business backed by US venture capital investors, we are seeking to scale our high\-performing team.
 Interested in learning more about life at Hiive? Check out our careers page to see how you can grow with us!
 As a
 **Senior Product Manager** 
 , you would join our fast growing product team reporting to an experienced product leader with over 25 years in the industry. Hiive has a modern tech stack and quality engineering that ships high\-quality updates quickly. You will be expected to ramp up quickly and work with designers and engineers to deliver meaningful change in the business.
**In This Role, Your Responsibilities Would Include**
* Being a masterful prioritizer, able to balance competing objectives, customer versus business needs, and short\-term and long\-term goals.
* Being a highly organized thinker, able to structure their process around mental models and communicate those thoughts.
* Having a customer\-centric mindset and a passion for improving user experiences.
* Understanding systems and how to change them to achieve business and user goals while addressing the implications of change.
* Having a deep understanding and experience in effective product development processes.
**Required Experience**
* 6\+ years of product management experience at early\-stage to growth\-stage startups.
* A proven track record of managing and launching multiple successful products or large features that have solved meaningful customer problems.
* Strong analytical and problem\-solving skills, with the ability to work with databases and analytics tools to make data\-driven decisions.
* Defining, measuring, and optimizing around product KPIs.
* Exceptional communication and presentation skills.
* Experience collaborating with cross\-functional teams, including engineering, design, marketing and sales.
**Preferable Experience**
* Experience in marketplaces of any kind, fintech, or similar.
* Software engineering background.
* Knowledge of Amplitude and Business Intelligence solutions for querying data.
**Benefits**
* Opportunity to participate in ownership of a rapidly growing early\-stage startup through our employee stock option plan.
* Comprehensive 100% employer\-paid health and dental premiums, and a health spending account.
* A dedicated desk in our Vancouver, BC HQ, in the heart of downtown, with a fridge stocked with healthy snacks and drinks, an onsite gym and a gorgeous rooftop amenity.
* Preference to those willing to work in our Vancouver, BC HQ, with a first\-class view of the mountains. Open to Canadian or US\-based remote candidates.
* Enjoy a $20 per day commuter benefit for every day you work in our Vancouver HQ.
* An engaging social calendar, including bi\-weekly catered lunches, bi\-weekly “Friday bar”, team workouts, annual summer party and holiday party, two “onsite” all\-team retreats each year, semi\-annual team\-building events, and Hiive Womens’ Network events.
* Significant opportunities for growth into team leadership and management roles.
* Entrepreneurial culture, and a small and dynamic team.
* Sponsorship, immigration and relocation for exceptional candidates.
 Hiive is committed to fostering an inclusive workplace where all individuals have an opportunity to succeed.</t>
        </is>
      </c>
    </row>
    <row r="42">
      <c r="A42" t="inlineStr">
        <is>
          <t>li-4371199338</t>
        </is>
      </c>
      <c r="B42" t="inlineStr">
        <is>
          <t>Product Manager - User Experience</t>
        </is>
      </c>
      <c r="C42" t="inlineStr">
        <is>
          <t>TradeCentric</t>
        </is>
      </c>
      <c r="D42" t="inlineStr">
        <is>
          <t>linkedin</t>
        </is>
      </c>
      <c r="E42" t="inlineStr"/>
      <c r="F42" t="inlineStr"/>
      <c r="G42" t="inlineStr">
        <is>
          <t>Charlottesville, VA</t>
        </is>
      </c>
      <c r="H42" t="inlineStr"/>
      <c r="I42" t="inlineStr">
        <is>
          <t>**Department:** 
 Product
**Location:** 
 US \- Remote
**Description**
**Job Summary:**
 At TradeCentric, we're transforming how B2B suppliers and buyers transact digitally by simplifying complicated workflows through innovation, AI and thoughtful design. We’re seeking a seasoned
 **Product Manager \- User Experience** 
 to drive the product roadmap and evolve the user experience across our product suite with a strong focus on technical, expert users.
 This role is responsible for defining and executing UX\-driven and data\-informed initiatives for highly technical platforms, partnering closely with Design, Engineering, and Go\-To\-Market teams. You will lead efforts that improve self\-service and insight generation for users who interact directly with complex configuration, integration and operation workflows.
 The ideal candidate will have previous experience working on complex SaaS products for technical users in the domains of B2B, eCommerce or Integration, and a hands\-on approach to defining clear, actionable requirements. They will also possess strong communication skills and have experience communicating at all levels, from engineers to business executives. The solutions you deliver with your team will directly contribute to customer success and support TradeCentric’s continued growth as the leader of eProcurement integration.
**Report To:** 
 Director of Product Management
**Pay Range:** 
 $135,000–$150,000 annually, plus eligibility for an annual bonus of up to 5% of base salary based on company and individual performance.
 *Final compensation is determined based on skills, experience, and qualifications.*
**Work Location:** 
 This is a
 **100% remote position** 
 . We are currently seeking candidates who are based in or near the following locations:
* Raleigh, North Carolina
* Charlottesville, Virginia
* Boston, Massachusetts
* Minneapolis, Minnesota
* Chicago, Illinois
**What You'll Do**
* Work with Product leadership and the Product Management team to plan roadmaps that align with our strategic objectives.
* Leverage customer and stakeholder feedback, product performance and usage data, and competitive analysis in roadmap planning.
* Own the definition of product requirements, including writing clear, detailed user stories and acceptance criteria that enable Engineering to refine, build, test, and deliver high\-quality solutions.
* Collaborate with QA by providing unambiguous acceptance criteria that support effective test planning and validation.
* Partner with Design to ensure complex technical workflows are intuitive, safe, and efficient for expert users.
* Collaborate with Marketing and Go\-To\-Market teams on planning, positioning, enablement, and launches.
* Leverage AI tools effectively as an accelerator to delivering intelligent and intentional products.
* Appropriately incorporate AI to streamline and enhance user workflows.
* Be the voice of the customer and subject matter expert for your product areas by supporting demos, customer conversations, internal training, and critical support escalations.
* Track key performance metrics (KPIs) to measure product success and identify areas for improvement.
* Build and maintain effective relationships with customers and technical partners.
* Support and participate in continuous improvement efforts within the Product team.
**Who You Are**
* Bachelor Degree in Business, Computer Science, or a related field is preferred.
* 4–7 years of experience as a Product Manager, ideally in B2B, eCommerce, integration, or enterprise SaaS environments.
* Demonstrated experience working on products with technical end users such as engineers, integration specialists, administrators, or system operators.
* Excellent organizational and prioritization skills, with the ability to manage multiple initiatives simultaneously.
* Strong UX sensibility with ability to simplify complex workflows for both technical and business users.
* Analytical mindset, with the ability to interpret data and make data\-driven decisions.
* Excellent communication and interpersonal skills, with the ability to effectively collaborate with cross\-functional teams, communicate at an Executive level, as well as write User Stories.
* A great teammate. Confident and passionate, yet humble and empathetic.
* Comfortable working within an Agile development environment.
**Company Benefits**
 At TradeCentric, we have a strong and innovative team dedicated to transforming the way our clients do business. It is our people who make it happen and we strive to take care of our employees in every way we can. Below is a list of benefits that are offered to employees, once eligibility is met:
 🕒 Flexible Time Off
 🕒 Volunteer Time Off
 🩺 Health Benefits: Medical, Dental and Vision
 💰 Health Savings Account (HSA) and Flexible Spending Account (FSA)
 👨‍👩‍👧‍👦 Dependent Care FSA (DCFSA)
 📈 401k with Company Match
 👶 Paid Parental Leave
 🛡️ Company paid Short Term \&amp; Long Term Disability
 🛡️ Company paid Life Insurance
 🏠 Monthly Work from Home Stipend
 🎓 Professional Development Reimbursement Program
**TradeCentric is an equal opportunity employer (M/F/D/V).**
 We recruit, employ, train, compensate, and promote without regard to race, religion, creed, color, national origin, age, gender, sexual orientation, gender identity, marital status, disability, veteran status, or any other basis protected by applicable federal, state or local law.
 Reasonable accommodations may be made to enable individuals with disabilities to perform the essential functions.</t>
        </is>
      </c>
    </row>
    <row r="43">
      <c r="A43" t="inlineStr">
        <is>
          <t>li-4342794544</t>
        </is>
      </c>
      <c r="B43" t="inlineStr">
        <is>
          <t>Product Manager - Accounts</t>
        </is>
      </c>
      <c r="C43" t="inlineStr">
        <is>
          <t>Vercel</t>
        </is>
      </c>
      <c r="D43" t="inlineStr">
        <is>
          <t>linkedin</t>
        </is>
      </c>
      <c r="E43" t="inlineStr"/>
      <c r="F43" t="inlineStr"/>
      <c r="G43" t="inlineStr">
        <is>
          <t>San Francisco, CA</t>
        </is>
      </c>
      <c r="H43" t="inlineStr"/>
      <c r="I43"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**About the Role:**
 We’re looking for a scrappy and high\-output Product Manager to lead key initiatives in identity, authentication, and growth infrastructure. You’ll play a pivotal role in shaping how developers and teams interact with Vercel \- from individual accounts to enterprise organizations. You’ll drive strategic initiatives like account model evolution, RBAC, third\-party integrations, and simplified sign\-in flows.
 This is a highly cross\-functional role that requires a hands\-on mindset, analytical thinking, and a strong product sense. You’ll work closely with Engineering, Design, GTM, and Executive stakeholders to ensure we’re building scalable systems that grow with our users.
 If you’re based within a pre\-determined commuting distance of one of our offices (SF, NY, London, or Berlin), the role includes in\-office anchor days on Monday, Tuesday, and Friday. If you're located beyond that distance, the role is fully remote. For location\-specific details, please connect with our recruiting team.
**What You Will Do:**
* Own the Identity \&amp; Access roadmap: Drive key initiatives around authentication, authorization, organization modeling, and secure access controls.
* Optimize the account experience: Iterate on signup, login, and onboarding flows for hobbyists, pros, and enterprise users through data\-driven experimentation.
* Scale access for enterprises: Design features that enable complex org structures and secure collaboration via RBAC, SSO, SCIM, and more.
* Drive integrations: Ensure seamless interoperability with key platforms, identity providers, and marketplaces.
* Set Vercel standards: Shape account and access patterns that feel native to developers across tools and ecosystems.
* Turn feedback into action: Translate data, user research, and customer conversations into clear product requirements and strategies.
**About You:**
* Proven ability to get things done with speed and focus \- able to thrive in a fast\-moving environment without heavy process.
* Strong analytical and structured thinking\- you can navigate tradeoffs and design scalable systems with clarity.
* A collaboration\-first mindset \- you work exceptionally well with Engineers, Designers, and Execs.
* Deep experience with authentication, authorization, identity, and security\-focused product areas.
* Understanding of organizational modeling (e.g. user vs. team vs. enterprise) and implementing secure role\-based access systems.
* Experience building B2B SaaS or cloud products, especially in fast\-growing AI\-native companies.
* You’re a power user of AI tools and stay up to speed on the evolution of the AI and developer tooling space.
**Bonus If You:**
 Have a passion for Vercel \&amp; Frontend Ecosystem: You appreciate our mission, understand the needs of modern developers, and have opinions about where frontend technology is headed.
**Benefits:**
* Competitive compensation package, including equity.
* Inclusive Healthcare Package.
* Learn and Grow \- we provide mentorship and send you to events that help you build your network and skills.
* Flexible Time Off.
* We will provide you the gear you need to do your role, and a WFH budget for you to outfit your space as needed.
 The San Francisco, CA base pay range for this role is $168,000\-$252,000\.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44">
      <c r="A44" t="inlineStr">
        <is>
          <t>li-4311326471</t>
        </is>
      </c>
      <c r="B44" t="inlineStr">
        <is>
          <t>Senior Product Manager</t>
        </is>
      </c>
      <c r="C44" t="inlineStr">
        <is>
          <t>Qualcomm</t>
        </is>
      </c>
      <c r="D44" t="inlineStr">
        <is>
          <t>linkedin</t>
        </is>
      </c>
      <c r="E44" t="inlineStr"/>
      <c r="F44" t="inlineStr"/>
      <c r="G44" t="inlineStr">
        <is>
          <t>Folsom, CA</t>
        </is>
      </c>
      <c r="H44" t="inlineStr"/>
      <c r="I44" t="inlineStr">
        <is>
          <t>**Company**
 Qualcomm Technologies, Inc.
**Job Area**
 Operations Group, Operations Group \&gt; Product Management
**General Summary**
 Qualcomm is looking for an experienced Windows Product Manager with passion for Windows software solutions running on Windows on Snapdragon on Qualcomm SoCs.
 Ideal candidate has background to understand and identify product categories across multiple layers of Software, Windows Operating System, Kernel, Compiler, Drivers, BIOS features, Enterprise Software ..Etc. As a Windows Software Product Manager, you'll be owning and driving all platform software aspects and producing best in class solutions for next generation of Consumer, and Enterprise products based on Windows on Snapdragon.
 In this role you will work closely with software architects, OS and kernel developers, CPU architects and SOC architects to define performance optimization strategies to deliver the best performing Windows on Snapdragon desktop devices.
 We are looking for a self\-starter, with excellent people and leadership skills to drive analysis and planning with senior technical members from broad set of teams across Qualcomm and external partners. Should be able to self\-manage and work through ambiguous issues and requirements. The candidate should have strong written and verbal communication skills.
**Responsibilities**
* Development of software architecture that scales and is portable across diverse Windows on Snapdragon compute products based on Qualcomm SoCs
* Partner closely with the core technology teams to create a roadmap of software offerings to OEMs, ODMs \&amp; third\-party application vendors.
* The right candidate would need to have a deep technical understanding to work and drive software engineering to achieve the above goals. The candidate will need to work with multiple teams from technology product management and engineering and must have the ability to work across teams and build consensus.
* Deep understanding of Windows Operating System
* Proficiency with software portability across multiple generation hardware platforms
* Present data to the team and leadership on product software gaps and options to close the gaps and expand market reach.
* Collaborate with internal teams and external partners for analysis, optimizations, benchmarks ..etc.
* Collaborates with others inside and outside of project team to accomplish project objectives.
* Makes decisions based on incomplete, contradictory, and ambiguous requirements and information that affect policies and multiple teams in the software development process. Manages project priorities, deadlines, and deliverables for larger projects.
* Acts as a tech lead on projects and owns the outcome of the project.
* Leads others with technical credibility.
**Minimum Qualifications**
* Bachelor's degree in Engineering, Information Systems, Computer Science, Humanities, or related field.
* 4\+ years of Product Management or related work experience.
**Preferred Qualifications**
* 7\+ years of Product Management or related work experience.
* 2\+ years of working with operating budgets and/or project financials.
* 2\+ years of negotiating 3rd party business agreements.
* 2\+ years of working in a large matrixed organization.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$162,400\.00 \- $243,600\.00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45">
      <c r="A45" t="inlineStr">
        <is>
          <t>li-4371170352</t>
        </is>
      </c>
      <c r="B45" t="inlineStr">
        <is>
          <t>Senior Product Manager</t>
        </is>
      </c>
      <c r="C45" t="inlineStr">
        <is>
          <t>Meltwater</t>
        </is>
      </c>
      <c r="D45" t="inlineStr">
        <is>
          <t>linkedin</t>
        </is>
      </c>
      <c r="E45" t="inlineStr"/>
      <c r="F45" t="inlineStr"/>
      <c r="G45" t="inlineStr">
        <is>
          <t>Washington, DC</t>
        </is>
      </c>
      <c r="H45" t="inlineStr"/>
      <c r="I45" t="inlineStr">
        <is>
          <t>**Description**
 About the Role
 Meltwater is looking for a Senior Product Manager to lead Search Services \- the foundational capabilities that power how customers discover, refine, organize, and reuse data across our social and media intelligence platform.
 Search sits at the heart of Meltwater’s products. The systems you own will enable customers to move seamlessly from exploration to insight, supporting workflows that span saved searches, filtering, enrichment, and downstream analytics and reporting. Your work will directly shape how efficiently users surface trends, monitor narratives, and make data\-driven decisions at scale.
 This role is ideal for a product leader who enjoys operating at the intersection of platform architecture, user experience, and data\-driven insights, and who thrives on solving complex problems with broad organizational impact.
 What You’ll Own
 Core Search \&amp; Asset Services
* Own the strategy and evolution of the services that allow customers to create, manage, organize, and reuse searches and related assets across Meltwater’s platform
* Enable intuitive organization and retrieval experiences that scale from individual users to large enterprise teams
* Provide reliable, scalable access to search assets and metadata for use across multiple Meltwater applications
 Search Filtering \&amp; Metadata
* Lead the development of powerful, usable search filtering capabilities, spanning both user experience and backend services
* Expand the metadata and dimensions customers can use to refine results while maintaining performance, clarity, and ease of use
* Define reusable filtering patterns that can be consistently applied across products and surfaces
 Cross\-Product Workflows
* Identify opportunities to connect search creation with downstream analysis, reporting, and monitoring workflows
* Enable natural, efficient transitions between finding data and turning it into insights across the Meltwater ecosystem
 What You’ll Do
* Define and execute a clear product vision and roadmap for Search Services in close partnership with Design and Engineering
* Balance near\-term delivery with longer\-term platform strategy and scalability
* Establish and track meaningful product KPIs, using data to inform decisions and continuously improve outcomes
* Collaborate closely with Product, Engineering, UX, Product Marketing, and Customer\-facing teams to align solutions with customer needs and business priorities
* Communicate progress, trade\-offs, and direction clearly to stakeholders across the organization
 What You’ll Bring
* 7\+ years of product management experience, with ownership of complex product areas involving search, data retrieval, content organization, or platform services
* Strong technical fluency, with the ability to partner effectively with engineering teams on APIs, services, and data\-driven systems
* Experience designing products that balance flexibility, usability, and performance at scale
* Proven ability to use product usage data and platform metrics to evaluate success and guide iteration
* Excellent communication and collaboration skills, with a track record of aligning cross\-functional teams around shared outcomes
* A strategic mindset paired with a hands\-on approach to execution
* Bachelor’s degree or equivalent practical experience required; advanced degree a plus.
 Why Join Meltwater
 At Meltwater, you’ll work on products that help organizations around the world understand the narratives shaping their industries. As Senior Product Manager for Search Services, you’ll own a highly visible, high\-impact product area that influences nearly every customer workflow \- and you’ll help define how search and insight generation evolve across a complex, data\-rich platform.
**What We Offer** 
 :
* 
+ Enjoy flexible paid time off that allows you to have an enhanced work\-life balance.
+ Excellent medical, dental, and vision options
+ 401(k) matching, life insurance, commuter benefits, and parental leave plans
+ Complimentary CalmApp subscription for you and your loved ones, because mental wellness matters.
+ Energetic work environment with a hybrid work style, providing the balance you need.
+ Thrive within our inclusive community and seize ongoing professional development opportunities to elevate your career.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
 We may use AI to assist in aspects of our hiring process, such as reviewing candidate information and supporting evaluation activities. These tools are used only to assist our team through increased efficiencies. Every output continues to be reviewed by humans, and all hiring decisions are made by humans. We remain committed to evaluating candidates fairly, consistently, and in compliance with all applicable laws.</t>
        </is>
      </c>
    </row>
    <row r="46">
      <c r="A46" t="inlineStr">
        <is>
          <t>li-4365101550</t>
        </is>
      </c>
      <c r="B46" t="inlineStr">
        <is>
          <t>Principal Product Manager</t>
        </is>
      </c>
      <c r="C46" t="inlineStr">
        <is>
          <t>Microsoft</t>
        </is>
      </c>
      <c r="D46" t="inlineStr">
        <is>
          <t>linkedin</t>
        </is>
      </c>
      <c r="E46" t="inlineStr"/>
      <c r="F46" t="inlineStr"/>
      <c r="G46" t="inlineStr">
        <is>
          <t>Mountain View, CA</t>
        </is>
      </c>
      <c r="H46" t="inlineStr"/>
      <c r="I46" t="inlineStr">
        <is>
          <t>**Overview**
 Microsoft AI is a customer\-first organization building AI powered products in service of our customer’s business goals. The world is changing rapidly during this AI platform shift and we need Product Managers who can live in the future and bring back clarity to the present to guide our work.
 As a Principal Product Manager for Microsoft AI, you will help businesses that want to grow and expand their business using our products, data, and services through advertising and new business models that unlock AI\-first products. This role requires consistent knowledge and deep awareness of the emerging AI industry to develop new products as we have the freedom and flexibility to use the best technology in service of our customer.
 We work within Microsoft AI (MAI), an organization responsible for Copilot, Bing, Edge, MSN, and other AI\-first products. The organization has all the ingredients needed for success with Product, Engineering, Research, and Go To Market functions partnering as peers with shared goals. This enables close collaboration and rapid decision making.
 One of the reasons Microsoft AI consistently brings innovative products to market is because of the collaborative work we do in Product Management. We work closely with talented engineers, designers, marketers, creatives, customers, partners, and go\-to\-market teams to design and develop products tailored for our customer’s benefit. We run lean, obsess about users, and make decisions based on evidence. We ship regularly, so your work will have real and immediate impact. It’s a time of huge change in the AI landscape, and this role will put you right in the heart of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Drive building world\-class AI applications that will delight consumers and deliver business results .
* Own a product area and be responsible for understanding user needs and behaviors, defining product requirements, managing end\-to\-end product development, launches and iterations.
* Find a path to get things done despite roadblocks to get your work into the hands of users quickly and iteratively.
* Enjoy working in a fast\-paced, customer\-first, product development cycle.
* Translate business goals into strategy, user experience and technical requirements in close collaboration with Applied Science, Data Science, Engineering, UX and Product Marketing/Sales teams.
* Define goals and performance indicators, set up and oversee experiments, measure success with data and research.
* Embody our Culture and Values.
**Qualifications**
**Required Qualifications:**
* Bachelor's Degree AND 8\+ years experience in product/service/program management or software development
+ OR equivalent experience.
**Preferred Qualifications**
* Bachelor's Degree AND 10\+ years experience in product/service/program management or software development
* 
+ OR equivalent experience.
* 2\+ years experience leading cross functional product teams across advertising, privacy, search, conversational AI, or generative AI
* 5\+ years experience delivering products that include full Search and/or Advertising technology stack
* 5\+ years experience with data analytics and experimentation tools with working knowledge of SQL and coding skills (Python, Javascript).
* 7\+ years of experience building Ads products
* 5\+ years of experience in monetization products and B2B
* Ability to work in a fast\-paced environment, manage multiple priorities, and adapt to changing requirements and deadlines.
* Proven ability to collaborate and contribute to a positive, inclusive work environment, fostering knowledge sharing and growth within the team.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7">
      <c r="A47" t="inlineStr">
        <is>
          <t>li-4371306076</t>
        </is>
      </c>
      <c r="B47" t="inlineStr">
        <is>
          <t>Product Manager, Platforms</t>
        </is>
      </c>
      <c r="C47" t="inlineStr">
        <is>
          <t>RemoteHunter</t>
        </is>
      </c>
      <c r="D47" t="inlineStr">
        <is>
          <t>linkedin</t>
        </is>
      </c>
      <c r="E47" t="inlineStr"/>
      <c r="F47" t="inlineStr"/>
      <c r="G47" t="inlineStr"/>
      <c r="H47" t="inlineStr"/>
      <c r="I47" t="inlineStr">
        <is>
          <t>About the Opportunity:
 An experienced Product Manager is sought to join the Platform organization focused on building foundational components and cloud services that enable internal teams to launch, operate, and improve Intelligent Machines without redundant development of core capabilities. The role involves owning one or more Platform offerings or cross\-cutting capabilities, working at the intersection of robotics software, machine learning systems, fleet operations, and developer experience to turn ambiguous needs into clear product outcomes and widely adopted capabilities.
 Responsibilities:
 • Own strategy, roadmap, and outcomes for one or more Platform offerings or cross\-cutting capabilities.
 • Establish feedback loops with program teams and engineers to understand real\-world constraints such as messy data and variable environments.
 • Translate problems into clear requirements, success metrics, and prioritized backlogs; balance tradeoffs across speed, reuse, reliability, and customization.
 • Collaborate with engineering and design to iteratively ship APIs, tooling, workflows, and user experiences that teams adopt.
 • Lead onboarding, documentation, enablement, and rollout plans; measure adoption and resolve integration blockers.
 • Define and enforce production readiness standards, including reliability, observability, supportability, and backward compatibility.
 • Coordinate dependencies across Platform and program teams; reduce duplication and align on shared building blocks.
 • Define and track product metrics to guide priorities and investments.
 • Communicate clearly with stakeholders regarding narratives, status updates, decisions, and risks, especially when managing conflicting priorities or shifting timelines.
 Requirements:
 • 5\+ years of experience as a Product Manager with proven success launching and managing complex technical products.
 • Strong knowledge of robotics, autonomous systems, and machine learning technologies.
 • Familiarity with perception, environmental understanding, machine learning, path planning, and actuation.
 • Experience leading product efforts involving embedded technologies and software solutions for edge devices or autonomous systems.
 • Bachelor’s or advanced degree in computer science, engineering, or related field.
 • Strong analytical and problem\-solving skills.
 • Familiarity with Agile, Scrum, or similar software development methodologies.
 • Ability to collaborate effectively in fast\-paced, cross\-functional environments.
 • Excellent communication skills with the ability to convey technical concepts to both technical and non\-technical audiences.
 Preferred Experience and Skills:
 • Prior work on autonomous systems, machine learning, computer vision, or artificial intelligence projects.
 • Experience building platform products for engineering teams including APIs, SDKs, documentation, and onboarding, with a focus on driving adoption without mandates.
 • Knowledge of fleet operations, telemetry, incident workflows, OTA updates, and remote diagnostics.
 • Experience with cloud platforms and data\-intensive systems such as pipelines, storage, observability, and analytics.
 • Familiarity with cloud computing for edge computing and remote device management.
 • Experience leading cross\-functional product development efforts.
 • Record of innovation or research contributions in autonomous robotics.
 Benefits \&amp; Perks:
 No specific benefits or perks were detailed in the provided description.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8">
      <c r="A48" t="inlineStr">
        <is>
          <t>li-4362225736</t>
        </is>
      </c>
      <c r="B48" t="inlineStr">
        <is>
          <t>Product Owner</t>
        </is>
      </c>
      <c r="C48" t="inlineStr">
        <is>
          <t>Zayo Group</t>
        </is>
      </c>
      <c r="D48" t="inlineStr">
        <is>
          <t>linkedin</t>
        </is>
      </c>
      <c r="E48" t="inlineStr"/>
      <c r="F48" t="inlineStr"/>
      <c r="G48" t="inlineStr">
        <is>
          <t>Denver, CO</t>
        </is>
      </c>
      <c r="H48" t="inlineStr"/>
      <c r="I48" t="inlineStr">
        <is>
          <t>**Company Description**
 Zayo provides mission\-critical bandwidth to the world’s most impactful companies, fueling the innovations that are transforming our society. Zayo’s 141,000\-mile network in North America and Europe includes extensive metro connectivity to thousands of buildings and data centers. Zayo’s communications infrastructure solutions include dark fiber, private data networks, wavelengths, Ethernet, and dedicated Internet access. Zayo serves wireless and wireline carriers, media, tech, content, finance, healthcare and other large enterprises.
 Zayo is looking for an experienced
 **Product Owner** 
 who can embed quickly into agile teams and ensure continuity in backlog creation \&amp; management, prioritization, and stakeholder alignment in anticipation of acquisition. Potential for contract to hire as long term strategy unfolds.
**Scope of Work:**
 The Product Owner will be responsible for:
* Acting as the primary point of contact for one or more agile delivery teams.
* Creating, managing and refining the team backlog in alignment business objectives
* Writing clear, actionable user stories and acceptance criteria.
* Prioritizing work based on value delivery, dependencies, and team capacity. Participating in key agile ceremonies (e.g., sprint planning, reviews, retrospectives, daily stand\-ups).
* Collaborate with cross\-functional teams to drive successful product delivery during organizational transitions.
* Partnering with business SMEs for domain knowledge transfer
* Partnering with Portfolio and Program Managers to align and prioritize overall business strategy and guide backlog refinement.
* Engaging with business stakeholders to gather requirements and translate them into product requirements.
* Ensuring delivered functionality meets business expectations and acceptance criteria.
* Escalating risks or blockers that impact delivery timelines or scope.
* Serving as the voice of the customer and internal stakeholders, ensuring business continuity.
* Data driven insights \- Leverages metrics, analytics, and feedback loops to validate assumptions, measure success, and guide product decisions
* Monitoring and communicating KPIs related to product performance, user adoption, and operational readiness in the context of post\-merger integration.
* Adaptability and continuous improvement \- Thrives in a fast\-changing environment, continuously learning and adapting based on feedback and evolving market needs.
**Deliverables:**
* A groomed and prioritized product backlog for assigned teams
* Documented user stories with clear acceptance criteria
* Participation in all agile ceremonies
* Weekly progress reports or updates to key stakeholders
* Clear articulation of risks, blockers, and mitigation plans
**Key Qualifications:**
* Minimum of three (3\) years of experience as a Product Owner
* Strong understanding of Agile frameworks (Scrum, SAFe, or equivalent)
* Proven experience translating business requirements into technical deliverables
* Excellent communication and stakeholder management skills
* Experience with tools such as Jira, Confluence, LucidChat, or similar
**Optional / Preferred Qualifications:**
* Certified Scrum Product Owner (CSPO) or SAFe Product Owner/Product Manager (POPM)
* Experience working with decentralized or offshore agile teams
* Familiarity with telecom systems like OSS/BSS, network inventory, service activation, and billing
* Experience in telecommunications and/or software delivery
**Estimated base salary range: $95,100 \- $146,300 USD/annually.**
 The base pay range shown is a guideline and reasonable estimate for this role. It takes into account the wide variety of factors that are considered in making compensation decisions. Actual compensation offered may vary from the posted range based upon geographic location, work experience, skill level, certifications, and other business and organizational needs. Non\- sales roles may be eligible to participate in a discretionary annual incentive plan. Sales roles may be eligible to participate in a sales incentive plan.
 Additionally, this position may be eligible for certain benefits, such as health insurance, life insurance, disability retirement plans, paid time off.
 The posting will be active for a minimum of 3 days. The active posting will continue to extend by 3 days until the position is filled.
**Benefits, Rewards \&amp; Wellness**
* Excellent Health, Dental \&amp; Vision Insurance
* Retirement 401(k) Savings Plan
* Generous paid time off policy including paid parental leave
 Zayo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provincial or local laws.
 This policy applies to all terms and conditions of employment, including recruiting, hiring, placement, promotion, termination, layoff, recall, transfer, leaves of absence, compensation and training.</t>
        </is>
      </c>
    </row>
    <row r="49">
      <c r="A49" t="inlineStr">
        <is>
          <t>li-4371455754</t>
        </is>
      </c>
      <c r="B49" t="inlineStr">
        <is>
          <t>Product Manager, Automation</t>
        </is>
      </c>
      <c r="C49" t="inlineStr">
        <is>
          <t>Swooped</t>
        </is>
      </c>
      <c r="D49" t="inlineStr">
        <is>
          <t>linkedin</t>
        </is>
      </c>
      <c r="E49" t="inlineStr"/>
      <c r="F49" t="inlineStr"/>
      <c r="G49" t="inlineStr"/>
      <c r="H49" t="inlineStr"/>
      <c r="I49" t="inlineStr">
        <is>
          <t>**About Our Client** 
 Our client is built from many blocks, all united by the same purpose of economic empowerment. The blocks that form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different perspectives are needed to see them all. Bring yours to the organization.
 The automation backbone of the organization is being built. The systems that will be created will decide how work flows, how decisions are made, and how fast the company can move. This platform powers automation across customer support, risk and compliance, sales and marketing, and core internal operations. When it works, the organization scales with confidence, speed, and precision.
**About The Role** 
 As a
 **Product Manager** 
 on the Automation team, the individual will shape AI products that fundamentally change how work gets done. The role will decide where automation should exist, where humans must stay in the loop, and how the two work together at scale. The work will directly impact quality, cost, growth, efficiency, and reliability across the company.
 This is a hands\-on, end\-to\-end role. The individual will be a builder, owning problems from first principles to production reality. The role will work side by side with engineering, machine learning, data, design, and operations to turn messy, ambiguous workflows into intelligent systems that deliver real results.
 The scope is deliberately broad. Focus could be on customer operations, risk and compliance, commercial teams like sales and marketing, or internal productivity tools and shared automation primitives used across the organization.
**Key Responsibilities** 
* Own the strategy and roadmap for AI\-powered products that matter
* Identify automation opportunities rooted in real user pain and measurable business outcomes
* Turn ambiguous, high\-stakes problems into clear product direction and requirements
* Partner deeply with ML engineers, data scientists, and researchers on model goals, data strategy, evaluation, and quality thresholds
* Design and run experiments to test ideas fast and learn even faster
* Define product behavior across success paths, failures, and edge cases
* Set and own metrics for accuracy, safety, latency, reliability, and user trust
* Work with design to build human\-AI interactions that are intuitive, transparent, and safe
* Collaborate with legal, security, and compliance to ship responsible AI in regulated environments
* Lead cross\-functional execution from concept to launch and continuous improvement
**Required Qualifications** 
* 6 to 9 years of product management experience, with a strong track record shipping AI or ML\-driven products
* Deep technical intuition around machine learning systems, including training loops, evaluation, prompt design, data pipelines, and real\-time inference constraints
* Experience running structured experiments such as A/B tests and offline model evaluations
* A true ownership mindset and the ability to drive complex initiatives across teams without waiting for permission
* Clear, compelling communication skills for executive, technical, and operational audiences
* Experience working in scaled, high\-stakes, or regulated environments such as risk, compliance, or operations
* Strong understanding of AI quality, safety, and responsible use
* Hands\-on experience with LLMs, multimodal models, or applied generative AI
**Preferred Qualifications** 
* Technical or analytical background
**Additional Information** 
 Every benefit offered is designed with one goal: empowering individuals to do the best work of their careers while building the life they want. Remote work, medical insurance, flexible time off, retirement savings plans, and modern family planning are just some of the offerings.
 The organization builds technology to increase access to the global economy. Each of its brands unlocks different aspects of the economy for more people.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50">
      <c r="A50" t="inlineStr">
        <is>
          <t>li-4363194490</t>
        </is>
      </c>
      <c r="B50" t="inlineStr">
        <is>
          <t>Senior Software Product Manager</t>
        </is>
      </c>
      <c r="C50" t="inlineStr">
        <is>
          <t>SPAN</t>
        </is>
      </c>
      <c r="D50" t="inlineStr">
        <is>
          <t>linkedin</t>
        </is>
      </c>
      <c r="E50" t="inlineStr"/>
      <c r="F50" t="inlineStr"/>
      <c r="G50" t="inlineStr">
        <is>
          <t>San Francisco, CA</t>
        </is>
      </c>
      <c r="H50" t="inlineStr"/>
      <c r="I50" t="inlineStr">
        <is>
          <t>**Our Mission**
**SPAN is enabling electrification for all ⚡**
 We are a mission\-driven company designing, building, and deploying products that electrify the built environment, reduce carbon emissions, and slow the effects of climate change.
* Decarbonization is the process to reduce or remove greenhouse gas emissions, especially carbon dioxide, from entering our atmosphere.
* Electrification is the process of replacing fossil fuel appliances that run on gas or oil with all\-electric upgrades for a cleaner way to power our lives.
**At SPAN, We Believe In**
* Enabling homes and vehicles powered by clean energy
* Making electrification upgrades possible
* Building more resilient homes with reliable backup
* Designing a flexible and distributed electrical grid
**The Role**
 We are looking for a passionate software product manager with experience developing engaging customer experiences especially through mobile apps. You will be responsible for the vision, detailed product requirements, and use cases for Span’s existing and future software products. This includes the two existing mobile apps for homeowners and installers as well as future web platforms and external APIs. You will constantly be testing the product to validate that features match expectations, understand product gaps, and look for improvements. You will evaluate integration opportunities between Span and distributed energy systems, smart home devices, as well as other energy management services. You will create a close relationship with all Span team members and many of our customers as some of the best product features often originate from unexpected places. You will work with the software team to implement features that will excite Span customers.
**Responsibilities**
* Define a product vision that impresses users and inspires the development team
* Own full roadmap of device software, cloud software, and mobile apps
* Drive implementation of roadmap with software team
* Write product requirement documents that clearly communicate key objectives
* Define use cases for new product concepts
* Collaborate with the business development team to analyze and approximate market sizes to make a case for or against investing in new features and integrations
* Collaborate with hardware team to ensure continuity across product development
* Develop, refine, prioritize and track the implementation of requirements and new features
* Prioritize bugs and small enhancement requests against planned feature development
* Coordinate communication of updates to internal and external audiences: business development, customer support, and app users
* Collect customer feedback; share learnings and help foster understanding and empathy for our customers throughout the entire organization
* Design usability studies, run them, and improve product features based on the results
* Define metrics to enable collaborative tradeoff decisions with the engineering team relating to product features, cost, and schedule
**About You**
**Required Qualifications**
**We Are Seeking a Software Product Manager Who Has**
* 7\+ years of experience in software product management
* Direct experience interfacing with engineering and technical development
* Experience with mobile apps
* Proven experience in managing across the complete product lifecycle, from concept to end\-of\-life
* High level of comfort with ambiguity and fast\-pace environments
**Bonus Qualifications**
 We would love to hire someone who has one or more of the following:
* Prior experience in smart home, IoT, renewable energy, or distributed energy resources
* Strong analytical and quantitative skills with the ability to use data and metrics to back up assumptions, recommendations and drive actions
* Exceptional interpersonal and communication skills, both written and verbal
* Influenced cross functional groups
* Mobile experience for both iOS and Android apps
* Experience developing requirements for APIs and coordinating documentation
* Experience with hardware products that involve firmware and embedded software
* Engineering or technical background
* Masters in Business Administration (MBA)
 Life at SPAN
 Headquartered in San Francisco’s vibrant SoMa neighborhood, we are an eclectic group of creative thinkers who value open communication, teamwork, and a ‘make it happen’ approach to addressing complex challenges.
 SPAN embraces diversity and equal opportunity in a serious way. We are committed to building a team that represents a variety of backgrounds, perspectives, and skills.
 We’re hiring talented individuals who are driven by success and are passionate about shaping the future of renewable energy. If that sounds like you, we’d love for you to consider joining the rapidly growing team at SPAN.
**The Perks**
 ⚡ Competitive compensation \+ equity grants at a well\-funded, venture\-backed company
 ⚡ Comprehensive benefits: 100% employee premiums for base plans on medical, dental, vision with options for additional coverage. Parental leave up to twenty four (24\) weeks depending on eligibility
 ⚡ Comfortable, sunny office space located near BART and Caltrain public transit
 ⚡ Strong focus on team building and company culture: Employee Resource Groups, monthly social events, SPANcakes recognition breakfast, lunch, and learns
 ⚡ Flexible hours, one holiday per month, and flexible time off
 Interested in joining our team? Apply today and we’ll be in touch with the next steps!</t>
        </is>
      </c>
    </row>
    <row r="51">
      <c r="A51" t="inlineStr">
        <is>
          <t>li-4371450522</t>
        </is>
      </c>
      <c r="B51" t="inlineStr">
        <is>
          <t>Sr. Product Manager - Specialty Pharmacy</t>
        </is>
      </c>
      <c r="C51" t="inlineStr">
        <is>
          <t>Omnicell</t>
        </is>
      </c>
      <c r="D51" t="inlineStr">
        <is>
          <t>linkedin</t>
        </is>
      </c>
      <c r="E51" t="inlineStr"/>
      <c r="F51" t="inlineStr"/>
      <c r="G51" t="inlineStr">
        <is>
          <t>Cranberry Township, PA</t>
        </is>
      </c>
      <c r="H51" t="inlineStr"/>
      <c r="I51" t="inlineStr">
        <is>
          <t>The
 **Senior Product Manager – Specialty Pharmacy** 
 will lead the vision, strategy, and execution of our next‑generation specialty pharmacy. This individual will transform our current managed service offering into a
 **modular, scalable, technology‑first platform built on OmniSphere** 
 , enabling health systems to establish, manage, and optimize their own entity‑owned specialty pharmacies.
 In this role, you will define the product direction for a rapidly growing and strategically critical business. You’ll partner closely with engineering, design, operations, clinical, data science, and go‑to‑market teams to translate the evolving needs of health systems, pharmacists, prescribers, and patients into a compelling and differentiated product experience. You will guide products through the full lifecycle—from discovery and strategy to launch, customer adoption, and iterative enhancement—delivering meaningful improvements in patient access, pharmacy growth, operational efficiency, and margin performance.
**Key Responsibilities**
* Set and own the long‑term product strategy and roadmap for the Specialty Pharmacy platform, grounded in market trends, regulatory dynamics, payer/benefit design shifts, competitive offerings, and deep customer insight.
* Transform the specialty pharmacy offering from a managed model into a configurable, modular SaaS platform delivered on OmniSphere, enabling scalability, automation, and repeatability across health systems.
* Lead cross\-functional product development, partnering with Engineering, UX, Clinical, Operations, Data, Sales, and Marketing to ensure high‑quality delivery, launch readiness, and ongoing alignment across the business.
* Engage directly with health systems to uncover unmet needs, validate hypotheses, and shape product direction through research, interviews, workflow observations, and pilot programs.
* Drive rigorous prioritization, balancing customer value, strategic impact, technical considerations, and revenue potential—while managing innovation vs. technical debt vs. foundational work.
* Develop compelling value propositions and product positioning that support commercial readiness, pricing strategies, and differentiated messaging in the market.
* Ensure compliance and quality, aligning with regulatory, clinical, and pharmacy best practices in collaboration with internal experts.
* Monitor product performance to identify opportunities to improve adoption, reduce cost, accelerate time‑to‑value, or strengthen customer satisfaction.
**Required Qualifications**
* 5\+ years of product management experience delivering complex technology solutions (SaaS, platforms, workflow systems, or health IT).
* Experience in specialty pharmacy, pharmacy operations, health system solutions, care management, or medical benefit/claims workflows. Strong understanding of healthcare operations, specialty pharmacy workflows, or adjacent areas (e.g., prior authorization, benefits verification, HUB services, payer engagement).
* Deep experience translating user workflows and business models into structured product capabilities and platform components.
* Demonstrated ability to collaborate across technical and non‑technical teams and influence without authority.
* Proven success leading products from concept to launch in fast‑paced environments.
* Data‑driven mindset with the ability to define metrics, interpret insights, and make informed prioritization decisions.
* Skilled at breaking down complex problems into simple, actionable solutions.
* Proficient in modern product management tools (e.g., Jira, Confluence). Familiarity with AI prototyping tools (e.g., Builder.io, Figma AI)
* Excellent communication, storytelling, and presentation skills.
**Preferred Qualifications**
* Background working with platform architecture or modular product ecosystems.
* Familiarity with healthcare interoperability (FHIR, HL7\), EHR integrations, or pharmacy systems.
* Experience managing regulated healthcare products or working within hospital/health system environments.
* Bachelor’s degree in engineering, computer science, business, pharmacy, or related field; advanced degree or MBA a plus.
* Customer‑facing experience in technical, consulting, or implementation roles.
**Work Conditions**
* Remote position.
* Occasional travel up to 20% for customer visits, conferences, and internal collaboration.</t>
        </is>
      </c>
    </row>
    <row r="52">
      <c r="A52" t="inlineStr">
        <is>
          <t>li-4371601566</t>
        </is>
      </c>
      <c r="B52" t="inlineStr">
        <is>
          <t>Staff Product Manager - AI SaaS Collaboration</t>
        </is>
      </c>
      <c r="C52" t="inlineStr">
        <is>
          <t>General Motors</t>
        </is>
      </c>
      <c r="D52" t="inlineStr">
        <is>
          <t>linkedin</t>
        </is>
      </c>
      <c r="E52" t="inlineStr"/>
      <c r="F52" t="inlineStr"/>
      <c r="G52" t="inlineStr">
        <is>
          <t>Austin, TX</t>
        </is>
      </c>
      <c r="H52" t="inlineStr"/>
      <c r="I52" t="inlineStr">
        <is>
          <t>**Job Description**
**The Role:**
 The SaaS Collaboration Engineering Team within GM’s Core IT organization is looking for a Staff level Product Managers. Responsible for managing a distinct set of IT tools focused on Enterprise AI Tools.
 The successful candidate will demonstrate the ability to own the end\-to\-end product lifecycle for their suite of designated tools. Each will partner with key senior stakeholders to deliver modern, intuitive and scalable experiences while ensuring strong governance, measurable value, and high adoption across a global, diverse workforce.
**What You’ll Do:**
**Product Strategy \&amp; Leadership**
* Define and own the long\-term product vision and multi\-year roadmap for GM’s Core IT Enterprise AI tools.
* Translate IT strategies into prioritized product outcomes, clear use cases, and measurable business value.
* Serve as a thought leader influencing product direction and strategy.
* Collaborate closely with engineering, UX, change management, and operations to ensure on\-time, high\-quality delivery and resilient, supportable solutions.
**Executive \&amp; Business Partnership**
* Partner with senior leaders to shape strategy, clarify priorities, and align on desired outcomes and success metrics.
* Lead discovery and framing of complex problems, synthesizing user research, analytics, and stakeholder input into clear problem statements and solution approaches.
* Influence decision\-making across collaboration, infrastructure, data, security, legal, and compliance stakeholders, driving consensus on roadmap, investment, and risk posture.
**Vendor \&amp; Platform Strategy**
* Manage strategic relationships with vendors and key partners.
* Lead fit\-gap analysis, build\-vs\-buy decisions, and business cases for new capabilities and platform investments.
* Drive vendor accountability for roadmap alignment, delivery quality, security, innovation, and value realization, including SLAs and performance metrics.
* Monitor the external market for technologies, identifying opportunities to pilot and scale new capabilities.
**Value Realization \&amp; Optimization**
* Define and track KPIs to measure adoption, engagement, quality, productivity, and impact (e.g., time saved, reduced manual effort, improved decision speed).
* Use analytics, user feedback, and experimentation to continuously optimize product performance and user experience.
* Proactively identify low\-value, redundant, or underused tools and features and lead efforts to rationalize, simplify, or retire them.
**Employee Digital Experience Leadership**
* Champion a consistent, intuitive, and personalized employee and manager experience across platforms and endpoints (desktop, mobile, web).
* Partner with UX, change management, and communications teams to design user\-centric experiences and drive awareness, adoption, and sustained behavior change.
* Ensure solutions scale globally, support diverse workstyles (remote, hybrid, on\-site), and meet accessibility and localization needs.
**Your Skills and Abilities (Required Qualifications):**
* Experience leading Enterprise AI Tools: Experience supporting tools within the AI technology space such as MoveWorks, Serval, and Glean.
* Bachelor’s degree in Business, Information Systems, Computer Science, Human\-Computer Interaction, Technology Management, related field; or equivalent work experience.
* 7\+ years of relevant experience in product management, digital workplace/collaboration platforms, SaaS applications, or enterprise technology roles.
* Demonstrated hands\-on experience using tools like Jira to manage complex backlogs, multiple workstreams, and cross\-team delivery.
* Strong understanding of collaboration and productivity use cases, digital employee experience, and end\-user support models.
* Excellent communication, facilitation, and storytelling skills, with the ability to engage both technical and non\-technical audiences.
**What Will Give You A Competitive Edge (Preferred Qualifications):**
* Experience supporting large, global organizations with diverse roles, regions, and environments.
* Experience leading SaaS transformations, migrations from on\-prem or legacy tools to modern cloud collaboration and AI platforms.
* Background in user research, service design, or design thinking for digital employee experiences.
* Experience working closely with security, legal, and compliance teams on collaboration and AI\-related risks.
* Master’s Degree Business, Information Systems, Computer Science, Human\-Computer Interaction, Technology Management or related field.
* Strategic product leadership with the ability to define vision, set direction, and drive execution.
* Executive\-level communication and influence, including the ability to build business cases and drive consensus.
* Strong business and technology acumen related to collaboration, productivity, and digital employee experience.
* AI\-first and employee\-experience mindset, focused on simplifying work and augmenting human potential.
* Data\-driven decision\-making using quantitative and qualitative insights.
* Comfort navigating ambiguity and change, with a bias toward experimentation, learning, and iterative improvement.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53">
      <c r="A53" t="inlineStr">
        <is>
          <t>li-4371474318</t>
        </is>
      </c>
      <c r="B53" t="inlineStr">
        <is>
          <t>Product Manager - Embroidery</t>
        </is>
      </c>
      <c r="C53" t="inlineStr">
        <is>
          <t>Holland &amp; Sherry Interiors</t>
        </is>
      </c>
      <c r="D53" t="inlineStr">
        <is>
          <t>linkedin</t>
        </is>
      </c>
      <c r="E53" t="inlineStr"/>
      <c r="F53" t="inlineStr"/>
      <c r="G53" t="inlineStr">
        <is>
          <t>Norwalk, CT</t>
        </is>
      </c>
      <c r="H53" t="inlineStr"/>
      <c r="I53" t="inlineStr">
        <is>
          <t>**Position:** 
 Product Manager \- Embroidery
**Location:** 
 Norwalk, CT
**Reports To:** 
 Director of Operations
**Duration:** 
 Full\-time
**Overview**
 We are seeking a detail\-driven, highly organized Product Manager for our custom embroidery department to oversee the operational execution of our custom embroidery business. This role is critical to ensuring smooth, accurate process from quote through production, sample management and new collection launches, acting as the operational bridge between sales, creative and our embroidery workroom in based in Europe.
**Responsibilities**
* Own and execute the strategic roadmap for the custom embroidery category, including pricing frameworks, service standards and long\-term growth planning
* Oversee the annual sampling budget, sample stock levels and sampling initiatives, ensuring investment aligns with sales performance and demand
* Partner with creative, production, sales and logistics teams to execute approved sampling strategies and new collection launches
* Analyze sales performance across all embroidery categories to determine sampling priorities
* Maintain oversight of active and archived designs, ensuring clear documentation and controlled availability
* Develop and refine workflows to improve efficiency and accuracy across quoting, order processing, inventory tracking and sample organization
* Serve as a key liaison with the European embroidery workroom, ensuring quality, capacity planning and alignment on lead times
* Collaborate closely with the embroidery department team and sales teams to support client needs, feasibility guidance and category growth
* Maintain showroom inventories of embroidered pillows and accessories, enforce consignment rules and handling standards
* Support sales education and category positioning through targeted internal training
**Qualifications, Experience \&amp; Skills**
* 5\+ years of experience in product operations, production coordination or operational management (textiles or custom products preferred)
* Strong organizational and follow\-up skills with exceptional attention to detail
* Ability to work independently while coordinating across multiple teams and international partners
* Execution focused with a clear, professional communication style and a problem\-solving mindset
* Comfort with numbers, measurements, costing and spreadsheets
* Proficiency in Microsoft Office, especially excel
**About Our Company**
 Holland \&amp; Sherry is a fast\-growing, and dynamic player in the luxury To\-the\-Trade interiors textiles arena. We are a leading provider of high\-quality product, known for our commitment to innovation and customer satisfaction.
**What We Offer**
* A competitive salary
* Comprehensive medical, dental and vision insurance
* 401k retirement savings program with employer matching contributions
* Paid time off with at least 10 federal holidays observed throughout the calendar year</t>
        </is>
      </c>
    </row>
    <row r="54">
      <c r="A54" t="inlineStr">
        <is>
          <t>li-4362722707</t>
        </is>
      </c>
      <c r="B54" t="inlineStr">
        <is>
          <t>IT Product Manager, Salesforce</t>
        </is>
      </c>
      <c r="C54" t="inlineStr">
        <is>
          <t>SailPoint</t>
        </is>
      </c>
      <c r="D54" t="inlineStr">
        <is>
          <t>linkedin</t>
        </is>
      </c>
      <c r="E54" t="inlineStr"/>
      <c r="F54" t="inlineStr"/>
      <c r="G54" t="inlineStr"/>
      <c r="H54" t="inlineStr"/>
      <c r="I54" t="inlineStr">
        <is>
          <t>**Product Manager – Salesforce**
 SailPoint is the leader in identity security and governance, driving innovation and shaping the future of the industry. As a rapidly growing company, we're committed to extending our market leadership by investing heavily in AI capabilities.  
 Since 2018, SailPoint has been delivering AI\-driven solutions, and now, more than ever, Artificial Intelligence is a core pillar of our strategy. We are seeking a visionary product manager to both launch new initiatives as well as spearhead the deeper integration of AI into SailPoint’s core functionality.   
 This role needs a product leader with a keen understanding of market dynamics and strategic thinking, combined with strong communication, emotional intelligence, and organizational skills. You will collaborate with internal and external stakeholders, including peer product managers across different business lines, to help define the vision and deliver AI/ML\-powered innovations across SailPoint's portfolio, delivering value for our customers. 
 We genuinely care about people and value kindness in our everyday interactions. You'll be able to be yourself, valued, supported, learn, and grow. If you want to learn more about what it's like to work here, check out
 sailpoint.com
 , and read
 what makes us different
 . 
**What will I be doing?** 
* Closely partner with the business stakeholders and data engineering teams across SailPoint orgs to deliver new functionality as well as to iterate on existing features in third party applications.
* Participate in all areas of the product lifecycle from ideation, user research, gathering requirements, to launch readiness
* Drive product innovation through feedback from our business stakeholders and IT partners, as well as product analytics and market research
* Engage with stakeholders to scope work, understand the impact, and gain consensus
* Translate business needs into clear product requirements and user stories
* Help deﬁne success metrics and measure the impact and results of new solutions
* Prioritize features and enhancements with our business stakeholders, focusing on impact, feasibility and compliance
* Partner with Salesforce and IT data engineering to develop, prioritize, and manage the product backlog in a lean/agile environment. Influence product direction across functional IT teams (security, ops, applications infrastructure, etc.)
* Maintain roadmap and coordinate adoption of deliverables with other product lines.
* Manage and refine integrations between Salesforce and integrated systems like Certinia and Ironclad.
* Oversee configuration, data models, workflows, and automation in partnership with Salesforce admins and developers.
* Collaborate with Legal teams to streamline contract lifecycle workflows through Ironclad.
* Work with Sales, RevOps, and Operations to improve quoting, forecasting, and pipeline processes.
* Champion data quality, security, and compliance across systems
**What will I need?** 
* 5\+ years of experience as a Product Manager, Salesforce Product Owner, working closely with both business stakeholders and technical teams
* Strong understanding of SaaS business processes (quote‑to‑cash, contract lifecycle, financial operations).
* **Previous Salesforce implementation, enhancement, and modification experience required.**
* **Knowledge of Salesforce objects, fields, opportunities, workflows, and validations.**
* **Previous experience in a product management environment.**
* Excellent communication skills with the ability, and confidence, to communicate and land messages across both technical, and non\-technical, audiences
* Experience with Salesforce and CPQ, working with business stakeholders and technical teams to solve business problems
* Experience managing enterprise SaaS products in a rapidly growing industry
* Demonstrable success working in a data\-driven, outcome\-oriented environment using frameworks like OKRs (objectives and key results)
* Demonstrated success in working with user experience and engineering teams to research, plan, develop, refine, and launch successful enterprise SaaS products
* Proven experience working with product marketing, marketing, and sales to successfully launch new products and enhancements to the market
* Excellent interpersonal, facilitation, and communication skills
**Preferred but not required:** 
* BA/BS in computer science information systems or related field
* Background working in Agile/Scrum environments
* Direct experience with
 **Certinia (FinancialForce)** 
  — PSA, Billing, Revenue Management, or Accounting modules.(Preferred)
* Experience implementing or managing
 **Ironclad** 
  workflows and integrations.(Preferred)
**Base salary will be $120,000\-$130,000\.**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$86,200 \- $123,100 \- $160,000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is>
      </c>
    </row>
    <row r="55">
      <c r="A55" t="inlineStr">
        <is>
          <t>li-4371490785</t>
        </is>
      </c>
      <c r="B55" t="inlineStr">
        <is>
          <t>Principal Product Manager Tech, Prime Video Personalization &amp; Discovery</t>
        </is>
      </c>
      <c r="C55" t="inlineStr">
        <is>
          <t>Prime Video &amp; Amazon MGM Studios</t>
        </is>
      </c>
      <c r="D55" t="inlineStr">
        <is>
          <t>linkedin</t>
        </is>
      </c>
      <c r="E55" t="inlineStr"/>
      <c r="F55" t="inlineStr"/>
      <c r="G55" t="inlineStr">
        <is>
          <t>Seattle, WA</t>
        </is>
      </c>
      <c r="H55" t="inlineStr"/>
      <c r="I5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The Prime Video Personalization \&amp; Discovery team is seeking a Principal Product Manager \- Tech with Personalization or Ad Platform experience to help deliver superior experiences to Prime Video customers worldwide.
 You will own a substantial portion of the product strategy and vision, and develop product roadmaps to execute on that vision. This role is inherently cross\-functional; you will work with engineering, science, project management, design, operations, finance, legal, business development, customer service, content acquisition, and executive teams to optimize the Prime Video Personalization \&amp; Discovery customer experience. We are looking for an analytical, data\-driven, resourceful, customer\-focused individual who has the ability to work independently but also excels as part of a high\-performing team. This individual will have a proven track record in taking on end\-to\-end ownership and successfully delivering results in a fast\-paced and dynamic environment while keeping customers' best interests in mind at all times.
**Basic Qualifications**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\- 179,900\.00 \- 243,400\.00 USD annually
**Company** 
 \- Amazon.com LLC
 Job ID: A3178876</t>
        </is>
      </c>
    </row>
    <row r="56">
      <c r="A56" t="inlineStr">
        <is>
          <t>li-4365052200</t>
        </is>
      </c>
      <c r="B56" t="inlineStr">
        <is>
          <t>Principal Product Manager</t>
        </is>
      </c>
      <c r="C56" t="inlineStr">
        <is>
          <t>Microsoft</t>
        </is>
      </c>
      <c r="D56" t="inlineStr">
        <is>
          <t>linkedin</t>
        </is>
      </c>
      <c r="E56" t="inlineStr"/>
      <c r="F56" t="inlineStr"/>
      <c r="G56" t="inlineStr">
        <is>
          <t>Redmond, WA</t>
        </is>
      </c>
      <c r="H56" t="inlineStr"/>
      <c r="I56"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Copilot for Security empowers defenders to detect hidden patterns, harden defenses, and respond to incidents faster with generative AI.  The same platform also empowers IT Admins and Data Security admins to proactively protect the assets. While Generative AI has created a new set of possibilities, it’s also created a new set of challenges: hallucination, prompt injection, rapidly changing industry trends.  Our team is at the forefront of both the opportunities and the challenges for Microsoft Security.  We are looking for a Principal Product Manager for Security Copilot to execute strategic priorities, drive alignment across internal and external stakeholders, and design/define critical capabilities. Our culture is centered on embracing a growth mindset, a theme of inspiring excellence, and empowering teams to maximize productivity. In doing so, we create life\-changing innovations that impact billions of lives around the world.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Principal Product Manager, you’ll define strategy and deliver secure, scalable AI experiences that protect customers globally. You’ll lead innovation in agentic systems and Responsible AI, shaping the next generation of security solutions. Other REsponsibilities include:
* Understand security customers and markets Develop strategy and build buy\-in from cross\-functional teams into your ideas
* Translate strategic plans into work involving cross\-team collaboration.
* Develop clear requirements and work closely with the software engineering team to meet product goals.
* Lead the execution of strategic initiatives you’ve championed.
* Define product vision and roadmap for agentic AI security workflows.
* Drive cross\-functional alignment and secure buy\-in for strategic initiatives. Author clear requirements and partner with engineering to deliver resilient AI capabilities.
* Champion Responsible AI principles and implement safety guardrails. Establish evaluation frameworks for reliability, performance, and ethical compliance.
**Qualifications**
**Required/minimum qualifications**
* Bachelor's Degree AND 8\+ years experience in product/service/program management or software development OR equivalent experience.
**Other Requirements**
* Candidates must be able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\#MSFT Security \#SCEM \#MSFTSecurity \#GenAI \#SecurityCopilot \#Security \#Agents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7">
      <c r="A57" t="inlineStr">
        <is>
          <t>li-4371479630</t>
        </is>
      </c>
      <c r="B57" t="inlineStr">
        <is>
          <t>Senior Product Manager (Private Label)</t>
        </is>
      </c>
      <c r="C57" t="inlineStr">
        <is>
          <t>Benco Dental</t>
        </is>
      </c>
      <c r="D57" t="inlineStr">
        <is>
          <t>linkedin</t>
        </is>
      </c>
      <c r="E57" t="inlineStr"/>
      <c r="F57" t="inlineStr"/>
      <c r="G57" t="inlineStr">
        <is>
          <t>Pittston, PA</t>
        </is>
      </c>
      <c r="H57" t="inlineStr"/>
      <c r="I57" t="inlineStr">
        <is>
          <t>**Location: Pittston, PA. This is a hybrid position with Tuesdays and Thursdays onsite.**
 Senior Product Manager (Private Label) at Benco Dental
 At Benco Dental, our company is our family, and we are looking for a new addition to assist us in Driving Dentistry Forward. Please review the description below carefully to ensure that this position is the perfect match for you!
**What’s in it for YOU?**
* Excellent Compensation Packages
* Medical, Dental and Vision Benefits Effective on Day 1
* 401k Package, Paid Time Off Program, and Profit Sharing
* Hybrid Work Environment
* Associate Discounts and Community Giveback Programs
* College Tuition Savings Program
* Caring Family Culture Toward all Associates
* Certified as a FORTUNE Great Place to Work
* Opportunities to join resource groups that promote Diversity, Equity, and Inclusion
* Family owned for 90\+ years
**Position Summary**
 The Senior Private Label Product Manager is responsible for leading the strategy, development, sourcing, and lifecycle management of Benco Dental’s private\-label portfolio across multiple categories. This role drives innovation, revenue growth, and margin performance while ensuring delivery of high\-quality, clinically relevant products aligned with Benco’s brand and operational standards.
 As a senior leader, this position influences cross\-functional teams and enterprise initiatives, partners closely with vendor networks, and plays a key role in shaping long\-term private\-label strategy, sourcing direction, and portfolio expansion. The role serves as a strategic advisor to leadership while executing end\-to\-end product initiatives from concept through commercialization.
**Do YOU Possess These Skills and Attributes?**
* Advanced analytical and financial insight.
* Strategic thinking and portfolio planning capabilities.
* Executive\-level communication and presentation skills.
* Strong leadership and stakeholder influence skills.
* Proficiency with Excel, PowerPoint, and product lifecycle tools/systems.
* Strategic leadership and execution
* Customer and market orientation
* Cross\-functional influence and collaboration
* Financial ownership and accountability
* Innovation and continuous improvement
**Do These Responsibilities Interest YOU?**
*Strategic Leadership \&amp; Portfolio Ownership*
* Lead long\-term strategy and roadmap development for Benco Dental™ and ValuLine® private\-label portfolios.
* Identify high\-impact growth opportunities through market analysis, customer insights, and competitive benchmarking.
* Drive category expansion, portfolio optimization, and product rationalization initiatives.
* Provide strategic recommendations to leadership on investment priorities and portfolio direction.
*Product Development \&amp; Commercialization*
* Lead complex product development initiatives from ideation through commercialization and lifecycle management.
* Define product requirements, positioning, and pricing strategies aligned with financial and customer objectives.
* Oversee packaging, branding, regulatory alignment, and product documentation.
* Partner with Marketing and Sales to develop go\-to\-market strategies, sales enablement tools, and launch plans.
*Vendor Strategy \&amp; Sourcing Leadership*
* Establish and lead global sourcing strategies to ensure cost competitiveness, supply continuity, and risk mitigation.
* Negotiate complex vendor agreements, pricing structures, and long\-term supply contracts.
* Strengthen strategic supplier relationships and evaluate new manufacturing partners.
* Lead initiatives related to cost optimization, tariff mitigation, and supply diversification.
*Cross\-Functional Leadership*
* Serve as a senior liaison across Sales, Marketing, Supply Chain, Quality, Finance, and Operations.
* Influence and align stakeholders across departments to deliver strategic product initiatives.
* Mentor and guide junior product managers and cross\-functional team members.
* Support enterprise initiatives, planning cycles, and executive\-level presentations.
*Financial Ownership \&amp; Performance Management*
* Own financial performance across assigned categories, including revenue, margin, and lifecycle profitability.
* Develop business cases and investment models to support new product initiatives and sourcing strategies.
* Monitor KPIs, product adoption, and portfolio health to drive continuous improvement.
* Support annual planning, forecasting, and long\-range financial strategies.
*Customer, Market \&amp; Innovation Focus*
* Champion the voice of the customer and clinical relevance across product decisions.
* Monitor industry trends, emerging technologies, and competitor strategies.
* Drive innovation initiatives to strengthen Benco’s private\-label differentiation and value proposition.
**Do YOU Meet These Requirements?**
**Education**
* Bachelor’s degree in Business, Marketing, Supply Chain, Life Sciences, or related field required.
**Experience**
* 4\-6\+ years of product management, category management, sourcing, or related experience.
* Experience in private\-label, healthcare, dental, medical, or consumable product environments preferred.
* Proven success leading complex product launches and cross\-functional initiatives.
* Experience managing vendor negotiations and strategic supplier relationships.
**Who We Are: It’s our Mission to Drive Dentistry Forward**
 Benco Dental, the largest privately owned, full\-service dental distributor in the United States, has remained in the family since 1930—a family that now includes our more than 40,000 customers and over 1,500 associates in the 48 contiguous states.
 We provide more supply and equipment options than any other full\-service distributor, an offering enhanced by a comprehensive suite of services, including office design, equipment repair, practice coaching, financing and project management, wealth management and dental\-specific technology solutions. These services are supported by over 400 professionally trained sales representatives and 300 factory\-trained service technicians who begin every task by asking “What does the customer want?”
 If you enjoy working for a progressive company, who is committed to diversity in our workforce, who values all customers and associates, who also provides the opportunity for growth and development\- we encourage you to learn more about our Benco family. We are looking for driven professionals who want to play a key role in our future success, while making a positive impact within our industry. Thank you for your interest in Benco Dental. We look forward to hearing from you!
 We're proud to be an equal opportunity and affirmative action employer. At Benco Dental we celebrate our associates' differences to foster a culture of diversity and inclusion every day. Click here to learn more about how we promote Equal Opportunity and Diversity and Inclusion at Benco.</t>
        </is>
      </c>
    </row>
    <row r="58">
      <c r="A58" t="inlineStr">
        <is>
          <t>li-4371473489</t>
        </is>
      </c>
      <c r="B58" t="inlineStr">
        <is>
          <t>Lead Technical Product Manager - Remote</t>
        </is>
      </c>
      <c r="C58" t="inlineStr">
        <is>
          <t>Optum</t>
        </is>
      </c>
      <c r="D58" t="inlineStr">
        <is>
          <t>linkedin</t>
        </is>
      </c>
      <c r="E58" t="inlineStr"/>
      <c r="F58" t="inlineStr"/>
      <c r="G58" t="inlineStr">
        <is>
          <t>Minneapolis, MN</t>
        </is>
      </c>
      <c r="H58" t="inlineStr"/>
      <c r="I58"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Engagement Technology's mission is to power meaningful, timely, and personalized member interactions across all touchpoints, enabling better experiences and stronger relationships. Our charter is to unify customer data, orchestrate intelligent journeys, and deliver capabilities that elevate how members engage with our products and services.
 The Engagement Tech team brings together product, engineering, data, and architecture disciplines to build scalable platforms that support omnichannel communication, real time decisioning, and continuous experience improvement. We partner closely with business and technology stakeholders to drive platforms that are resilient, modern, and member focused.
 The Lead Technical Product Manager for the Call Center Transformation initiative will own the technology roadmap, platform capabilities, and execution strategy that modernize our contact center ecosystem. This role will define and deliver next generation tools, integrations, and data\-driven experiences that empower agents, streamline operations, and drive exceptional member outcomes.
 You'll enjoy the flexibility to work remotely \* from anywhere within the U.S. as you take on some tough challenges.
**Primary Responsibilities**
* Leads product management activities for multiple products, or one strategic product, with cross\-divisional impact. Drives the design and continuous improvement of AI/ML technical solutions
* Influences and collaborates with cross\-functional teams to create best practices that drive significant change to the client experience. Ensures business outcomes are linked to business case drivers
* Provides guidance to technical product and engineering teams, helping them adopt effective AI/ML practices and insights. Oversees product teams' support of the messaging, communication, and customer outreach as necessary
* Facilitates strong business support through working with team members to promote a consistent approach to decisions/impacts and client propositions. Drives connection across all appropriate internal and external stakeholders
* Leads the planning, development, and implementation of new AI/ML technical products with cross\-divisional impact. Defines and analyzes AI/ML markets, developing detailed product features and requirements, and developing implementation plans
* Drives the team's engineering practices in development, continuous integration, and automated deployment
* Participates in and influences ongoing business planning and departmental prioritization activities
* Manages the complete product lifecycle from strategy and planning to development and go\-to\-market execution for AI/ML\-based products
* Conducts market research and analyzes trends to identify opportunities for AI/ML product innovation and enhancement
* Determines features and functional specifications in collaboration with cross\-functional teams
* Prepares product documentation and enables internal stakeholders (including sales and marketing) with the required product knowledge and technical expertise
* Aligns the Engagement Technology strategy with the enterprise AI strategy, guiding when to adopt existing AI capabilities versus when to build new ones
* Influences and contributes to overall corporate AI strategy and ensures AI development aligns to industry and corporate best practices and responsible guidelines
* Uses customer feedback and product performance data to evaluate current functionality and shape the direction of future releases
* Map and drive improvements across contact center and omnichannel communication workflows (email, SMS, chat, digital channels), leveraging AI/ML enabled capabilities to enhance customer experience, streamline operations, and deliver more intelligent, personalized interactions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Engineering, Artificial Intelligence, or a related technical field required; Master's degree or MBA preferred
* 10\+ years of experience in product management, technical project management, or AI/ML product leadership roles, including 5 years of experience managing AI/ML solutions, ideally in data\-intensive or AI/ML\-driven platforms
* 5\+ years in AI/ML product lifecycle management, stakeholder engagement, market research, data\-driven decision\-making, and technical collaboration across engineering and data science teams
* 5\+ years working with agile development methodologies, AI/ML frameworks (e.g., TensorFlow, PyTorch), and cloud platforms (e.g., AWS, Azure, GCP) is expected
* 2\+ years of experience improving contact center or omnichannel communication ecosystems (email, SMS, chat, digital), including hands on work or prototyping with AI/ML methods such as intelligent routing, conversational AI, automation, or predictive engagement
* 2\+ years of experience deploying AI/ML products or features into a production
* Deep understanding of the Data and AI platform landscape and emerging technologies
* Solid knowledge of how to leverage AI tools in a business setting
**Preferred Qualifications**
* Experience with contact center platforms (Genesys, Five9, Twilio), agent assist, QA/interaction analytics, or knowledge/deflection
* Proven excellent stakeholder communication and the ability to influence across product, operations, engineering, InfoSec, and compliance
* Proven solid verbal and written communication, problem\-solving, critical thinking, cross\-functional collaboration, and organizational skills
* Proven ability to adapt quickly in a fast\-paced environment, work with ambiguity, and lead products that are technically complex and strategically impactful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59">
      <c r="A59" t="inlineStr">
        <is>
          <t>li-4371175856</t>
        </is>
      </c>
      <c r="B59" t="inlineStr">
        <is>
          <t>Senior Product Manager, Card Experience</t>
        </is>
      </c>
      <c r="C59" t="inlineStr">
        <is>
          <t>Affirm</t>
        </is>
      </c>
      <c r="D59" t="inlineStr">
        <is>
          <t>linkedin</t>
        </is>
      </c>
      <c r="E59" t="inlineStr"/>
      <c r="F59" t="inlineStr"/>
      <c r="G59" t="inlineStr">
        <is>
          <t>Palo Alto, CA</t>
        </is>
      </c>
      <c r="H59" t="inlineStr"/>
      <c r="I59" t="inlineStr">
        <is>
          <t>Affirm is reinventing credit to make it more honest and friendly, giving consumers the flexibility to buy now and pay later without any hidden fees or compounding interest.
 We’re hiring a Senior Product Manager, Card Acquisition (New Channels) to launch and scale new acquisition channels for the Affirm Card. In this role, you’ll identify high\-impact growth opportunities, validate them through rapid experimentation, and bring them to market at scale. You’ll play a pivotal role in shaping how millions of consumers first discover and adopt the Affirm Card, with direct ownership over measurable acquisition and activation outcomes. This is a highly visible role with significant opportunity to influence strategy and drive Affirm’s next phase of cardholder growth.
**What You'll Do**
* Define and own the Card Acquisition roadmap for new growth channels, setting clear hypotheses, success metrics, and sequencing.
* Launch and scale new acquisition surfaces, partnering closely with Engineering and Design to deliver seamless, high\-conversion onboarding experiences.
* Design and execute acquisition programs (e.g., referrals, exploratory partner pilots) with measurable CAC→LTV impact.
* Own funnel performance end\-to\-end: track weekly acquisitions, 30\-day activation, drop\-offs by step, and implement robust incrementality testing.
* Collaborate cross\-functionally with Risk, Compliance, Marketing, and the Card Foundations team to align dependencies and ensure safe, scalable growth.
* Continuously experiment and iterate to unlock new distribution levers, maximize conversion, and expand the cardholder base.
**What We Look For**
* 4\+ years in Product Management; Ideally with previous background owning growth/distribution channels
* Track record shipping consumer financial or regulated products; comfort partnering with Risk/Credit, Legal, and Compliance.
* Deep fluency in experiment design, incrementality/attribution, and CAC→LTV optimization.
* Strong UX instincts for moment‑of‑intent surfaces; ability to work across web, app, and partner integrations.
* Data chops (SQL/Amplitude‑level self‑serve) and a bias for shipping, learning, and iterating quickly.
* Excellent cross‑functional leadership; experience leading embedded eng/design pods.
* Bachelor’s or Master’s in Computer Science, or other related fields; or equivalent practical experience.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60">
      <c r="A60" t="inlineStr">
        <is>
          <t>li-4371173927</t>
        </is>
      </c>
      <c r="B60" t="inlineStr">
        <is>
          <t>Senior Product Manager, Card Experience</t>
        </is>
      </c>
      <c r="C60" t="inlineStr">
        <is>
          <t>Affirm</t>
        </is>
      </c>
      <c r="D60" t="inlineStr">
        <is>
          <t>linkedin</t>
        </is>
      </c>
      <c r="E60" t="inlineStr"/>
      <c r="F60" t="inlineStr"/>
      <c r="G60" t="inlineStr">
        <is>
          <t>San Jose, CA</t>
        </is>
      </c>
      <c r="H60" t="inlineStr"/>
      <c r="I60" t="inlineStr">
        <is>
          <t>Affirm is reinventing credit to make it more honest and friendly, giving consumers the flexibility to buy now and pay later without any hidden fees or compounding interest.
 We’re hiring a Senior Product Manager, Card Acquisition (New Channels) to launch and scale new acquisition channels for the Affirm Card. In this role, you’ll identify high\-impact growth opportunities, validate them through rapid experimentation, and bring them to market at scale. You’ll play a pivotal role in shaping how millions of consumers first discover and adopt the Affirm Card, with direct ownership over measurable acquisition and activation outcomes. This is a highly visible role with significant opportunity to influence strategy and drive Affirm’s next phase of cardholder growth.
**What You'll Do**
* Define and own the Card Acquisition roadmap for new growth channels, setting clear hypotheses, success metrics, and sequencing.
* Launch and scale new acquisition surfaces, partnering closely with Engineering and Design to deliver seamless, high\-conversion onboarding experiences.
* Design and execute acquisition programs (e.g., referrals, exploratory partner pilots) with measurable CAC→LTV impact.
* Own funnel performance end\-to\-end: track weekly acquisitions, 30\-day activation, drop\-offs by step, and implement robust incrementality testing.
* Collaborate cross\-functionally with Risk, Compliance, Marketing, and the Card Foundations team to align dependencies and ensure safe, scalable growth.
* Continuously experiment and iterate to unlock new distribution levers, maximize conversion, and expand the cardholder base.
**What We Look For**
* 4\+ years in Product Management; Ideally with previous background owning growth/distribution channels
* Track record shipping consumer financial or regulated products; comfort partnering with Risk/Credit, Legal, and Compliance.
* Deep fluency in experiment design, incrementality/attribution, and CAC→LTV optimization.
* Strong UX instincts for moment‑of‑intent surfaces; ability to work across web, app, and partner integrations.
* Data chops (SQL/Amplitude‑level self‑serve) and a bias for shipping, learning, and iterating quickly.
* Excellent cross‑functional leadership; experience leading embedded eng/design pods.
* Bachelor’s or Master’s in Computer Science, or other related fields; or equivalent practical experience.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61">
      <c r="A61" t="inlineStr">
        <is>
          <t>li-4371483335</t>
        </is>
      </c>
      <c r="B61" t="inlineStr">
        <is>
          <t>Product Manager II - Platform Staking</t>
        </is>
      </c>
      <c r="C61" t="inlineStr">
        <is>
          <t>Coinbase</t>
        </is>
      </c>
      <c r="D61" t="inlineStr">
        <is>
          <t>linkedin</t>
        </is>
      </c>
      <c r="E61" t="inlineStr"/>
      <c r="F61" t="inlineStr"/>
      <c r="G61" t="inlineStr"/>
      <c r="H61" t="inlineStr"/>
      <c r="I61"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**Team/ Role** 
 Staking is the \#3 revenue\-generating products at Coinbase ($700M\+ ARR in 2024\). The Staking Platform team builds platform services to empower high quality staking products for our retail and institutional customers. This way, people don’t just buy / sell crypto, they “earn” on crypto, and in the meantime provide security and decentralization for underlying blockchain networks. We design the interface that abstracts blockchain complexities into simple and easy\-to\-use platform APIs for all our product teams at Coinbase. We must be at the forefront of crypto, operating blockchains at scale, designing new products and solving hard engineering problems to make the latest staking technologies accessible to people around the world. We take on challenging problems in user experience, security and blockchain technology.
 On the Staking Platform team, you’ll be tasked with learning about new blockchains and technologies, and enabling new utilities through existing and new  products for our users. You’ll work with leadership to turn ideas into reliable products and infrastructure for Coinbase. 
**What you’ll be doing (ie. job duties):** 
* Own a product area and define long\-term strategy for areas such as Staking Protocol Integrations \&amp; infrastructure, International expansion and support
* Develop products \&amp; services for internal and external developer audiences.
* Own managing the addition of multiple assets including network launches and staking support across Consumer and Insto products.
* Own product management of public\-facing developer tools and communities managed by Staking Platform team
* Research and stay ahead of new and upcoming technology in the crypto space, and build relationships with key community members.
* Drive adoption of staking and crypto\-first product features, working closely with partners on product teams.
**What we look for in you (ie. job requirements):** 
* Minimum of 5\+ years experience in product management or elsewhere in a similar capacity (product\-minded engineer or entrepreneur).
* You’re familiar with the crypto ecosystem, be it DeFi, protocol technologies, crypto developer tools or more.
* You’re passionate about building an open financial system that brings the world together.
* You’re an excellent communicator, comfortable talking to individual contributors and executive leadership.
* Aptitude for learning and ability to ramp quickly on new and potentially complicated domains
* Ability to focus on scalable platform and business outcomes
* An execution\-focused mindset, capable of navigating through ambiguity and delivering results.
**Nice to haves:** 
* Previous project or work experience in crypto\-native projects (i.e. Staking, NFTs, DeFi, DAOs, RWAs, etc.)
* Crypto\-forward experience, including familiarity with staking, onchain activity such as interacting with Ethereum addresses, using ENS, and engaging with dApps or blockchain\-based services.
*Position ID:* 
 * *P74401*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62">
      <c r="A62" t="inlineStr">
        <is>
          <t>li-4363193491</t>
        </is>
      </c>
      <c r="B62" t="inlineStr">
        <is>
          <t>Technical Product Manager (CMH Health)</t>
        </is>
      </c>
      <c r="C62" t="inlineStr">
        <is>
          <t>Milliman</t>
        </is>
      </c>
      <c r="D62" t="inlineStr">
        <is>
          <t>linkedin</t>
        </is>
      </c>
      <c r="E62" t="inlineStr"/>
      <c r="F62" t="inlineStr"/>
      <c r="G62" t="inlineStr">
        <is>
          <t>Brookfield, WI</t>
        </is>
      </c>
      <c r="H62" t="inlineStr"/>
      <c r="I62" t="inlineStr">
        <is>
          <t>**Individual(s) must be legally authorized to work in the United States without the need for immigration support or sponsorship from Milliman now or in the future.**
 Software Engineering and Product Management are changing faster than we've witnessed in the past. When GenAI can generate UI scaffolding and boilerplate on demand, the differentiator isn’t "writing tickets"—it’s turning ambiguous, high\-stakes work into repeatable capability.
 We are moving from traditional professional service delivery to selling outcomes and subscriptions. That shift only works if we build a product engine that is fast, safe, and grounded in real domain workflows.
 CMH Health is hiring a
 **Technical Product Manager** 
 to help lead that transformation. You’ll operate at the intersection of Healthcare \+ actuarial workflows, Platform engineering, and AI productization. We want the team building the future of healthcare work to represent the people affected by it. If you’re excited about the mission but don’t match every bullet, apply anyway—we care more about trajectory, judgment, and learning velocity than perfect backgrounds.
**Job Responsibilities**
* Build an internal AI platform and product portfolio that materially changes how healthcare consulting work is delivered—faster time\-to\-production, more reuse, higher reliability, and a clearer line\-of\-sight from “feature” to “business outcome.”
* Provide platform product leadership
+ Own the roadmap for an internal AI platform (IDP\-style) with “golden paths” that make safe delivery the default.
+ Define and ship platform capabilities such as: agent registry, prompts and new models, evaluation harnesses, agent/workflow runtimes, notebook\-to\-service pathways, and observability.
+ Oversee new products, existing products and associated features.
* Facilitate AI\-enabled workflow and product development
+ Identify high\-leverage workflows (documents, data pipelines, reporting, bid prep) and turn them into productized automations.
+ Design LLM\-enabled experiences that reduce “clicks to outcomes,” without creating chaos, ambiguity, or hidden failure modes.
+ Build quality and trust into the product: evaluation strategy, human\-in\-the\-loop patterns, auditability, and clear UX around uncertainty.
* Perform domain immersion \+ customer discovery
+ Spend time with the people doing the work—consultants, analysts, principals—to understand the real workflow, not the slide deck version.
+ Translate domain logic into product requirements that engineering can implement and that users will actually adopt.
**Minimum Requirements**
* Bachelor's degree in Computer Science, Data Science, Business Administration, or a related field.
* 6\+ years of experience in product management for technical products (platforms, workflow tools, B2B SaaS, or complex internal systems).
* Strong technical fluency: you can reason about APIs, data models, service boundaries, and delivery tradeoffs.
* Practical experience shipping AI/ML or LLM\-enabled features (including an understanding of model/product lifecycle: data, evaluation, deployment, monitoring, governance).
* Proven ability to prioritize and execute: you can simplify scope while protecting the core value.
* Excellent written and verbal communication: concise, structured, and persuasive to both technical and non\-technical audiences.
**Competencies that Support Success in this Role**
* We’re optimizing for judgment, clarity, and systems thinking—not keyword bingo.
* Define success metrics up front, instrument usage, and close the loop after launch.
* Drive adoption: documentation, enablement, internal marketing, and iterative improvement based on behavioral data.
* Healthcare, actuarial, pharmacy, provider or “complex regulated domain” experience.
* Experience with platform thinking: internal marketplaces, reusable components, golden paths, and adoption strategy.
* Think big, then ship in increments: You can describe a compelling end\-state and still deliver a v1 that people use.
* Ruthlessly prioritize: You aim for compounding impact and avoid “feature entropy.”
* Earn trust through craft: You set quality bars for UX clarity, evaluation rigor, and stakeholder alignment.
* Stay close to the work: You learn the domain by watching it happen.
**The Team**
 Milliman is one of the leading experts in healthcare financing and delivery. We advise clients on a wide range of issues—from assessing the impact of healthcare reform on organizations or populations to streamlining operations while advancing the quality of patient care. Our consulting work is supported by a powerful toolkit of data analytics solutions and informed by the most trusted, comprehensive set of cost guidelines in the industry.
 Through a team of professionals ranging from actuaries to clinicians, technology specialists to plan administrators, we offer unparalleled expertise in employee benefits, investment consulting, healthcare, life insurance and financial services, and property and casualty insurance.
**Location:**
 It is preferred that candidates work on\-site at our Brookfield, WI, Chicago, IL, or Hartford, CT office, however, remote candidates will be considered. The expected application deadline for this job is July 30, 2026
 **.**
**Compensation**
 The overall salary range for this role is $117,500 \- $249,780\.
**For Candidates Residing In**
 Alaska, California, Connecticut, Illinois, Maryland, Massachusetts, New Jersey, New York City, Newark, San Jose, San Francisco, Pennsylvania, Virginia, Washington, or the District of Columbia:
* $135,125 \- $222,985 if overall experience is less than 7 years; and
* $151,340 \- $249,780 for experience greater than 7 years.
**All Other States**
* $117,500 \- $193,900 if overall experience is less than 7 years; and
* $131,600 \- $217,200 for experience greater than 7 years
 A combination of factors will be considered, including, but not limited to, education, relevant work experience, qualifications, skills, certifications, etc.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observed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63">
      <c r="A63" t="inlineStr">
        <is>
          <t>li-4371435553</t>
        </is>
      </c>
      <c r="B63" t="inlineStr">
        <is>
          <t>Senior Product Manager -Provider Data &amp; Identity</t>
        </is>
      </c>
      <c r="C63" t="inlineStr">
        <is>
          <t>Northwell Health</t>
        </is>
      </c>
      <c r="D63" t="inlineStr">
        <is>
          <t>linkedin</t>
        </is>
      </c>
      <c r="E63" t="inlineStr"/>
      <c r="F63" t="inlineStr"/>
      <c r="G63" t="inlineStr">
        <is>
          <t>Melville, NY</t>
        </is>
      </c>
      <c r="H63" t="inlineStr"/>
      <c r="I63" t="inlineStr">
        <is>
          <t>170981
**Department Overview:** 
 Leads the strategy for provider data as a core digital capability, ensuring accuracy, integrity, and alignment across clinical, operational, and patient\-facing systems. Supports enterprise identity management, provider matching, and interoperability to enhance reliability and patient trust in digital experiences
**Highly Preferred Skills**
* Experience in healthcare data product management or provider information systems, ideally with exposure to provider data as a strategic product.
* Proven ability to co\-develop and govern provider data capabilities in partnership with operational, digital, and technical stakeholders.
* Deep knowledge of provider data integrity, identity management, and interoperability frameworks across clinical and patient\-facing systems.
* Experience leading data\-driven initiatives that enhance accuracy, reliability, and alignment across enterprise systems (Epic, CRM, digital platforms, etc.).
* Strong stakeholder engagement skills — able to bridge product thinking with operational realities and drive adoption through collaboration
**Job Description**
 Manages research and development initiatives, overseeing the design, development, and qualification of new and existing software and hardware products. Provides technical leadership and strategic direction, driving innovation and ensuring alignment with overall product roadmap and business strategy.
 Job Responsibility
* Collaborates with business stakeholders in multiple departments to establish a strategic product roadmap.
* Leads cross\-functional teams to ensure successful product development and launch, from concept to commercialization. Evaluates product performance and oversees the transition from development through market release.
* Defines service scope and parameters, collaborating with planning roles, relationship managers, and capacity planners to forecast demand and ensure adequate resource allocation.
* Determines product delivery and deployment dates for new product releases, feature enhancements, maintenance releases, and regular corrective service or service pack releases.
* Serves as a technical expert and advisor to the product organization, leading research and prototyping effors for innovative technologies and products.
* Ensures alignment between the engineering technology roadmap and the overall product/business roadmap.
* Acts as a primary technical liaison for clients, addressing complex integration issues, custom development requests, and product requirements. Oversees major releases, ensuring feature enhancements align with customer needs and market demands.
* Drives product delivery by managing schedules, resources, and tasks across all development phases. Creates user documentation and corrdinates end user training.
* Tracks and analyzes key product erformance metrics to inform strategic decisions. Identifies and evaluates market opportunities for product expansion.
* Provides technical guidance and support to product development team or to product managers on best practices.
* Operates under limited guidance and work assignments involve moderately complex to complex issues where the analysis of situations or data requires in\-depth evaluation of variable factors.
* Regularly exercises independent judgment on matters of significance including selecting methods, techniques for obtaining results, and making recommendations.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 3\-5 years of relevant experience, required.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64">
      <c r="A64" t="inlineStr">
        <is>
          <t>li-4371434566</t>
        </is>
      </c>
      <c r="B64" t="inlineStr">
        <is>
          <t>Principal Product Owner</t>
        </is>
      </c>
      <c r="C64" t="inlineStr">
        <is>
          <t>The Depository Trust &amp; Clearing Corporation (DTCC)</t>
        </is>
      </c>
      <c r="D64" t="inlineStr">
        <is>
          <t>linkedin</t>
        </is>
      </c>
      <c r="E64" t="inlineStr"/>
      <c r="F64" t="inlineStr"/>
      <c r="G64" t="inlineStr">
        <is>
          <t>Dallas, TX</t>
        </is>
      </c>
      <c r="H64" t="inlineStr"/>
      <c r="I64"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This role will be in the Enterprise Intelligence Organization in Enterprise Data \&amp; Corporate Technology. The Enterprise Intelligence team builds and manages Data Products for IT. The Product Owner (Data and Business Intelligence) will play a pivotal role in driving the success of the data products, ensuring they meet the evolving needs of the business while leading a dynamic team of product owners. This position demands a blend of strategic insight, operational agility, and a deep commitment to delivering excellence in data management and business intelligence.
* Product Development: Lead the development of data products from conception to implementation, ensuring they meet business requirements and quality standards.
* Stakeholder Collaboration: Work closely with stakeholders, including Data Product Managers, Data Producers, and Data Consumers, to gather requirements, prioritize features, and ensure alignment with business goals.
* Data Quality: Ensure the accuracy, reliability, and integrity of data products by implementing robust data quality measures and collaborating with Data Owners.
* Product Lifecycle Management: Manage the entire lifecycle of data products, including planning, development, testing, deployment, and maintenance.
* Roadmap and Prioritization: Develop and maintain product roadmaps, prioritize features based on business needs, and manage the intake process for new product requests.
* Communication: Act as the primary point of contact for all communications related to data products, including updates, issues, and enhancements.
* Continuous Improvement: Continuously evaluate and improve data products to ensure they meet evolving business needs and industry standards.
* Industry Knowledge: A working knowledge of financial services and related back\-office and middle\-office functions.
* Aligns risk and control processes into day\-to\-day responsibilities to monitor and mitigate risk; escalates appropriately.
**Leadership Competencies For This Level Include**
* Accountability: Demonstrates reliability by taking necessary actions to continuously meet required deadlines and goals.
* Global Collaboration: Applies global perspective when working within a team by being aware of own style and ensuring all relevant parties are involved in key team tasks and decisions.
* Communication: Articulates information clearly and presents information effectively and confidently when working with others.
* Influencing: Convinces others by making a strong case, bringing others along to their viewpoint; maintains strong, trusting relationships while at the same time is comfortable challenging ideas.
* Innovation and Creativity: Thinks boldly and out of the box, generates new ideas and processes, and confidently pursues challenges as new avenues of opportunity.
**Qualifications**
* Minimum of 10 years of related experience
* Minimum of 5 years of experience in People management \&amp; Team Leadership
* Bachelor's degree preferred or equivalent experience
**Talents Needed For Success**
* Proven experience as a Data Product Owner or similar role in data management and product development.
* Ability to manage distributed teams with an employee/vendor mix
* Demonstrate ability to inspire and motivate a team towards achieving strategic goals.
* Ability to facilitate educational and working sessions with stakeholders and users
* Experience with supporting Enterprise Tools.
* Experience in managing technical projects and ensuring they align with organizational objectives.
* Ability to drive innovation within the team and encourage creative problem\-solving.
* Strong understanding of data management principles, data quality, and data governance.
* Excellent communication and collaboration skills, with the ability to work effectively with cross\-functional teams.
* Experience with data product lifecycle management and agile methodologies.
* Ability to prioritize and manage multiple tasks and projects simultaneously.
* Strong analytical and problem\-solving skills.
* Experience with data visualization tools and technologies.
* Experience with SQL and Snowflake.
* Ability to assess completeness of requirements and readiness of data products.
* Knowledge of industry standards and best practices in data management and product development.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65">
      <c r="A65" t="inlineStr">
        <is>
          <t>li-4344789308</t>
        </is>
      </c>
      <c r="B65" t="inlineStr">
        <is>
          <t>Senior Associate Product Manager</t>
        </is>
      </c>
      <c r="C65" t="inlineStr">
        <is>
          <t>John B. Sanfilippo &amp; Son, Inc.</t>
        </is>
      </c>
      <c r="D65" t="inlineStr">
        <is>
          <t>linkedin</t>
        </is>
      </c>
      <c r="E65" t="inlineStr"/>
      <c r="F65" t="inlineStr"/>
      <c r="G65" t="inlineStr">
        <is>
          <t>Elgin, IL</t>
        </is>
      </c>
      <c r="H65" t="inlineStr"/>
      <c r="I65" t="inlineStr">
        <is>
          <t>**Summary of Position** 
 The Senior Associate Product Manager plays a hands\-on leadership role in delivering JBSS strategic initiatives and commercializing products to support volume and profit growth, with a focus on the new bars capability. This role is critical to advancing plan\-makers and strategic priorities, while accelerating JBSS growth by diversifying the portfolio into high‑growth snacking categories.
***This position is 4 days a week on\-site in Elgin, IL.***
**Functions of the Position:** 
* Partners with Consumer Insights, Procurement, Technical Services, Quality, Safety, Operations, Sales, Finance, Private Label or Branded Marketing, Creative Services, and customers.
* Leads the commercialization process, including entering projects into the JBSS project management system and managing them through development, commercialization, and launch.
* Supports new product and SKU development by creating technical briefs, coordinating development discussions, managing timelines, sample requests, product cuttings, documentation, and approving first production runs.
* Leads and facilitates cross\-functional teams and group meetings for prioritized projects.
* Leads pricing efforts for new and existing customer products to maintain or improve JBSS margins.
* Partners with the Director of Pricing on pricing analysis to deliver profitable bars growth.
* Facilitates product and packaging initiatives—including discontinuations or transitions—involving structure, graphics, or ingredient changes in collaboration with appropriate cross\-functional partners.
**Education, Experience, and Knowledge:** 
* Bachelor’s degree, preferably in Marketing or Business.
* 4 years of experience, ideally with a CPG/food company or in new product development.
* Foundational knowledge of new product launches and commercialization processes.
**Skills and Competencies:** 
* Strong written and verbal communication skills.
* Demonstrated financial acumen.
* Strong project management capability.
* Bias for action with a strong drive for results.
* High learning agility.
* Ability to prioritize effectively with strong time‑management skills.
* Strong team leadership skills and ability to work cross\-functionally.
* Proficient in Microsoft Office applications.
 Additionally, we provide a comprehensive benefits package that reflects our commitment to support the wellness of our colleagues and their families. This includes health benefits, professional growth support, generous paid time off benefits to support work/life balance, retirement benefits and other programs to support financial wellness. A full listing of our extensive benefits package can be found on our Company website, located here:
 https://jbssinc.com/careers/
***JBSS is an Equal Opportunity Employer:***
*All qualified applicants will receive consideration for employment without regard to race, color, religion, sex, sexual orientation, gender identity, national origin, disability, or status as a protected veteran.*</t>
        </is>
      </c>
    </row>
    <row r="66">
      <c r="A66" t="inlineStr">
        <is>
          <t>li-4365028202</t>
        </is>
      </c>
      <c r="B66" t="inlineStr">
        <is>
          <t>Senior Product Manager - Technical, Amazon Nova Models (AGI)</t>
        </is>
      </c>
      <c r="C66" t="inlineStr">
        <is>
          <t>Amazon</t>
        </is>
      </c>
      <c r="D66" t="inlineStr">
        <is>
          <t>linkedin</t>
        </is>
      </c>
      <c r="E66" t="inlineStr"/>
      <c r="F66" t="inlineStr"/>
      <c r="G66" t="inlineStr">
        <is>
          <t>San Francisco, CA</t>
        </is>
      </c>
      <c r="H66" t="inlineStr"/>
      <c r="I66" t="inlineStr">
        <is>
          <t>**Description**
 We are seeking a Senior Product Manager \- Technical to join our team to drive the development of new agentic and inference capabilities for Amazon's Nova Foundational Models.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diving deep with customers to innovate on their behalf, and developing model capabilities the raise the bar for Amazon Nova Models.
 You will be the voice of the customer and responsible for driving a product roadmap that enables Amazon to build the most capable Foundation Models and the most compelling agentic capabilities and runtime features.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\- 173,900\.00 \- 235,200\.00 USD annually
 USA, CA, Sunnyvale \- 173,900\.00 \- 235,200\.00 USD annually
 USA, MA, Boston \- 151,200\.00 \- 204,600\.00 USD annually
 USA, WA, Bellevue \- 151,200\.00 \- 204,600\.00 USD annually
**Company** 
 \- Amazon.com Services LLC
 Job ID: A3162865</t>
        </is>
      </c>
    </row>
    <row r="67">
      <c r="A67" t="inlineStr">
        <is>
          <t>li-4371168461</t>
        </is>
      </c>
      <c r="B67" t="inlineStr">
        <is>
          <t>Sr. Product Manager</t>
        </is>
      </c>
      <c r="C67" t="inlineStr">
        <is>
          <t>American Woodmark</t>
        </is>
      </c>
      <c r="D67" t="inlineStr">
        <is>
          <t>linkedin</t>
        </is>
      </c>
      <c r="E67" t="inlineStr"/>
      <c r="F67" t="inlineStr"/>
      <c r="G67" t="inlineStr">
        <is>
          <t>Winchester, VA</t>
        </is>
      </c>
      <c r="H67" t="inlineStr"/>
      <c r="I67" t="inlineStr">
        <is>
          <t>American Woodmark is one of the nation's largest cabinet manufacturers. By partnering with major home centers, builders, and dealers, we spark the imagination of homeowners and designers and bring their vision to life. Across our service and distribution centers, our corporate office and manufacturing facilities, you'll always find the same commitment to customer satisfaction, integrity, teamwork, and excellence.
 We are on a journey to encourage an inclusive Woodmark and are taking meaningful actions to promote diverse representation across every part of the business. Together, every team member contributes to making American Woodmark a place where people can express who they are through what they do.
**POSITION PURPOSE:** 
 Through collaboration with cross\-functional teams (marketing, engineering, operations, finance, etc), the Sr. Product Manager will lead the development and management of the Made\-to\-Order product offering. This position is responsible for tracking, analyzing and reporting on internal and competitive trends and will use this information along with other relevant data to recommend product opportunities. The Sr. Product Manager will lead cross\-functional project teams, support the development, launch of new Core products, and perform other tasks as assigned.
**IDEAL CANDIDATE PROFILE:** 
 To perform this job successfully, an individual must be able to excel at the essential functions assigned. The requirements listed below are representative of the knowledge, skill and ability required.
**Experience** 
* Minimum of 10 years' experience in one or more of the following; marketing, product management, product design, product engineering, quality assurance, sales, manufacturing, builder operations or equivalent experience
* P\&amp;L experience is a plus
* Experience with wood fabricating, wood technology or wood finishing processes a plus
* Kitchen design and / or kitchen installation experience a plus
* Thorough knowledge of kitchen cabinet industry is a plus
**Skills** 
* Enterprise\-level thinking with a strong understanding of production systems
* Out of the box thinking and creative problem solving skills; ability to work independently with little direction
* Strong project management skills required
* Excellent personal computer skills \-\- Microsoft products (Word, Excel, PowerPoint, Project and Access)
* Ability to build effective business relationships with customers and internal clients, as well as the ability to work discreetly with proprietary and confidential information
* Excellent organizational, oral and written communications skills, with an emphasis on formal presentations, priority setting and self\-directed work habits is essential
**Education** 
* A bachelor's degree in; marketing, engineering, architecture, design, wood science or similar discipline is preferred
**ESSENTIAL FUNCTIONS:** 
* Collaborates on and drives the execution of the company's overall product strategy
* Stay thoroughly abreast of competitive and industry trends, customer needs, competitors' products and other relevant data
* Develop strategy for generating and implementing product needs and specifications
* Influence company strategy \&amp; objectives through utilizing consumer research, channel / customer requirements, while balancing with internal capabilities / production platform.
* Drive all new products and product improvements through the Product Development process
* Research and develop understanding of new categories as needed
* Actively manages and drives the financial performance of the assigned category
* Analyze and distill a broad range of information to build a compelling business case for a new product
* Work with Product Engineering to ensure that all new products are designed to meet customer expectation
* Lead a broad range of teams
* Presentations frequently made to Senior Management as well as occasional sales launch meetings and customer meetings as required
* Review and approve the technical accuracy of advertising and promotional copy, including but not limited to consumer catalogs, specifications books and price books prior to printing.
**SUPERVISORY RESPONSIBILITES:** 
* This job does not have direct supervisor responsibilities; however matrix environment requires significant cross\-functional leadership.
**SCOPE \&amp; EXPECATIONS:** 
* Reports to: Director, Product (MTO)
* Travel Requirements:
	+ Occasional travel (approximately 15% of time), both in and out of town, is required. Travel is typically by company car and commercial air carrier.
* Recruitment process may consist of any combination of phone, video and in person interviews.
* Offers may be contingent upon successful completion of Background Check, Drug Screen, Physical Examination and/or potential Motor Vehicle Check.
**BENEFITS PACKAGE INCLUDES:** 
* Competitive Compensation
* Health Care Benefits
* Paid Holidays
* Paid Vacation Days
* Paid Sick Days
* 401(k) Retirement Savings Plan \&amp; Profit Sharing
* Tuition Assistance
* Relocation Assistance when available
**AN EQUAL OPPORTUNITY EMPLOYER** 
 The American Woodmark Corporation does not discriminate on the basis of race, color, national origin, ancestry, age, religion, military and veteran status, sex, gender, gender identity, gender expression, sexual orientation, genetic information, marital status, medical condition, pregnancy, or any other legally\-protected characteristic; and it will comply with all applicable state discrimination laws. No person will be denied employment solely because of a disability, provided that the person can perform the essential functions of the position for which the person has applied, either with or without reasonable accommodations.</t>
        </is>
      </c>
    </row>
    <row r="68">
      <c r="A68" t="inlineStr">
        <is>
          <t>li-4342821249</t>
        </is>
      </c>
      <c r="B68" t="inlineStr">
        <is>
          <t>Program Manager</t>
        </is>
      </c>
      <c r="C68" t="inlineStr">
        <is>
          <t>UnitedMasters</t>
        </is>
      </c>
      <c r="D68" t="inlineStr">
        <is>
          <t>linkedin</t>
        </is>
      </c>
      <c r="E68" t="inlineStr"/>
      <c r="F68" t="inlineStr"/>
      <c r="G68" t="inlineStr">
        <is>
          <t>New York, NY</t>
        </is>
      </c>
      <c r="H68" t="inlineStr"/>
      <c r="I68" t="inlineStr">
        <is>
          <t>**Who We Are** 
 UnitedMasters is building a marketplace that connects artists, brands and fans \- empowering artists to earn and grow. UnitedMasters has taken the bold step of building a music distribution service that, radically, puts artists first \- disrupting the legacy music business by letting up\-and\-coming artists distribute their music directly to fans through streaming services while maintaining ownership of their master recording rights and up to 100% of royalties. Through the combination of UnitedMasters’ music distribution platform and its deep ties to brands, UnitedMasters enables independent artists and change\-makers to grow and earn unlike any other platform.
 The UnitedMasters team is made up of musicians, marketers, engineers, and storytellers with backgrounds from YouTube, SoundCloud, Pandora, Facebook, Uber, Dropbox, Complex, VICE, and more. We work hand in hand with the award\-winning creative teams that forge those innovative partnerships at Translation (our in\-house creative advertising agency).
 We are looking for a Program Manager to join Translation! Please note that this role is a Hybrid role: four days in office and 1 day remote.
**What You'll Do** 
* Develop project timeline, monitor progress and enforce milestones
* Maintain real\-time status and internal communications
* Set up briefs/reviews and record and distribute clear deliverables, direction and next steps
* Maintain daily/weekly hot sheets, and run core team status per account
* Manage day\-to\-day action items and priorities across the team
* Actively monitor issues and new developments, keeping the team informed, and proactively problem\-solving
**Knowledge, Skills and Abilities** 
* 3\+ years of agency or allied communications industry experience that ensures your understanding of advertising, marketing, media, creative, production, public relations, research, agency finance, etc.
* Possess and deliver excellent written and verbal communication skills, demonstrating the ability to present thoughts clearly, accurately, and succinctly.
* Excellent time management, organization and prioritization skills.
* Have the proven ability to work under tight deadlines and handle pressure, while consistently paying attention to accuracy and quality of work.
**Minimum Qualifications** 
* Minimum 3 years experience
* Creative agency background
* Experience with integrated production (broadcast, digital, social)
**Preferred Qualifications** 
* Fluent in Google Suite, with emphasis on Sheets and Slides
* Production experience a plus
* Monday.com or SmartSheets proficiency
***About UnitedMasters, Inc.***
 UnitedMasters Inc. represents the creative solutions company, Translation, and the leading software and services platform for independent creators, UnitedMasters. UnitedMasters enables ownership, exposure, and new paths for financial return for independent creators, while Translation helps brands leverage the power of contemporary culture to achieve transformational growth. Combined, UnitedMasters, Inc. is the world’s leading marketplace for cultural capital, connecting independent artists and brands to realize a future in which all creators own their future. Backed by Alphabet, Andreessen Horowitz, and Apple, UnitedMasters, Inc. is reimagining how brands and artists come together to tell their stories, build profitable growth, and push culture forward.
**Salary Hiring Range:** 
**$70,000 \- $90,000** 
*Our salary ranges are based on paying competitively for our size and industry, and are one part of many compensation, benefits and other reward opportunities we provide (e.g. bonus, stock options, 401(k) match, etc.)*
*Individual pay rate decisions are based on a number of factors, including qualifications for the role, experience level, skillset, and balancing internal equity relative to peers at the company.  We expect the majority of the candidates who are offered roles at our company to fall healthily throughout the range based on these factors.*
*The range above is for the expectations as laid out in the job description, however we are often open to a wide variety of profiles, and recognize that the person we hire may be less experienced (or more senior) than this job description as posted.  If that ends up being the case, the updated salary range will be communicated with you as a candidate.*
*The salary range above is for the NY/CA.  As a company, we have a location based strategy, which means the salary range could be lower or higher than this if the role is hired in another location.*</t>
        </is>
      </c>
    </row>
    <row r="69">
      <c r="A69" t="inlineStr">
        <is>
          <t>li-4363213309</t>
        </is>
      </c>
      <c r="B69" t="inlineStr">
        <is>
          <t>Sr. Product Owner</t>
        </is>
      </c>
      <c r="C69" t="inlineStr">
        <is>
          <t>SHI International Corp.</t>
        </is>
      </c>
      <c r="D69" t="inlineStr">
        <is>
          <t>linkedin</t>
        </is>
      </c>
      <c r="E69" t="inlineStr"/>
      <c r="F69" t="inlineStr"/>
      <c r="G69" t="inlineStr">
        <is>
          <t>Somerset, NJ</t>
        </is>
      </c>
      <c r="H69" t="inlineStr"/>
      <c r="I69" t="inlineStr">
        <is>
          <t>**About Us**
**Since 1989, SHI International Corp. has helped organizations change the world through technology. We’ve grown every year since, and today we’re proud to be a $16 billion global provider of IT solutions and services.**
 Over 17,000 Organizations Worldwide Rely On SHI’s Concierge Approach To Help Them Solve What’s Next. But The Heartbeat Of SHI Is Our Employees – All 7,000 Of Them. If You Join Our Team, You’ll Enjoy
* Our commitment to diversity, as the largest minority\- and woman\-owned enterprise in the U.S.
* Continuous professional growth and leadership opportunities.
* Health, wellness, and financial benefits to offer peace of mind to you and your family.
* World\-class facilities and the technology you need to thrive – in our offices or yours.
**Job Summary**
 The Senior Product Owner defines and communicates a clear vision for business systems solutions, collaborating with cross\-functional teams to gather and prioritize requirements while maintaining a comprehensive product backlog. This role involves guiding the development process through user stories, facilitating Agile Scrum processes, and overseeing product design and implementation to meet business goals. The ideal candidate will plan and prioritize sprints, conduct testing to ensure quality solutions, and engage in hands\-on business analysis to support successful product delivery.
**Role Description**
* Define and communicate a clear vision and goals for business systems solutions to align with business objectives and stakeholder needs.
* Collaborate with cross\-functional teams and stakeholders, including IT leadership and development teams, to gather and prioritize requirements.
* Create and manage a comprehensive product backlog, prioritizing items based on strategy, business objectives, and stakeholder priorities.
* Develop user stories with clear acceptance criteria to guide the development process.
* Facilitate communication and coordination between teams, ensuring adherence to Agile Scrum processes and refining the methodology as needed.
* Oversee the design, implementation, and improvement of products and productized services, ensuring they meet business goals.
* Plan, arrange, and prioritize sprints and releases, incorporating feature requests into the product roadmap.
* Monitor and support the progress of development work, addressing issues and refining requirements as necessary.
* Conduct hands\-on business analysis and documentation to support successful product delivery.
* Plan and conduct testing, such as functional and User Acceptance Testing (UAT), and document results to ensure quality solutions.
**Behaviors and Competencies**
* Analytical Thinking: Can synthesize complex data, identify patterns, draw insights, and present findings clearly and understandably.
* Business Acumen: Can evaluate market trends and competitive landscape to identify opportunities and risks.
* Collaboration: Can proactively seek out diverse perspectives, facilitate open communication among team members, and drive toward consensus and action.
* Communication: Can effectively communicate complex ideas and information to diverse audiences and can facilitate effective communication between others.
* Data Analysis: Can apply complex analytical methods and algorithms for predictive modeling and can interpret and communicate the results effectively.
* Detail\-Oriented: Can manage complex tasks or projects, identifying errors or inconsistencies, and ensuring all details are addressed, necessary corrections are made, and quality is maintained.
* Initiative: Can proactively seek out challenges, initiate projects, and contribute to innovative ideas.
* Follow\-Through: Can independently track progress, make necessary adjustments, and ensure the successful completion of complex projects.
* Organization: Can effectively coordinate multiple projects, delegate tasks where appropriate, and employ advanced organizational tools and methods.
* Problem\-Solving: Can proactively identify potential problems, initiate preventive measures, and propose and contribute to innovative solutions.
**Skill Level Requirements**
* Ability to oversee and direct projects to completion, ensuring goals are met, resources are utilized efficiently, and stakeholders are satisfied \- Intermediate
* Familiarity with enterprise resource planning (ERP) systems, including the ability to navigate, utilize, and integrate these systems to streamline business processes and improve operational efficiency \- Intermediate
* Proficiency in using Dynamics CRM to manage customer relationships, track sales, and streamline business processes through automation and data analysis \- Intermediate
* Experience in various project management frameworks such as Agile, Waterfall, and Scrum to effectively plan, execute, and close projects \- Intermediate
* Demonstrates a working knowledge of current and evolving technologies including Cloud, Security, IoT, and Digital Workplace \- Intermediate
**Other Requirements**
* Completed Bachelor's Degree in Computer Science or a related field, or relevant work experience required
* 3\-5 years of experience in a similar role
* 3\-5 years of experience with Agile software development methodologies
* Ability to travel 10%
 The estimated annual pay range for this position is $120k \- $185k which includes a base and bonus. The compensation for this position is dependent on job\-related knowledge, skills, experience, and market location and, therefore, will vary from individual to individual. Benefits may include, but are not limited to, medical, vision, dental, 401K, and flexible spending.
 Equal Employment Opportunity – M/F/Disability/Protected Veteran Status</t>
        </is>
      </c>
    </row>
    <row r="70">
      <c r="A70" t="inlineStr">
        <is>
          <t>li-4371176724</t>
        </is>
      </c>
      <c r="B70" t="inlineStr">
        <is>
          <t>Senior Product Manager, Card Experience</t>
        </is>
      </c>
      <c r="C70" t="inlineStr">
        <is>
          <t>Affirm</t>
        </is>
      </c>
      <c r="D70" t="inlineStr">
        <is>
          <t>linkedin</t>
        </is>
      </c>
      <c r="E70" t="inlineStr"/>
      <c r="F70" t="inlineStr"/>
      <c r="G70" t="inlineStr">
        <is>
          <t>Raleigh, NC</t>
        </is>
      </c>
      <c r="H70" t="inlineStr"/>
      <c r="I70" t="inlineStr">
        <is>
          <t>Affirm is reinventing credit to make it more honest and friendly, giving consumers the flexibility to buy now and pay later without any hidden fees or compounding interest.
 We’re hiring a Senior Product Manager, Card Acquisition (New Channels) to launch and scale new acquisition channels for the Affirm Card. In this role, you’ll identify high\-impact growth opportunities, validate them through rapid experimentation, and bring them to market at scale. You’ll play a pivotal role in shaping how millions of consumers first discover and adopt the Affirm Card, with direct ownership over measurable acquisition and activation outcomes. This is a highly visible role with significant opportunity to influence strategy and drive Affirm’s next phase of cardholder growth.
**What You'll Do**
* Define and own the Card Acquisition roadmap for new growth channels, setting clear hypotheses, success metrics, and sequencing.
* Launch and scale new acquisition surfaces, partnering closely with Engineering and Design to deliver seamless, high\-conversion onboarding experiences.
* Design and execute acquisition programs (e.g., referrals, exploratory partner pilots) with measurable CAC→LTV impact.
* Own funnel performance end\-to\-end: track weekly acquisitions, 30\-day activation, drop\-offs by step, and implement robust incrementality testing.
* Collaborate cross\-functionally with Risk, Compliance, Marketing, and the Card Foundations team to align dependencies and ensure safe, scalable growth.
* Continuously experiment and iterate to unlock new distribution levers, maximize conversion, and expand the cardholder base.
**What We Look For**
* 4\+ years in Product Management; Ideally with previous background owning growth/distribution channels
* Track record shipping consumer financial or regulated products; comfort partnering with Risk/Credit, Legal, and Compliance.
* Deep fluency in experiment design, incrementality/attribution, and CAC→LTV optimization.
* Strong UX instincts for moment‑of‑intent surfaces; ability to work across web, app, and partner integrations.
* Data chops (SQL/Amplitude‑level self‑serve) and a bias for shipping, learning, and iterating quickly.
* Excellent cross‑functional leadership; experience leading embedded eng/design pods.
* Bachelor’s or Master’s in Computer Science, or other related fields; or equivalent practical experience.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71">
      <c r="A71" t="inlineStr">
        <is>
          <t>li-4329668018</t>
        </is>
      </c>
      <c r="B71" t="inlineStr">
        <is>
          <t>Senior Workday Product Owner (Financials &amp; HCM)</t>
        </is>
      </c>
      <c r="C71" t="inlineStr">
        <is>
          <t>Sprouts Farmers Market</t>
        </is>
      </c>
      <c r="D71" t="inlineStr">
        <is>
          <t>linkedin</t>
        </is>
      </c>
      <c r="E71" t="inlineStr"/>
      <c r="F71" t="inlineStr"/>
      <c r="G71" t="inlineStr">
        <is>
          <t>Phoenix, AZ</t>
        </is>
      </c>
      <c r="H71" t="inlineStr"/>
      <c r="I71" t="inlineStr">
        <is>
          <t>**Overview** 
**Location:** 
 Phoenix; Hybrid, 3\+ days
 This role requires a highly experienced Workday Product Owner with deep functional and system administration expertise. The individual will own Workday configuration, security, business process design, tenant management, releases, and integrations, acting as the primary subject matter expert for the platform. Success in this role depends on the ability to balance strategic roadmap ownership with hands\-on administration/configuration and complex troubleshooting and support. The Product Owner partners closely with HR, Finance, and IT stakeholders to translate business needs into scalable Workday solutions while ensuring system stability, data integrity, and continuous improvement.
 Responsibilities will span Sprout’s Workday environment, including Financials, Adaptive Planning, Projects, Core HCM, Compensation \&amp; Benefits, US Payroll, Talent Management, Absence, and any future modules under consideration.
**Overview Of Responsibilities:** 
* Leads the Workday configuration and development efforts by conveying the vision, outlining and prioritizing work based on business value
* Collaborate with stakeholders ensuring their interests are included in the release and the team to ensure the release is developed by the deadline
* Ability to gather, document, and determine all types of requirements; define and execute complex solutions; plan, write, and execute testing to ensure solution success, acting as a Test Lead when needed; plan, write, and execute Release Plans as needed
* Work with Workday to understand/influence roadmap, and manage the health of our account, supporting Business Reviews, Risk Assessments and contract renewals
* Manage lean\-on vendors that serve as an extension of our team on planning and delivery of prioritized work
* Support identification of resources with skills to complete upcoming roadmap and sprint work
* Manage semi\-annual Workday release cycle, understanding and socialization new features for prioritization and coordinating/supporting regression testing throughout our environment
* Responsible for the 12\-month\+ product roadmap
* Manage run\-the\-business/continuous delivery via a Scrum methodology
* Manage relevant budget lines to ensure we are delivering within spend limit
* Manage (as necessary) efforts that require traditional waterfall/SDLC project delivery/ status (i.e. vendor delivery of an upgrade, enhancements; OCM/communications/training) in adherence with SDLC and PMO standards
* Identify ways to optimize end\-to\-end technology including processes, adoption of tooling, and opportunities to automate for efficiency gains through owning and providing deep expertise of products
* Monitor Product Production Queue for new issues, triage, poor system performance; conducts regular audits, assign and/or address according to SLA
* Support solving escalated calls when On Call team member is unable to resolve themselves
* Ownership of SOX controls, including auditing of roles and permissions, as required
* Research and assess emergent technology in the industry for future strategic growth, bringing forth recommendations to keep Sprouts relevant
* Coach more junior team members as they grow into product ownership
**Knowledge Skills \&amp; Abilities:** 
* Bachelor’s degree in computer science, engineering, or equivalent work experience
* 5\-7 years of experience as Workday administrator, with breadth of knowledge across both Finance and HCM modules. Workday certifications preferred.
* Finance, Accounting or Human Resources business domain experience preferred.
* 5\-7 years of experience in product ownership, product management, or technical project management, with a focus on technical products or solutions
* Strong understanding of software development and technical concepts, with experience working in Agile environments
* Proficiency in product management and agile tools
* Excellent communication and interpersonal skills, with the ability to translate complex technical information for non\-technical audiences
* Strong analytical and problem\-solving skills, with a strategic, customer\-focused mindset
**Core Competencies:** 
* Communication: Convey information, ideas, and feedback clearly and concisely in an engaging manner that helps others understand and retain the message; listening actively to others.
* Customer Focus: Place a high priority on the customer’s perspective when making decisions and taking action; implementing service practices that meet the customers’ and own organization’s needs.
* Driving for Results: Set SMART goals and measure progress; tenaciously working to meet or exceed goals and making continuous improvement. Seeking innovative ways to solve problems that result in unique and differentiated solutions.
* Positive Approach: Demonstrate a positive attitude in the face of difficult or challenging situations; provide an uplifting (yet realistic) outlook on what the future holds and the opportunities it might present.
**Benefits:** 
 In addition to a rewarding career, Sprouts offers a comprehensive program to help support you and your family. These programs include:
* Competitive pay
* Sick time plan that you can use to support you or your immediate families health
* Opportunities for career growth
* 15% discount for you and one other family member in your household on all purchases made at Sprouts
* Flexible schedules
* Employee Assistance Program (EAP)
**Eligibility Requirements May Apply For The Following Benefits** 
* 401(K) Retirement savings plan with a generous company match
* Affordable benefit coverage, including medical, dental vision
* Paid parental leave for both mothers and fathers
* Pre\-tax Flexible Spending Accounts for healthcare and dependent care
* Company paid life insurance and short\-term disability coverage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 management reserves the right to amend and change duties, responsibilities, and requirements to meet business and organizational needs as necessary.* 
*California Residents: We collect information in accordance with California law, please see here for more information.*</t>
        </is>
      </c>
    </row>
    <row r="72">
      <c r="A72" t="inlineStr">
        <is>
          <t>li-4371194303</t>
        </is>
      </c>
      <c r="B72" t="inlineStr">
        <is>
          <t>Technical Product Manager</t>
        </is>
      </c>
      <c r="C72" t="inlineStr">
        <is>
          <t>Jobs via Dice</t>
        </is>
      </c>
      <c r="D72" t="inlineStr">
        <is>
          <t>linkedin</t>
        </is>
      </c>
      <c r="E72" t="inlineStr"/>
      <c r="F72" t="inlineStr"/>
      <c r="G72" t="inlineStr"/>
      <c r="H72" t="inlineStr"/>
      <c r="I72" t="inlineStr">
        <is>
          <t>Dice is the leading career destination for tech experts at every stage of their careers. Our client, AIT Global, Inc., is seeking the following. Apply via Dice today!
**Job Title: Technical Product Manager
 Location: Remote**
**Skills required:**
* Software Development Life Cycle (SDLC) \&amp; Methodologies: Expertise in managing the product development process using Agile methodologies (Scrum, Kanban) is essential, along with a deep understanding of the entire software development lifecycle.
* DevOps and Infrastructure Basics: Knowledge of how J2EE applications are built, tested, and deployed is important.
* Web Frameworks: Familiarity with popular frameworks
* Persistence Frameworks: Knowledge of how data is stored and retrieved
* APIs and Web Services: Understanding of Service\-Oriented Architecture (SOA
* Database Knowledge: Proficiency with database concepts.
* Front\-end Technologies: knowledge of related web technologies to understand UI/UX constraints and possibilities.
**Core Product Management \&amp; Soft Skills:**
* Communication \&amp; Stakeholder Management: Acts as a crucial bridge between highly technical engineering teams and non\-technical business, marketing, and sales teams. Excellent written and oral communication skills are necessary to translate complex technical issues into business implications and vice versa.
* Strategic Thinking and Roadmap Planning: The ability to define the product vision, create a compelling roadmap, and prioritize features and tasks based on user needs, market trends, and business goals.
* Problem\-Solving \&amp; Analytical Skills: Utilizes data analysis and critical thinking to identify user pain points, assess potential technical problems, and make data\-driven decisions.
* Leadership \&amp; Collaboration: Inspires and guides cross\-functional teams, manages expectations, resolves conflicts, and ensures alignment across all departments involved in the product's success.
* Risk Management: Proactively identifies potential technical bottlenecks or project risks and develops mitigation strategies.
**Key Responsibilities:**
* Requirements Definition: Translating business needs into detailed technical specifications for development.
* Technical Strategy: Defining the technical vision and roadmap, ensuring scalability, security, and long\-term viability.
* Engineering Collaboration: Working directly with engineers to detail requirements, prioritize features, and resolve technical challenges.
* Roadmap Management: Balancing technical debt, new features, and business demands on the product roadmap.
* Market \&amp; User Understanding: Researching market trends, competitor products, and user feedback, often focusing on technical users (developers).
* Cross\-Functional Alignment: Ensuring marketing, sales, and design teams understand the technical aspects and limitations.</t>
        </is>
      </c>
    </row>
    <row r="73">
      <c r="A73" t="inlineStr">
        <is>
          <t>li-4371193068</t>
        </is>
      </c>
      <c r="B73" t="inlineStr">
        <is>
          <t>Product Manager II, Consumer Experiences</t>
        </is>
      </c>
      <c r="C73" t="inlineStr">
        <is>
          <t>Affirm</t>
        </is>
      </c>
      <c r="D73" t="inlineStr">
        <is>
          <t>linkedin</t>
        </is>
      </c>
      <c r="E73" t="inlineStr"/>
      <c r="F73" t="inlineStr"/>
      <c r="G73" t="inlineStr">
        <is>
          <t>Portland, OR</t>
        </is>
      </c>
      <c r="H73" t="inlineStr"/>
      <c r="I73" t="inlineStr">
        <is>
          <t>Affirm is reinventing credit to make it more honest and friendly, giving consumers the flexibility to buy now and pay later without any hidden fees or compounding interest.
 We're looking for a product manager with proven experience building and launching search products to own our consumer\-facing surfaces and discovery experiences. You'll drive feature development for our Home Tab, own the Search experience, Profile/Settings and drive our App Redesign work forward. In this role, you'll partner closely with design to deliver compelling consumer experiences, while working with engineering and analytics to ship high\-impact features that improve satisfaction, engagement, and long\-term loyalty.
 What you’ll do
* Own and drive feature development for Home Tab, partnering closely with design to improve discovery, engagement, and activation on Affirm's app front door
* Own the Search Experience end\-to\-end, ensuring consumers can seamlessly find relevant merchants, products, and offers, with the opportunity to execute on AI\-native search capabilities as that workstream accelerates
* Lead Profile/Settings surface, making account management simple, transparent, and trustworthy
* Partner with engineering, design, analytics, and marketing to ship consumer\-facing products with measurable impact on conversion, NPS, and repeat usage
* Use data and experimentation to identify friction points, measure outcomes, and continuously improve core consumer journeys
 What we look for
* Experience building and launching search products: you've shipped search experiences end\-to\-end and understand relevance, ranking, and discovery UX
* Strong design sensibility and partnership skills: you work effectively with design to solve user problems and ship polished consumer experiences
* Track record of shipping consumer\-facing products with measurable impact on engagement, conversion, or growth
* Comfort with funnel analysis, A/B testing, and data\-driven decision making
* Ability to execute on technical product builds, particularly in search/discovery infrastructure
* Flexibility to pivot priorities as business needs evolve, comfortable with ambiguity and shifting focus areas
* 4\-6 years of product management experience, ideally in consumer apps, search, e\-commerce, or marketplace
 Pay Grade \- L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$160,000\-210,000
 USA base pay range (all other U.S. states) per year: $142,000\-192,000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74">
      <c r="A74" t="inlineStr">
        <is>
          <t>li-4371173922</t>
        </is>
      </c>
      <c r="B74" t="inlineStr">
        <is>
          <t>Senior Product Manager, Card Experience</t>
        </is>
      </c>
      <c r="C74" t="inlineStr">
        <is>
          <t>Affirm</t>
        </is>
      </c>
      <c r="D74" t="inlineStr">
        <is>
          <t>linkedin</t>
        </is>
      </c>
      <c r="E74" t="inlineStr"/>
      <c r="F74" t="inlineStr"/>
      <c r="G74" t="inlineStr">
        <is>
          <t>Chicago, IL</t>
        </is>
      </c>
      <c r="H74" t="inlineStr"/>
      <c r="I74" t="inlineStr">
        <is>
          <t>Affirm is reinventing credit to make it more honest and friendly, giving consumers the flexibility to buy now and pay later without any hidden fees or compounding interest.
 We’re hiring a Senior Product Manager, Card Acquisition (New Channels) to launch and scale new acquisition channels for the Affirm Card. In this role, you’ll identify high\-impact growth opportunities, validate them through rapid experimentation, and bring them to market at scale. You’ll play a pivotal role in shaping how millions of consumers first discover and adopt the Affirm Card, with direct ownership over measurable acquisition and activation outcomes. This is a highly visible role with significant opportunity to influence strategy and drive Affirm’s next phase of cardholder growth.
**What You'll Do**
* Define and own the Card Acquisition roadmap for new growth channels, setting clear hypotheses, success metrics, and sequencing.
* Launch and scale new acquisition surfaces, partnering closely with Engineering and Design to deliver seamless, high\-conversion onboarding experiences.
* Design and execute acquisition programs (e.g., referrals, exploratory partner pilots) with measurable CAC→LTV impact.
* Own funnel performance end\-to\-end: track weekly acquisitions, 30\-day activation, drop\-offs by step, and implement robust incrementality testing.
* Collaborate cross\-functionally with Risk, Compliance, Marketing, and the Card Foundations team to align dependencies and ensure safe, scalable growth.
* Continuously experiment and iterate to unlock new distribution levers, maximize conversion, and expand the cardholder base.
**What We Look For**
* 4\+ years in Product Management; Ideally with previous background owning growth/distribution channels
* Track record shipping consumer financial or regulated products; comfort partnering with Risk/Credit, Legal, and Compliance.
* Deep fluency in experiment design, incrementality/attribution, and CAC→LTV optimization.
* Strong UX instincts for moment‑of‑intent surfaces; ability to work across web, app, and partner integrations.
* Data chops (SQL/Amplitude‑level self‑serve) and a bias for shipping, learning, and iterating quickly.
* Excellent cross‑functional leadership; experience leading embedded eng/design pods.
* Bachelor’s or Master’s in Computer Science, or other related fields; or equivalent practical experience.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75">
      <c r="A75" t="inlineStr">
        <is>
          <t>li-4367635962</t>
        </is>
      </c>
      <c r="B75" t="inlineStr">
        <is>
          <t>Sr. Product Owner, Cloud</t>
        </is>
      </c>
      <c r="C75" t="inlineStr">
        <is>
          <t>Insulet Corporation</t>
        </is>
      </c>
      <c r="D75" t="inlineStr">
        <is>
          <t>linkedin</t>
        </is>
      </c>
      <c r="E75" t="inlineStr"/>
      <c r="F75" t="inlineStr"/>
      <c r="G75" t="inlineStr">
        <is>
          <t>San Diego, CA</t>
        </is>
      </c>
      <c r="H75" t="inlineStr"/>
      <c r="I75" t="inlineStr">
        <is>
          <t>We are looking for a self\-motivated
 **Senior Product Owner, Cloud,** 
 to join our mission\-driven Data Cloud team to shape the future of connected medical devices through innovative cloud solutions. Working in an Agile environment, in collaboration with a cross\-functional team, this person will be responsible for defining and executing the Product roadmap and ensuring the Backlog is properly prioritized, defined and executed for the team.
**Responsibilities**
* Obtain high\-level work estimation (t\-shirt size) for Phase A and Phase B
* Prioritizes the ART Backlog to streamline the execution of program priorities
* Maintains the conceptual and technical integrity of the Features for the team
* Provides input into timelines/ dates, and investigates alternate paths forward on potential timing options
* Drives tradeoff evaluations on feature implementations
* Defines Program Increment objectives
* Participates in usability studies to bring voice of the customer on a feature to the tea
* Support PM with Phase A business case development (both cost and value)
* Support PM with Phase B in defining and gaining approval of customer journeys, detailed process flows, epic identification, feature identification, and consolidation of high\-level work estimations required for Phase B approval and closure
* Ensure consistency of configuration and partners with Solution Leads to ensure design and development consistency across all work with ART
* Lead software selection to define product scope and capabilities
* Serve as 1st escalation point for all Delivery POs in the ART (questions on feature refinement, solution options, and/or in sprint tradeoffs
**Minimum Requirements**
* Bachelor’s degree and 5\+ years of relevant work experience OR 8 years of relevant work experience
* Experience in Medical Device Development and/or other highly regulated field
* 5\+ years of experience using Agile methodologies and SAFe methodologies, related to Product Owner role
* Knowledge of Software Development, DevOps and Cloud Technologies
* Demonstrates strong communication skills with audiences with various levels of technical background
* Able to work independently with minimum supervision
* Passion to continuously improve processes and practices
* Knowledge of IT systems development is strongly preferred
* Experience working with scrum team with different demography
**Preferred Skills and Competencies**
* Experience with Insulin Pumps development will be a plus
* Software within medical device experience as a Product Owner preferred
* Knowledge of Software development specific to Cloud services is strongly preferred
* Experience building solutions in AWS or other hosted services strongly desired
* Experience working with DevOps or Cloud operation team strongly desired
* Proactive at communicating with various stakeholders in the organization
* Detail oriented, with effective verbal and written communication skills
* Creative problem\-solver with a sense of urgency
* Demonstrated flexibility and ability to function in a fast\-paced, growth industry and work environment
* Able to organize and judge multiple priorities
**Additional Information**
* *Hybrid: NOTE: This position is eligible for hybrid working arrangements (requires on\-site work from an Insulet office). \#LI\-Hybrid*
* US travel as needed (at least once per quarter)</t>
        </is>
      </c>
    </row>
    <row r="76">
      <c r="A76" t="inlineStr">
        <is>
          <t>li-4371173921</t>
        </is>
      </c>
      <c r="B76" t="inlineStr">
        <is>
          <t>Product Manager II, Consumer Experiences</t>
        </is>
      </c>
      <c r="C76" t="inlineStr">
        <is>
          <t>Affirm</t>
        </is>
      </c>
      <c r="D76" t="inlineStr">
        <is>
          <t>linkedin</t>
        </is>
      </c>
      <c r="E76" t="inlineStr"/>
      <c r="F76" t="inlineStr"/>
      <c r="G76" t="inlineStr">
        <is>
          <t>Houston, TX</t>
        </is>
      </c>
      <c r="H76" t="inlineStr"/>
      <c r="I76" t="inlineStr">
        <is>
          <t>Affirm is reinventing credit to make it more honest and friendly, giving consumers the flexibility to buy now and pay later without any hidden fees or compounding interest.
 We're looking for a product manager with proven experience building and launching search products to own our consumer\-facing surfaces and discovery experiences. You'll drive feature development for our Home Tab, own the Search experience, Profile/Settings and drive our App Redesign work forward. In this role, you'll partner closely with design to deliver compelling consumer experiences, while working with engineering and analytics to ship high\-impact features that improve satisfaction, engagement, and long\-term loyalty.
 What you’ll do
* Own and drive feature development for Home Tab, partnering closely with design to improve discovery, engagement, and activation on Affirm's app front door
* Own the Search Experience end\-to\-end, ensuring consumers can seamlessly find relevant merchants, products, and offers, with the opportunity to execute on AI\-native search capabilities as that workstream accelerates
* Lead Profile/Settings surface, making account management simple, transparent, and trustworthy
* Partner with engineering, design, analytics, and marketing to ship consumer\-facing products with measurable impact on conversion, NPS, and repeat usage
* Use data and experimentation to identify friction points, measure outcomes, and continuously improve core consumer journeys
 What we look for
* Experience building and launching search products: you've shipped search experiences end\-to\-end and understand relevance, ranking, and discovery UX
* Strong design sensibility and partnership skills: you work effectively with design to solve user problems and ship polished consumer experiences
* Track record of shipping consumer\-facing products with measurable impact on engagement, conversion, or growth
* Comfort with funnel analysis, A/B testing, and data\-driven decision making
* Ability to execute on technical product builds, particularly in search/discovery infrastructure
* Flexibility to pivot priorities as business needs evolve, comfortable with ambiguity and shifting focus areas
* 4\-6 years of product management experience, ideally in consumer apps, search, e\-commerce, or marketplace
 Pay Grade \- L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$160,000\-210,000
 USA base pay range (all other U.S. states) per year: $142,000\-192,000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77">
      <c r="A77" t="inlineStr">
        <is>
          <t>li-4362106726</t>
        </is>
      </c>
      <c r="B77" t="inlineStr">
        <is>
          <t>AI/ML Program Manager</t>
        </is>
      </c>
      <c r="C77" t="inlineStr">
        <is>
          <t>KCI</t>
        </is>
      </c>
      <c r="D77" t="inlineStr">
        <is>
          <t>linkedin</t>
        </is>
      </c>
      <c r="E77" t="inlineStr"/>
      <c r="F77" t="inlineStr"/>
      <c r="G77" t="inlineStr"/>
      <c r="H77" t="inlineStr"/>
      <c r="I77" t="inlineStr">
        <is>
          <t>**Overview**
**Join us as we Rise to the Challenge**
 At KCI, we’re building an enduring community that provides unparalleled value to our employee\-owners. We make our mark designing and delivering our world\-class solutions, so we invest deeply in supporting and developing our team. We reward integrity and commitment, and when we do well, you do well. Our employee’s have the freedom to innovate, unlimited growth, a voice that matters, a lifestyle that works, and skin in the game. Achievements are shared and celebrated. As a team, we are motivated to better ourselves, each other, and the world around us.
**The Company**
 KCI Technologies, Inc. is a 100% employee\-owned engineering, consulting and construction firm serving clients throughout the United States. KCI is recognized as an industry leader, employing cutting\-edge technologies, management practices and strategic growth initiatives. Employee ownership fosters an entrepreneurial spirit, encourages technical expertise, and shapes strategic planning.
 KCI is currently ranked \#53 on Engineering News\-Record’s list of the Top 500 design firms in the nation.
**Kci Benefits Information**
 We offer a competitive compensation package, family friendly benefits, a collaborative working environment, and the training, mentoring and resources you need to advance in your career.
 We understand that you have choices, and we know that together we will make a great team!
**KCI is committed to building a diverse and inclusive staff, and we encourage women, people of color, LGBTQ\+ individuals, and individuals with disabilities to apply.**
 KCI Technologies, Inc. is an equal opportunity employer. All qualified applicants will receive consideration for employment without regard to race, color, religion, sex, sexual orientation, gender identity, national origin, disability or veteran status.
**Duties, Responsibilities \&amp; Other**
 As
 **AI/ML Program Manager** 
 , you will serve as a trusted consultant guiding clients in the responsible and strategic adoption of AI/ML technologies and workflows. You will mentor AI/ML analysts and engineers while contributing directly to technical development and business strategy, demonstrating strong technical acumen, leadership skills, and a proactive approach to both project delivery and cross\-functional collaboration.
 You will lead client engagements from discovery through delivery, designing tailored AI/ML programs, shaping policies around responsible AI use, and providing hands\-on technical insight into machine learning tools, data curation practices, and large language model (LLM) development. This position is ideal for someone at the intersection of technology strategy, applied AI/ML, and client consulting.
**Responsibilities**
* Serve as the primary advisor to clients on AI/ML adoption strategy, governance, and responsible use policies.
* Identify needs and opportunities to incorporate AI/ML for optimizing outcomes while supporting predictive modeling and data\-driven decision making for clients
* Lead needs assessments to identify organizational gaps, training requirements, and technical infrastructure needs.
* Guide clients to understand, trust, and embrace AI/ML as a viable, practical tool to drive business outcomes.
* Design and deliver AI/ML roadmaps, including implementation frameworks, program structures, and success metrics.
* Establish governance and compliance frameworks to support the safe and scalable deployment of AI solutions.
* Partner with client leadership to align AI initiatives with business goals and enterprise IT strategies.
* Define best practices and standards for scalable AI/ML operations within organizations.
* Demonstrate AI/ML capabilities through proofs\-of\-concept and success stories to build client confidence and accelerate adoption.
* Provide expertise in machine learning, and LLMs—guiding clients on model selection, training pipelines, and deployment practices.
* Implement and lead projects using retrieval\-augmented generation (RAG) systems, embeddings, and vector databases.
* Strategically utilize foundation models, including fine\-tuning, evaluation, and deployment.
* Advise on tools and platforms across the ML lifecycle.
* Lead project planning, define sprints, estimation, prioritization, and retrospectives.
* Collaborate internally to refine our consulting methodologies, solution frameworks, and service offerings in AI/ML.
* Mentor and guide junior developers in both technical and professional development.
* Help establish team skills baselines and contribute to training and upskilling initiatives.
* Conduct regular code and model reviews, establish best practices, and support SDLC.
* Provide updates to the Data Analytics Manager about project progress, team needs, junior analyst development needs, etc .
* Provide technical expertise during proposal development, including reviewing RFPs, crafting technical approaches, and estimating LOEs.
* Participate in client meetings and demos.
* Other duties as assigned.
**Qualifications**
**Requirements:**
* Bachelor’s degree in Computer Science, Computer Engineering, Systems Engineering, Data Science, or related field.
* 15\+ years of professional experience in client\-facing or consulting work.
* Strong experience with and understanding of ML frameworks and tools.
* Proficiency in Python and experience with additional languages (e.g., Java, R, C\+\+).
* Ability to translate complex AI/ML concepts into clear, actionable guidance for non\-technical stakeholders.
* Pre\-employment drug screening and background check are conditions of employment. Motor vehicle checks may be required based upon position.
**Preferred Qualifications**
* Master’s degree in Computer Science, Computer Engineering, Systems Engineering, Data Science, or related field.
* 8\+ years of professional experience in AI/ML.
* Prior experience designing or leading AI/ML training and upskilling programs.
* Expertise in data curation and preparation, including LLM training workflows and dataset development
* Experience with cloud platforms (Azure, AWS, GCP) and modern MLOps pipelines (Docker, Kubernetes, CI/CD).</t>
        </is>
      </c>
    </row>
    <row r="78">
      <c r="A78" t="inlineStr">
        <is>
          <t>li-4371194283</t>
        </is>
      </c>
      <c r="B78" t="inlineStr">
        <is>
          <t>Product Owner</t>
        </is>
      </c>
      <c r="C78" t="inlineStr">
        <is>
          <t>Jobs via Dice</t>
        </is>
      </c>
      <c r="D78" t="inlineStr">
        <is>
          <t>linkedin</t>
        </is>
      </c>
      <c r="E78" t="inlineStr"/>
      <c r="F78" t="inlineStr"/>
      <c r="G78" t="inlineStr">
        <is>
          <t>Phoenix, AZ</t>
        </is>
      </c>
      <c r="H78" t="inlineStr"/>
      <c r="I78" t="inlineStr">
        <is>
          <t>Dice is the leading career destination for tech experts at every stage of their careers. Our client, NAAS Technologies, is seeking the following. Apply via Dice today!
**Product Owner
 Location: Phoenix AZ or New York Hybrid onsite**
 Strong understanding of Scrum and Agile methodologies.
 Experience with tools like JIRA, Confluence, Azure DevOps, or similar.
 Ability to write detailed user stories, epics, and acceptance criteria.
 Strong stakeholder management and communication skills.
 Experience working with cross\-functional teams (Engineering, QA, UX, Business).
 Basic understanding of product metrics and KPIs.</t>
        </is>
      </c>
    </row>
    <row r="79">
      <c r="A79" t="inlineStr">
        <is>
          <t>li-4342856009</t>
        </is>
      </c>
      <c r="B79" t="inlineStr">
        <is>
          <t>Lead Technical Product Manager - Agent Platform (P4476)</t>
        </is>
      </c>
      <c r="C79" t="inlineStr">
        <is>
          <t>84.51˚</t>
        </is>
      </c>
      <c r="D79" t="inlineStr">
        <is>
          <t>linkedin</t>
        </is>
      </c>
      <c r="E79" t="inlineStr"/>
      <c r="F79" t="inlineStr"/>
      <c r="G79" t="inlineStr">
        <is>
          <t>Cincinnati, OH</t>
        </is>
      </c>
      <c r="H79" t="inlineStr"/>
      <c r="I79"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**Lead Technical Product Manager – Agent Platform**
**LOCATION: Cincinnati / Chicago** 
**(P4476\)**
**Summary**
 The AI Enablement team at 84\.51° is seeking a Lead Product Manager for its Agent Platform team. This team is responsible for architecting, implementing, maintaining, and supporting the use of the agentic foundation of the Kroger enterprise.
 The Lead Product Manager will discover, prioritize, plan the implementation of the agent platform – this could include: a control layer consisting of agent, MCP, eval, and prompt registries; evaluation and monitoring tools; and pro\-code, low\-code, and no\-code development capabilities. The role will partner closely with engineering and data science leads to shape the roadmap, translate business and technical needs into clear requirements, and ensure the delivery of high\-value, enterprise\-grade capabilities that reduce time\-to\-value, improve quality and reliability, and promote safe, compliant use of agentic systems.
**Responsibilities**
* Own product discovery and roadmap for the managed agent platform
* Maintain a current roadmap and communicate trade\-offs, dependencies, and timelines to stakeholders and delivery teams
* Translate business goals, user needs, and technical constraints into product requirements and acceptance criteria with a clear definition of done
* Partner with the Agentic Foundations leadership, as well as engineering and data science leads, to plan quarters/cycles/sprints and ensure efficient, predictable delivery
* Define and evolve core agentic platform capabilities, including:
* Registries (agent/MCP/scorer/prompt), templates, and pattern libraries
* Agent development and monitoring tools, including evaluation frameworks and observability
* Integration with data and API layers and pro\-code agent frameworks
* Integration with enterprise AIOps/MLOps, CI/CD, and governance workflows
* Facilitate user research and testing to understand developer and business user workflows; validate usability, safety, reliability, and performance
* Analyze product usage and operational data to inform prioritization, measure value, and guide iteration
* Drive adoption across customer teams through documentation, enablement, demos, and feedback loops; remove friction points and champion best practice
* Ensure alignment with enterprise strategies for scale, reliability, safety, compliance, and cost\-efficiency
* Manage progress toward objectives; proactively surface risks, blocks, and cross\-team dependencies; coordinate mitigation plans
* Develop strong internal and external stakeholder relationships; influence and drive change in ambiguous, evolving environments
* Communicate realized value and outcomes, including usage, adoption, productivity improvements, and risk reduction
**Qualifications, Skills, And Experience**
* Professional experience in leading enterprise AI, ML, or data platforms
* Professional experience in a product/software development team
* Professional experience in managing technical and business stakeholders
* Professional experience in ambiguous environments
* Skilled in a general technical acumen, able to efficiently converse with software engineers and AI engineers and understand their development processes
* Skilled in managing cross\-functional technical development teams in an agile environment
* Skilled in managing business priorities against design/user needs while delivering against product roadmaps
* Skilled in managing end\-to\-end software product development
* Skilled in problem solving, analytic thinking, and creativity
* Skilled in planning, organization, and verbal/written business communication
* Skilled in maintaining a positive leader persona in ambiguous and changing environments
* Skilled in quickly flexing between technical and business stakeholder conversations, adapting to a variety of audiences
* Demonstrated excellence as a teammate and leader
* 4\-6 years relevant experience
* Education: Bachelor’s degree or higher in Software Engineering, Computer Science, Machine Learning, or a related field
**Pay Transparency And Benefits**
* The stated salary range represents the entire span applicable across all geographic markets from lowest to highest.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 Below is a list of some of the benefits we offer our associates:
+ Health: Medical: with competitive plan designs and support for self\-care, wellness and mental health. Dental: with in\-network and out\-of\-network benefit. Vision: with in\-network and out\-of\-network benefit.
+ Wealth: 401(k) with Roth option and matching contribution. Health Savings Account with matching contribution (requires participation in qualifying medical plan). AD\&amp;D and supplemental insurance options to help ensure additional protection for you.
+ Happiness: Paid time off with flexibility to meet your life needs, including 5 weeks of vacation time, 7 health and wellness days, 3 floating holidays, as well as 6 company\-paid holidays per year. Paid leave for maternity, paternity and family care instances.
 Pay Range
 $121,000—$201,250 USD</t>
        </is>
      </c>
    </row>
    <row r="80">
      <c r="A80" t="inlineStr">
        <is>
          <t>li-4371186362</t>
        </is>
      </c>
      <c r="B80" t="inlineStr">
        <is>
          <t>Product Manager II, Consumer Experiences</t>
        </is>
      </c>
      <c r="C80" t="inlineStr">
        <is>
          <t>Affirm</t>
        </is>
      </c>
      <c r="D80" t="inlineStr">
        <is>
          <t>linkedin</t>
        </is>
      </c>
      <c r="E80" t="inlineStr"/>
      <c r="F80" t="inlineStr"/>
      <c r="G80" t="inlineStr">
        <is>
          <t>Detroit, MI</t>
        </is>
      </c>
      <c r="H80" t="inlineStr"/>
      <c r="I80" t="inlineStr">
        <is>
          <t>Affirm is reinventing credit to make it more honest and friendly, giving consumers the flexibility to buy now and pay later without any hidden fees or compounding interest.
 We're looking for a product manager with proven experience building and launching search products to own our consumer\-facing surfaces and discovery experiences. You'll drive feature development for our Home Tab, own the Search experience, Profile/Settings and drive our App Redesign work forward. In this role, you'll partner closely with design to deliver compelling consumer experiences, while working with engineering and analytics to ship high\-impact features that improve satisfaction, engagement, and long\-term loyalty.
 What you’ll do
* Own and drive feature development for Home Tab, partnering closely with design to improve discovery, engagement, and activation on Affirm's app front door
* Own the Search Experience end\-to\-end, ensuring consumers can seamlessly find relevant merchants, products, and offers, with the opportunity to execute on AI\-native search capabilities as that workstream accelerates
* Lead Profile/Settings surface, making account management simple, transparent, and trustworthy
* Partner with engineering, design, analytics, and marketing to ship consumer\-facing products with measurable impact on conversion, NPS, and repeat usage
* Use data and experimentation to identify friction points, measure outcomes, and continuously improve core consumer journeys
 What we look for
* Experience building and launching search products: you've shipped search experiences end\-to\-end and understand relevance, ranking, and discovery UX
* Strong design sensibility and partnership skills: you work effectively with design to solve user problems and ship polished consumer experiences
* Track record of shipping consumer\-facing products with measurable impact on engagement, conversion, or growth
* Comfort with funnel analysis, A/B testing, and data\-driven decision making
* Ability to execute on technical product builds, particularly in search/discovery infrastructure
* Flexibility to pivot priorities as business needs evolve, comfortable with ambiguity and shifting focus areas
* 4\-6 years of product management experience, ideally in consumer apps, search, e\-commerce, or marketplace
 Pay Grade \- L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$160,000\-210,000
 USA base pay range (all other U.S. states) per year: $142,000\-192,000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81">
      <c r="A81" t="inlineStr">
        <is>
          <t>li-4371175857</t>
        </is>
      </c>
      <c r="B81" t="inlineStr">
        <is>
          <t>Senior Product Manager, Card Experience</t>
        </is>
      </c>
      <c r="C81" t="inlineStr">
        <is>
          <t>Affirm</t>
        </is>
      </c>
      <c r="D81" t="inlineStr">
        <is>
          <t>linkedin</t>
        </is>
      </c>
      <c r="E81" t="inlineStr"/>
      <c r="F81" t="inlineStr"/>
      <c r="G81" t="inlineStr">
        <is>
          <t>Madison, WI</t>
        </is>
      </c>
      <c r="H81" t="inlineStr"/>
      <c r="I81" t="inlineStr">
        <is>
          <t>Affirm is reinventing credit to make it more honest and friendly, giving consumers the flexibility to buy now and pay later without any hidden fees or compounding interest.
 We’re hiring a Senior Product Manager, Card Acquisition (New Channels) to launch and scale new acquisition channels for the Affirm Card. In this role, you’ll identify high\-impact growth opportunities, validate them through rapid experimentation, and bring them to market at scale. You’ll play a pivotal role in shaping how millions of consumers first discover and adopt the Affirm Card, with direct ownership over measurable acquisition and activation outcomes. This is a highly visible role with significant opportunity to influence strategy and drive Affirm’s next phase of cardholder growth.
**What You'll Do**
* Define and own the Card Acquisition roadmap for new growth channels, setting clear hypotheses, success metrics, and sequencing.
* Launch and scale new acquisition surfaces, partnering closely with Engineering and Design to deliver seamless, high\-conversion onboarding experiences.
* Design and execute acquisition programs (e.g., referrals, exploratory partner pilots) with measurable CAC→LTV impact.
* Own funnel performance end\-to\-end: track weekly acquisitions, 30\-day activation, drop\-offs by step, and implement robust incrementality testing.
* Collaborate cross\-functionally with Risk, Compliance, Marketing, and the Card Foundations team to align dependencies and ensure safe, scalable growth.
* Continuously experiment and iterate to unlock new distribution levers, maximize conversion, and expand the cardholder base.
**What We Look For**
* 4\+ years in Product Management; Ideally with previous background owning growth/distribution channels
* Track record shipping consumer financial or regulated products; comfort partnering with Risk/Credit, Legal, and Compliance.
* Deep fluency in experiment design, incrementality/attribution, and CAC→LTV optimization.
* Strong UX instincts for moment‑of‑intent surfaces; ability to work across web, app, and partner integrations.
* Data chops (SQL/Amplitude‑level self‑serve) and a bias for shipping, learning, and iterating quickly.
* Excellent cross‑functional leadership; experience leading embedded eng/design pods.
* Bachelor’s or Master’s in Computer Science, or other related fields; or equivalent practical experience.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82">
      <c r="A82" t="inlineStr">
        <is>
          <t>li-4353957292</t>
        </is>
      </c>
      <c r="B82" t="inlineStr">
        <is>
          <t>Staff Product Manager, Identity and Access Management</t>
        </is>
      </c>
      <c r="C82" t="inlineStr">
        <is>
          <t>CoreWeave</t>
        </is>
      </c>
      <c r="D82" t="inlineStr">
        <is>
          <t>linkedin</t>
        </is>
      </c>
      <c r="E82" t="inlineStr"/>
      <c r="F82" t="inlineStr"/>
      <c r="G82" t="inlineStr">
        <is>
          <t>New York, NY</t>
        </is>
      </c>
      <c r="H82" t="inlineStr"/>
      <c r="I82"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You’ll lead the evolution of CoreWeave IAM, the platform that manages identity, authentication, and authorization across CoreWeave’s products and services. This team builds foundational security capabilities that enable the world’s leading AI labs and enterprises to securely access critical data and infrastructure. Your work will directly support scalable, secure AI workloads by ensuring identity and access controls are robust, flexible, and enterprise\-ready. You will drive a novel, modern approach to IAM that delights customers, even those with the most stringent security requirements.
**About The Role**
 As a Staff Product Manager for Identity and Access Management, you will own and evolve CoreWeave IAM, the platform responsible for identity, authentication, and authorization across CoreWeave’s products and services. In this role, you’ll define the IAM product strategy and roadmap while working closely with engineering, security, product, field, and marketing teams to deliver scalable, secure identity capabilities. You’ll partner with enterprise customers and internal stakeholders to ensure CoreWeave IAM meets the security, reliability, and performance needs of critical AI workloads. This role is highly cross\-functional and sits at the intersection of enterprise security, cloud infrastructure, and AI platforms.
**Who You Are**
* 8\+ years of product management experience, preferably in enterprise identity, security, or cloud infrastructure
* Demonstrated experience owning and delivering identity, authentication, and authorization products or platforms
* Strong technical understanding of enterprise IAM concepts, including least\-privileged access, SSO, MFA, and authn/authz systems
* Hands\-on experience with identity standards and protocols, such as OIDC/OAuth, SAML, and PKI
* Solid understanding of cloud infrastructure and enterprise platforms
* Familiarity with DevOps and Infrastructure\-as\-Code tools, such as Kubernetes and Terraform
* Proven track record of managing products from concept through launch and iteration
* Experience defining and tracking product performance metrics and using data to inform product decisions
* Bachelor’s or Master’s degree in Computer Science, Engineering, or a related technical field
**Preferred**
* Experience building IAM platforms that support large\-scale, multi\-tenant enterprise customers
* Background working with security teams or compliance\-driven environments
* Experience supporting AI, HPC, or mission\-critical infrastructure workloads
**Wondering if You’re a Good Fit?**
 We believe in investing in our people and value candidates who bring diverse experiences, even if you aren’t a 100% match. If some of this describes you, we’d love to talk.
* You believe that security done right is an enabler of great customer experiences, not a hurdle
* You love to act as the voice of the customer, turning real\-world enterprise needs into secure, scalable products
* You’re curious about identity and security trends and how they intersect with AI platforms and agentic infrastructure
* You’re an expert in enterprise identity, authentication, and authorization, and enjoy building systems that enable secure access to critical data and infrastructure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83">
      <c r="A83" t="inlineStr">
        <is>
          <t>li-4371189450</t>
        </is>
      </c>
      <c r="B83" t="inlineStr">
        <is>
          <t>Digital Product Manager</t>
        </is>
      </c>
      <c r="C83" t="inlineStr">
        <is>
          <t>Jobs via Dice</t>
        </is>
      </c>
      <c r="D83" t="inlineStr">
        <is>
          <t>linkedin</t>
        </is>
      </c>
      <c r="E83" t="inlineStr"/>
      <c r="F83" t="inlineStr"/>
      <c r="G83" t="inlineStr">
        <is>
          <t>Stamford, CT</t>
        </is>
      </c>
      <c r="H83" t="inlineStr"/>
      <c r="I83" t="inlineStr">
        <is>
          <t>Dice is the leading career destination for tech experts at every stage of their careers. Our client, Diverse Lynx Llc, is seeking the following. Apply via Dice today!
 Position \- Digital Product Manager
 Location: Stamford, CT (No Remote)
 Number of positions : 2
 Job Description:
**Product Manager, Digital Sales Experience**
**As a Product Manager on Spectrum.com** 
 , you will drive the evolution of
 **customer facing digital commerce experiences** 
 in a complex, high scale environment. In this role, you will leverage customer insights, business objectives, and market trends to
 **identify, prioritize, and deliver improvements across the end to end digital purchase journey** 
 , directly impacting conversion, order completion, and revenue.
 As the advocate for both the customer and the business, you will
 **own and communicate a clear product vision and roadmap for Spectrum.com** 
 , working closely with design, engineering, analytics, and cross functional partners to
 **ship, measure, and continuously optimize customer buyflow experiences** 
 . This role offers the opportunity to
 **lead meaningful change in how customers discover, purchase, and complete orders** 
 across Spectrum’s digital channels.
**Responsibilities**
* Complete intake on new features, with explicit focus on customer facing purchase experiences, identifying the value they add to the product and their impact on conversion, completion, and revenue outcomes.
* Develop and maintain a product roadmap that aligns with business objectives and user needs, prioritizing initiatives that improve the end to end digital purchase journey.
* Work with partners and stakeholders to define high\-level user stories and designs for customer facing commerce experiences for handover to the delivery team once aligned to a sprint.
* Align with consumer insights to conduct market research to identify user needs and industry trends that inform product development, with emphasis on ecommerce, subscription, and digital sales behaviors.
* Understand current product performance by analyzing reports, customer feedback, and other insights across the digital sales funnel, to inform leadership on performance to plan.
* Prepare for and participate in agile ceremonies, including daily stand\-up, quarterly planning, sprint planning, and retrospectives.
* Ensure the Product Owner and delivery team are developing and implementing solutions that meet business and user needs, with accountability for customer experience quality and buyflow outcomes.
* Facilitate the resolution of conflicts and impediments faced by the delivery team, balancing customer experience, revenue impact, and delivery constraints.
* Communicate product vision and updates to stakeholders, ensuring alignment and transparency, particularly around performance of customer facing purchase journeys.
* Customer purchase domain experience and ability to translate complex AI capabilities into actionable product roadmaps that improve customer decision making and purchase completion, while ensuring ethical standards and measurable business ROI.
* Must demonstrate a high technical aptitude for managing localization pipelines and predictive forecasting models as they relate to digital commerce and checkout optimization, driving measurable revenue growth and conversion through personalized, data driven customer experiences.
 Core Skills
* Ability to articulate product vision and requirements clearly, particularly for customer facing digital experiences.
* Strong analytical skills to assess performance metrics and user feedback, including conversion, abandonment, and completion rates.
* Proficiency in agile methodologies and experience with product management tools.
* Excellent communication and collaboration skills for engaging with stakeholders and cross\-functional teams.
* Problem\-solving skills to address conflicts and impediments.
* Understanding of UX and design principles to guide feature development, with experience collaborating on high volume transactional flows.
* Commitment to continuous learning and professional development.
* Strategic thinking to develop and execute product roadmaps.
* Market research capabilities to identify opportunities and trends.
* Have 4\+ years of experience as a digital product manager.
* Have 4\+ years of experience using Jira, Figma, and/or other agile delivery tools</t>
        </is>
      </c>
    </row>
    <row r="84">
      <c r="A84" t="inlineStr">
        <is>
          <t>li-4371173920</t>
        </is>
      </c>
      <c r="B84" t="inlineStr">
        <is>
          <t>Senior Product Manager, Card Experience</t>
        </is>
      </c>
      <c r="C84" t="inlineStr">
        <is>
          <t>Affirm</t>
        </is>
      </c>
      <c r="D84" t="inlineStr">
        <is>
          <t>linkedin</t>
        </is>
      </c>
      <c r="E84" t="inlineStr"/>
      <c r="F84" t="inlineStr"/>
      <c r="G84" t="inlineStr">
        <is>
          <t>Phoenix, AZ</t>
        </is>
      </c>
      <c r="H84" t="inlineStr"/>
      <c r="I84" t="inlineStr">
        <is>
          <t>Affirm is reinventing credit to make it more honest and friendly, giving consumers the flexibility to buy now and pay later without any hidden fees or compounding interest.
 We’re hiring a Senior Product Manager, Card Acquisition (New Channels) to launch and scale new acquisition channels for the Affirm Card. In this role, you’ll identify high\-impact growth opportunities, validate them through rapid experimentation, and bring them to market at scale. You’ll play a pivotal role in shaping how millions of consumers first discover and adopt the Affirm Card, with direct ownership over measurable acquisition and activation outcomes. This is a highly visible role with significant opportunity to influence strategy and drive Affirm’s next phase of cardholder growth.
**What You'll Do**
* Define and own the Card Acquisition roadmap for new growth channels, setting clear hypotheses, success metrics, and sequencing.
* Launch and scale new acquisition surfaces, partnering closely with Engineering and Design to deliver seamless, high\-conversion onboarding experiences.
* Design and execute acquisition programs (e.g., referrals, exploratory partner pilots) with measurable CAC→LTV impact.
* Own funnel performance end\-to\-end: track weekly acquisitions, 30\-day activation, drop\-offs by step, and implement robust incrementality testing.
* Collaborate cross\-functionally with Risk, Compliance, Marketing, and the Card Foundations team to align dependencies and ensure safe, scalable growth.
* Continuously experiment and iterate to unlock new distribution levers, maximize conversion, and expand the cardholder base.
**What We Look For**
* 4\+ years in Product Management; Ideally with previous background owning growth/distribution channels
* Track record shipping consumer financial or regulated products; comfort partnering with Risk/Credit, Legal, and Compliance.
* Deep fluency in experiment design, incrementality/attribution, and CAC→LTV optimization.
* Strong UX instincts for moment‑of‑intent surfaces; ability to work across web, app, and partner integrations.
* Data chops (SQL/Amplitude‑level self‑serve) and a bias for shipping, learning, and iterating quickly.
* Excellent cross‑functional leadership; experience leading embedded eng/design pods.
* Bachelor’s or Master’s in Computer Science, or other related fields; or equivalent practical experience.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85">
      <c r="A85" t="inlineStr">
        <is>
          <t>li-4371310045</t>
        </is>
      </c>
      <c r="B85" t="inlineStr">
        <is>
          <t>VP, Privileged Secret Server Product Owner</t>
        </is>
      </c>
      <c r="C85" t="inlineStr">
        <is>
          <t>Synchrony</t>
        </is>
      </c>
      <c r="D85" t="inlineStr">
        <is>
          <t>linkedin</t>
        </is>
      </c>
      <c r="E85" t="inlineStr"/>
      <c r="F85" t="inlineStr"/>
      <c r="G85" t="inlineStr">
        <is>
          <t>Stamford, CT</t>
        </is>
      </c>
      <c r="H85" t="inlineStr"/>
      <c r="I85" t="inlineStr">
        <is>
          <t>JOB\_POSTING\-3\-78903
**Job Description**
**Role Summary/Purpose:**
 The PAM Product Owner leads the strategic evolution and enhancement of the enterprise Privileged Access Management (PAM) program, with a focus on risk\-based remediation of high\-risk privileged accounts. This role drives rollout and adoption of advanced monitoring, credential lifecycle management, session recording, and integration with IT Service Management (ITSM) tools to enforce governance controls such as dual\-control workflows and strengthen audit readiness.
**Essential Responsibilities**
* Lead the strategic roadmap and continuous enhancement of the enterprise PAM program, emphasizing risk\-based remediation of high\-risk privileged accounts.
* Oversee implementation and adoption of PAM capabilities including advanced monitoring, credential lifecycle management, and privileged session monitoring/recording.
* Drive end\-to\-end privileged access lifecycle expansion (automated discovery through de\-provisioning) across diverse environments (databases, cloud platforms, and infrastructure).
* Define and enforce risk\-tiered control policies and governance workflows to improve accountability and compliance posture.
* Lead integration of PAM capabilities with ITSM platforms and related security tooling (e.g., event monitoring/analytics platforms) to enable automated controls and operational efficiencies.
* Partner with IAM governance bodies, Security Operations, and Audit teams to align priorities, report metrics, and execute enterprise initiatives.
* Prioritize and approve remediation activities based on risk tiers and enterprise impact, driving stakeholder alignment and delivery outcomes.
* Lead cross\-functional initiatives with some to moderate leadership guidance; set objectives and strategy through influence.
* Perform other duties and/or special projects as assigned.
**Qualifications/Requirements**
* 10\+ years of experience in cybersecurity, with depth in Identity \&amp; Access Management (IAM) and security controls, including one or more of: Privileged Access Management (PAM), SSO, MFA, CIAM, RBAC, and/or directory governance.
* Demonstrated success delivering high\-value, cross\-functional technology/security initiatives across multiple workstreams and stakeholder groups.
* Proven ability to cultivate durable partnerships with internal and external business and technology stakeholders; collaborative, outcomes\-driven operating style.
* Demonstrated leadership through mentoring, coaching, and enablement (e.g., building roadmaps, supporting skill development, driving team maturity).
* Strong requirements and delivery execution skills: elicitation, documentation, and translation into implementable delivery artifacts (user stories, workflows, process maps); experience supporting Agile/Scrum execution (backlog/standups/removing blockers).
* Hands\-on experience with ITSM platforms in an operational/delivery context (e.g., catalog, incident/problem/change workflows, dashboards/reporting), including building standardized documentation to support audit readiness and adoption.
* Ability and flexibility to travel for business as required
**Desired Characteristics**
* Advanced expertise in Privileged Access Management, including risk\-based security controls, credential lifecycle management, privileged session monitoring/recording, and privileged identity governance.
* Knowledge of automated discovery tooling, behavioral analytics, privileged anomaly detection, and common compliance/audit frameworks.
* Experience designing and implementing dual\-control policies/workflows tied to incident and change processes.
* Strong communication skills, including reporting program metrics and influencing senior stakeholders across Security Operations, Audit, and IAM governance bodies.
**Grade/Level: 12**
 The salary range for this position is
 **135,000\.00 \- 230,000\.00**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86">
      <c r="A86" t="inlineStr">
        <is>
          <t>li-4371165861</t>
        </is>
      </c>
      <c r="B86" t="inlineStr">
        <is>
          <t>Implementation Program Manager</t>
        </is>
      </c>
      <c r="C86" t="inlineStr">
        <is>
          <t>PharmaForce</t>
        </is>
      </c>
      <c r="D86" t="inlineStr">
        <is>
          <t>linkedin</t>
        </is>
      </c>
      <c r="E86" t="inlineStr"/>
      <c r="F86" t="inlineStr"/>
      <c r="G86" t="inlineStr"/>
      <c r="H86" t="inlineStr"/>
      <c r="I86" t="inlineStr">
        <is>
          <t>**About PharmaForce** 
 PharmaForce is a leading provider of innovative pharmacy solutions, specializing in 340B Third Party Administration (TPA) and Pharmacy Benefit Management (PBM) services. We leverage cutting\-edge technology and industry expertise to help healthcare providers, payers, and patients navigate the complex landscape of pharmacy management. Our mission is to enhance patient care and access to medications by optimizing pharmacy programs across the spectrum. At PharmaForce, we foster a culture of innovation and collaboration, continuously striving to develop solutions that make healthcare more accessible and affordable for all.
**Position Overview** 
 The Implementation Program Manager is responsible for leading large, enterprise 340B TPA SaaS implementations that require strong executive engagement, structured governance, and clear client communication. This role is focused on delivery leadership, client confidence, and executive\-level coordination, with responsibility for rolling up delivery status, risks, and dependencies across multiple Project Managers and workstreams into a cohesive enterprise\-level view.
 The Program Manager serves as the primary implementation lead for strategic enterprise customers, facilitates Steering Committees, provides executive\-ready status reporting, and ensures alignment between client leadership and PharmaForce delivery teams throughout the implementation lifecycle.
**Key Responsibilities** 
**Enterprise Implementation Leadership** 
* Lead end\-to\-end delivery of large, enterprise 340B implementations from kickoff through post–go\-live stabilization.
* Serve as the primary customer\-facing implementation owner for executive\-level stakeholders at Covered Entities and health systems.
* Drive implementation plans, milestones, dependencies, and readiness activities while ensuring alignment to contractual scope and timelines.
* Proactively identify delivery risks, adoption concerns, and organizational dependencies; manage mitigation and escalation paths.
**Executive Engagement \&amp; Governance** 
* Facilitate Steering Committee meetings, executive status reviews, and decision\-making forums.
* Produce clear, concise executive\-level status reporting focused on progress, risks, decisions required, and next milestones.
* Act as a trusted advisor to client leadership, translating implementation progress into business\-relevant outcomes.
* Ensure consistent governance cadence, escalation paths, and decision ownership throughout the implementation.
**Cross\-Functional Coordination \&amp; Roll\-Up Leadership** 
* Aggregate and synthesize project\-level plans, risks, milestones, and dependencies from multiple Project Managers into a single, cohesive enterprise implementation view.
* Coordinate cross functional teams to include Implementation, Operations, Data, Product, and Support teams to ensure aligned execution and consistent messaging.
* Ensure clear ownership, accountability, and handoffs across parallel workstreams.
* Partner with technical and integration teams as needed while remaining accountable for overall program health, timelines, and client communication.
**Client Readiness \&amp; Change Management** 
* Lead client readiness planning including operational workflows, training coordination, cutover planning, and go\-live preparedness.
* Guide clients through organizational change associated with new workflows, tools, and operating models.
* Ensure post–go\-live monitoring plans are in place and client leadership has confidence in ongoing operations.
* Identify, track, and mitigate program risks, issues and dependencies; proactively escalate when needed.
**Delivery Standards \&amp; Continuous Improvement** 
* Apply EPMO standards, templates, and governance consistently across enterprise implementations.
* Contribute to refinement of implementation playbooks, executive reporting templates, and governance frameworks.
* Capture lessons learned and best practices to improve enterprise implementation delivery at scale.
**Requirements** 
* 7\+ years of project or program management experience, including leadership of enterprise\-scale client implementations.
* Proven experience managing executive stakeholders and facilitating Steering Committees.
* Strong background in healthcare IT, pharmacy operations, or regulated SaaS implementations.
* Demonstrated ability to communicate complex delivery status clearly to senior and executive audiences.
* Strong organizational, risk management, and escalation management skills.
**Preferred Qualifications** 
* PMP, PgMP, or Six Sigma certification desired.
* Prior experience with 340B TPAs, pharmacy data exchanges, or accumulation logic platforms.
* Comfort working in a fast\-paced, agile, and collaborative implementation environment.
* Ability to translate between technical and non\-technical stakeholders.
**We Offer** 
 At PharmaForce, we value our employees and offer a comprehensive package to support your career growth and well\-being:
* Competitive salary commensurate with experience
* Comprehensive health, dental, and vision insurance
* 401(k) plan with company match
* Collaborative and innovative work environment
* Remote\-friendly work environment
**Work Environment** 
* Location: Remote
* Travel: None
* Schedule: Full\-Time Employee
**Equal Opportunity Employer** 
 PharmaForce is an equal opportunity employer. We celebrate diversity and are committed to creating an inclusive environment for all employees. We do not discriminate on the basis of race, color, religion, gender, sexual orientation, national origin, age, disability, or any other protected characteristic.</t>
        </is>
      </c>
    </row>
    <row r="87">
      <c r="A87" t="inlineStr">
        <is>
          <t>li-4371175317</t>
        </is>
      </c>
      <c r="B87" t="inlineStr">
        <is>
          <t>Business process excellence Program Manager</t>
        </is>
      </c>
      <c r="C87" t="inlineStr">
        <is>
          <t>techolution</t>
        </is>
      </c>
      <c r="D87" t="inlineStr">
        <is>
          <t>linkedin</t>
        </is>
      </c>
      <c r="E87" t="inlineStr"/>
      <c r="F87" t="inlineStr"/>
      <c r="G87" t="inlineStr">
        <is>
          <t>Ridgewood, NJ</t>
        </is>
      </c>
      <c r="H87" t="inlineStr"/>
      <c r="I87" t="inlineStr">
        <is>
          <t>Techolution is the
 **World's \#1 AI Acceleration Partner** 
 and the inventor of
 **BPA 4\.0** 
 , an innovative AI platform that combines Generative AI with Cognitive Decisioning and Instant Learning to deliver guaranteed ROI from enterprise AI in 30 days or less. We specialize in accelerating AI adoption for enterprises, offering solutions in Generative AI, Machine Learning, Cloud Migration (as a Google Premier Partner), Digital Modernization, App Design \&amp; Development, AI Data Readiness, and AI Managed Services—driving measurable efficiency gains (e.g., up to 42x in 30 days), cost savings, and real\-world impact across industries like Healthcare, Media, Government, Retail, Banking, and Life Sciences.
 As a
 **Business process excellence Program Manager – Value \&amp; ROI Transformation** 
 , you will act as a trusted ROI advisor to C\-level executives and business leaders at large enterprises. Your role is to uncover measurable business pain, validate its economic impact, deliver fast, visible wins using
 **BPA 4\.0** 
 , and expand success into multi\-phase, multi\-year transformation programs.
 You will focus only on opportunities with clear financial justification—cost reduction, risk mitigation, revenue enablement, and opportunity\-cost avoidance—politely declining low\-ROI or hype\-driven AI use cases with data\-backed reasoning. This is not traditional consulting or feature\-led sales, but a high\-trust, outcome\-driven role within a rapidly evolving AI company.
**Job Title: Business process excellence Program Manager – Value \&amp; ROI Transformation** 
**Location: Ridgewood, NJ (hybrid work, 3 days onsite)** 
**Key Responsibilities:**
* Lead structured, efficient discovery sessions/workshops (often free or low\-cost initially) to diagnose real business problems at the root: ask targeted questions to map bottlenecks, quantify manual effort/cost leakage/rework/risk, link to executive priorities (e.g., "Is this tied to your bonus?"), identify predecessors in processes, and uncover hidden opportunities (e.g., multi\-dimensional ROI beyond headcount savings, including productivity, fraud reduction, faster processing, opportunity cost avoidance).
* Build and present clear, data\-backed business cases: calculate ROI, break\-even points, baseline economics, success metrics, and risks—using our calculators, AI\-assisted tools, value index outputs, and consultative rigor.
* Act decisively as the economic gatekeeper: politely redirect or decline low\-ROI ideas with data; champion high\-value use cases that justify investment and deliver fast (e.g., 30–100 days to proof\-of\-value).
* Partner with executives to align on priorities, challenge assumptions, and create multi\-year roadmaps that evolve from surgical pilots to full enterprise automation.
* Drive cross\-sell/upsell organically through demonstrated value and trust (not traditional feature\-pushing): leverage quick wins to open adjacent opportunities, turning one success into phases 2–5\.
**Required Experience:**
* **10\+ years of progressive, client\-facing experience** 
 in roles such as Senior Program Manager, Client Partner, Engagement Lead, Management Consultant, or Strategic Advisor within consulting, IT services, AI/digital transformation, or SaaS environments.
* **Proven ownership of end\-to\-end delivery and value realization** 
 for complex enterprise initiatives (AI, automation, cloud modernization, or large\-scale transformation), including governance, risk management, and active course correction to protect ROI and margins.
* **Deep expertise in ROI rigor and economic stewardship** 
 , with hands\-on experience building upfront business cases, ROI and break\-even models, payback calculations, and scenario/sensitivity analyses—along with the authority to enforce go / redesign / stop decisions early when initiatives fail to meet value thresholds.
* **Strong record of account expansion and revenue growth** 
 , consistently identifying repeatable high\-ROI use cases, scaling successful outcomes across functions or business units, and generating meaningful expansion through trusted advisory relationships rather than transactional selling.
* **Hands\-on command of process excellence methodologies** 
 such as Lean, Six Sigma, or equivalent frameworks to diagnose root\-cause issues, eliminate waste, and optimize processes
 *before* 
 applying automation or AI.
* **Demonstrated success partnering with C\-suite and senior executives** 
 (CIO, CFO, COO, BU leaders), confidently challenging assumptions and influencing decisions using data\-driven insights and executive\-level communication.
* **Excellent financial and analytical acumen** 
 , including bottom\-up effort estimation, cost and capacity modeling, margin protection, and scalability analysis.
* **Bachelor’s degree required** 
 in Business, Finance, Engineering, or a related discipline; MBA or advanced certifications (PMP, Lean Six Sigma Black Belt, or equivalent financial/process credentials) strongly preferred.
* **Thrives in fast\-paced, high\-growth environments** 
 , bringing a decisive, math\-backed mindset and a long\-term view of client partnership, value realization, and sustainable expansion.
**About Techolution:**
 Techolution is the
 **world's \#1 AI Acceleration Partner** 
 and the inventor of
 **BPA 4\.0** 
 , the groundbreaking AI platform that delivers
 **guaranteed ROI from enterprise AI in 30 days or less** 
 .
 With over 10\+ years of experience, we specialize in turning AI into measurable business value—helping global enterprises achieve dramatic efficiency gains (like 42x improvements in key processes), modernize legacy systems, migrate to the cloud (as a Google Premier Partner), and deploy custom AI solutions across industries such as healthcare, manufacturing, media, banking, government, and life sciences.
 Our mission is simple yet powerful:
 **"TURN AI INTO ROI"** 
 — where it matters most. We go beyond generic AI by offering risk\-free innovation, including our
 **100k Challenge** 
 (2x quantifiable savings in 100 days or your money back), rapid diagnostics via
 **BPA Value Finder** 
 , and AI\-powered managed services that deliver twice the quality at half the cost.
 Backed by 12 patents, 5 notable awards (including Inc. 5000 recognition), 2 published books, and a track record of solving real\-world challenges—from patient prioritization during COVID\-19 to quality control in supply chains and air quality monitoring—we empower teams to thrive in an AI\-driven future.
 At Techolution, we're building "innovation done right" with a passionate, collaborative team focused on delivering next\-level impact, workforce enablement, and trustworthy, enterprise\-scale automation. Join us to be part of redefining how businesses operate with AI.
 Visit us
 **@
 www.techolution.com
 :** 
 To know more about our revolutionary core practices and getting to know in detail about how we enrich the human experience with technology.</t>
        </is>
      </c>
    </row>
    <row r="88">
      <c r="A88" t="inlineStr">
        <is>
          <t>li-4371179224</t>
        </is>
      </c>
      <c r="B88" t="inlineStr">
        <is>
          <t>Program Manager</t>
        </is>
      </c>
      <c r="C88" t="inlineStr">
        <is>
          <t>Aptara</t>
        </is>
      </c>
      <c r="D88" t="inlineStr">
        <is>
          <t>linkedin</t>
        </is>
      </c>
      <c r="E88" t="inlineStr"/>
      <c r="F88" t="inlineStr"/>
      <c r="G88" t="inlineStr">
        <is>
          <t>Oakland, CA</t>
        </is>
      </c>
      <c r="H88" t="inlineStr"/>
      <c r="I88" t="inlineStr">
        <is>
          <t>Program Manager
**Long\-term full\-time hybrid role** 
**Start ASAP** 
**Pay is $85 per hour plus benefits** 
 Introduction
 The Program Manager will be responsible for leading enterprise\-wide initiatives focused on enhancing the coworker journey, developing coworkers and leaders, ensuring safe work practices, improving operational efficiency, and creating work environments that enable people to thrive. This role will drive continuous improvement and engagement within the organization.
 Responsibilities
* Own strategy, standards, and execution of coworker listening ecosystem
* Lead design, testing, deployment, and communications for enterprise survey programs
* Translate feedback into executive\-ready dashboards and visual management tools
* Manage continuous improvement of all listening\-related workflows and support processes
* Develop and deliver post\-survey leadership enablement tools and communications
* Serve as a strategic advisor to senior leaders on people data interpretation and activation
* Champion alignment between coworker experience, customer experience, DEIB, and culture strategy
 Requirements
 Minimum:
* Bachelor’s or Master's degree in Human Resources, Organizational Psychology, Data Analytics, Business, or related field
* 8\+ years of experience in employee listening, people analytics, EX/CX strategy, or organizational effectiveness
* Experience leading large\-scale enterprise survey programs and vendor partnerships
* Expertise in survey design, deployment, and analysis
* Strong written and verbal communication skills
* Proficiency with survey and visualization tools such as Microsoft Power BI and Tableau
* Background in change management, continuous improvement, or customer experience
* Experience in unionized or operationally complex organizations
* Familiarity with Lean and Agile methodologies</t>
        </is>
      </c>
    </row>
    <row r="89">
      <c r="A89" t="inlineStr">
        <is>
          <t>li-4371189239</t>
        </is>
      </c>
      <c r="B89" t="inlineStr">
        <is>
          <t>Staff Product Manager, Fraud</t>
        </is>
      </c>
      <c r="C89" t="inlineStr">
        <is>
          <t>Affirm</t>
        </is>
      </c>
      <c r="D89" t="inlineStr">
        <is>
          <t>linkedin</t>
        </is>
      </c>
      <c r="E89" t="inlineStr"/>
      <c r="F89" t="inlineStr"/>
      <c r="G89" t="inlineStr">
        <is>
          <t>Philadelphia, PA</t>
        </is>
      </c>
      <c r="H89" t="inlineStr"/>
      <c r="I89" t="inlineStr">
        <is>
          <t>Affirm is reinventing credit to make it more honest and friendly, giving consumers the flexibility to buy now and pay later without any hidden fees or compounding interest.
 Our mission to deliver honest financial products that improve lives extends beyond borders — and it depends on customer trust as we scale.
 We are at an inflection point: Affirm’s expansion across products, partner distribution channels, and international markets requires a platform‑level Trust \&amp; Safety strategy that protects customers and preserves a seamless, dignified experience. As a Staff Product Manager for Trust \&amp; Safety (Fraud), you will lead that strategy, ensuring fraud prevention is embedded into the product in a way that is transparent, respectful, and customer‑first.
 You will be the accountable product leader for fraud prevention across the company, driving cross‑org execution across Engineering, Fraud Analytics, Legal, Compliance, Operations, and international Product teams. This role focuses on platform leverage, multi‑team alignment, and executive‑level decision‑making, with customer trust as the north star.
**What You’ll Do**
* Customer‑First Platform Strategy: Define and execute a multi‑year fraud platform strategy that scales across products, partner channels, and global markets while protecting customer trust and minimizing unnecessary friction
* Leadership \&amp; Alignment: Be the accountable leader for fraud prevention. Drive organizational alignment, negotiate resources, and create momentum across teams to deliver holistic solutions that protect consumers and merchants
* Experience‑Aware Decisioning: Own the evolution of fraud decisioning systems and step‑ups to balance loss prevention with clear, humane customer experiences
* Roadmap Ownership: Build and prioritize a roadmap that balances immediate risk mitigation with platform‑level innovation and long‑term resilience
* Measurement: Establish KPIs that capture loss prevention and customer impact (e.g., approval rates, friction costs, recovery outcomes)
* Experimentation at Scale: Drive rigorous experimentation to improve both fraud outcomes and customer trust, translating learnings into durable platform capabilities
* Executive Communication: Shape company‑level decisions with clear narratives on customer impact, risk posture, and tradeoffs
**What We Look For**
* 6\+ years of Product Management experience, with sustained ownership of multi‑team, platform‑level initiatives
* Deep experience in Trust \&amp; Safety, Fraud, Risk, Payments, Fintech, or regulated, high‑scale platforms
* Proven ability to define and execute multi‑year product strategy with measurable business impact
* Strong technical fluency (APIs, data pipelines, ML model integration, experimentation, IDV and authentication technologies )
* Exceptional cross‑org influence and stakeholder management, including executive alignment
* High‑agency, autonomous leader who thrives in ambiguity and drives outcomes at scale
* Metrics‑driven decision maker with strong product judgment and principled tradeoff‑making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90">
      <c r="A90" t="inlineStr">
        <is>
          <t>li-4371176434</t>
        </is>
      </c>
      <c r="B90" t="inlineStr">
        <is>
          <t>Program Manager - QSR Industry - Commerce &amp; Omni Channel Domain</t>
        </is>
      </c>
      <c r="C90" t="inlineStr">
        <is>
          <t>Capgemini</t>
        </is>
      </c>
      <c r="D90" t="inlineStr">
        <is>
          <t>linkedin</t>
        </is>
      </c>
      <c r="E90" t="inlineStr"/>
      <c r="F90" t="inlineStr"/>
      <c r="G90" t="inlineStr">
        <is>
          <t>Dallas, TX</t>
        </is>
      </c>
      <c r="H90" t="inlineStr"/>
      <c r="I90"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**About the job you are considering:** 
 We are seeking an experienced Program Manager with strong expertise in the
 **Quick Service Restaurant (QSR) industry** 
 . This role supports multi‑workstream initiatives designed to improve operational efficiency, enhance customer experience, optimize technology investments, and strengthen the performance of QSR business operations. The ideal candidate demonstrates strong program execution skills, cross‑functional coordination, and hands‑on understanding of the fast‑paced, high‑volume QSR environment—where speed, consistency, and scalability are critical.
 Expertise in digital (e\-commerce, mobile, marketplaces) and physical (POS, in\-store) commerce into a seamless customer journey. Ensures that buying, returns, loyalty, and promotions are consistent across channels to drive both growth and experience.
**Your Role:** 
* Responsible for leading either a large contract/engagement or a definable segment of a very large and complex contract/engagement. Clients may be external or internal.
* PMs are responsible for the translation of the client's complex business requirements into formal agreements. For these, PM establish specific solutions, applications or processes which ultimately culminate in customer acceptance of the results.
* Drive operational excellence across franchise and multi‑unit environments by optimizing site development, scalable standards, workflow efficiency, and speed of service.
* Apply strong business acumen through budgeting, labor planning, cost control, and ROI evaluation to enhance profitability and competitive positioning.
* Lead cross‑functional and franchisee partnerships to implement digital innovations, improve throughput and guest experience, and ensure consistent execution of new initiatives.
* Manage multi‑phase, high‑impact projects aligned with QSR operational standards, coordinating across operations, marketing, supply chain, and technology for measurable results.
* Improve QSR efficiency and customer experience by modernizing digital systems (POS, KMS, mobile, loyalty, automation), optimizing workflows and store design, and supporting menu, pricing, and SKU‑mix initiatives.
* Partner with cross‑functional teams and franchise operators to ensure consistent execution across sites, supporting pilots, new store development, operational audits, and readiness for scalable growth.
* Use data, guest insights, and KPIs (sales lift, labor efficiency, digital adoption, food costs, uptime) to guide decision‑making, build business cases, and evaluate ROI for operational and digital investments.
**Your Skills and Experience:** 
* 7\-10\+ years of program /project management experience, specifically with a minimum of 3 years direct QSR industry experience or multi‑unit restaurant operations oversight.
* Strong understanding of QSR fundamentals, including standardized menus, speed‑focused execution, minimal table service, and high‑volume production environments.
* Demonstrated success leading cross‑functional initiatives involving technology, operations, customer experience, and franchise organizations.
* Expertise in data‑driven program management, including metrics development, reporting structures, and performance analysis.
* Strong communication, stakeholder management, and change‑leadership skills, particularly within complex operational environments.
* Experience working with digital ordering platforms, POS systems, loyalty programs, or restaurant automation strongly preferred.
 The base compensation range for this role in the posted location is: $76,200\-$203,800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91">
      <c r="A91" t="inlineStr">
        <is>
          <t>li-4371177644</t>
        </is>
      </c>
      <c r="B91" t="inlineStr">
        <is>
          <t>Staff Product Manager, Fraud</t>
        </is>
      </c>
      <c r="C91" t="inlineStr">
        <is>
          <t>Affirm</t>
        </is>
      </c>
      <c r="D91" t="inlineStr">
        <is>
          <t>linkedin</t>
        </is>
      </c>
      <c r="E91" t="inlineStr"/>
      <c r="F91" t="inlineStr"/>
      <c r="G91" t="inlineStr">
        <is>
          <t>Charlotte, NC</t>
        </is>
      </c>
      <c r="H91" t="inlineStr"/>
      <c r="I91" t="inlineStr">
        <is>
          <t>Affirm is reinventing credit to make it more honest and friendly, giving consumers the flexibility to buy now and pay later without any hidden fees or compounding interest.
 Our mission to deliver honest financial products that improve lives extends beyond borders — and it depends on customer trust as we scale.
 We are at an inflection point: Affirm’s expansion across products, partner distribution channels, and international markets requires a platform‑level Trust \&amp; Safety strategy that protects customers and preserves a seamless, dignified experience. As a Staff Product Manager for Trust \&amp; Safety (Fraud), you will lead that strategy, ensuring fraud prevention is embedded into the product in a way that is transparent, respectful, and customer‑first.
 You will be the accountable product leader for fraud prevention across the company, driving cross‑org execution across Engineering, Fraud Analytics, Legal, Compliance, Operations, and international Product teams. This role focuses on platform leverage, multi‑team alignment, and executive‑level decision‑making, with customer trust as the north star.
**What You’ll Do**
* Customer‑First Platform Strategy: Define and execute a multi‑year fraud platform strategy that scales across products, partner channels, and global markets while protecting customer trust and minimizing unnecessary friction
* Leadership \&amp; Alignment: Be the accountable leader for fraud prevention. Drive organizational alignment, negotiate resources, and create momentum across teams to deliver holistic solutions that protect consumers and merchants
* Experience‑Aware Decisioning: Own the evolution of fraud decisioning systems and step‑ups to balance loss prevention with clear, humane customer experiences
* Roadmap Ownership: Build and prioritize a roadmap that balances immediate risk mitigation with platform‑level innovation and long‑term resilience
* Measurement: Establish KPIs that capture loss prevention and customer impact (e.g., approval rates, friction costs, recovery outcomes)
* Experimentation at Scale: Drive rigorous experimentation to improve both fraud outcomes and customer trust, translating learnings into durable platform capabilities
* Executive Communication: Shape company‑level decisions with clear narratives on customer impact, risk posture, and tradeoffs
**What We Look For**
* 6\+ years of Product Management experience, with sustained ownership of multi‑team, platform‑level initiatives
* Deep experience in Trust \&amp; Safety, Fraud, Risk, Payments, Fintech, or regulated, high‑scale platforms
* Proven ability to define and execute multi‑year product strategy with measurable business impact
* Strong technical fluency (APIs, data pipelines, ML model integration, experimentation, IDV and authentication technologies )
* Exceptional cross‑org influence and stakeholder management, including executive alignment
* High‑agency, autonomous leader who thrives in ambiguity and drives outcomes at scale
* Metrics‑driven decision maker with strong product judgment and principled tradeoff‑making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92">
      <c r="A92" t="inlineStr">
        <is>
          <t>li-4371192070</t>
        </is>
      </c>
      <c r="B92" t="inlineStr">
        <is>
          <t>Staff Product Manager, Fraud</t>
        </is>
      </c>
      <c r="C92" t="inlineStr">
        <is>
          <t>Affirm</t>
        </is>
      </c>
      <c r="D92" t="inlineStr">
        <is>
          <t>linkedin</t>
        </is>
      </c>
      <c r="E92" t="inlineStr"/>
      <c r="F92" t="inlineStr"/>
      <c r="G92" t="inlineStr">
        <is>
          <t>Boulder, CO</t>
        </is>
      </c>
      <c r="H92" t="inlineStr"/>
      <c r="I92" t="inlineStr">
        <is>
          <t>Affirm is reinventing credit to make it more honest and friendly, giving consumers the flexibility to buy now and pay later without any hidden fees or compounding interest.
 Our mission to deliver honest financial products that improve lives extends beyond borders — and it depends on customer trust as we scale.
 We are at an inflection point: Affirm’s expansion across products, partner distribution channels, and international markets requires a platform‑level Trust \&amp; Safety strategy that protects customers and preserves a seamless, dignified experience. As a Staff Product Manager for Trust \&amp; Safety (Fraud), you will lead that strategy, ensuring fraud prevention is embedded into the product in a way that is transparent, respectful, and customer‑first.
 You will be the accountable product leader for fraud prevention across the company, driving cross‑org execution across Engineering, Fraud Analytics, Legal, Compliance, Operations, and international Product teams. This role focuses on platform leverage, multi‑team alignment, and executive‑level decision‑making, with customer trust as the north star.
**What You’ll Do**
* Customer‑First Platform Strategy: Define and execute a multi‑year fraud platform strategy that scales across products, partner channels, and global markets while protecting customer trust and minimizing unnecessary friction
* Leadership \&amp; Alignment: Be the accountable leader for fraud prevention. Drive organizational alignment, negotiate resources, and create momentum across teams to deliver holistic solutions that protect consumers and merchants
* Experience‑Aware Decisioning: Own the evolution of fraud decisioning systems and step‑ups to balance loss prevention with clear, humane customer experiences
* Roadmap Ownership: Build and prioritize a roadmap that balances immediate risk mitigation with platform‑level innovation and long‑term resilience
* Measurement: Establish KPIs that capture loss prevention and customer impact (e.g., approval rates, friction costs, recovery outcomes)
* Experimentation at Scale: Drive rigorous experimentation to improve both fraud outcomes and customer trust, translating learnings into durable platform capabilities
* Executive Communication: Shape company‑level decisions with clear narratives on customer impact, risk posture, and tradeoffs
**What We Look For**
* 6\+ years of Product Management experience, with sustained ownership of multi‑team, platform‑level initiatives
* Deep experience in Trust \&amp; Safety, Fraud, Risk, Payments, Fintech, or regulated, high‑scale platforms
* Proven ability to define and execute multi‑year product strategy with measurable business impact
* Strong technical fluency (APIs, data pipelines, ML model integration, experimentation, IDV and authentication technologies )
* Exceptional cross‑org influence and stakeholder management, including executive alignment
* High‑agency, autonomous leader who thrives in ambiguity and drives outcomes at scale
* Metrics‑driven decision maker with strong product judgment and principled tradeoff‑making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93">
      <c r="A93" t="inlineStr">
        <is>
          <t>li-4371184471</t>
        </is>
      </c>
      <c r="B93" t="inlineStr">
        <is>
          <t>Staff Product Manager, Fraud</t>
        </is>
      </c>
      <c r="C93" t="inlineStr">
        <is>
          <t>Affirm</t>
        </is>
      </c>
      <c r="D93" t="inlineStr">
        <is>
          <t>linkedin</t>
        </is>
      </c>
      <c r="E93" t="inlineStr"/>
      <c r="F93" t="inlineStr"/>
      <c r="G93" t="inlineStr">
        <is>
          <t>Portland, OR</t>
        </is>
      </c>
      <c r="H93" t="inlineStr"/>
      <c r="I93" t="inlineStr">
        <is>
          <t>Affirm is reinventing credit to make it more honest and friendly, giving consumers the flexibility to buy now and pay later without any hidden fees or compounding interest.
 Our mission to deliver honest financial products that improve lives extends beyond borders — and it depends on customer trust as we scale.
 We are at an inflection point: Affirm’s expansion across products, partner distribution channels, and international markets requires a platform‑level Trust \&amp; Safety strategy that protects customers and preserves a seamless, dignified experience. As a Staff Product Manager for Trust \&amp; Safety (Fraud), you will lead that strategy, ensuring fraud prevention is embedded into the product in a way that is transparent, respectful, and customer‑first.
 You will be the accountable product leader for fraud prevention across the company, driving cross‑org execution across Engineering, Fraud Analytics, Legal, Compliance, Operations, and international Product teams. This role focuses on platform leverage, multi‑team alignment, and executive‑level decision‑making, with customer trust as the north star.
**What You’ll Do**
* Customer‑First Platform Strategy: Define and execute a multi‑year fraud platform strategy that scales across products, partner channels, and global markets while protecting customer trust and minimizing unnecessary friction
* Leadership \&amp; Alignment: Be the accountable leader for fraud prevention. Drive organizational alignment, negotiate resources, and create momentum across teams to deliver holistic solutions that protect consumers and merchants
* Experience‑Aware Decisioning: Own the evolution of fraud decisioning systems and step‑ups to balance loss prevention with clear, humane customer experiences
* Roadmap Ownership: Build and prioritize a roadmap that balances immediate risk mitigation with platform‑level innovation and long‑term resilience
* Measurement: Establish KPIs that capture loss prevention and customer impact (e.g., approval rates, friction costs, recovery outcomes)
* Experimentation at Scale: Drive rigorous experimentation to improve both fraud outcomes and customer trust, translating learnings into durable platform capabilities
* Executive Communication: Shape company‑level decisions with clear narratives on customer impact, risk posture, and tradeoffs
**What We Look For**
* 6\+ years of Product Management experience, with sustained ownership of multi‑team, platform‑level initiatives
* Deep experience in Trust \&amp; Safety, Fraud, Risk, Payments, Fintech, or regulated, high‑scale platforms
* Proven ability to define and execute multi‑year product strategy with measurable business impact
* Strong technical fluency (APIs, data pipelines, ML model integration, experimentation, IDV and authentication technologies )
* Exceptional cross‑org influence and stakeholder management, including executive alignment
* High‑agency, autonomous leader who thrives in ambiguity and drives outcomes at scale
* Metrics‑driven decision maker with strong product judgment and principled tradeoff‑making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94">
      <c r="A94" t="inlineStr">
        <is>
          <t>li-4371454596</t>
        </is>
      </c>
      <c r="B94" t="inlineStr">
        <is>
          <t>Technical Program Manager</t>
        </is>
      </c>
      <c r="C94" t="inlineStr">
        <is>
          <t>Altera</t>
        </is>
      </c>
      <c r="D94" t="inlineStr">
        <is>
          <t>linkedin</t>
        </is>
      </c>
      <c r="E94" t="inlineStr"/>
      <c r="F94" t="inlineStr"/>
      <c r="G94" t="inlineStr">
        <is>
          <t>San Jose, CA</t>
        </is>
      </c>
      <c r="H94" t="inlineStr"/>
      <c r="I94" t="inlineStr">
        <is>
          <t>**Job Details**
**Job Description:**
**About The Role**
 Altera is seeking a
 **Technical Program Manager** 
 to coordinate and drive the engineering execution behind next\-generation FPGA device rollouts. In this highly cross\-functional role, you will orchestrate complex development efforts spanning silicon, IP, software, firmware, validation, and manufacturing readiness, ensuring alignment across geographically distributed teams in North America and Asia.
 As a member of Altera’s
 **Execution Alignment Team** 
 , you will implement best\-in\-class program management practices, drive schedule and risk transparency, and ensure successful delivery of industry\-leading FPGA products.
**Responsibilities**
* Lead and manage large, complex technical programs supporting FPGA device development from definition through production rollout.
* Coordinate execution across multiple engineering disciplines including silicon design, IP, software, firmware, validation, and system enablement.
* Develop and maintain detailed program plans, schedules, milestones, and dependency tracking for multi\-threaded development efforts.
* Drive alignment across global teams in North America and Asia, ensuring clear ownership, accountability, and communication.
* Identify program risks, critical path issues, and resource constraints; proactively develop and execute mitigation plans.
* Partner closely with engineering, product management, quality, and operations teams to ensure on\-time, high\-quality delivery.
* Implement and continuously improve best\-in\-class project and program management processes, tools, and reporting mechanisms.
* Facilitate executive\-level communication by providing clear status updates, issue escalation, and data\-driven decision support.
* Support silicon bring\-up, validation, sampling, and production readiness milestones by ensuring cross\-functional execution alignment.
**Salary Range**
 The pay range below is for Bay Area California only. Actual salary may vary based on a number of factors including job location, job\-related knowledge, skills, experiences, trainings, etc. We also offer incentive opportunities that reward employees based on individual and company performance.
**$113,700 \- $164,700 USD**
 We use artificial intelligence to screen, assess, or select applicants for the position. Applicants must be eligible for any required U.S. export authorizations.
**Qualifications**
**Minimum Qualifications**
* Bachelor’s degree in Electrical Engineering, Software Engineering, Computer Engineering, or a related technical discipline.
* 5\+ years of experience in Technical Program Management, Program Management, or Engineering Program Leadership roles.
* 3\+ years of technical experience in one of the following areas: Transceivers, Embedded Systems (particularly ARM), Config and Security, PCIe, Ethernet or ASIC Design / DV
* 2\+ years of experience managing complex, cross\-functional hardware and software development programs.
* 5\+ years of experience leading programs that integrate silicon, hardware, software, firmware, IP, and validation teams.
* 3\+ years of experience managing programs across multiple organizations and geographically distributed international teams.
* Experience with full product development lifecycle, including definition, development, verification, sampling, and production rollout.
* Experience building detailed execution plans, manage dependencies, and drive teams to meet aggressive schedules.
* Experience with project and program management tools used for schedule tracking, risk management, and reporting.
**Preferred Qualifications**
* 5\+ years of experience working directly on FPGA, ASIC, or silicon\-based product development programs.
* Hands\-on technical background in silicon design, validation, or software/firmware engineering.
* Experience supporting silicon bring\-up, validation, or manufacturing readiness phases.
* Familiarity with Agile, hybrid Agile/Waterfall, or scaled execution frameworks in hardware\-centric environments.
* Experience presenting program status and execution metrics to senior leadership and executive stakeholders.
**Job Type**
 Regular
**Shift**
 Shift 1 (United States of America)
**Primary Location:**
 San Jose, California, United States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t>
        </is>
      </c>
    </row>
    <row r="95">
      <c r="A95" t="inlineStr">
        <is>
          <t>li-4371480529</t>
        </is>
      </c>
      <c r="B95" t="inlineStr">
        <is>
          <t>Program Manager</t>
        </is>
      </c>
      <c r="C95" t="inlineStr">
        <is>
          <t>Barrett Firearms Mfg, Inc</t>
        </is>
      </c>
      <c r="D95" t="inlineStr">
        <is>
          <t>linkedin</t>
        </is>
      </c>
      <c r="E95" t="inlineStr"/>
      <c r="F95" t="inlineStr"/>
      <c r="G95" t="inlineStr">
        <is>
          <t>Christiana, TN</t>
        </is>
      </c>
      <c r="H95" t="inlineStr"/>
      <c r="I95" t="inlineStr">
        <is>
          <t>Murfreesboro, TN
**Description**
 Barrett is looking for a driven Program Manager to lead complex engineering initiatives from concept through continuous improvement. In this role, you'll own project timelines, coordinate cross\-functional teams, and keep execution on track across engineering, operations, procurement, and sales. If you thrive in fast\-moving environments and know how to turn ideas into delivered products, this is your stage.
**About The Role**
* Lead and coordinate the full Engineering Change Order process for all program\-related engineering changes, including design, process, and supplier modifications, ensuring disciplined configuration control.
* Partner closely with Product Management to drive new product releases through the Product Development Process and all applicable process flows, ensuring technical readiness at every gate.
* Own program financial performance, maintaining product costs within target thresholds and securing management approval for any deviations while championing cost\-reduction and manufacturability improvements.
* Direct procurement, quality, supply base, and manufacturing engineering to execute new product sourcing strategies, implement design changes, and deploy new manufacturing processes with technical accuracy.
* Serve as the single point of contact for all program\-related inquiries, collaborating with engineering, R\&amp;D, manufacturing, sales, marketing, and military sales teams to support both standard and nonstandard product development.
* Ensure technical data integrity by maintaining accurate BOMs, process routers, ERP configurations, inspection requirements, and supplier communication while supporting continuous improvement and product enhancement initiatives.
**About You**
 You're a results\-driven Program Manager who thrives in a fast\-paced, cross\-functional environment. You take ownership of complex programs from start to finish, keep teams aligned, and drive execution with clarity and accountability. Organized, proactive, and solutions\-focused, you know how to manage competing priorities while delivering measurable results.
* Bachelor's degree in engineering or equivalent required.
* Masters degree in engineering preferred.
* 5\+ years engineering experience required.
* Strong technical foundation in engineering and manufacturing required.
* Proven experience managing engineering or technical manufacturing projects from concept through completion, demonstrating disciplined execution and cross\-functional leadership required.
* Deep understanding of firearm operation, failure analysis, statistical analysis, and debug methodologies, with the ability to apply these techniques in real\-world scenarios.
* Proficient in SolidWorks or comparable 3D modeling software.
* Comprehensive knowledge of manufacturing processes, design for manufacturability, quality standards, GD\&amp;T, ISO standards, and core firearms/ballistics concepts.
**What makes Barrett an exceptional workplace?**
**Benefits**
 Our people are our greatest asset, and we are committed to providing our employees with a supportive and family\-like work culture, accompanied by a variety of attractive benefits including:
* A flexible and adaptable work style.
* Meaningful recognition and bi\-weekly pay cycles.
* Ongoing growth through learning, mentoring, training and career progression opportunities.
**About Us**
 Barrett is a global leader in large\-caliber rifle design and manufacturing, proudly headquartered in Murfreesboro, Tennessee. For over 40 years, we've been at the forefront of innovation, starting with Ronnie Barrett's revolutionary Model 82, which earned praise from the U.S. Army and set the standard for modern firearms.
 Our products serve civilian sport shooters, law enforcement agencies, the U.S. military, and over 80 allied nations. As part of the NIOA Group, we continue to push the boundaries of precision, performance, and innovation.
 At Barrett, we don't just build firearms, we craft solutions that stand the test of time and exceed expectations. "There's always a better way" is our mantra, guiding us to continuously improve and evolve our designs to meet the challenges of tomorrow.
 If you are seeking a new challenge and would enjoy the opportunity to work in a fast paced and customer focused business, click on the APPLY NOW button and submit your application.
 For further information please visit https://barrett.net/ and https://www.nioa.com.au/
**Additional Screening**
 By applying for this role, you accept that the following checks will occur for the successful candidate:
* Background Checks
* Pre\-employment physical
* Drug \&amp; Alcohol Testing
* Permanent working rights and availability to work in the United States</t>
        </is>
      </c>
    </row>
    <row r="96">
      <c r="A96" t="inlineStr">
        <is>
          <t>li-4362124399</t>
        </is>
      </c>
      <c r="B96" t="inlineStr">
        <is>
          <t>Technical Program Manager II, Hardware NPI Interoperability, Cloud Supply Chain</t>
        </is>
      </c>
      <c r="C96" t="inlineStr">
        <is>
          <t>Google</t>
        </is>
      </c>
      <c r="D96" t="inlineStr">
        <is>
          <t>linkedin</t>
        </is>
      </c>
      <c r="E96" t="inlineStr"/>
      <c r="F96" t="inlineStr"/>
      <c r="G96" t="inlineStr">
        <is>
          <t>Atlanta, GA</t>
        </is>
      </c>
      <c r="H96" t="inlineStr"/>
      <c r="I96" t="inlineStr">
        <is>
          <t>**Minimum qualifications:**
* Bachelor's degree in a technical field, or equivalent practical experience.
* 2 years of experience in program management.
* Experience in hardware NPI or hardware manufacturing.
* Experience with supply chain operations or data center equipment.
**Preferred qualifications:**
* Master’s degree or MBA in Engineering, Analytics, Operations Research, Supply Chain, or a related field.
* 2 years of experience managing cross\-functional or cross\-team projects.
* Experience in hardware design and manufacturing in a New Product Introduction (NPI) role.
* Experience in data center infrastructure, operations, or construction, and coordination of deployments cross\-functionally.
* Ability to handle complex problems across multiple stakeholders, navigate ambiguity, and guide decision\-making or recommendations in uncertain environments.
* Excellent communication, people management, problem solving, organizational, and prioritization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We plan, buy, build, and deploy infrastructure (e.g., servers, storage, networking, ML accelerators, and Cloud platforms) to deliver capacity at scale for Google’s needs. The Equipment Supply Chain (ESC) team within CSCO is responsible for the supply chain for data center capital equipment and the spares to maintain the equipment.
 As a Technical Program Manager, you will be responsible for coordination of early stage planning with the Data Center Design team on new data center configurations and associated New Product Introduction (NPI). In addition, they will be responsible to lead to feasibility of cut\-in or acceleration decisions. You will coordinate with the different functions in ESC (and outside of ESC) to identify and partner to resolve constraints across the overall data center equipment supply chain and accomplish this through the development and running of programmatic tracking and resolution of various constraints and considerations, while ensuring strong communication of tradeoffs and agreements.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Create decision criteria and processes to determine feasibility of cut\-in and acceleration requests. Lead the consolidation of what needs to be true to enable an accelerated business outcome.
* Ensure alignment between cross\-functional tech\-infrastructure and the Supply Chain team to build scalable and reliable responses to the growth of new demand types and new products.
* Analyze numerous sources of risk/controls data across functions that require leadership attention and eliminate friction by designing solutions, remove blockers, and finding creative ways to accelerate project delivery.
* Liaison between ESC and Google Data Center design and execution organizations for New Product Introduction ensuring ESC Leadership and teams are aware of pipeline, timing, and impact of NPIs.
* Facilitate coordination of hurdle rate for NPI project cut\-in including potential Excess and Obsolete (E\&amp;O) impact on inventory of legacy Original Equipment (OFE).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7">
      <c r="A97" t="inlineStr">
        <is>
          <t>li-4371302330</t>
        </is>
      </c>
      <c r="B97" t="inlineStr">
        <is>
          <t>Technical Program Manager 5</t>
        </is>
      </c>
      <c r="C97" t="inlineStr">
        <is>
          <t>Lam Research</t>
        </is>
      </c>
      <c r="D97" t="inlineStr">
        <is>
          <t>linkedin</t>
        </is>
      </c>
      <c r="E97" t="inlineStr"/>
      <c r="F97" t="inlineStr"/>
      <c r="G97" t="inlineStr">
        <is>
          <t>Fremont, CA</t>
        </is>
      </c>
      <c r="H97" t="inlineStr"/>
      <c r="I97" t="inlineStr">
        <is>
          <t>**The group you’ll be a part of**
 The Customer Support Business Group focuses on enabling our customers with premier customer support throughout their lifecycle with Lam. We drive performance, productivity, safety, and quality of customers installed base performance and deliver service and lifecycle solutions for their most critical equipment and processes.
**The impact you’ll make**
 As a Technical Program Manager, you will play a critical role in driving the development and productization of advanced software solutions that power Lam’s global Service Business. You will lead crossfuntioncal teams to deliver high quality, scalable products while shaping the long\-term systems architecture that supports engineers, the field and customers worldwide.
**What You’ll Do**
* Lead complex, multidisciplinary software programs from concept through global deployment
* Actively listen, participate, and lead project team activities to promote collaboration and high performance
* Take ownership of assigned tasks, implementing and participating in corrective actions to ensure timely closure; make appropriate decisions within scope and escalate when necessary
* Drive end to end program planning and execution, including roadmap development,
 scheduling, risk management, and crossfuntioncal issue resolution across global teams
* Translate ambiguous business needs into clear technical requirements and user stories
* Influence and align senior stakeholders across product, engineering, business development, marketing, and field organizations to achieve cohesive decision making and successful program outcomes
* Manage feature pipelines and evaluate progress, quality, and release readiness across project and program tiers
* Own and evolve scalable business systems, software integrations, and process architecture
* Deliver executive level reporting, communications, and program updates with clarity and precision
* Champion operational excellence through improved processes, metrics, and best practices
* Perform deep analysis, generate insights, and present data driven recommendations to leadership
* Drive adoption and continuous improvement of Agile/SAFe methodologies to enhance delivery efficiency and team alignment
* Serve as a champion for customer and engineer experience, ensuring products and systems deliver measurable value and global impact
**Who We’re Looking For**
* Bachelor’s degree with 12\+ years of experience, or Master’s degree with 8\+ years of experience, or PhD with 5\+ years of experience, or equivalent industry experience
* 12\+ years of experience in technical program management, continuous improvement, or related technical leadership roles
* Ability to travel up to 10% to engage with field users and understand customer and engineering requirements
* Demonstrated ability to make effective decisions that drive successful implementation of technical, process, or operational changes
* Strong understanding of business process development, process controls, and mapping work item execution to organizational objectives
* Required tool proficiency: Jira, Confluence, Workboard or equivalent Agile and OKR platforms
**Preferred Qualifications**
* Experience or domain knowledge in semiconductor fabrication, equipment operations, or related high\-tech industries
* Strong understanding of program management methodologies and experience with Product Development \&amp; Release (PDR) processes
* Relevant project/program management certifications such as PMP, CAPM, or Scrum Master
* Familiarity with OKR (Objectives and Key Results) frameworks for alignment and execution
* Experience with Lean Six Sigma methodologies; Green Belt or Black Belt certification is a plus
* Hands\-on experience with Agile and/or Waterfall delivery methodologies
* Proficiency with program and project management tools such as MS Project, QuickBase, Office Timeline, or equivalent platforms
* Experience with organizational change management and adoption methodologies is a plus
* Demonstrated ability to champion field needs and drive alignment between customer\-facing teams and internal organizations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$125,000\.00 \- $270,000\.00\.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98">
      <c r="A98" t="inlineStr">
        <is>
          <t>li-4371173367</t>
        </is>
      </c>
      <c r="B98" t="inlineStr">
        <is>
          <t>Data Center Program Manager</t>
        </is>
      </c>
      <c r="C98" t="inlineStr">
        <is>
          <t>SyllogisTeks</t>
        </is>
      </c>
      <c r="D98" t="inlineStr">
        <is>
          <t>linkedin</t>
        </is>
      </c>
      <c r="E98" t="inlineStr"/>
      <c r="F98" t="inlineStr"/>
      <c r="G98" t="inlineStr">
        <is>
          <t>Memphis, TN</t>
        </is>
      </c>
      <c r="H98" t="inlineStr"/>
      <c r="I98" t="inlineStr">
        <is>
          <t>**Memphis TN** 
 On Site \&gt; Local Candidates preferred
 NO Subcontracting \- Direct Hire
 The Senior Project Manager is responsible for the overall direction, planning, coordination, implementation, execution and management of one to many medium projects, several large projects, and/or complex projects according to pre\-determined scope, schedule and budgets. Senior Project Managers will also provide coaching and mentoring to less experienced Project Managers / Project Coordinators. It is expected that the majority of time (70%) will be in customer facing activities.
**Education \&amp; Experience Required** 
* Bachelor’s degree preferred.
* Minimum 7\-10 years’ experience in Project Management within the IT industry.
* **\*\*\*Proven physical data center infrastructure project experience\*\*\***
* Strong customer\-facing and communication skills
* PMP certification is a plus.
**Duties/Responsibilities** 
* Partners with business leaders to deliver services that support company objectives and that are consistent with Winning Together values.
* Lead the planning and implementation of project(s) throughout the project lifecycle, initiation through closure.
* Oversee the review of project scope, goals and deliverables both internally and externally.
* Oversee and Develop a project task list (tracker), risk/issue/action, project contacts and a full\-scale project plan as required within United States Inc’s approved applications and systems.
* Assemble and coordinate project resources both internally, externally and with 3rd parties.
* Manage project budget, resource allocation, project plan, project trackers and project timelines as required.
* Track and advise on project deliverables and tasks using appropriate applications, systems, and/or tools.
* Own and resolve any issues that arise during the project and drive risk mitigation.
* Drive team accountability for project results of staying on\-budget, on\-schedule, and maintain client satisfaction.
* Communicate with internal and external stakeholders including but not limited to project scope, tasks, deliverables, goals, resources, schedules and budgets.
* Communicate expectations to stakeholders and team, gaining acceptance and accomplishing customers business objectives.
* Identify resources required to fulfill project delivery, collaborating with other Project Managers, the Resource Management Group and other groups as required to determine which project resources are available in order to schedule project workload and make assignments.
* The Senior PM should work with the Resource Management Group to explore ways to drive efficiencies on third party project delivery.</t>
        </is>
      </c>
    </row>
    <row r="99">
      <c r="A99" t="inlineStr">
        <is>
          <t>li-4350756871</t>
        </is>
      </c>
      <c r="B99" t="inlineStr">
        <is>
          <t>Principal Program Manager, Business</t>
        </is>
      </c>
      <c r="C99" t="inlineStr">
        <is>
          <t>Circle</t>
        </is>
      </c>
      <c r="D99" t="inlineStr">
        <is>
          <t>linkedin</t>
        </is>
      </c>
      <c r="E99" t="inlineStr"/>
      <c r="F99" t="inlineStr"/>
      <c r="G99" t="inlineStr"/>
      <c r="H99" t="inlineStr"/>
      <c r="I99"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Program Manager to support partner\-facing Business teams. As a member of the Circle Business team, you will play a critical role in helping our teams execute our go\-to\-market strategy. You will work closely with Circle’s customer\-facing teams, ensuring that Business Development, Sales Engineering, Partner Marketing, Customer Care along with other cross functional teams have the project leadership, process development and operational support to be effective. You will lead internal projects to align the Business and cross\-functional teams. You will influence change by implementing new processes and programs to support the strategy direction of the Business team.
**What You'll Work On**
* Overseeing complex, cross\-functional projects supporting Circle and Business team goals. This can include Business go\-to\-market activities or scoping and leading complex client implementations.
* Leading internal process improvement initiatives and organizing programs and activities on behalf of the Business team to align with business strategy.
* Working closely with Business leadership to ensure important changes and developments are communicated to the Business team by leading communication plans, internal meetings, and managing deliverables.
* Serving as Program Manager and facilitating operational strategy for the Commercial teams.
* Managing program reporting and developing metrics to evaluate and manage internal programs, identifying strengths and areas for improvement.
* Leading multiple projects at time, including projects involving international stakeholders across multiple time zones, while ensuring alignment with overall business goals.
* Coaching and developing team members regarding project methodology, management, communication strategy.
**Core Requirements**
****What you’ll bring to Circle:****
* 10\+ years of experience in a project or customer\-facing implementation role.
* Strong presentation and communication skills and the ability to confidently lead meetings with all levels of management.
* Planning and implementation skills, ability to schedule and manage tasks effectively.
* Conflict resolution and problem\-solving skills.
* Organizational and multitasking skills.
* Experience using project management software.
* A strong interest in the future of global payments.
* A natural curiosity and deep care for understanding the business strategy of Circle.
* Familiarity with generative AI models (ChatGPT, Gemini, etc.) and prompt development.
**Preferred Requirements**
* Experience in the payments, fintech or crypto industries.
* PMP certification.
* Experience/familiarity with Slack, Apple MacOS and GSuite.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$160,000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00">
      <c r="A100" t="inlineStr">
        <is>
          <t>li-4350885791</t>
        </is>
      </c>
      <c r="B100" t="inlineStr">
        <is>
          <t>Principal Program Manager, Business</t>
        </is>
      </c>
      <c r="C100" t="inlineStr">
        <is>
          <t>Circle</t>
        </is>
      </c>
      <c r="D100" t="inlineStr">
        <is>
          <t>linkedin</t>
        </is>
      </c>
      <c r="E100" t="inlineStr"/>
      <c r="F100" t="inlineStr"/>
      <c r="G100" t="inlineStr"/>
      <c r="H100" t="inlineStr"/>
      <c r="I100"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Program Manager to support partner\-facing Business teams. As a member of the Circle Business team, you will play a critical role in helping our teams execute our go\-to\-market strategy. You will work closely with Circle’s customer\-facing teams, ensuring that Business Development, Sales Engineering, Partner Marketing, Customer Care along with other cross functional teams have the project leadership, process development and operational support to be effective. You will lead internal projects to align the Business and cross\-functional teams. You will influence change by implementing new processes and programs to support the strategy direction of the Business team.
**What You'll Work On**
* Overseeing complex, cross\-functional projects supporting Circle and Business team goals. This can include Business go\-to\-market activities or scoping and leading complex client implementations.
* Leading internal process improvement initiatives and organizing programs and activities on behalf of the Business team to align with business strategy.
* Working closely with Business leadership to ensure important changes and developments are communicated to the Business team by leading communication plans, internal meetings, and managing deliverables.
* Serving as Program Manager and facilitating operational strategy for the Commercial teams.
* Managing program reporting and developing metrics to evaluate and manage internal programs, identifying strengths and areas for improvement.
* Leading multiple projects at time, including projects involving international stakeholders across multiple time zones, while ensuring alignment with overall business goals.
* Coaching and developing team members regarding project methodology, management, communication strategy.
**Core Requirements**
****What you’ll bring to Circle:****
* 10\+ years of experience in a project or customer\-facing implementation role.
* Strong presentation and communication skills and the ability to confidently lead meetings with all levels of management.
* Planning and implementation skills, ability to schedule and manage tasks effectively.
* Conflict resolution and problem\-solving skills.
* Organizational and multitasking skills.
* Experience using project management software.
* A strong interest in the future of global payments.
* A natural curiosity and deep care for understanding the business strategy of Circle.
* Familiarity with generative AI models (ChatGPT, Gemini, etc.) and prompt development.
**Preferred Requirements**
* Experience in the payments, fintech or crypto industries.
* PMP certification.
* Experience/familiarity with Slack, Apple MacOS and GSuite.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$160,000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01">
      <c r="A101" t="inlineStr">
        <is>
          <t>li-4371191765</t>
        </is>
      </c>
      <c r="B101" t="inlineStr">
        <is>
          <t>Value-Based Care Program Manager</t>
        </is>
      </c>
      <c r="C101" t="inlineStr">
        <is>
          <t>MASC Medical Recruitment Firm</t>
        </is>
      </c>
      <c r="D101" t="inlineStr">
        <is>
          <t>linkedin</t>
        </is>
      </c>
      <c r="E101" t="inlineStr"/>
      <c r="F101" t="inlineStr"/>
      <c r="G101" t="inlineStr">
        <is>
          <t>San Diego, CA</t>
        </is>
      </c>
      <c r="H101" t="inlineStr"/>
      <c r="I101" t="inlineStr">
        <is>
          <t>******Value\-Based Care Program Manager
**San Diego
 The Value\-Based Care Program Manager is a key member of the leadership team. This role leads operational and strategic initiatives across our value\-based care portfolio — driving performance, leading case management teams, and ensuring alignment between clinical excellence, quality outcomes, and payer expectations.
 This position requires a balance of visionary leadership and tactical execution: you’ll build, refine, and scale case management\-centric programs that deliver measurable results — while mentoring teams and collaborating with health plans, data teams, and executive leadership to advance our value\-based mission.
**Compensation \&amp; Benefits**
* $85,000 – $120,000 annually (DOE).
* Medical, dental, and vision coverage; retirement; paid vacation; CME/licensure reimbursement.
* Hybrid/remote flexibility with periodic in\-person collaboration.
**Responsibilities**
* Lead the development and execution of case management and wrap\-around programs supporting ECM, transitional care, and high\-risk population initiatives.
* Direct, coach, and mentor a multidisciplinary team (RN, LCSW, CHW, non\-clinical navigators) to ensure accountability, engagement, and excellence in care delivery.
* Manage quality, utilization, and cost metrics across multiple payer contracts; identify performance trends and lead improvement initiatives.
* Design scalable workflows, standard operating procedures, and technology integrations that enhance care coordination and compliance.
* Serve as the primary operational liaison to health plans — representing the company and performance\-improvement discussions.
* Partner with analytics to translate insights into action, shaping strategies around HEDIS, TCM, ECM, and STAR measures.
* Drive adoption of new initiatives, training, and policy updates across case management and quality teams.
* Provide executive\-level reporting, dashboard interpretation, and performance summaries to support leadership decision\-making.
**Requirements**
* Bachelor’s degree in Nursing, Social Work, Public Health, or Healthcare Administration (Master’s preferred).
* 5\+ years in healthcare management, including at least 3 years leading case management or population\-health teams. (Managed a team of 5 or more)
* Strong background in value\-based care, risk adjustment, or health plan collaboration.
* 
* Expertise in quality frameworks (HEDIS, NCQA, DHCS, CMS) and population health reporting.
* Exceptional leadership, analytical, and cross\-functional communication skills.
* Demonstrated success building or scaling care management programs within Medi\-Cal or Medicare settings.
* Preferred Certifications: RN, LCSW, Case Management, or CCM.
 \#ZR
 \#MASC104********</t>
        </is>
      </c>
    </row>
    <row r="102">
      <c r="A102" t="inlineStr">
        <is>
          <t>li-4362124404</t>
        </is>
      </c>
      <c r="B102" t="inlineStr">
        <is>
          <t>Technical Program Manager II, Submarine Cable Deployment, Cloud Networking</t>
        </is>
      </c>
      <c r="C102" t="inlineStr">
        <is>
          <t>Google</t>
        </is>
      </c>
      <c r="D102" t="inlineStr">
        <is>
          <t>linkedin</t>
        </is>
      </c>
      <c r="E102" t="inlineStr"/>
      <c r="F102" t="inlineStr"/>
      <c r="G102" t="inlineStr">
        <is>
          <t>New York, NY</t>
        </is>
      </c>
      <c r="H102" t="inlineStr"/>
      <c r="I102" t="inlineStr">
        <is>
          <t>**Minimum qualifications:**
* Bachelor's degree in a technical field, or equivalent practical experience.
* 2 years of experience in program management.
* Experience in fiber\-optic network design, deployment, or construction (e.g., marine route engineering, shore\-end solutions, outside plant installation, etc.).
**Preferred qualifications:**
* Master’s degree in Electrical, Electronic, or Mechanical Engineering, Telecommunications, Marine Science, or a related field.
* 2 years of experience managing cross\-functional or cross\-team projects.
* Experience in the telecommunications or subsea cable industry.
* Experience with submarine cable deployment lifecycle, including marine route engineering, permitting, or civil engineering.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Global Submarine Networks (GSN) team plans, builds and operates the subsea backbone network used by Google to provide our products and services. This international team collaborates with internal stakeholders and an array of suppliers to create construction agreements, oversee the delivery of each cable system, then operate and maintain that infrastructure for high reliability and security.
 The Cable Build team is a specialized group within GSN responsible for cable system construction. This team blends skills from marine construction, fiber\-optic networking, project management and contract negotiation to deliver this core infrastructure.
 In this role, you will manage the execution of fiber\-optic submarine cable construction projects for the Global Submarine Networks team. You will coordinate work between submarine cable vendors, partners, and internal teams through close collaboration with other Technical Program Managers, Strategic Negotiators, Network Deployment Engineers, and Product Managers. You will apply your knowledge of the Google Network and telecommunications best practices (marine survey, installation, outside plant) to drive the successful completion of submarine cable projects.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Analyze and track engineering specifications for cable routes, landing point selections, shore\-end solutions, and marine installation methods.
* Support the permit acquisition process by collaborating with vendors and internal legal/policy teams, tracking applications and flagging potential schedule risks.
* Manage vendor performance against the contract, ensuring deliverables meet quality, budget, and schedule requirements.
* Support commercial discussions and manage the administrative processes for contract variations and system handovers.
* Contribute technical and process knowledge to the broader team to improve project delivery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3">
      <c r="A103" t="inlineStr">
        <is>
          <t>li-4342835575</t>
        </is>
      </c>
      <c r="B103" t="inlineStr">
        <is>
          <t>Senior Engineering Program Manager, Worldwide Engineering and Innovation</t>
        </is>
      </c>
      <c r="C103" t="inlineStr">
        <is>
          <t>Amazon</t>
        </is>
      </c>
      <c r="D103" t="inlineStr">
        <is>
          <t>linkedin</t>
        </is>
      </c>
      <c r="E103" t="inlineStr"/>
      <c r="F103" t="inlineStr"/>
      <c r="G103" t="inlineStr">
        <is>
          <t>Bellevue, WA</t>
        </is>
      </c>
      <c r="H103" t="inlineStr"/>
      <c r="I103" t="inlineStr">
        <is>
          <t>**Description**
 As an Engineering Manager in the Worldwide Engineering and Innovation (WWEI) org, you will be responsible for overseeing a portfolio of projects across the organization. Your role will ensure these projects align with our strategic objectives by managing project progress, tracking key metrics, ensuring project management standards, and facilitating communication between stakeholders. You will work across technology and operations teams to drive innovation, prioritize initiatives, and optimize processes that positively impact customer experience while supporting business growth. A key aspect of your role will be providing executive\-level reporting, all while maintaining alignment with Amazon's goals and vision.
 Key job responsibilities
* Design and implement Program Management Office (PMO) standards, methodologies, and frameworks across assigned functional areas
* Lead the development and maintenance of executive\-level business review documentation (MBRs and QBRs), with focus on performance metrics and strategic alignment
* Collaborate with director\-level leaders to drive strategic alignment, resource allocation, change management initiatives, and cross\-functional decision\-making
* Facilitate stakeholder management through effective communication and transparent status reporting
* Lead execution of high\-priority worldwide initiatives while ensuring alignment with organizational strategy and objectives
* Partner with vertical Program Managers to provide mentorship, ensure consistent delivery standards, and drive successful project outcomes
 A day in the life
 You will lead critical business initiatives by developing PMO strategies that deliver measurable organizational impact. Your projects will standardize our processes and improve operations across the organization. Working closely with director\-level leaders and stakeholders, you'll define project requirements, monitor progress, and manage risks. Your role involves synthesizing complex information for executive reviews while maintaining clear communication channels to keep all stakeholders informed of changes and impacts.
**Basic Qualifications**
* 5\+ years of directly managing and responsible for multiple large projects experience
* 5\+ years of Microsoft Office products and applications experience
* Experience and strong technical background in relevant fields of automated or non\-automated material handling equipment
* Bachelor's degree in engineering, management, or technology
* Experience writing high\-quality technical content for technical audiences (e.g., engineers, developers, scientists)
**Preferred Qualifications**
* Master's degree in engineering, mechanical, operations, supply chain, business administration, or equivalent STEM field
* Experience in Lean Management, Six Sigma and other operations engineer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\- 119,600\.00 \- 161,700\.00 USD annually
**Company** 
 \- Amazon.com Services LLC
 Job ID: A3139897</t>
        </is>
      </c>
    </row>
    <row r="104">
      <c r="A104" t="inlineStr">
        <is>
          <t>li-4371452976</t>
        </is>
      </c>
      <c r="B104" t="inlineStr">
        <is>
          <t>Technical Program Manager, Software Deployments</t>
        </is>
      </c>
      <c r="C104" t="inlineStr">
        <is>
          <t>Axon</t>
        </is>
      </c>
      <c r="D104" t="inlineStr">
        <is>
          <t>linkedin</t>
        </is>
      </c>
      <c r="E104" t="inlineStr"/>
      <c r="F104" t="inlineStr"/>
      <c r="G104" t="inlineStr">
        <is>
          <t>Atlanta, GA</t>
        </is>
      </c>
      <c r="H104" t="inlineStr"/>
      <c r="I104"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Axon is a global leader in public safety technology, dedicated to protecting life and making communities safer. We are seeking a
 **Technical Program Manager** 
 to lead the delivery of complex, enterprise\-grade SaaS solutions that empower our customers to manage information effectively.
 As a Technical Program Manager at Axon, you will play a pivotal role in aligning technical solutions with customer needs, ensuring seamless deployment, and enhancing our product impact. This role requires a proactive leader who thrives in dynamic environments, champions cross\-team collaboration, and drives meaningful change. If you are passionate about technology, possess excellent program management skills, and seek a purpose\-driven career, this is the role for you.
****What You’ll Do****
**Location:** 
 US\-based Axon hub sites (Atlanta, Boston, Denver, Scottsdale, Seattle, or Sterling metro areas)
**Travel:** 
 40%\-50%
**Reports to:** 
 Director, Program Management
**Direct Reports:** 
 0
* Lead complex, enterprise SaaS product deployments, ensuring milestones are met and deliverables align with customer expectations and revenue recognition guidelines.
* Manage multiple medium to large\-sized projects with a focus on timelines, scope, and budget control.
* Collaborate with product and engineering teams to define program requirements, ensuring compliance with national and state standards.
* Engage with customer, sales, product, and software services leaders to define project vision, scope, and delivery timelines.
* Support program planning activities through effective work estimation processes.
* Oversee program\-level change management activities, working closely with client partners and internal stakeholders.
* Develop comprehensive documentation to support customer acceptance and revenue recognition.
* Act as the primary facilitator for project team members and stakeholders, ensuring effective communication and coordination across teams.
* Identify project risks, develop mitigation strategies, and proactively address potential issues to ensure successful outcomes.
* Deliver foundational training to customers both remotely and in person, supporting adoption of Axon solutions.
* Mentor junior project managers and support the recruitment process to strengthen the program management team.
****What You Bring****
* Bachelor’s Degree in Business, Information Systems, Technical Engineering or equivalent experience.
* PMP certification is highly preferred.
* 5\+ years of experience leading complex programs in a SaaS environment with demonstrated success in technical program management.
* Proven experience delivering large\-scale enterprise software deployments, infrastructure programs, or mission\-critical application rollouts.
* Strong proficiency in technical project management tools to track, manage, and deliver on objectives.
* Ability to manage multiple simultaneous projects while driving alignment among diverse stakeholders.
* Expertise in guiding internal and client teams through ambiguity, ensuring clarity, alignment, and execution on shared goals.
* Exceptional communication, organization, and interpersonal skills, with a strong ability to distill technical concepts for varied audiences.
* Experience identifying process improvements to enhance project delivery outcomes and increase customer satisfaction.
* Must pass a Criminal Justice Information Services (CJIS) background check and maintain confidential and highly sensitive information.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105">
      <c r="A105" t="inlineStr">
        <is>
          <t>li-4371181758</t>
        </is>
      </c>
      <c r="B105" t="inlineStr">
        <is>
          <t>Techno-functional SAP Treasury Product Manager / BSA</t>
        </is>
      </c>
      <c r="C105" t="inlineStr">
        <is>
          <t>Jobs via Dice</t>
        </is>
      </c>
      <c r="D105" t="inlineStr">
        <is>
          <t>linkedin</t>
        </is>
      </c>
      <c r="E105" t="inlineStr"/>
      <c r="F105" t="inlineStr"/>
      <c r="G105" t="inlineStr">
        <is>
          <t>San Jose, CA</t>
        </is>
      </c>
      <c r="H105" t="inlineStr"/>
      <c r="I105" t="inlineStr">
        <is>
          <t>Dice is the leading career destination for tech experts at every stage of their careers. Our client, IT Gig LLC, is seeking the following. Apply via Dice today!
**Job Description:**
 We are seeking a senior, hands\-on techno\-functional SAP Treasury Product Manager / BSA who is a true Treasury SME first, not a business\-only PM or project manager. The ideal candidate has deep, day\-to\-day experience in SAP Treasury (TRM) with strong SAP FI foundations, and has led end\-to\-end Treasury implementations covering cash management, in\-house banking, FX, hedging, forecasting, TMS, and FSCM.
 The person must work hands\-on in the system, translate business needs into technical/user stories, collaborate closely with engineering in an Agile setup, and independently drive delivery in a metrics\-driven environment. Strong understanding of Treasury integrations (e.g., Bloomberg, trading platforms, third\-party systems) and end\-to\-end finance data flows is critical. Onsite San Jose and experience engaging senior finance stakeholders are required, with SaaS/subscription exposure preferred for faster ramp\-up.
**Responsibilities:**
* Serve as the subject matter expert in S4H Treasury Management and financial accounting areas
* Define and drive the product roadmap to address future business needs and opportunities
* Identify and prioritize growth opportunities using data, customer insights, competitive analysis, and industry\-standard methodologies
* Work together with collaborators from the finance business unit to ensure product solutions meet business requirements
* Partner with cross\-functional teams—including engineering, finance, operations, and analytics—to guide finance products from conception to launch
* Build arguments outlining the projected impact for each initiative to be prioritized on the roadmap
* Write detailed product requirements, functional specs, and user stories to be used by engineering and design teams
* Build impactful insights and convey recommendations to executives and other customers
* Coordinate the full product lifecycle, from design and development to implementation and ongoing optimization
**Required Skills \&amp; Experience:**
* 10\+ years of experience in product management of SAP S4H FICO, FSCM, TRM along with treasury operations like in house cash, cash management, forecasting, credits and collections, Capital market investments, Foreign Exchange, risk management etc.
* Proven experience directing all aspects of a product lifecycle, from development to launch and support
* Strong background in SAP S/4H, SAP ECC, Salesforce, MS\-Dynamics, Databricks, and other analytical systems
* Experience crafting and implementing General Ledger, Accounts payable and receivables, Treasury, Tax, RAR etc.
* Strong understanding of accounting standards and principles
* Ability to translate business requirements into functional specifications and partner with development teams to build product capabilities
* Hands\-on experience working with agile and scrum methodologies in software product development
* Strong analytical skills with the ability to bring to bear multiple data sources to support business decisions
* Proven ability to operate effectively in fast\-paced, time\-sensitive situations with minimal direction
* Experience in software product launches and working across multiple teams to drive product success
**Soft Skills:**
* Strong collaboration skills, with the ability to build credibility and trust across multiple teams
* Ability to present effectively at the executive level, communicating complex ideas with clarity
* Strong influencing and interpersonal skills, adept at managing relationships with senior leadership
* Must be a self\-starter, able to drive initiatives end to end with minimal mentorship
* A strategic problem solver who can work autonomously and thrive in ambiguity
* Outstanding verbal and written communication skills, comfortable working with technical and non\-technical audiences alike
* Passion for problem\-solving and innovation in financial applications</t>
        </is>
      </c>
    </row>
    <row r="106">
      <c r="A106" t="inlineStr">
        <is>
          <t>li-4371469744</t>
        </is>
      </c>
      <c r="B106" t="inlineStr">
        <is>
          <t>Program Manager, Enterprise Data Privacy Office</t>
        </is>
      </c>
      <c r="C106" t="inlineStr">
        <is>
          <t>FINRA</t>
        </is>
      </c>
      <c r="D106" t="inlineStr">
        <is>
          <t>linkedin</t>
        </is>
      </c>
      <c r="E106" t="inlineStr"/>
      <c r="F106" t="inlineStr"/>
      <c r="G106" t="inlineStr">
        <is>
          <t>Tysons Corner, VA</t>
        </is>
      </c>
      <c r="H106" t="inlineStr"/>
      <c r="I106" t="inlineStr">
        <is>
          <t>The Program Manager within the Enterprise Data Privacy Office (EDPO) is responsible for managing strategic initiatives, privacy program implementation, and enterprise\-wide education and awareness efforts. The Program Manager serves as a strategic partner and trusted resource, collaborating across all organizational levels to support effective execution of the organization's privacy objectives. This includes managing new initiative implementations, strategic goals and key results, privacy training and awareness programs, and providing guidance and support to stakeholders throughout the organization to ensure consistent application of privacy policies and practices.
**Essential Job Functions:**
* Manages EDPO program management activities including new initiatives, projects, strategic objectives, and ongoing program execution
* Manages the creation and implementation of the enterprise\-wide privacy training and awareness program for all employees and contractors
* Supports ongoing implementation and advancement of the Privacy Risk Management Framework across the organization
* Manages the enterprise\-wide Information Manager Program as directed by the Senior Director, including assistance with policy development, best practices, regular policy reviews, managing policy submissions and updates, and working with department stakeholders to support program adoption
* Assists in preparation of quarterly and bi\-weekly EDPO reporting to senior management and the FINRA Board
* Manages EDPO’s vendor relationships and contract management, including training and content providers, to ensure effective program delivery and budget compliance
* Assists Senior Director and Counsel, Privacy with workforce planning, budget, policy compliance, and acquisition initiatives, as needed
* Demonstrates FINRA's values
* Collaborates, both in\-person and virtually, in furtherance of FINRA's mission of investor protection and market integrity
**Education/Experience Requirements:**
* Bachelor's Degree with a minimum seven (7\) years of experience
* Minimum three (3\) years of experience working directly in privacy, compliance, or program management roles, preferably in a regulated industry
* Experience with program management, project management, or similar roles in a corporate setting
* Experience drafting, developing, and maintaining policies and procedures in a corporate or regulatory environment
* Experience preparing presentations, reports and metrics for senior management
* Excellent collaboration and communication skills, with the ability to present complex topics to diverse stakeholders in both written and oral forms
* Exceptional analytical and problem\-solving skills
* Proven ability to work independently with minimal supervision
* Familiarity with privacy regulations, standards, and best practices a plus
* CIPP/US preferred, but not required
**Working Conditions:**
* Hybrid work environment, with defined in\-person presence requirements
* Extended hours as needed
* Travel occasionally required
 For work that is performed in CO, FL, TX, IL, PA, MA, MD, VA, Washington, DC, NY and NJ, please refer to the chart below for the salary range for the corresponding location. FINRA complies with all state and local pay transparency laws and regulations requiring the disclosure of salary ranges for the position. In addition to location, actual compensation is based on various factors, including but not limited to, the candidate’s skill set, level of experience, education, and market considerations.
 CO/FL/TX: Minimum Salary $95,300, Maximum Salary $171,800
 IL/PA: Minimum Salary $104,900, Maximum Salary $189,400
 MA/MD/VA/Washington, DC: Minimum Salary $109,600 Maximum Salary $197,600
 NY/NJ: Minimum Salary $109,600, Maximum Salary $206,200
**To be considered for this position, please submit an application.** 
**Applications are accepted on an ongoing basis.**
*The information provided above has been designed to indicate the general nature and level of work of the position. It is not a comprehensive inventory of all duties, responsibilities and qualifications required.*
***Please note: If the “Apply Now” button on a job board posting does not take you directly to the FINRA Careers site, enter www.finra.org/careers into your browser to reach our site directly.***
 FINRA strives to make our career site accessible to all users. If you need a disability\-related accommodation for completing the application process, please contact FINRA's Employee Relations team at 240\.386\.4865 or by email at EmployeeRelations@finra.org. Please note that this process is exclusively for inquiries regarding application accommodations.
 Employees may be eligible for a discretionary bonus in addition to base pay. Non\-exempt employees are also eligible for overtime pay in accordance with federal, state, or local law. As part of its dedication to employee wellness, FINRA provides comprehensive health, dental and vision insurance. Additional insurance includes basic life, accidental death and dismemberment, supplemental life, spouse/domestic partner and dependent life, and spouse/domestic partner and dependent accidental death and dismemberment, short\- and long\-term disability, long\-term care, business travel accident, disability and legal. FINRA offers immediate participation and vesting in a 401(k) plan with company match and eligibility for participation in an additional FINRA\-funded retirement contribution, tuition reimbursement, commuter benefits, and other benefits that support employee wellness, such as adoption assistance, backup family care, surrogacy benefits, employee assistance, and wellness programs.
 Time Off and Paid Leave\*
 FINRA encourages its employees to focus on their health and wellness in many ways, including through a generous time\-off program of 15 days of paid time off, 5 personal days and 9 sick days, unless otherwise required by law (all pro\-rated in the first year). Additionally, we are proud to support our communities by providing two volunteer service days (based on full\-time schedule). Other paid leave includes military leave, jury duty leave, bereavement leave, voting and election official leave for federal, state or local primary and general elections, care of a family member leave (available after 90 days of employment); and childbirth and parental leave (available after 90 days of employment). Full\-time employees receive nine paid holidays.
* Based on full\-time schedule
**Important Information**
 FINRA’s Code of Conduct imposes restrictions on employees’ investments and requires financial disclosures that are uniquely related to our role as a securities regulator. FINRA employees are required to disclose to FINRA all brokerage accounts that they maintain, and those in which they control trading or have a financial interest (including any trust account of which they are a trustee or beneficiary and all accounts of a spouse, domestic partner or minor child who lives with the employee) and to authorize their broker\-dealers to provide FINRA with duplicate statements for all of those accounts.
 **All of those accounts are subject to the Code’s investment and securities account restrictions, and new employees must comply with those investment restrictions—including disposing of any security issued by a company on FINRA’s Prohibited Company List or obtaining a written waiver from their Executive Vice President—by the date they begin employment with FINRA. Employees may only maintain securities accounts that must be disclosed to FINRA at one or more securities firms that provide an electronic feed (e\-feed) of data to FINRA, and must move securities accounts from other securities firms to a firm that provides an e\-feed within three months of beginning employment.**
 You can read more about these restrictions here.
 As standard practice, employees must also execute FINRA’s Employee Confidentiality and Invention Assignment Agreement without qualification or modification and comply with the company’s policy on nepotism.
**Search Firm Representatives**
 Please be advised that FINRA is not seeking assistance or accepting unsolicited resumes from search firms for this employment opportunity. Regardless of past practice, a valid written agreement and task order must be in place before any resumes are submitted to FINRA. All resumes submitted by search firms to any employee at FINRA without a valid written agreement and task order in place will be deemed the sole property of FINRA and no fee will be paid in the event that person is hired by FINRA.
 FINRA strives to make our career site accessible to all users. If you need a disability\-related accommodation for completing the application process, please contact FINRA's Employee Relations team at 240\.386\.4865 or by email at EmployeeRelations@finra.org. Please note that this process is exclusively for inquiries regarding application accommodations.
 All qualified applicants will receive consideration for employment without regard to age, citizenship status, color, disability, marital status, national origin, race, religion, sex, veteran status or any other classification protected by federal, state, or local laws.
 FINRA abides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FINRA abides by the requirements of 41 CFR 60\-300\.5(a). This regulation prohibits discrimination against qualified protected veterans and requires affirmative action by covered prime contractors and subcontractors to employ and advance in employment qualified protected veterans.
 ©2025 FINRA. All rights reserved. FINRA is a registered trademark of the Financial Industry Regulatory Authority, Inc.</t>
        </is>
      </c>
    </row>
    <row r="107">
      <c r="A107" t="inlineStr">
        <is>
          <t>li-4362097006</t>
        </is>
      </c>
      <c r="B107" t="inlineStr">
        <is>
          <t>Technical Program Manager, Third Party Data-Centers, Front End Planning</t>
        </is>
      </c>
      <c r="C107" t="inlineStr">
        <is>
          <t>Google</t>
        </is>
      </c>
      <c r="D107" t="inlineStr">
        <is>
          <t>linkedin</t>
        </is>
      </c>
      <c r="E107" t="inlineStr"/>
      <c r="F107" t="inlineStr"/>
      <c r="G107" t="inlineStr">
        <is>
          <t>Sunnyvale, CA</t>
        </is>
      </c>
      <c r="H107" t="inlineStr"/>
      <c r="I107" t="inlineStr">
        <is>
          <t>Note: By applying to this position you will have an opportunity to share your preferred working location from the following:
 **Sunnyvale, CA, USA; Atlanta, GA, USA; Addison, TX, USA; New York, NY, USA; Reston, VA, USA; London, UK** 
 .
 **Minimum qualifications:**
* Bachelor's degree or equivalent practical experience.
* 8 years of experience in program or project management.
* Experience working with data center equipment/environments (e.g., switchgear, generators, chillers, cooling towers, air handling units, controls, security monitoring systems, fire safety systems).
* Experience managing vendor relationships.
**Preferred qualifications:**
* 8 years of experience managing cross\-functional or cross\-team projects.
* Experience in facility operations for facilities comprising electrical and mechanical systems.
* Understanding of startup/commissioning processes and standard practices in the design and construction industry.
* Excellent requirement gathering, resource organization, task prioritization, scheduling, and goal attainment skills.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a Technical Program Manager, you will provide leadership and management to ensure the successful delivery of our growing global fleet of Data Centers.
 In this role, you will work cross\-functionally to manage multiple projects through the various stages of evaluation, design, agreements, construction, and handover to operations. The portfolio will include projects at greenfield sites and within operational facilities for both our smaller scale data center infrastructure deployments as well as hyper\-scale data centers.
 You will be involved in every aspect of tactical implementation and will partner with negotiators, project managers and engineers, as well as our construction and operations teams, to develop creative and scalable solutions for the delivery of data centers that meet our operational requirements.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processes, standards, and procedures that ensure an effective transition of third\-party delivered data center facilities from construction to operations.
* Manage delivery validation process across a portfolio to ensure that construction quality standards are met and that critical closeout, commissioning, and operational documentation is collated in a timely manner.
* Establish process and controls to reduce operational risk of phased construction.
* Collaborate with cross\-functional teams to ensure alignment around expectations ahead of major milestones: Early Facility Access (EFA), Substantial Completion, and Final Release (FR), ensuring a clear understanding of contractual requirements and operational provisions is in place.
* Establish processes for clear, accurate, and timely communication with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8">
      <c r="A108" t="inlineStr">
        <is>
          <t>li-4363078015</t>
        </is>
      </c>
      <c r="B108" t="inlineStr">
        <is>
          <t>Treatment Program Manager</t>
        </is>
      </c>
      <c r="C108" t="inlineStr">
        <is>
          <t>State of Iowa - Executive Branch</t>
        </is>
      </c>
      <c r="D108" t="inlineStr">
        <is>
          <t>linkedin</t>
        </is>
      </c>
      <c r="E108" t="inlineStr"/>
      <c r="F108" t="inlineStr"/>
      <c r="G108" t="inlineStr">
        <is>
          <t>Woodward, IA</t>
        </is>
      </c>
      <c r="H108" t="inlineStr"/>
      <c r="I108" t="inlineStr">
        <is>
          <t>**Job Description**
 The Iowa Department of Health and Human Services (HHS), Division of State\-Operated Specialty Care, Bureau of Woodward Resource Center (WRC) is seeking a Treatment Program Manager to join our Habilitation Services team!
**What You'll Do**
 As a Treatment Program Manager, you'll play a vital role in ensuring our team is equipped with the knowledge and skills to deliver exceptional care and support. Your responsibilities will include:
* Leadership: Lead and direct an integrated, interdisciplinary team process to provide adequate, appropriate, and timely assessments, interventions, strategies and supports that effectively address an Individual’s needs, assisting that Individual to live in the most integrated setting.
* Monitoring and Reporting: Monitor implementation of services, supports, and interventions through direct observation, participation, and review of documentation. Report analysis of trends, corrective action needed/due and assure implementation of proactive and prevention interventions.
* Supervision: Supervise and evaluate the work of subordinate staff. Administer personnel and related policies and procedures. Oversee the work of Resident Treatment Supervisors to train them in the supervision of active treatment programs by assigning caseloads, advising on methods, reviewing written records, and providing feedback on work performed.
* Team Collaboration: Maintain close contact with employees to define, measure, and improve quality of services, implement quality initiatives in their respective area, and assess outcomes and the efficiency of quality efforts.
 Applicants will be required to complete a background check to be considered for this position and should possess a valid Iowa Driver’s License.
 WRC prepares and supports individuals to live in the community of their choice. This facility is a great place to develop or continue your healthcare career if you enjoy rewarding yet challenging work, supporting individuals by working as part of their interdisciplinary team, and helping to develop person\-centered Individual Support Plans to meet specific support needs, preferences, and goals. The facility provides a range of services that include being an Intermediate Care Facility for Individuals with an Intellectual Disability (ICF/IID), daily supported community living, consultations/training, behavioral health services, physical nutrition management, and community residential\-based guidance in learning prosocial behavior and personal accountability. For more info about WRC: https://hhs.iowa.gov/family\-community/specialty\-care\-facilities/woodward\-resource\-center
**Benefits Of Joining WRC**
 Working for the State of Iowa comes with its perks. In addition to a competitive salary, you'll enjoy a comprehensive benefits package designed to support your well\-being and professional growth.
* Health, Dental, and Vision Coverage: Health and dental insurance packages to keep you and your family healthy at a low cost with outstanding coverage!
* Paid Time Off: Take time to recharge with paid time off, including vacation (96 hours/year to begin, increasing with years of service), sick leave (144 hours/year), and paid holidays (9 days/year).
* Retirement Plans: Participate in retirement plans such as IPERS (employees contribute 6\.29% and the State of Iowa contributes 9\.44%) as well as our Retirement Investors Club (RIC), Employer Sponsored Retirement Plan (the State of Iowa matches dollar for dollar up to $75/month).
* Flexible Spending Accounts: Take advantage of flexible spending accounts for medical and dependent care expenses.
* Insurance Coverage: Benefit from life insurance and free long\-term disability insurance for added peace of mind.
* Employee Assistance Program: Access resources and support through our Employee Assistance Program for personal and professional challenges.
* Employee Discount Programs: Enjoy discounts on a variety of goods and services through our employee discount programs.
**Benefits**
 For additional information on benefits click here .
 Click here to see how we compare with other employers or offers by using our Total Compensation Calculator.
**Woodward Highlights**
 Woodward is a city of approximately 1,300 located in central Iowa. The High Trestle Trail begins here and boasts 25 miles of paved surface running through five towns and four counties in the heart of Iowa. The trail includes an iconic, 1/2\-mile, 13\-story high bridge across the Des Moines River valley, one of the largest trail bridges in the world. The Iowa Arboretum \&amp; Gardens is just a quick drive away offering more trails, scenic overlooks and other amazing natural features.
 Woodward is about 30 minutes away Ames, home of Iowa State University. Des Moines, Iowa’s capitol city, is also about the same distance away and home to Casey’s Center (host site of NCAA Basketball and premier concerts) and Lauridsen Skatepark, the nation’s largest skatepark. Additionally, Des Moines hosts one of the nation’s finest State Fairs and is home to professional sports teams the Iowa Cubs, Iowa Wolves, Iowa Barnstormers and Iowa Wild. Check out these 10 Reasons to Move to Iowa .
**The State of Iowa is an EEO/AA Employer**
 HHS values those with “lived experience” and encourages adults who were fostered as youth, foster parents, and/or parents who were in the HHS system to apply. Minorities, women, persons with disabilities and veterans are encouraged to apply (Hearing and Speech Impaired – Relay Iowa 1\-800\-735\-2942 TDD).
**E\-Verify and Right to Work**
 The State of Iowa participates in E\-Verify, a federal program that helps employers confirm the employment eligibility of all newly hired employees. Within the required timeframe, new hires will be verified through the E\-Verify system to ensure authorization to work in the United States. The State of Iowa also complies with the federal
 **Right to Work** 
 laws, which protect employees’ rights to work without being required to join a labor organization. For more information, please visit www.e\-verify.gov.
**Minimum Qualification Requirements**
 Graduation from an accredited college or university with a bachelor's or master's degree in a professional discipline related to provision of human care and treatment, a human service field, a field of study related to basic human care needs, human behavior, human skill development, humans and their cultural behavior, the human condition, or any other study related to basic human care needs and experience equal to one year of full time work with persons with intellectual disabilities or developmental disabilities;
 OR
 licensure as a doctor of medicine or osteopathy or as a registered nurse and experience equal to one year of full\-time work with persons with intellectual disabilities or developmental disabilities.
 For additional information, please click on this link to view the job description .
**Additional Qualification Requirements**
* Licensure or temporary licensure by the State of Iowa is required where applicable under state law (occupational therapy, physical therapy, audiology, speech pathology, doctor of medicine or osteopathy and registered nurse).
* Among the acceptable degrees: occupational therapy, physical therapy, speech pathology, audiology, sociology, education, rehabilitation counseling, social work, psychology, speech, communication, gerontology, counseling, human development, recreation, special education, anthropology, literature, art, dance, and music. Experience is applicable to work before or after the required degree.
* At the time of interview, applicants referred to Glenwood and Woodward State Hospital\-Schools will be assessed to determine if they meet federal employment requirements as published in the Federal Register, Section 20 CFR 483\.430\.
* Designated positions in this job class require applicants to obtain the required Commercial Drivers License and endorsements within a period of time as determined by the appointing authority at the time of hire.</t>
        </is>
      </c>
    </row>
    <row r="109">
      <c r="A109" t="inlineStr">
        <is>
          <t>li-4371197174</t>
        </is>
      </c>
      <c r="B109" t="inlineStr">
        <is>
          <t>Program Manager</t>
        </is>
      </c>
      <c r="C109" t="inlineStr">
        <is>
          <t>Jobs via Dice</t>
        </is>
      </c>
      <c r="D109" t="inlineStr">
        <is>
          <t>linkedin</t>
        </is>
      </c>
      <c r="E109" t="inlineStr"/>
      <c r="F109" t="inlineStr"/>
      <c r="G109" t="inlineStr">
        <is>
          <t>Sunnyvale, CA</t>
        </is>
      </c>
      <c r="H109" t="inlineStr"/>
      <c r="I109" t="inlineStr">
        <is>
          <t>Dice is the leading career destination for tech experts at every stage of their careers. Our client, Enexus Global, is seeking the following. Apply via Dice today!
 Role: Technical Program Manager
 Client: Walmart
 Location: Sunnyvale, CA \- Hybrid</t>
        </is>
      </c>
    </row>
    <row r="110">
      <c r="A110" t="inlineStr">
        <is>
          <t>li-4371482757</t>
        </is>
      </c>
      <c r="B110" t="inlineStr">
        <is>
          <t>Research Program Manager</t>
        </is>
      </c>
      <c r="C110" t="inlineStr">
        <is>
          <t>University of Wisconsin-Madison</t>
        </is>
      </c>
      <c r="D110" t="inlineStr">
        <is>
          <t>linkedin</t>
        </is>
      </c>
      <c r="E110" t="inlineStr"/>
      <c r="F110" t="inlineStr"/>
      <c r="G110" t="inlineStr">
        <is>
          <t>Madison, WI</t>
        </is>
      </c>
      <c r="H110" t="inlineStr"/>
      <c r="I110" t="inlineStr">
        <is>
          <t>***Current Employees: If you are currently employed at any of the Universities of Wisconsin, log in to Workday to apply through the internal application process.***
**Job Category:**
 Academic Staff
**Employment Type:**
 Regular
**Job Profile:**
 Research Program Manager
**Job Summary:**
 This position will serve as the Assistant Coordinator for the National Atmospheric Deposition Program (NADP) at the Wisconsin State Lab of Hygiene (WSLH)/University of Wisconsin Madison. The Assistant Coordinator will be responsible for managing the operational, administrative, and outreach activities that support NADP's mission to monitor and assess atmospheric deposition across North America. This position plays a critical role in ensuring smooth program operations, maintaining effective communication with monitoring sites and stakeholders, and facilitating scientific meetings and events.
 The Assistant Coordinator will work closely with the NADP Coordinator, Program Office (PO) staff, NADP Analytical Lab (NAL) staff, and NADP committees including the Executive Committee to coordinate site management, data dissemination, external communications, and staff supervision. The Assistant Coordinator will also serve as the primary backup to the NADP Coordinator for any NADP presentations, reports, and other project deliverables. This position requires strong organizational skills, attention to detail, and the ability to manage multiple priorities while maintaining positive relationships with federal, state, tribal, and academic partners.
 The employee in this position is expected to use the tools and principles of quality management in performing their daily work including the following: Demonstrate exceptional customer service by establishing and maintaining effective professional relationships with other managers, supervisors, coworkers, and all customers and colleagues. Provide constructive feedback for the purpose of continuous improvement in a manner that is supportive of the State Laboratory of Hygiene and its mission. Use effective team skills to contribute to the effective operation of the unit. Present ideas, carry out assignments, and provide information as required. Participate in continuous learning through professional development activities.
**Key Job Responsibilities**
**Directs day\-to\-day operational, PO, and NAL activities** 
 \- 20%
* Coordinate day\-to\-day operational, PO, and NAL administrative activities, such as equipment/protocol testing, building space management, and purchase of supplies and services
* Manage NADP site documentation and maintain accurate records in appropriate databases, including tracking site status, funding mechanism, and equipment type
* Coordinate NADP site management ensuring proper siting and equipment are installed at new sites, and that closing and mothballed sites follow appropriate procedures to ensure equipment is prepared for extended periods of no operator interaction
* Coordinate with PO and field personnel on quality assurance activities and site surveys
**Develop and implement processes and protocols to support research goals** 
 \- 20%
* Develop and maintain standard operating procedures for site management and communications, including the maintenance and expansion of NADP Google Sheet trackers
* Prepare and distribute site status reports to NADP’s Executive and Budget Committees including funding agency information, completeness criteria status, contact details, and problem descriptions
* Assist with program reviews and audits as needed and serve as primary NADP representative for key field operation partners, such as ECCC, EPA CASTNET, EEMS, WSP, and ARS
**Assist in development, coordination, and facilitation of meetings, trainings, and workshops for internal and external audiences** 
 \- 20%
* Coordinate NADP meeting planning, specifically the annual Spring Scientific Symposium, including develop meeting schedules and other requirements in partnership with the Vice Chair, configure online registration and obtain abstracts and biographies of presenters, coordinate proceedings booklet, and execute comprehensive meeting logistics
* Assist with spring and fall subcommittee business meeting logistics, ensuring any motions are properly voted upon and tracked
* Run internal NADP managers meetings
**Oversee digital communication and systems information** 
 \- 20%
* Administer all NADP listservs, including managing membership, moderating incoming emails, and maintaining group owners and managers
* Serve as primary DoIT contact for website operations and regularly update with any new information to disseminate to the broader NADP community, such as meeting dates and agendas, annual publication lists, and subcommittee and network updates
* Produce annual NADP calendar from concept through print, including solicitating site operator photos, coordinating the Chair’s Message, approving final layout, and managing printing logistics
* Track and coordinate long\-service operator awards for milestone years, collaborate with the Executive Committee on other NADP recognition awards, and oversee award wording, ordering, and procurement
* Maintain oversight of all NADP social media accounts, assign user permissions, manage content, and serve as primary contact to the Education and Outreach Subcommittee on social media initiatives
* Produce Annual Summary Report, including highlights from the year, and coordinate development of mapping and program graphics and plots for the report
**Exercises supervisory authority** 
 \- 20%
* Conduct performance reviews for NAL and PO staff
* Approve leave requests, manage staff schedules, and provide guidance and mentorship to support staff
* Ensure training of new NADP staff in coordination with the NADP Coordinator
**Key Job Responsibilities:**
* Plans, develops, and implements processes and protocols to support research aims \- 20%
* Assists in the development, coordination, and facilitation of trainings and workshops for internal and external audiences to disseminate research program developments and information \- 20%
**Oversee digital communication and systems information** 
 \- 20%
* Administer all NADP listservs, including managing membership, moderating incoming emails, and maintaining group owners and managers
* Serve as primary DoIT contact for website operations and regularly update with any new information to disseminate to the broader NADP community, such as meeting dates and agendas, annual publication lists, and subcommittee and network updates
* Produce annual NADP calendar from concept through print, including solicitating site operator photos, coordinating the Chair’s Message, approving final layout, and managing printing logistics
* Track and coordinate long\-service operator awards for milestone years, collaborate with the Executive Committee on other NADP recognition awards, and oversee award wording, ordering, and procurement
* Maintain oversight of all NADP social media accounts, assign user permissions, manage content, and serve as primary contact to the Education and Outreach Subcommittee on social media initiatives
* Produce Annual Summary Report, including highlights from the year, and coordinate development of mapping and program graphics and plots for the report
* Plans and directs the day\-to\-day operational activities of one or multiple research programs or units according to established research objectives in alignment with strategic plans and initiatives \- 20%
* Exercises supervisory authority, including hiring, transferring, suspending, promoting, managing conduct and performance, discharging, assigning, rewarding, disciplining, and/or approving hours worked of at least 2\.0 full\-time equivalent (FTE) employees \- 20%
**Department:**
 WSLH \- Environmental Health Division \- NADP
**Compensation:**
 $80,000/year minimum (Depending on qualifications)
**Required Qualifications:**
 Demonstrate exceptional customer service by establishing and maintaining effective professional relationships with other managers, supervisors, coworkers, and all customers and colleagues. Provide constructive feedback for the purpose of continuous improvement in a manner that is supportive of the State Laboratory of Hygiene and its mission. Use effective team skills to contribute to the effective operation of the unit. Present ideas, carry out assignments, and provide information as required. Participate in continuous learning through professional development activities.
**Preferred Qualifications:**
 See above
**Education:**
**Bachelor's Degree Preferred Minimum**
**How to Apply:**
 To begin the application process please click on the "Apply Now" button. You will be asked to
 **upload a current resume/CV AND cover letter** 
 briefly describing your qualifications relevant to the position.
***WSLH does not sponsor work visas at the time of hire or anytime during employment for this position. All persons hired will be required to verify identity and eligibility to work in the United States and complete the required Employment Eligibility Form I\-9\.***
 The selected applicant will be required to pass a criminal background check prior to an offer of employment.
**Contact Information:**
 Please reach out to Dan Makovec at hrstaff@slh.wisc.edu with any questions.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For more information regarding applicant and employee rights and to view federal and state required postings, visit the Human Resources Workplace Poster website.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111">
      <c r="A111" t="inlineStr">
        <is>
          <t>li-4354901739</t>
        </is>
      </c>
      <c r="B111" t="inlineStr">
        <is>
          <t>Program Manager, Community Education</t>
        </is>
      </c>
      <c r="C111" t="inlineStr">
        <is>
          <t>Southern Poverty Law Center</t>
        </is>
      </c>
      <c r="D111" t="inlineStr">
        <is>
          <t>linkedin</t>
        </is>
      </c>
      <c r="E111" t="inlineStr"/>
      <c r="F111" t="inlineStr"/>
      <c r="G111" t="inlineStr">
        <is>
          <t>Atlanta, GA</t>
        </is>
      </c>
      <c r="H111" t="inlineStr"/>
      <c r="I111" t="inlineStr">
        <is>
          <t>The SPLC is seeking a Program Manager of Community Education to join Learning For Justice!
 The Program Manager, Community Education, advances community\- centered learning and education by transforming LFJ's frameworks into localized, culturally grounded education across Community Justice Sites and SPLC's five\-state region.
 This role centers program design, localizing curriculum development, workshop writing, facilitation, and train\-the\-trainer leadership to ensure that communities are equipped with sustainable knowledge and skills for collective action. This role collaborates across SPLC departments to translate specialized expertise into accessible community learning opportunities. The Community Education Program Manager serves as a bridge between SPLC's internal knowledge and the lived realities of local communities, ensuring education fuels both advocacy and long\-term community power movement for liberation. This position will work 100% of the time in SPLC's five states, and is expected to live in one of SPLC's five states AL, FL, GA, LA, or MS.
 Who You Are
**Community\-centered** 
 Program Manager with experience educating, organizing, and working alongside local communities across SPLC's cover area.
**Empathetic** 
 , culturally responsive communicator skilled at building trust with diverse stakeholders, community leaders and partner organizations, and listens to understand community needs and meet them where they are.
**Strategic** 
 , visionary leader who can co\-create program plans with communities and take initiative to implement and manage those plans and turn them into workshops, trainings, and learning spaces designed to inform, empower, and mobilize communities.
**Strong** 
 creative writer and trainer, able to adapt organizational content and values into language that resonates with local communities and manage multiple programs and community partnerships simultaneously.
**Flexible** 
 , adaptable, and organized, able to prioritize effectively across multiple communities while responding to evolving community needs and realities.
 What You'll Do
**Design** 
 , write, and implement Community Justice Site workshops and curricula that localize LFJ frameworks into accessible, culturally grounded education.
**Lead** 
 and manage Community Justice Site programming across five SPLC states, ensuring alignment with LFJ frameworks and responsiveness to community needs.
**Facilitate** 
 and lead community dialogue sessions that promote honest history, identity, diversity, justice, and action. Develop and manage train\-the\-trainer programs that build sustainable capacity among local leaders and educators.
**Collaborate** 
 across SPLC departments (Policy, Legal, Intelligence Project, Development, and State Offices) to integrate specialized expertise into community learning.
**Build** 
 and maintain partnerships with community leaders, educators, organizations, and cultural institutions to sustain local autonomy.
**Provide** 
 program management oversight, including timelines, budgets, reporting, and multi\-state coordination. Document educational themes, participant insights, and emerging community priorities to inform LFJ's broader education and advocacy strategy.
**Represent** 
 SPLC and LFJ in external meetings, conferences, and convenings centered on education and community learning.
**Up** 
 to 80% travel is expected.
**Perform** 
 other duties as required or assigned which are reasonably within the scope of the duties in this job classification.
**Minimum Qualifications**
*We are committed to equitable hiring practices; therefore, you must meet the minimum qualifications to be considered for the role.*
* Minimum 5 years of community education, program management, facilitation, or related field; and
* High school diploma or GED.
**Compensation \&amp; Benefits**
 This is an exempt role, and the minimum starting salary is $64,202 annually. Salary will be commensurate with experience.
 Click here to view the benefits available to SPLC staff.
 Where \&amp; How You'll Work
 This role the following work designations options:
* Local Remote: Will work remotely but is expected to attend work\-related activities that occur at the SPLC offices or in the states in which the SPLC operates.
* Telework: Will work at an SPLC office at least three days per week and may work two days per week from an alternative work location.
* This position will report to the Deputy Director, Community Education.
 Other Special Considerations
 This job is performed under general office conditions and is not subject to any strenuous physical demands or dangerous conditions.
*This position will travel within the SPLC's five state footprint up to 80% of the time.*
*This position is represented by the Washington\-Baltimore News Guild.*
**Disclaimer:**
 The statements herein are intended to describe the general nature and level of work being performed by the employee in this position. These statements are not intended to be construed as an exhaustive list of all responsibilities, duties, and skills required of a person in this position.
**An Equal\-Opportunity Employer with a Commitment to Diversity**
*Southern Poverty Law Center (SPLC) is proud to be an equal opportunity employer, and as an organization committed to diversity and the perspective of all voices, we consider applicants equally without regard to age, caregiver status, color, disability, ethnicity, gender, gender expression, gender identity, marital status, national origin, on the basis of genetic information, political affiliation, pregnancy, or veteran status.*</t>
        </is>
      </c>
    </row>
    <row r="112">
      <c r="A112" t="inlineStr">
        <is>
          <t>li-4336744032</t>
        </is>
      </c>
      <c r="B112" t="inlineStr">
        <is>
          <t>PROGRAM MANAGER II</t>
        </is>
      </c>
      <c r="C112" t="inlineStr">
        <is>
          <t>Marvin Engineering Company</t>
        </is>
      </c>
      <c r="D112" t="inlineStr">
        <is>
          <t>linkedin</t>
        </is>
      </c>
      <c r="E112" t="inlineStr"/>
      <c r="F112" t="inlineStr"/>
      <c r="G112" t="inlineStr"/>
      <c r="H112" t="inlineStr"/>
      <c r="I112" t="inlineStr">
        <is>
          <t>Date: Jan 14, 2026
 Location:
 Inglewood, CA, US, 90302
 Company: Marvin Land Systems
 Req ID: 1378
 FLSA Status: Exempt
 Pay Range: $125,000 \- $160,000
**The Marvin Group is a Strategic Partner for Global Alternate** 
**Mission Equipment and Sustainment**
 The Marvin Group, a leading defense contractor, plays a crucial role in the development and manufacturing of various systems for military aerospace and vehicles. Based in Southern California near the Los Angeles International Airport, The Marvin Group consists of Marvin Engineering (MEC), Marvin Test Solutions (MTS) and Marvin Land Systems (MLS). Marvin Engineering designs and produces military Alternate Mission Equipment. Marvin Test Solutions designs and manufactures armament Test Equipment. Marvin Land Systems specializes in the design and build of power and thermal management systems. For over 60 years we have maintained “
 *A Tradition of Excellence* 
 ”, serving as a trusted source for our unwavering commitment to supporting all branches of the Department of Defense and our global allies. Our collaboration extends across a diverse array of programs and platforms, including major military prime contractors such as Lockheed Martin, Northrop Grumman, and Raytheon.
**SCOPE**
 Responsible for managing product development with emphasis on accelerating the development cycle and transition into production. Successfully deliver results to customers to achieve program delivery meeting performance requirements.
**Responsibilities**
* Plan project schedules including required resources and implement by deadline
* Communicate with internal/external customers and work with functional areas such as Engineering, Manufacturing and Quality to ensure customer needs are addressed and targets are met
* Facilitate the process of ensuring that all customer requests/questions are addressed in a timely manner
* Liaison with suppliers and sub\-contractors\-ensure delivery of material to meet compressed development cycle (negotiate and issue Purchase Orders on critical items)
* Create/Manage presentations (PDR, CDR, TRR), manage Customer Program deliverables, SDRLS, hardware, reports, etc.
* Manage the transition between Development to Production (Product release, drawings/route sheet release, supplier base, etc.)
**Skills / Requirements**
* Bachelor’s degree in Engineering or applicable equivalent experience
* 7\-12\+ years’ experience in defense, engineering/product development
* Proven history of Product Development from Proposal phase to Qualified Product
* Ability to read and interpret technical drawings, specifications
* Able to perform a variety of complex tasks with a degree of creativity and adaptability
* Proficient in Microsoft Word, Outlook, Excel, PowerPoint and Project
* Experience with MRP/ERP software
* Excellent written and verbal communication skills
* Team player, motivated to achieve program goals
* Able to multitask and work in a fast paced environment (50% time at desk)
* Familiar with manufacturing environment including project management, customer interaction, with a focus on continuous improvement
**PREFERRED QUALIFICATIONS:**
* Degree specifically in Mechanical or Manufacturing Engineering
* Experience with MRP/ERP software
* Ability to perform complex tasks with creativity and adaptability
 This position must meet export control compliance requirements. All applicants must be “U.S. persons” within the meaning of ITAR, as defined: a U.S. Citizen, a lawful permanent resident, political asylee, or refugee.
 Interested parties please apply online and submit resume to https://jobs.marvingroup.com/
 Visit us at https://http://marvingroup.com/
 The Marvin Group is an EEO/Disability/Vets Employer.
 Our company uses E\-Verify to confirm the employment eligibility of all newly hired employees. To learn more about E\-Verify, including your rights and responsibilities, please visit www.dhs.gov/E\-Verify.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People \&amp; Culture at 310\.674\.5030\.
**Nearest Major Market:** 
 Los Angeles</t>
        </is>
      </c>
    </row>
    <row r="113">
      <c r="A113" t="inlineStr">
        <is>
          <t>li-4371485970</t>
        </is>
      </c>
      <c r="B113" t="inlineStr">
        <is>
          <t>Principal. Tech Product Manager - Neuron Runtime and Cloud ML Infrastructure, Annapurna Labs</t>
        </is>
      </c>
      <c r="C113" t="inlineStr">
        <is>
          <t>Amazon Web Services (AWS)</t>
        </is>
      </c>
      <c r="D113" t="inlineStr">
        <is>
          <t>linkedin</t>
        </is>
      </c>
      <c r="E113" t="inlineStr"/>
      <c r="F113" t="inlineStr"/>
      <c r="G113" t="inlineStr">
        <is>
          <t>Seattle, WA</t>
        </is>
      </c>
      <c r="H113" t="inlineStr"/>
      <c r="I113" t="inlineStr">
        <is>
          <t>**Description**
 AWS Trainium is deployed at scale, with millions of chips in production, and has been used for training and inference of frontier models. AWS Neuron is the software stack for Trainium, enabling customers to run deep learning and generative AI workloads with optimal performance and cost efficiency.
 AWS Neuron is hiring a Technical Product Manager to work backward from Trainium customers and drive the developer experience for running high\-performance ML workloads at scale on AWS Trainium, from getting started with Neuron Deep Learning Containers, AMIs, and AWS services to operating at scale through orchestration, resiliency, and observability.
 You will drive the product strategy for how developers interact with Trainium through container ecosystems, resource management platforms, and AWS services. This includes Neuron integration with orchestration tools (SLURM, Kubernetes), AWS services (EKS, SageMaker), Neuron Deep Learning Containers and AMIs, and Linux distribution support. You will also drive the strategy for resiliency and observability tools that enable system diagnostics, performance monitoring, health monitoring, automated recovery, and telemetry, allowing customers to operate AI training and inference workloads with maximum uptime and efficiency, as well as how Neuron Runtime System interacts with ML frameworks to ensure scale and high performance execution of models.
 To be successful in this role, you will partner with engineering teams and PMs responsible for training, inference, and performance tools, Marketing, Business Development, and Solution Architects supporting customers, and develop deep knowledge and understanding of Trainium Architecture and Neuron Runtime System (including Neuron Runtime Library, Neuron Kernel Driver and Collective Communication Stack) to effectively define product strategy and make informed technical decisions.
 The Ideal Candidate
 The ideal candidate can balance competing customer priorities and drive alignment across engineering and business stakeholders in a fast\-moving, early\-stage product environment, with excellent written and verbal communication abilities.
**The Ideal Candidate Has Experience With**
* Technical product management for developer\-facing runtime and infrastructure products
* Developer tools (SDKs, libraries, APIs) with focus on developer experience
* Resource management and orchestration systems (SLURM, Kubernetes schedulers)
* ML monitoring, observability, and resilience
* Distributed systems and high\-performance computing (HPC) environments
* AWS cloud services and infrastructure
**About AWS Neuron**
 AWS Neuron is the software stack for running deep learning and generative AI workloads on AWS Trainium and AWS Inferentia. It includes a compiler, runtime, training and inference libraries, and developer tools for monitoring, profiling, and debugging. Built on an open source foundation, Neuron supports native PyTorch and JAX frameworks and popular ML libraries without code modification. Neuron enables rapid experimentation, distributed training across multiple chips and nodes, and cost\-optimized inference powered by optimized kernels. For performance optimization, Neuron provides the Neuron Kernel Interface (NKI) for direct hardware access and a suite of profiling and debugging tools.
 Key job responsibilities
 Product Strategy \&amp; Vision: Own product strategy and roadmap. Guide trade\-offs between performance, scalability, and developer experience. Write PRFAQs and PRDs.
 Customer Discovery: Understand deployment challenges, orchestration needs, and infrastructure pain points. Represent customer needs in executive prioritization.
 Technical Leadership: Drive alignment across Neuron components (Runtime, Kernel Driver, Collective Communication, container infrastructure) and AWS services. Partner with training, inference, and performance PMs. Write user stories and define success metrics.
 Impact: Enable customers (Anthropic, Databricks, AWS teams) to deploy, monitor, and operate ML workloads at scale through container orchestration, resource management, health monitoring, and observability.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**About Amazon Annapurna Labs**
 Amazon Annapurna Labs team (our organization within AWS UC) is responsible for building innovation in silicon and software for our AWS customers. We are at the forefront of innovation by combining cloud scale with the world's most talented engineers. Our team covers multiple disciplines including silicon engineering, hardware design, software and operations. Because of our teams breadth of talent, we have been able to improve AWS cloud infrastructure in high\-performance machine learning with AWS Neuron, Inferentia and Trainium ML chips, in networking and security with products such as AWS Nitro, Enhanced Network Adapter (ENA), and Elastic Fabric Adapter (EFA), and in computing with AWS Graviton and F1 EC2 instances.
**About AWS Utility Computing (UC)**
 AWS Utility Computing (UC) provides product innovations that continue to set AWS's services and features apart in the industry. As a member of the UC organization, you'll support the development and management of Compute, Database, Storage, Platform, and Productivity Apps services in AWS, including support for customers who require specialized security solutions for their cloud services. Additionally, this role may involve exposure to and experience with Amazon's growing suite of generative AI services and other cloud computing offerings across the AWS portfolio.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**Basic Qualifications**
* Bachelor's degree
* Experience owning/driving roadmap strategy and definition
* Experience with feature delivery and tradeoffs of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\- 206,900\.00 \- 279,900\.00 USD annually
 USA, WA, Seattle \- 179,900\.00 \- 243,400\.00 USD annually
**Company** 
 \- Annapurna Labs (U.S.) Inc.
 Job ID: A3178903</t>
        </is>
      </c>
    </row>
    <row r="114">
      <c r="A114" t="inlineStr">
        <is>
          <t>li-4371601226</t>
        </is>
      </c>
      <c r="B114" t="inlineStr">
        <is>
          <t>Senior Technical Program Manager - Legal Technologies, Legal Technology</t>
        </is>
      </c>
      <c r="C114" t="inlineStr">
        <is>
          <t>Amazon</t>
        </is>
      </c>
      <c r="D114" t="inlineStr">
        <is>
          <t>linkedin</t>
        </is>
      </c>
      <c r="E114" t="inlineStr"/>
      <c r="F114" t="inlineStr"/>
      <c r="G114" t="inlineStr">
        <is>
          <t>Seattle, WA</t>
        </is>
      </c>
      <c r="H114" t="inlineStr"/>
      <c r="I114" t="inlineStr">
        <is>
          <t>**Description**
 Are you interested in a challenge that will reward your unique blend of business and technical program management skills? Are you excited by the opportunity to be central in addressing significant business\-impacting processes? Do you enjoy the challenge and ownership that comes from delivering large, cross\-functional, technical projects? Are you flexible, hard\-working, organized and a good communicator? As a Senior Technical Program Manager (TPM) for Legal Technology, you will have the opportunity to play a pivotal role in the processes that deliver the software systems used by Amazon Legal and our business partners worldwide.
 In this role, you will own and drive Legal technology related programs and projects. You will be primarily responsible for helping gather business requirements, writing user stories, and validating that customer requirements are met. You will work with software development engineers to provide tools and services that will improve the productivity of users in our Legal department and the business teams they work with. You will collaborate with software development managers to plan and execute software projects from start to finish working with teams in the agile software model. This role allows for a high degree of organization, strong communication, ownership of the solutions you launch, and the ability to make positive change every day.
**Responsibilities**
* Builds internal customer \&amp; stakeholders relationships to manage expectations and agree on clear goals, objectives, and timelines
* Builds and track project portfolio, features, milestones, \&amp; dependencies
* Identifies risks and act on them to ensure the team and project are not derailed
* Provides frequent meaningful updates to stakeholders and management
* Works with Software Development Managers to translate department requirements into a clear software roadmap
* Works closely with peer engineering teams to remove blockers and resolve technical issues
* Coordinates and ensures timely support of our customers adopting our new solutions
**Basic Qualifications**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
**Company** 
 \- Amazon.com Services LLC
 Job ID: A3179009</t>
        </is>
      </c>
    </row>
    <row r="115">
      <c r="A115" t="inlineStr">
        <is>
          <t>li-4371145887</t>
        </is>
      </c>
      <c r="B115" t="inlineStr">
        <is>
          <t>Mental Health Program Manager (MHPD) * Up to $5000 sign on bonus *</t>
        </is>
      </c>
      <c r="C115" t="inlineStr">
        <is>
          <t>Dungarvin</t>
        </is>
      </c>
      <c r="D115" t="inlineStr">
        <is>
          <t>linkedin</t>
        </is>
      </c>
      <c r="E115" t="inlineStr"/>
      <c r="F115" t="inlineStr"/>
      <c r="G115" t="inlineStr">
        <is>
          <t>Prior Lake, MN</t>
        </is>
      </c>
      <c r="H115" t="inlineStr"/>
      <c r="I115" t="inlineStr">
        <is>
          <t>At Dungarvin, we are more than a provider of support services—we’re a mission\-driven team rooted in respect, response and choice. Since 1976, we’ve been dedicated to meeting people where they are, working alongside them to provide person centered supports that allow people to live independently as possible. You’ll work directly with people in need of assistance, and/or living with intellectual or developmental disabilities, or other complex medical needs.
 With services in 15 states, our team is united by a shared commitment to making a real difference—one person, one voice, one choice at a time. We encourage you to embrace this opportunity to impact someone’s life.
**Job Description**
 In this exciting role you are responsible for the coordination and supervising one to two residential programs that specialize in supporting individuals with challenging behavioral and mental health needs. As a Mental Health Program Director your two key priorities include supervising and training of mental health specialists and ensuring all aspects of the program are developed, implemented, coordinated, and monitored to the highest degree possible.
**Hours Worked:**
 Full\-time organizational position (may be part\-time within any given home). The MHPD's schedule must be flexible to accommodate various program, individuals, and staff needs.
 The MHPD is always on\-call, unless prior arrangements have been made for someone of comparable authority to receive emergency calls.
 MHPD’s are expected to ensure all direct service shifts in their programs are filled by staff who have met Dungarvin conditions of employment and have been adequately oriented and trained to perform their jobs. Occasionally, MHPD’s will find it necessary to work direct service shifts, but such work should normally not exceed 16 hours per week. If a MHPD finds it is necessary to work more than 16 hours of direct service in any work week, he/she must notify his/her supervisor in advance, in accordance with Dungarvin Policy A\-02: WAGE AND SALARY DETERMINATION. If notification cannot be made in advance the MHPD is expected to notify his/her supervisor as soon as possible.
 If schedule adjustment is necessary, arrangements should be made with the director.
 Starting Salary $65,000\.00 \- $66,787\.50 annually \*Listed salary range is based on experience level and may vary depending on an individuals skills and qualifications.
**Qualifications**
* 3 years of experience supervising programs that oversee services for people with behavioral and serious persistent mental health needs.
* A four\-year degree in behavioral science, or related field, preferred.
* Valid driver's license with acceptable driving record
* Current auto liability insurance with reliable transportation
* Valid driver license with an acceptable driving record
* Designated Manager status per 245D licensing
**Additional Information**
**You will receive:**
* **$5,000, retention bonus**
* Medical, Vision and Dental Insurance for full\-time employees
* Supplemental Insurance
* Flex Spending and HSA Accounts for full\-time employees
* Pet Insurance
* Life Insurance for full\-time employees
* 401 K plan with up to 3% employer match based on eligibility requirements
* PAID TIME OFF (PTO) for eligible employees
* PTO Donation
* Growth and Development Opportunities
* Employee Referral Program
* Employee Assistance Program
* National Brand Discounts
* Pay Active – access up to 50% of your pay before payday
* PAID training and orientation
 All your information will be kept confidential according to EEO guidelines.
 Equal Opportunity Employer
 \#DMNFLMJ
 2/11</t>
        </is>
      </c>
    </row>
    <row r="116">
      <c r="A116" t="inlineStr">
        <is>
          <t>li-4363435022</t>
        </is>
      </c>
      <c r="B116" t="inlineStr">
        <is>
          <t>Program Manager - Clinical Quality</t>
        </is>
      </c>
      <c r="C116" t="inlineStr">
        <is>
          <t>Lynn Community Health Center</t>
        </is>
      </c>
      <c r="D116" t="inlineStr">
        <is>
          <t>linkedin</t>
        </is>
      </c>
      <c r="E116" t="inlineStr"/>
      <c r="F116" t="inlineStr"/>
      <c r="G116" t="inlineStr">
        <is>
          <t>Lynn, MA</t>
        </is>
      </c>
      <c r="H116" t="inlineStr"/>
      <c r="I116" t="inlineStr">
        <is>
          <t>**Position Summary:** 
 The Program Manager \- Clinical Quality serves as a subject matter expert in clinical quality data and performance. This role bridges analytics and clinical leadership, providing interpretation and actionable insights from health data to inform organizational quality goals. The position resides within the Business Transformation division to ensure alignment with enterprise data strategy and integration with department resources. The PM works closely with the Chief Medical Officer (CMO), clinical leaders, and executive leadership to recommend targets, track accountability, and highlight opportunities for improvement. The CMO and clinical leadership maintain ownership of quality improvement initiatives, while this role enables informed action through reliable, objective, and equity\-focused data insights.
**Duties \&amp; Responsibilities**
* Data Analysis \&amp; Interpretation:
* Analyze, synthesize, and interpret clinical quality data across systems (Epic/OCHIN, DRVS, payer contracts, HRSA, etc.)
* Translate findings into actionable insights and recommendations based on industry standards for executive leadership, chiefs, and team medical directors
* Identify and report on disparities in outcomes, with attention to health equity
* Goal Setting \&amp; Transparency:
* Partner with CMO and clinical chiefs to recommend organizational quality targets
* Provide regular reporting on performance and document the status of recommendations for leadership awareness
* Highlight trends, progress, and barriers in a clear and objective manner to support leadership decision\-making
* Collaboration \&amp; Integration:
* Serve as a bridge between business transformation and clinical operations to ensure data\-informed decision\-making
* Provide data expertise and insight to the Clinical Standards Committee and related/other groups as needed
* Align reporting and analysis with external requirements (e.g., HRSA, payer contracts)
* Subject Matter Expertise:
* Maintain expertise in evidence\-based clinical quality measures, population health standards, and equity frameworks to strengthen data interpretation and support leadership awareness and decision\-making
* Stay current on regulatory and industry standards related to quality measurement and reporting
* Optimize existing and emerging data sources and external resources to maximize insights and advance organizational performance
* Advise on enhancements to internal and external reporting tools and identify opportunities to incorporate industry best practices
* Capacity\-Building \&amp; Communication:
* Develop tools, dashboards, and presentations that make data accessible to diverse audiences
* Mentor and support clinical and operational leaders in understanding and using data for improvement
* Champion a culture of data\-driven accountability and continuous improvement
* Build strong working relationships with executives and clinical leaders to foster trust and alignment around quality insights
**Basic Qualifications**
* Bachelor’s degree in public health, clinical, or related field
* 5\+ years of experience in healthcare quality, performance improvement, or health data analytics
* Experience working directly with clinical teams and interpreting clinical quality data to inform decisions
* Demonstrated ability to translate complex data into clear, actionable insights and manage/track multiple priorities and measures concurrently
* Experience working with diverse, multicultural patient populations and equity\-focused data
* Strong communication and facilitation skills, with ability to engage stakeholders across all levels
* Familiarity with electronic health record systems (Epic preferred) and quality reporting platforms (e.g., DRVS, Azara)
**Desired Qualifications**
* Master’s degree in public health, nursing, health administration, or related field
* Clinical training (RN, NP, PA, MD) or significant experience partnering directly with providers to interpret and apply quality data
* Experience with population health management and health equity\-focused data analysis
* Expertise in developing dashboards, scorecards, or other visualization tools to support decision\-making
* Prior experience supporting quality reporting for federally qualified health centers (FQHCs) or similar healthcare organizations
**Core Responsibilities**
* Respect and maintain patient confidentiality in all aspects of care including use of electronic information.
* Treat all patients in a welcoming and professional manner.
* Demonstrate professionalism by appropriate attire, attendance, attitude, and behavior within the clinical setting.
* Contribute to the team effort by supporting all team members and maintaining an open and positive attitude.
* Welcome new employees and students to the team by assisting with their orientation to the team and mentoring them, as requested.
* Comply with all health center policies and procedures.
**Customer Service**
* Demonstrates an understanding of customer service principles by successfully completing on\-line Customer Service training.
* Utilizes the principles of customer service when interacting with patients/clients, team members and staff from other departments.
* Appropriately handles or seeks support when customer service breakdowns occur.
**Cultural Competence**
* Demonstrates knowledge of culture by successfully completing the on\-line training on Cultural Competence.
* Utilizes an appreciation of and respect for diversity when interacting with patients/clients, team members and staff from other departments.
* Responds appropriately or seeks support when confronted with cultural biases or conflicts.</t>
        </is>
      </c>
    </row>
    <row r="117">
      <c r="A117" t="inlineStr">
        <is>
          <t>li-4371496599</t>
        </is>
      </c>
      <c r="B117" t="inlineStr">
        <is>
          <t>Senior Security Program Manager | Public Sector</t>
        </is>
      </c>
      <c r="C117" t="inlineStr">
        <is>
          <t>Ramp</t>
        </is>
      </c>
      <c r="D117" t="inlineStr">
        <is>
          <t>linkedin</t>
        </is>
      </c>
      <c r="E117" t="inlineStr"/>
      <c r="F117" t="inlineStr"/>
      <c r="G117" t="inlineStr">
        <is>
          <t>New York, United States</t>
        </is>
      </c>
      <c r="H117" t="inlineStr"/>
      <c r="I117"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We are seeking a skilled and detail\-oriented
 **Senior Security Program Manager, Public Sector** 
 to lead and enhance our organization’s adherence to U.S. government cybersecurity risk management frameworks, including but not limited to FedRAMP and GovRAMP. In this role, you will play a key part in guiding compliance strategies for our public sector initiatives, working cross\-functionally to ensure effective security practices and successful authorizations across jurisdictions.
**What You’ll Do**
* Lead all aspects of the compliance lifecycle across multiple public sector frameworks (e.g., FedRAMP, GovRAMP), including risk assessments, continuous monitoring, audits, and authorization management
* Drive complex cross\-functional program management efforts involving teams across security, legal, engineering, infrastructure, and product functions.
* Serve as a subject matter expert on risk management and regulatory compliance for federal, state, and local government environments.
* Develop and maintain comprehensive security documentation aligned with applicable frameworks, including System Security Plans (SSPs), Security Assessment Reports (SARs), POA\&amp;Ms, and data flow diagrams.
* Monitor compliance with control requirements (e.g., NIST 800\-53, GovRAMP Baselines) and coordinate the implementation of technical and procedural safeguards.
* Engage with third\-party assessors (3PAOs or independent assessors), government sponsors, and internal teams to support assessments and audits.
* Lead readiness assessments and support the prioritization of remediation activities across teams.
* Manage timely tracking and closure of vulnerabilities and findings; ensure reporting and documentation obligations are met.
* Provide risk\-informed compliance recommendations that influence infrastructure and product development decisions.
* Collaborate with legal and government affairs teams to ensure compliance with emerging federal and state regulatory requirements.
* Stay informed on evolving threats, compliance trends, and guidance updates across FedRAMP, GovRAMP, NIST, and other frameworks.
**What You Need**
* 5\+ years of experience in information security or compliance, with a focus on government and public sector regulatory frameworks (e.g., FedRAMP, GovRAMP, FISMA, NIST RMF).
* Knowledge of NIST SP 800\-53 and experience mapping controls across frameworks.
* Experience with cloud environments like AWS GovCloud or Azure Government, including implementation of compliant architectures.
* Proven ability to manage large\-scale compliance programs across diverse stakeholder groups.
* Demonstrated success developing and maintaining regulatory documentation and audit evidence.
* Experience leading engagements with internal teams, assessors, and government partners.
* Strong written and verbal communication skills, including translating between technical and executive audiences.
* Excellent organizational skills and the ability to manage multiple initiatives with competing priorities.
* Self\-starter with strong problem\-solving abilities in ambiguous, fast\-moving environments.
**Nice\-to\-Haves**
* Relevant certifications: CISSP, CISA, CRISC, CCAK, CGRC (formerly CAP).
* Experience with automation platforms for GRC and security monitoring (e.g., Wiz, Paramify).
* Familiarity with other public sector compliance programs (CJIS, IRS 1075, DoD IL5, etc.).
* Experience supporting product or infrastructure teams through ATO processes.
* Experience with FedRAMP 20x initiatives.
* Leadership experience or management of small security/GRC teams.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118">
      <c r="A118" t="inlineStr">
        <is>
          <t>li-4363126344</t>
        </is>
      </c>
      <c r="B118" t="inlineStr">
        <is>
          <t>Staff Product Manager, Personalization</t>
        </is>
      </c>
      <c r="C118" t="inlineStr">
        <is>
          <t>Headspace</t>
        </is>
      </c>
      <c r="D118" t="inlineStr">
        <is>
          <t>linkedin</t>
        </is>
      </c>
      <c r="E118">
        <f>HYPERLINK("https://www.linkedin.com/jobs/view/4363126344", "https://www.linkedin.com/jobs/view/4363126344")</f>
        <v/>
      </c>
      <c r="F118" t="inlineStr"/>
      <c r="G118" t="inlineStr"/>
      <c r="H118" t="inlineStr"/>
      <c r="I118" t="inlineStr">
        <is>
          <t>**About the** 
**Staff Product Manager, Personalization** 
**at Headspace:** 
 We are seeking a Staff Product Manager, Personalization to create a relevant product experience that is personalized to major audience segments, maximizing activation, retention, and LTV for specialized demographic audiences and accelerating efficient global market adoption. This role will be pivotal in ensuring Headspace products are culturally, linguistically, and functionally ready for global and demographic expansion, delivering deeply tailored, equitable experiences for all core user groups. At Headspace, product leaders are expected to model experimentation with purpose, share feedback with care, and a deep commitment to the member journey. This role will require strategic leadership, clarity, and curiosity to scale our personalization capabilities for a diverse, global audience.
**What you will do:** 
* **Define and own the personalization strategy for all key segments,** 
 including both geographic and demographic.
* **Manage the Localization (L10N)/Internationalization (I18N) Platform,** 
 ensuring the foundational technology supports global readiness and expansion.
* **Collaborate with Design Research to spearhead efforts in investigating and prioritizing consumer expansion into new locales.**
* **Implement and optimize Explicit/Implicit Language of Preference (LoP)** 
 logic to deliver the right experiences in the right language.
* **Drive Translation Quality Assurance** 
 processes to maintain high\-quality, culturally sensitive product experiences worldwide.
* **Lead Feature Prioritization for New Locales/Specialized Segments,** 
 ensuring feature parity and compliance across all markets and user groups
* **Partner closely** 
 with Core \&amp; Personalization Product, Engineering, Data Science, Content, and Legal teams to ensure the successful execution and adoption of the roadmap.
**What you will bring** 
 :
**Required Skills:** 
* 6\+ years of experience in Product Management with at least 2\+ years of experience in consumer applications.
* Proven track record of defining and launching successful products that scale globally and address diverse user segments.
* Exceptional strategic thinking and analytical skills, capable of translating complex global and demographic requirements into clear product roadmaps and detailed specifications.
* Strong communication and interpersonal skills, with the ability to influence and align stakeholders at all levels, both internally and externally.
**Preferred Skills:** 
* Experience launching personalized content experiences for kids.
* Deep understanding of L10N/I18N (Localization and Internationalization) platforms, workflows, and best practices.
* Hands\-on experience managing products focused on content delivery in multiple languages/locales.
* Experience in the digital health, wellness, or consumer subscription (D2C/B2C) sectors.
* A passion for mindfulness, mental health, and the mission of Headspace.
**Location: We are currently hiring this role in San Francisco (hybrid), Los Angeles (remote), New York City (remote) and Seattle (remote). Candidates must permanently reside in the US full\-time and be based in these cities.** 
 For candidates with a primary residence in the greater SF area, this role will follow our hybrid model. You’ll work 3 days per week from our office, allowing for impactful in\-office collaboration and connection, while enjoying the flexibility of remote work for the rest of the week. Your recruiter will share more details about our hybrid model. 
**Pay \&amp; Benefits** 
 :
 The anticipated new hire base salary range for this full\-time position is
 **$140,400 \- $224,250** 
  \+ equity \+ benefits. 
 Our salary ranges are based on the job, level, and location, and reflect the lowest to highest geographic markets where we are hiring for this role within the United States. Within this range, individual compensation is determined by a candidate’s location as well as a range of factors including but not limited to: unique relevant experience, job\-related skills, and education or training. 
*Your recruiter will provide more details on the specific salary range for your location during the hiring process.* 
 At Headspace, base salary is but one component of our Total Rewards package. We’re proud of our robust package inclusive of: base salary, stock awards, comprehensive healthcare coverage, monthly wellness stipend, retirement savings match, lifetime Headspace membership, generous parental leave, and more. Additional details about our Total Rewards package will be provided during the recruitment process. 
**About Headspace** 
 Headspace exists to provide every person access to lifelong mental health support. We combine evidence\-based content, clinical care, and innovative technology to help millions of members around the world get support that’s effective, personalized, and truly accessible whenever and wherever they need it.
 At Headspace, our values aren’t just what we believe, they’re how we work, grow, and make an impact together. We live them daily:
 **Make the Mission Matter, Iterate to Great, Own the Outcome, and Connect with Courage.** 
 These values shape our decisions, guide our collaborations, and define our culture. They’re our shared commitment to building a more connected, human\-centered team—one that’s redefining how mental health care supports people today and for generations to come.
**Why You’ll Love Working Here:** 
* A mission that matters—with impact you can see and feel
* A culture that’s collaborative, inclusive, and grounded in our values
* The chance to shape what mental health care looks like next
* Competitive pay and benefits that support your whole self
**How we feel about Diversity, Equity, Inclusion and Belonging:**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by filling out***
***this form***
***if you need any assistance completing any forms or to otherwise participate in the application or interview process.***
*Headspace participates in the* 
*E\-Verify Program* 
*.* 
***Privacy Statement***
*All member records are protected according to our
 Privacy Policy
 . Further, while employees of Headspace (formerly Ginger) cannot access Headspace products/services, they will be offered benefits according to the company's benefit plan. To ensure we are adhering to best practice and ethical guidelines in the field of mental health, we take care to avoid dual relationships. A dual relationship occurs when a mental health care provider has a second, significantly different relationship with their client in addition to the traditional client\-therapist relationship—including, for example, a managerial relationship.*
*As such, Headspace requests that individuals who have received coaching or clinical services at Headspace wait until their care with Headspace is complete before applying for a position. If someone with a Headspace account is hired for a position, please note their account will be deactivated and they will not be able to use Headspace services for the duration of their employment.*
*Further, if Headspace cannot find a role that fails to resolve an ethical issue associated with a dual relationship, Headspace may need to take steps to ensure ethical obligations are being adhered to, including a delayed start date or a potential leave of absence. Such steps would be taken to protect both the former member, as well as any relevant individuals from their care team, from impairment, risk of exploitation, or harm.*
 For how how we will use the personal information you provide as part of the application process, please see: https://www.headspace.com/applicant\-notice</t>
        </is>
      </c>
    </row>
    <row r="119">
      <c r="A119" t="inlineStr">
        <is>
          <t>li-4371169848</t>
        </is>
      </c>
      <c r="B119" t="inlineStr">
        <is>
          <t>Sr. Product Manager</t>
        </is>
      </c>
      <c r="C119" t="inlineStr">
        <is>
          <t>Allego</t>
        </is>
      </c>
      <c r="D119" t="inlineStr">
        <is>
          <t>linkedin</t>
        </is>
      </c>
      <c r="E119">
        <f>HYPERLINK("https://www.linkedin.com/jobs/view/4371169848", "https://www.linkedin.com/jobs/view/4371169848")</f>
        <v/>
      </c>
      <c r="F119" t="inlineStr"/>
      <c r="G119" t="inlineStr">
        <is>
          <t>New York, NY</t>
        </is>
      </c>
      <c r="H119" t="inlineStr"/>
      <c r="I119" t="inlineStr">
        <is>
          <t>**Why Allego?**
 Allego is a high growth SaaS company headquartered in the greater Boston area and a leader in modern revenue enablement. Our platform is purpose built to help revenue teams learn, practice, share, and apply knowledge more effectively, ensuring they are prepared to perform in every customer interaction. By combining learning, content, and performance enablement into a single integrated experience, Allego drives measurable impact across sales and customer facing organizations.
 With offices in the United Kingdom and Colombia, we are a truly global organization supporting customers across regions and industries. Our distributed team reflects the modern workforce we serve. Customers love Allego not only for the measurable results our platform delivers, but also for the people behind it. They value the partnership, expertise, and commitment our employees bring every day.
 Our growth is matched by our culture. Allego has been recognized by The Boston Business Journal, The Boston Globe, and Inc. Magazine as a Best Place to Work, and we were honored by Selling Power as one of the 50 Best Companies to Sell For in 2024 and 2025\. We are proud to build a platform customers love and a workplace employees love.
**What You'll Do**
 As a Senior Product Manager at Allego, you'll play a key role in shaping and scaling core capabilities within our award\-winning, market\-leading Revenue Enablement Platform. You'll work at the intersection of strategy, customer insight, and execution by turning bold ideas into impactful product experiences that help revenue teams sell smarter, coach better, and win more consistently.
 Partnering closely with product leadership, engineering, design, and go\-to\-market teams, you'll own the evolution of high\-impact product areas from discovery through launch and iteration. Your work will directly influence how sales and marketing teams prepare, engage buyers, and drive measurable revenue outcomes.
**Product Strategy \&amp; Vision**
* Own and evolve the roadmap for key product capabilities, aligning customer needs, business priorities, and Allego's long\-term platform vision
* Lead continuous discovery through customer conversations, usage data, and market research to uncover unmet needs and opportunities
* Balance strategic investments with near\-term value delivery, making thoughtful trade\-offs to maximize impact
* Evaluate emerging AI opportunities and evaluate where they can streamline revenue enablement workflows, informing future roadmap decisions
**Customer \&amp; Market Insight**
* Engage directly with customers and partner with Sales, Customer Success, and Solutions teams to build a deep understanding of revenue team workflows, pain points, and success drivers
* Conduct competitive and market analysis to sharpen differentiation and identify new opportunities within the revenue enablement ecosystem
* Translate qualitative insights and quantitative signals into clear product decisions and priorities
**Execution \&amp; Delivery**
* Collaborate closely with Engineering and UX to design intuitive, scalable, and high\-quality solutions
* Drive end\-to\-end feature delivery, from concept and validation through launch and iteration
* Own backlog prioritization, clearly articulating trade\-offs across customer value, feasibility, and business impact
* Ensure teams are aligned on goals, scope, and success metrics throughout development
**Go\-To\-Market \&amp; Adoption**
* Partner with Product Marketing and Enablement to shape positioning, messaging, and launch readiness
* Support internal teams with product expertise and act as a product evangelist across GTM functions
* Monitor post\-launch performance, adoption, and customer feedback, iterating to improve ROI and outcomes
**Requirements**
**What We're Looking For**
* 5\-7 years of product management experience in B2B SaaS environments
* Experience building products for sales, marketing, enablement, or revenue operations users
* Demonstrated experience delivering AI\-enhanced or data\-driven product features in a SaaS context
* Strong communicator and influencer, comfortable working with executives, customers, and cross\-functional teams
* Proven ability to navigate ambiguity, prioritize effectively, and deliver results in a fast\-paced environment
* Hands\-on experience with Agile development methodologies and modern product practices
**Why Allego**
 At Allego, you'll help define how modern revenue teams learn, coach, and engage buyers at scale. You'll work with passionate teammates, solve meaningful problems, and see the direct impact of your work on customer success and revenue growth.
**Benefits**
 Allego offers a comprehensive and competitive benefits program that enables employees to choose the benefits that best fit their needs and the needs of their families. Full time new hires are eligible for most benefits on the first day of employment:
* Medical/dental/vision
* Unlimited vacation
* Paid parental leave
* Health Reimbursement Account (HRA)
* Flexible Spending Account (FSA)
* 401(k) with matching
* Short \&amp; long term disability, AD\&amp;D, life insurance
* Allego Stock options
* This position is posted as hybrid, however remote candidates may be considered.\*
*****Salary range:***
*$140,000\-$200,000***</t>
        </is>
      </c>
    </row>
    <row r="120">
      <c r="A120" t="inlineStr">
        <is>
          <t>li-4363116963</t>
        </is>
      </c>
      <c r="B120" t="inlineStr">
        <is>
          <t>Product Owner - Machine Learning</t>
        </is>
      </c>
      <c r="C120" t="inlineStr">
        <is>
          <t>Mitek Systems</t>
        </is>
      </c>
      <c r="D120" t="inlineStr">
        <is>
          <t>linkedin</t>
        </is>
      </c>
      <c r="E120">
        <f>HYPERLINK("https://www.linkedin.com/jobs/view/4363116963", "https://www.linkedin.com/jobs/view/4363116963")</f>
        <v/>
      </c>
      <c r="F120" t="inlineStr"/>
      <c r="G120" t="inlineStr"/>
      <c r="H120" t="inlineStr"/>
      <c r="I120" t="inlineStr">
        <is>
          <t>**Mitek** 
**(NASDAQ: MITK)** 
 is a global leader in digital \&amp; biometric identity authentication, fraud prevention, and mobile deposit solutions. Our verified identity platform and advanced image capture solutions are built on the latest advancements in biometric recognition, artificial intelligence, computer vision and machine learning, and trusted by over 7,500 organizations worldwide. We are headquartered in San Diego, California, with operations in the United Kingdom, Spain, France, Mexico, and the Netherlands. Visit us at www.miteksystems.com.
 At Mitek, we believe that teams are more resilient, effective, and innovative when they benefit from a wide range of ideas, lived experiences, and perspectives. The strength of our organization is deeply rooted in the people who power it.
 We know that a workforce reflecting the richness of our communities and customers helps us better serve their needs. These lived experiences influence our decisions, shape our products, services, and help us grow with intention. When it comes to talent, our goal is clear: to discover exceptional individuals and to ensure they discover us. We prioritize drive, skill, experience, and ambition in everything we do for our clients.
**We are Virtual 1st!** 
 Whether you choose to work remotely from your home office or in\-person from one of Mitek’s offices, our practices, processes and tools are designed to enable your success. At Mitek, the Future of Work is about flexibility and preference wherever and whenever we are working.
 We are seeking a Product Owner to drive execution of machine learning based capabilities across biometric authentication and document verification. This role is deeply embedded with machine learning, engineering, and fraud teams, ensuring initiatives are clearly defined, well scoped, and delivered into production with measurable impact.
 **This is a hands\-on delivery role, not a strategy ownership position.**
 The ideal candidate has direct experience building and operating ML driven products in biometric and document environments, understands how these systems behave in production, and is comfortable challenging assumptions, proposing alternatives, and pushing back when needed to ensure outcomes align with fraud risk, customer needs, and operational realities.
**What You Will Do (Essential Responsibilities):**
* ML Feature and Capability Ownership
* Own and manage the backlog for ML\-driven biometric and document verification capabilities
* Translate fraud, identity, and customer requirements into clear and actionable ML work items
* Partner closely with ML engineers and data scientists to refine problem statements into feasible deliverables
* Define acceptance criteria that reflect real world performance, not just offline model metrics
* Embedded ML Team Collaboration
* Serve as the primary product owner for ML and data science teams
* Participate actively in model design discussions, prioritization, and tradeoff analysis
* Challenge scope, timelines, and modeling approaches when misaligned with business or risk objectives
* Propose alternate ideas across data strategy, modeling approaches, workflow design, or deployment patterns
* Production Readiness and Lifecycle Support
* Support model lifecycle activities including training, evaluation, deployment, and retraining
* Ensure monitoring, drift detection, and feedback loops are incorporated into delivery plans
* Help define rollout, experimentation, and rollback guardrails
* Data and Labeling Execution
* Partner with agent operations and data teams on labeling strategy and data quality
* Help define labeling schemas and workflows to support effective model training
* Identify risks related to label noise, bias, or insufficient coverage across geographies and document types
* Fraud and Adversarial Awareness
* Incorporate fraud patterns and adversarial thinking into backlog prioritization
* Ensure features and models are resilient to evolving attack vectors such as spoofs, deepfakes, and injection attacks
* Support layered and defense in depth approaches rather than single model dependency
* Cross Functional Coordination
* Work closely with engineering, fraud, compliance, legal, and customer teams
* Support internal and external conversations where ML behavior or performance needs explanation
* Translate technical constraints into clear delivery expectations for non technical stakeholders
**What You Will Need (Required Knowledege, Skills \&amp; Abilities):**
* Experience
* 3\-5 years of experience in product ownership, product management, or equivalent delivery focused roles
* Demonstrated experience supporting ML based products in production
* Direct experience working with data science and ML engineering teams
* Domain and Technical Fluency
* Strong working knowledge of computer vision and ML fundamentals
* Experience with biometric technologies such as face matching, liveness detection, and spoof prevention
* Experience with document verification, document classification, or document fraud detection
* Hands\-on experience building ML based products in the biometric and document identity space is highly valuable
* Ability to evaluate tradeoffs between different modeling and data approaches without being a data scientist
* Execution and Judgment
* Comfortable pushing back on ML teams when solutions are over engineered, misaligned, or not production ready
* Able to propose alternate approaches grounded in data availability, fraud realities, and delivery constraints
* Strong attention to detail and a bias toward shipping reliable and measurable capabilities
* Communication Skills
* Able to clearly articulate ML concepts, risks, and tradeoffs to non technical stakeholders
* Comfortable supporting customer facing or internal discussions around model behavior and limitations
* Able to document requirements and acceptance criteria with precision
**What Would Be Nice (Preferred Experience):**
* Hands on experience shipping biometric or document based ML solutions into production
* Experience in fraud, identity, or regulated environments such as financial services or fintech
* Familiarity with model monitoring, drift management, and feedback loops
* Experience working with global document types and jurisdictional variation
**What We Offer:**
* Work with a global leader in Digital Identity and Fraud prevention
* Build products that power secure, seamless digital experiences
* High\-impact role in a fast\-growing market
* Excellent working atmosphere and great culture
* 100% remote\-friendly (with optional work from our Barcelona office in Sant Cugat)
* Work with a diverse global team passionate about technology and impact
* Continuous learning and growth opportunities
**We take pride in enabling career growth in an environment of innovation and teamwork.** 
 Our commitment to all Mitekians is to do meaningful work that matters. Our culture is defined by delivering our best to our customers by providing high value solutions and impactful outcomes, by continuously challenging convention, and by caring for each other through collaboration and celebrating our successes. We are committed to creating competitive, equitable compensation \&amp; benefits programs and career development opportunities.
**Benefit offerings** 
 –
*may vary based on geographic location*
 Wellness: Universal, supplemental, and private healthcare plan choices based on country specifics
 Financial future: retirement/pension plan contributions, MTK stock plan participation
 Income protection: life event \&amp; disability coverage
 Paid time off: generous annual leave, company holidays, volunteer time off
 Learning: e\-learning license, tuition reimbursement, hackathons
 Home office setup allowance
**Additional/optional benefits** 
 : pet insurance, identity theft protection, legal assistance
 We sincerely appreciate your interest in Mitek. We know your time is valuable and look forward to the potential of speaking with you further!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1">
      <c r="A121" t="inlineStr">
        <is>
          <t>li-4371612013</t>
        </is>
      </c>
      <c r="B121" t="inlineStr">
        <is>
          <t>Technical Product Owner</t>
        </is>
      </c>
      <c r="C121" t="inlineStr">
        <is>
          <t>The Value Maximizer</t>
        </is>
      </c>
      <c r="D121" t="inlineStr">
        <is>
          <t>linkedin</t>
        </is>
      </c>
      <c r="E121">
        <f>HYPERLINK("https://www.linkedin.com/jobs/view/4371612013", "https://www.linkedin.com/jobs/view/4371612013")</f>
        <v/>
      </c>
      <c r="F121" t="inlineStr"/>
      <c r="G121" t="inlineStr">
        <is>
          <t>South Carolina, United States</t>
        </is>
      </c>
      <c r="H121" t="inlineStr"/>
      <c r="I121" t="inlineStr">
        <is>
          <t>**Role: Technical Product Owner** 
**Location: Fort Mill SC** 
**Experience: 10\+ years** 
**Duration: Full time**
**Job description:\-\-** 
**Below are the requirements for the role:\-**
* Minimum 10 years of experience in data\-driven and systems business analysis roles
* Strong SQL expertise with the ability to analyze complex datasets, perform data profiling, and validate transformations
* Deep understanding of databases, data warehouses, and data lakes, including ETL/ELT flows and data lineage tracking
* Experience analyzing end\-to\-end data pipelines, including upstream/downstream impacts and schema changes
* Hands\-on exposure to APIs (REST/SOAP/JSON/XML) with the ability to interpret request/response structures and derive requirements
* Proven ability to document data mappings, system integrations, functional requirements, BRDs/FRDs, and user stories
* Skilled in requirement elicitation using workshops, interviews, process flows, and data‑analysis techniques
* Experience working with tools like JIRA, Confluence, Postman, Swagger, Visio/Lucidchart, and data modeling tools
* Strong understanding of ETL transformations, joins, subqueries, and window functions
* Ability to investigate data issues, perform root‑cause analysis, and resolve data quality gaps
* Familiarity with AWS/Snowflake or similar cloud data platforms
* Demonstrated experience in analyzing complex system integrations across multiple applications
* Ability to assess and communicate the impact of system and data changes to cross\-functional stakeholders
* Strong BA fundamentals: requirements gathering, story writing, acceptance criteria, change management, sprint practices
* Preferred domain knowledge in Wealth Management, client portfolios, brokers/dealers, trade lifecycle, custodians, and clearing processes</t>
        </is>
      </c>
    </row>
    <row r="122">
      <c r="A122" t="inlineStr">
        <is>
          <t>li-4371178442</t>
        </is>
      </c>
      <c r="B122" t="inlineStr">
        <is>
          <t>Sr. Product Manager</t>
        </is>
      </c>
      <c r="C122" t="inlineStr">
        <is>
          <t>Allego</t>
        </is>
      </c>
      <c r="D122" t="inlineStr">
        <is>
          <t>linkedin</t>
        </is>
      </c>
      <c r="E122">
        <f>HYPERLINK("https://www.linkedin.com/jobs/view/4371178442", "https://www.linkedin.com/jobs/view/4371178442")</f>
        <v/>
      </c>
      <c r="F122" t="inlineStr"/>
      <c r="G122" t="inlineStr">
        <is>
          <t>Washington, DC</t>
        </is>
      </c>
      <c r="H122" t="inlineStr"/>
      <c r="I122" t="inlineStr">
        <is>
          <t>**Why Allego?**
 Allego is a high growth SaaS company headquartered in the greater Boston area and a leader in modern revenue enablement. Our platform is purpose built to help revenue teams learn, practice, share, and apply knowledge more effectively, ensuring they are prepared to perform in every customer interaction. By combining learning, content, and performance enablement into a single integrated experience, Allego drives measurable impact across sales and customer facing organizations.
 With offices in the United Kingdom and Colombia, we are a truly global organization supporting customers across regions and industries. Our distributed team reflects the modern workforce we serve. Customers love Allego not only for the measurable results our platform delivers, but also for the people behind it. They value the partnership, expertise, and commitment our employees bring every day.
 Our growth is matched by our culture. Allego has been recognized by The Boston Business Journal, The Boston Globe, and Inc. Magazine as a Best Place to Work, and we were honored by Selling Power as one of the 50 Best Companies to Sell For in 2024 and 2025\. We are proud to build a platform customers love and a workplace employees love.
**What You'll Do**
 As a Senior Product Manager at Allego, you'll play a key role in shaping and scaling core capabilities within our award\-winning, market\-leading Revenue Enablement Platform. You'll work at the intersection of strategy, customer insight, and execution by turning bold ideas into impactful product experiences that help revenue teams sell smarter, coach better, and win more consistently.
 Partnering closely with product leadership, engineering, design, and go\-to\-market teams, you'll own the evolution of high\-impact product areas from discovery through launch and iteration. Your work will directly influence how sales and marketing teams prepare, engage buyers, and drive measurable revenue outcomes.
**Product Strategy \&amp; Vision**
* Own and evolve the roadmap for key product capabilities, aligning customer needs, business priorities, and Allego's long\-term platform vision
* Lead continuous discovery through customer conversations, usage data, and market research to uncover unmet needs and opportunities
* Balance strategic investments with near\-term value delivery, making thoughtful trade\-offs to maximize impact
* Evaluate emerging AI opportunities and evaluate where they can streamline revenue enablement workflows, informing future roadmap decisions
**Customer \&amp; Market Insight**
* Engage directly with customers and partner with Sales, Customer Success, and Solutions teams to build a deep understanding of revenue team workflows, pain points, and success drivers
* Conduct competitive and market analysis to sharpen differentiation and identify new opportunities within the revenue enablement ecosystem
* Translate qualitative insights and quantitative signals into clear product decisions and priorities
**Execution \&amp; Delivery**
* Collaborate closely with Engineering and UX to design intuitive, scalable, and high\-quality solutions
* Drive end\-to\-end feature delivery, from concept and validation through launch and iteration
* Own backlog prioritization, clearly articulating trade\-offs across customer value, feasibility, and business impact
* Ensure teams are aligned on goals, scope, and success metrics throughout development
**Go\-To\-Market \&amp; Adoption**
* Partner with Product Marketing and Enablement to shape positioning, messaging, and launch readiness
* Support internal teams with product expertise and act as a product evangelist across GTM functions
* Monitor post\-launch performance, adoption, and customer feedback, iterating to improve ROI and outcomes
**Requirements**
**What We're Looking For**
* 5\-7 years of product management experience in B2B SaaS environments
* Experience building products for sales, marketing, enablement, or revenue operations users
* Demonstrated experience delivering AI\-enhanced or data\-driven product features in a SaaS context
* Strong communicator and influencer, comfortable working with executives, customers, and cross\-functional teams
* Proven ability to navigate ambiguity, prioritize effectively, and deliver results in a fast\-paced environment
* Hands\-on experience with Agile development methodologies and modern product practices
**Why Allego**
 At Allego, you'll help define how modern revenue teams learn, coach, and engage buyers at scale. You'll work with passionate teammates, solve meaningful problems, and see the direct impact of your work on customer success and revenue growth.
**Benefits**
 Allego offers a comprehensive and competitive benefits program that enables employees to choose the benefits that best fit their needs and the needs of their families. Full time new hires are eligible for most benefits on the first day of employment:
* Medical/dental/vision
* Unlimited vacation
* Paid parental leave
* Health Reimbursement Account (HRA)
* Flexible Spending Account (FSA)
* 401(k) with matching
* Short \&amp; long term disability, AD\&amp;D, life insurance
* Allego Stock options
* This position is posted as hybrid, however remote candidates may be considered.\*
*****Salary range:***
*$140,000\-$200,000***</t>
        </is>
      </c>
    </row>
    <row r="123">
      <c r="A123" t="inlineStr">
        <is>
          <t>li-4366184790</t>
        </is>
      </c>
      <c r="B123" t="inlineStr">
        <is>
          <t>Global Product Manager</t>
        </is>
      </c>
      <c r="C123" t="inlineStr">
        <is>
          <t>Taco, Inc.</t>
        </is>
      </c>
      <c r="D123" t="inlineStr">
        <is>
          <t>linkedin</t>
        </is>
      </c>
      <c r="E123">
        <f>HYPERLINK("https://www.linkedin.com/jobs/view/4366184790", "https://www.linkedin.com/jobs/view/4366184790")</f>
        <v/>
      </c>
      <c r="F123" t="inlineStr"/>
      <c r="G123" t="inlineStr">
        <is>
          <t>Cranston, RI</t>
        </is>
      </c>
      <c r="H123" t="inlineStr"/>
      <c r="I123" t="inlineStr">
        <is>
          <t>As a family\-owned and operated company, we feel a special obligation to the employees who comprise our Taco family.  We are committed to offering employees access to the tools necessary to live long and productive lives. We strive to instill in all of our employees:
* A positive mental attitude that helps us to be a leader in the industry
* A commitment to building strong relationships, both inside and outside the organization
* A desire to learn, grow, and contribute to moving our strategy forward
* A need to create and to innovate
**Employment Type:** 
 Regular Full\-Time
**Shift:** 
 1st Shift
**Work Status:** 
 Hybrid
**Position Summary** 
 The
 Global
 Product Manager translates top\-level business strategy into actionable product strategy to achieve corporate sales, margin, and financial goals
 for a specific portfolio of products
 sold
 across multiple global markets
 .
 They manage
 the execution of all processes in the product lifecycle from concept to end\-of\-life, including market research, competitor analysis, planning, positioning, requirements, roadmap development, and product launch.
 They assess proposed product additions and enhancements, evaluating their fit, functionality, technical complexity, and viability within the existing product portfolio
 and company capabilities
 . By integrating channel and industry insights into the product development process, they create a product portfolio that meets
 identified
 market needs. Additionally, the Product Manager
 is responsible for
 developing and
 maintaining
 a dynamic 5\-year product roadmap, incorporating data from lifecycle evaluations of existing product lines.
 Measures of success:
* Maintain and deliver portfolio and product roadmap updates to stakeholders on a regularly scheduled basis.
* Facilitate
 timely
 , high quality product portfolio decisions in a collaborative and cross functional environment.
* I
 dentify
 , gain buy\-in
 for
 ,
 and
 execute
 cross\-functional
 product line initiatives
 to m
 eet or exceed revenue, profit, free cash flow, and wallet share targets
 .
* M
 eet pre\-determined deadlines to support product portfolio reviews and new product development teams
 .
* Effective co
 llaborat
 ion
 with international teams
 .
**Responsibilities** 
 Responsibilities include but are not limited to:
* Develop and
 maintain
 a comprehensive
 global
 product vision and strategy considering the entire product lifecycle
 .
* Oversee product development processes from
 inception
 to post\-launch, coordinating with sales, engineering, production, marketing, and other key stakeholders to ensure product success.
* Develop a deep understanding of
 global
 market size, trends, needs, pricing, and opportunities for assigned products and prepare strategic recommendations.
* Research,
 monitor
 , and evaluate competitive information,
 maintaining
 competitor tracking and information systems.
* Ensure compliance with regional and
 inter
 national codes
 and standards.
* Create and
 maintain
 product strategy documents detailing business cases, high\-level use cases, product requirements, revenue, and
 return on investment
 (
 ROI
 ). T
 ranslate
 into
 up to date 5\-year product roadmaps and s
 ecure internal approval
 for investments
 .
* Write Product Requirements and Market Requirements documents.
* Monitor sales and margin performance of new and existing products.
* Participate in monthly and annual unit, revenue, and profit forecasts for responsible product lines. Support sales and operations planning (S
 \&amp;
 OP).
 Determine
 product pricing strategies and recommend price adjustments to meet or exceed profitability targets.
* Coordinate and
 participate
 in voice of customer (VOC) interviews, beta tests, and field trials.
* Support the evaluation of existing and potential external vendors and
 identify
 new and existing product partnerships.
* Provide product and application
 expertise
 to enhance sales, advertising, public relations, and related activities.
* Participate in
 inter
 national and regional exhibitions as
 required
 .
* Assist
 sales personnel with product
 and technical
 document creation.
* Establish and support top\-level training for customers, manufacturer’s representatives, and internal teams covering new products and modifications.
* Evaluate warranty data
 ,
 p
 articipate
 in high\-level field troubleshooting analysis,
 and coordinate action plans for continuous product quality improvements.
* Participate in long\-range division planning and
 goal setting
 .
* Manage personal budget, including travel, education, and organizational memberships.
* Perform other related duties as
 required
 or directed.
**Qualifications** 
 Required:
* Bachelor’s degree in Marketing, Engineering or related field
* 5
 \+
 years of experience with
 progressive responsibility for sales, product
 management, product manufacturing, systems application
 ,
 or business development
 preferably in the HVAC or plumbing industry
* Experience collaborating with global teams across multiple continents, especially in North America, Latin America, Europe, the Middle East, and the Asia\-Pacific (APAC).
* Proficiency with Microsoft Office (Outlook, Word, Excel, etc.)
* Self\-directed, good communication skills
* Travel both domestically and internationally as needed up to 20% of the time to trade shows, sales reps, conferences, and product related job site visits, etc.
 Preferred:
* Master’s degree in Business Administration
* Project Management Professional (PMP) certification
* Experience with Epicor ERP (Enterprise Resource Planning), PowerBI, PDTrak and JIRA
**Work Environment:** 
 This position works primarily in an office environment using computers and technology.  Verbal and auditory capability are required.  Occasional exposure in production plant where large equipment and noise are prevalent.  Safety gear is required in these areas.
 This position may work from home up to 2X/week if performance is in good standing. 
**Management:** 
 This position has no direct reports.
**Benefits** 
 With nearly 1,000 people working at Taco worldwide, each with their own story, you will discover a sense of community and diverse, intelligent colleagues who help us innovate, create and explore.
 Taco employees benefit from a company that:
* Provides competitive salaries and benefits
* Offers tuition reimbursement, career development, and on\-site training programs in our learning center
* Believes in sharing profits with its employees
* Is mindful about family, health and well\-being
* Fosters conditions that allow people and communities to reach their full potential
* Embraces and celebrates diversity
 \#TacoComfortSolutions</t>
        </is>
      </c>
    </row>
    <row r="124">
      <c r="A124" t="inlineStr">
        <is>
          <t>li-4371183285</t>
        </is>
      </c>
      <c r="B124" t="inlineStr">
        <is>
          <t>Sr. Product Manager</t>
        </is>
      </c>
      <c r="C124" t="inlineStr">
        <is>
          <t>Allego</t>
        </is>
      </c>
      <c r="D124" t="inlineStr">
        <is>
          <t>linkedin</t>
        </is>
      </c>
      <c r="E124">
        <f>HYPERLINK("https://www.linkedin.com/jobs/view/4371183285", "https://www.linkedin.com/jobs/view/4371183285")</f>
        <v/>
      </c>
      <c r="F124" t="inlineStr"/>
      <c r="G124" t="inlineStr">
        <is>
          <t>Atlanta, GA</t>
        </is>
      </c>
      <c r="H124" t="inlineStr"/>
      <c r="I124" t="inlineStr">
        <is>
          <t>**Why Allego?**
 Allego is a high growth SaaS company headquartered in the greater Boston area and a leader in modern revenue enablement. Our platform is purpose built to help revenue teams learn, practice, share, and apply knowledge more effectively, ensuring they are prepared to perform in every customer interaction. By combining learning, content, and performance enablement into a single integrated experience, Allego drives measurable impact across sales and customer facing organizations.
 With offices in the United Kingdom and Colombia, we are a truly global organization supporting customers across regions and industries. Our distributed team reflects the modern workforce we serve. Customers love Allego not only for the measurable results our platform delivers, but also for the people behind it. They value the partnership, expertise, and commitment our employees bring every day.
 Our growth is matched by our culture. Allego has been recognized by The Boston Business Journal, The Boston Globe, and Inc. Magazine as a Best Place to Work, and we were honored by Selling Power as one of the 50 Best Companies to Sell For in 2024 and 2025\. We are proud to build a platform customers love and a workplace employees love.
**What You'll Do**
 As a Senior Product Manager at Allego, you'll play a key role in shaping and scaling core capabilities within our award\-winning, market\-leading Revenue Enablement Platform. You'll work at the intersection of strategy, customer insight, and execution by turning bold ideas into impactful product experiences that help revenue teams sell smarter, coach better, and win more consistently.
 Partnering closely with product leadership, engineering, design, and go\-to\-market teams, you'll own the evolution of high\-impact product areas from discovery through launch and iteration. Your work will directly influence how sales and marketing teams prepare, engage buyers, and drive measurable revenue outcomes.
**Product Strategy \&amp; Vision**
* Own and evolve the roadmap for key product capabilities, aligning customer needs, business priorities, and Allego's long\-term platform vision
* Lead continuous discovery through customer conversations, usage data, and market research to uncover unmet needs and opportunities
* Balance strategic investments with near\-term value delivery, making thoughtful trade\-offs to maximize impact
* Evaluate emerging AI opportunities and evaluate where they can streamline revenue enablement workflows, informing future roadmap decisions
**Customer \&amp; Market Insight**
* Engage directly with customers and partner with Sales, Customer Success, and Solutions teams to build a deep understanding of revenue team workflows, pain points, and success drivers
* Conduct competitive and market analysis to sharpen differentiation and identify new opportunities within the revenue enablement ecosystem
* Translate qualitative insights and quantitative signals into clear product decisions and priorities
**Execution \&amp; Delivery**
* Collaborate closely with Engineering and UX to design intuitive, scalable, and high\-quality solutions
* Drive end\-to\-end feature delivery, from concept and validation through launch and iteration
* Own backlog prioritization, clearly articulating trade\-offs across customer value, feasibility, and business impact
* Ensure teams are aligned on goals, scope, and success metrics throughout development
**Go\-To\-Market \&amp; Adoption**
* Partner with Product Marketing and Enablement to shape positioning, messaging, and launch readiness
* Support internal teams with product expertise and act as a product evangelist across GTM functions
* Monitor post\-launch performance, adoption, and customer feedback, iterating to improve ROI and outcomes
**Requirements**
**What We're Looking For**
* 5\-7 years of product management experience in B2B SaaS environments
* Experience building products for sales, marketing, enablement, or revenue operations users
* Demonstrated experience delivering AI\-enhanced or data\-driven product features in a SaaS context
* Strong communicator and influencer, comfortable working with executives, customers, and cross\-functional teams
* Proven ability to navigate ambiguity, prioritize effectively, and deliver results in a fast\-paced environment
* Hands\-on experience with Agile development methodologies and modern product practices
**Why Allego**
 At Allego, you'll help define how modern revenue teams learn, coach, and engage buyers at scale. You'll work with passionate teammates, solve meaningful problems, and see the direct impact of your work on customer success and revenue growth.
**Benefits**
 Allego offers a comprehensive and competitive benefits program that enables employees to choose the benefits that best fit their needs and the needs of their families. Full time new hires are eligible for most benefits on the first day of employment:
* Medical/dental/vision
* Unlimited vacation
* Paid parental leave
* Health Reimbursement Account (HRA)
* Flexible Spending Account (FSA)
* 401(k) with matching
* Short \&amp; long term disability, AD\&amp;D, life insurance
* Allego Stock options
* This position is posted as hybrid, however remote candidates may be considered.\*
*****Salary range:***
*$140,000\-$200,000***</t>
        </is>
      </c>
    </row>
    <row r="125">
      <c r="A125" t="inlineStr">
        <is>
          <t>li-4199414033</t>
        </is>
      </c>
      <c r="B125" t="inlineStr">
        <is>
          <t>Product Manager</t>
        </is>
      </c>
      <c r="C125" t="inlineStr">
        <is>
          <t>Meta</t>
        </is>
      </c>
      <c r="D125" t="inlineStr">
        <is>
          <t>linkedin</t>
        </is>
      </c>
      <c r="E125">
        <f>HYPERLINK("https://www.linkedin.com/jobs/view/4199414033", "https://www.linkedin.com/jobs/view/4199414033")</f>
        <v/>
      </c>
      <c r="F125" t="inlineStr"/>
      <c r="G125" t="inlineStr">
        <is>
          <t>Menlo Park, CA</t>
        </is>
      </c>
      <c r="H125" t="inlineStr"/>
      <c r="I125" t="inlineStr">
        <is>
          <t>Meta Product Managers work with cross\-functional teams of engineers, designers, data scientists and researchers to build products. We are looking for Product Managers who value moving quickly.
 Product Manager Responsibilities:
* Be responsible for driving one or more projects within a product area. Define success metrics, prioritize product problems and identify the best solutions to achieve the overall goals
* Work with the cross\-functional team to develop a roadmap, drive progress against milestones and resolve blockers, whilst maintaining team health
* Gather and analyze user research, product insights and market analysis to inform product decisions
* Coordinate effectively across all functions relevant to your product area, aligning and influencing roadmaps where appropriate
* Communicate clearly upwards and sideways on product plans and progress
 Minimum Qualifications:
* 3\+ years product management or related industry experience
* Bachelor's degree (or relevant degree equivalent): STEM subject ideal but not essential (Computer Science, Engineering, Information Systems, Analytics, Mathematics, Physics, Applied Sciences)
* Experience working with a cross\-functional product team on key product projects: Crafting product mission and strategy, defining product requirements, and driving the team to achieve key milestones and goals
* Proven experience to have an impact on the product outcomes and improve the effectiveness of a product team
* Extensive understanding to analyze data and deploy it to make the right decisions for a product
* Experience using a mixture of approaches to understand requirements from users and identifying the appropriate product solution
* Experience leading and motivating a product team
* Clear and concise communication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6">
      <c r="A126" t="inlineStr">
        <is>
          <t>li-4359264890</t>
        </is>
      </c>
      <c r="B126" t="inlineStr">
        <is>
          <t>Sr. Product Manager</t>
        </is>
      </c>
      <c r="C126" t="inlineStr">
        <is>
          <t>Allego</t>
        </is>
      </c>
      <c r="D126" t="inlineStr">
        <is>
          <t>linkedin</t>
        </is>
      </c>
      <c r="E126">
        <f>HYPERLINK("https://www.linkedin.com/jobs/view/4359264890", "https://www.linkedin.com/jobs/view/4359264890")</f>
        <v/>
      </c>
      <c r="F126" t="inlineStr"/>
      <c r="G126" t="inlineStr">
        <is>
          <t>Waltham, MA</t>
        </is>
      </c>
      <c r="H126" t="inlineStr"/>
      <c r="I126" t="inlineStr">
        <is>
          <t>**Why Allego?**
 Allego is a high growth SaaS company headquartered in the greater Boston area and a leader in modern revenue enablement. Our platform is purpose built to help revenue teams learn, practice, share, and apply knowledge more effectively, ensuring they are prepared to perform in every customer interaction. By combining learning, content, and performance enablement into a single integrated experience, Allego drives measurable impact across sales and customer facing organizations.
 With offices in the United Kingdom and Colombia, we are a truly global organization supporting customers across regions and industries. Our distributed team reflects the modern workforce we serve. Customers love Allego not only for the measurable results our platform delivers, but also for the people behind it. They value the partnership, expertise, and commitment our employees bring every day.
 Our growth is matched by our culture. Allego has been recognized by The Boston Business Journal, The Boston Globe, and Inc. Magazine as a Best Place to Work, and we were honored by Selling Power as one of the 50 Best Companies to Sell For in 2024 and 2025\. We are proud to build a platform customers love and a workplace employees love.
**What You'll Do**
 As a Senior Product Manager at Allego, you'll play a key role in shaping and scaling core capabilities within our award\-winning, market\-leading Revenue Enablement Platform. You'll work at the intersection of strategy, customer insight, and execution by turning bold ideas into impactful product experiences that help revenue teams sell smarter, coach better, and win more consistently.
 Partnering closely with product leadership, engineering, design, and go\-to\-market teams, you'll own the evolution of high\-impact product areas from discovery through launch and iteration. Your work will directly influence how sales and marketing teams prepare, engage buyers, and drive measurable revenue outcomes.
**Product Strategy \&amp; Vision**
* Own and evolve the roadmap for key product capabilities, aligning customer needs, business priorities, and Allego's long\-term platform vision
* Lead continuous discovery through customer conversations, usage data, and market research to uncover unmet needs and opportunities
* Balance strategic investments with near\-term value delivery, making thoughtful trade\-offs to maximize impact
* Evaluate emerging AI opportunities and evaluate where they can streamline revenue enablement workflows, informing future roadmap decisions
**Customer \&amp; Market Insight**
* Engage directly with customers and partner with Sales, Customer Success, and Solutions teams to build a deep understanding of revenue team workflows, pain points, and success drivers
* Conduct competitive and market analysis to sharpen differentiation and identify new opportunities within the revenue enablement ecosystem
* Translate qualitative insights and quantitative signals into clear product decisions and priorities
**Execution \&amp; Delivery**
* Collaborate closely with Engineering and UX to design intuitive, scalable, and high\-quality solutions
* Drive end\-to\-end feature delivery, from concept and validation through launch and iteration
* Own backlog prioritization, clearly articulating trade\-offs across customer value, feasibility, and business impact
* Ensure teams are aligned on goals, scope, and success metrics throughout development
**Go\-To\-Market \&amp; Adoption**
* Partner with Product Marketing and Enablement to shape positioning, messaging, and launch readiness
* Support internal teams with product expertise and act as a product evangelist across GTM functions
* Monitor post\-launch performance, adoption, and customer feedback, iterating to improve ROI and outcomes
**Requirements**
**What We're Looking For**
* 5\-7 years of product management experience in B2B SaaS environments
* Experience building products for sales, marketing, enablement, or revenue operations users
* Demonstrated experience delivering AI\-enhanced or data\-driven product features in a SaaS context
* Strong communicator and influencer, comfortable working with executives, customers, and cross\-functional teams
* Proven ability to navigate ambiguity, prioritize effectively, and deliver results in a fast\-paced environment
* Hands\-on experience with Agile development methodologies and modern product practices
**Why Allego**
 At Allego, you'll help define how modern revenue teams learn, coach, and engage buyers at scale. You'll work with passionate teammates, solve meaningful problems, and see the direct impact of your work on customer success and revenue growth.
**Benefits**
 Allego offers a comprehensive and competitive benefits program that enables employees to choose the benefits that best fit their needs and the needs of their families. Full time new hires are eligible for most benefits on the first day of employment:
* Medical/dental/vision
* Unlimited vacation
* Paid parental leave
* Health Reimbursement Account (HRA)
* Flexible Spending Account (FSA)
* 401(k) with matching
* Short \&amp; long term disability, AD\&amp;D, life insurance
* Allego Stock options
* This position is posted as hybrid, however remote candidates may be considered.\*
*****Salary range:***
*$140,000\-$200,000***</t>
        </is>
      </c>
    </row>
    <row r="127">
      <c r="A127" t="inlineStr">
        <is>
          <t>li-4371471825</t>
        </is>
      </c>
      <c r="B127" t="inlineStr">
        <is>
          <t>Product Manager</t>
        </is>
      </c>
      <c r="C127" t="inlineStr">
        <is>
          <t>Zaya Care</t>
        </is>
      </c>
      <c r="D127" t="inlineStr">
        <is>
          <t>linkedin</t>
        </is>
      </c>
      <c r="E127">
        <f>HYPERLINK("https://www.linkedin.com/jobs/view/4371471825", "https://www.linkedin.com/jobs/view/4371471825")</f>
        <v/>
      </c>
      <c r="F127" t="inlineStr"/>
      <c r="G127" t="inlineStr"/>
      <c r="H127" t="inlineStr"/>
      <c r="I127" t="inlineStr">
        <is>
          <t>**About Zaya:** 
 Zaya Care is a venture\-backed startup with a mission to establish a new standard of affordable prevention and recovery care, beyond the hospital setting. Zaya champions the voices of small private practices in an industry dominated by large health systems. Through strategic partnerships with insurance carriers and our technology platform, we eliminate the risk and administrative hurdles associated with insurance, enabling entrepreneurial providers to launch and grow successful in\-network practices, ultimately increasing access to affordable healthcare across the US.
**About the role** 
 As a Product Manager at Zaya and an early team member, you’ll play a pivotal role in building foundational products and processes from the ground up. You’ll work closely with leadership and cross\-functional teams (RCM, operations, sales, customer support) to translate company goals and customer needs into a strategic product roadmap. Then, in partnership with engineering, you’ll bring these plans to life.
 At Zaya, our team is action\-oriented, egoless, and highly communicative, with a deep commitment to our mission and our customers. We’re a small team, and each of us plays a significant role. Everything you do will have an impact on the company.
**Responsibilities:** 
**Build the product roadmap** 
* Combine customer insights and data to fuel decisions
* Prioritize initiatives each quarter, aligning with Zaya’s company goals
* Collaborate closely with the engineering team to assess technical feasibility, evaluate trade\-offs, and manage dependencies
**Execute the product roadmap** 
* Project plan and coordinate delivery timelines with the engineering team. Lead all meetings including sprint planning, retro and daily stand ups
* Breakdown the roadmap into manageable, shippable increments to consistently deliver value to customers and advance roadmap goals
* You’ll actively work with designs (Figma), data (Mixpanel / Looker), and research to help the team stay on track and keep momentum.
* Continuously monitor and evaluate product performance post\-release, gathering insights to iterate on features and optimize the user experience.
* You’ll partner closely with Operations to validate concepts before building. Operations will be your R\&amp;D lab.
**Communicate the "Why" \- internally and externally** 
* Become Zaya’s internal product expert
* Coordinate feature rollouts and all associated documentation
* Communicate product updates internally and externally
**About you:** 
* **You have a track record of success:** 
 3–5 years in product management and at least 1 year of experience in revenue cycle management / insurance operations.
* **B2B experience:** 
 You have a strong background in prioritizing feedback from customers across various scales, ensuring their voices are valued while maintaining a focus on a scalable and reusable product.
* **0 to 1:** 
 You have experience building processes and products from scratch and find working at startups rewarding.
* **Bias toward action:** 
 You confidently make decisions on what to prioritize, leveraging qualitative and quantitative inputs to pursue company goals, knowing there will always be trade\-offs.
* **Strong communication skills:** 
 You have the ability to convey complex ideas clearly, both internally to your team and externally to customers.
* **Detail\-oriented:** 
 You love the details and think critically about all the use cases, edge cases, and interdependencies of your work.
* **Maintain a customer\-first perspective:** 
 You seek to understand customer pain points and have experience organizing and conducting customer interviews.
* **You’re not afraid to roll up your sleeves:** 
 You have a bias toward execution and proactively work to unblock yourself. You’re able to dive into the messiest problem and come out with a clear plan forward.
* **(Nice to have) Experience with data integrations and APIs:** 
 You can interpret API documentation effectively and bridge the gap between technical and non\-technical stakeholders.
**Benefits and compensation:** 
* Salary of $125,000\-$145,000, plus equity package
* Medical, Dental and Vision Insurance
* Unlimited PTO and company wide week off during winter holidays
* Opportunity for impact: As an early team member joining during Seed stage, you’ll be an integral player in bringing our vision to life.
**Our values:** 
* **Move with urgency and focus:** 
 We act quickly and prioritize what matters most. Speed is important, but never at the cost of clarity or impact.
* **Own the outcome, start to finish:** 
 You are accountable for delivering results. If something’s off track, raise it early and drive it to resolution.
* **Be the expert in your craft:** 
 Strive to deeply understand your domain. Aim to be the person others turn to for insight, execution, and leadership.
* Work as one aligned team: We collaborate closely, communicate openly, and support each other. Success is shared, not siloed.
* **Feedback fuels excellence:** 
 If something’s unclear, off\-track, or going well \- say it early and with care. We name issues before they fester, assume good intent, and stay open when feedback comes our way. It’s how we grow, improve and build a culture of trust.
* **Build for continuity:** 
 Set up your work so the team can succeed even if you're out. Strong systems don’t rely on one person. They create long\-term clarity, consistency, and impact.
**Equal Opportunity Employment Notice** 
 Zaya Care is an equal opportunity employer and we value diversity at our company. We do not discriminate on the basis of race, religion, color, national origin, gender, sexual orientation, age, marital status, veteran status, or disability status.</t>
        </is>
      </c>
    </row>
    <row r="128">
      <c r="A128" t="inlineStr">
        <is>
          <t>li-4371476913</t>
        </is>
      </c>
      <c r="B128" t="inlineStr">
        <is>
          <t>Product Manager</t>
        </is>
      </c>
      <c r="C128" t="inlineStr">
        <is>
          <t>Axial</t>
        </is>
      </c>
      <c r="D128" t="inlineStr">
        <is>
          <t>linkedin</t>
        </is>
      </c>
      <c r="E128">
        <f>HYPERLINK("https://www.linkedin.com/jobs/view/4371476913", "https://www.linkedin.com/jobs/view/4371476913")</f>
        <v/>
      </c>
      <c r="F128">
        <f>HYPERLINK("https://grnh.se/tl1f2kbe8us&amp;urlHash=L3BA", "https://grnh.se/tl1f2kbe8us&amp;urlHash=L3BA")</f>
        <v/>
      </c>
      <c r="G128" t="inlineStr">
        <is>
          <t>New York, NY</t>
        </is>
      </c>
      <c r="H128" t="inlineStr"/>
      <c r="I128" t="inlineStr">
        <is>
          <t>**Location:** 
 New York City
**In\-office:** 
 3 days per week (Tuesday, Wednesday, Thursday)
**Reports to:** 
 Senior Product Manager
**About Axial**
 Axial is the trusted online M\&amp;A platform connecting buyers and sellers of $5M\-$100M American privately held companies. Trusted by over 4,500 professional acquirers and 3,000 M\&amp;A advisors, we have built a pioneering digital transaction platform that radically improves the speed, confidentiality, and success by which private companies achieve successful exits.
 Axial is a founder\-led, profitable company based in New York City with a hybrid office culture. We’ve been profitable since 2020 and are the category leader in our market. We are long\-term oriented, values\-driven, and focused on building a lasting company committed to member trust, operational excellence, and profitable long\-term growth.
 In 2025, over 12,500 private companies pursued an exit via the platform, leading to over 3,000,000 platform connections, and over $1B in annual transaction volume (Closed Transactions).
**The Role**
 As a Product Manager at Axial, you’ll work closely with a Senior Product Manager and cross\-functional partners to help build, improve, and scale meaningful product experiences.
 This role is designed for someone early in their career who is curious, motivated, and eager to learn how great products are built. You’ll be given real responsibility, trusted to work independently, and supported through close mentorship in an environment built on trust, autonomy, and collaboration.
 If you enjoy digging into ambiguous problems, learning new tools quickly, and thinking deeply about users and data, this role is for you.
**Key Responsibilities**
**Learn the Product, Users, and Market**
* Develop a strong understanding of Axial’s platform, users, and business model.
* Study user behavior through data analysis, user feedback, and competitive research.
* Ramp quickly on new problem spaces through focused, independent learning.
**Product Discovery \&amp; Delivery**
* Help research, shape, and evaluate new product ideas.
* Write clear product requirements, user stories, and acceptance criteria.
* Partner closely with Engineering and Design to deliver high\-quality features.
**Be Data\-Informed**
* Use SQL, analytics tools, dashboards, and AI\-assisted workflows to answer product questions.
* Proactively identify risks, gaps, or unclear assumptions in data, requirements, or proposed solutions.
* Communicate findings clearly and thoughtfully.
**Who We're Looking For**
**Required**
* 0–3 years of experience in product, analytics, consulting, engineering, operations, or a similarly analytical role.
* Strong curiosity and problem\-solving instincts.
* Excellent written and verbal communication skills.
* High attention to detail and pride in quality work.
* Comfort working independently in ambiguous environments.
* Demonstrated work ethic and follow\-through.
* Thoughtful use of modern tools (including AI and data tools), paired with strong judgment, attention to detail, and validation of work.
**Nice to Have**
* Exposure to B2B SaaS, marketplaces, fintech, or finance.
* Experience with SQL, data analysis, or experimentation.
* Interest in M\&amp;A, private markets, or complex workflows.
**Working at Axial**
 We are a small and tight\-knit team (currently 60 employees), and you’ll have the opportunity to have a direct impact on the growth of the company. We have a modern, well\-equipped office in Manhattan on 30th and Park. The atmosphere is collegial, the office is open and inviting, and full of accommodations (kitchen, snacks, coffee, relaxing spaces, games, and an upright piano). We work hard together, but also like to have fun together, and often enjoy company events like trivia, game nights, and our annual Axialite Day.
**At Axial, You Will Also Enjoy**
* Working with a great team of smart, motivated people
* Robust medical, dental, and vision insurance, paid for by Axial at nearly 100%
* 401k program
* Flexible vacation policy
* Paid Parental Leave Policy
* Monthly Health \&amp; Wellness stipend
* Pre\-tax commuter program
**Below are the values we subscribe to as a company**
* **Obsess Over Member Trust** 
 : Your daily choices reflect your awareness that we facilitate vital life\-altering transactions. You take this responsibility seriously and it’s top of mind.
* **Expect and Deliver Excellence** 
 : You demonstrate consistency so that your colleagues feel confident partnering and relying on you. You demonstrate a personal commitment to continuous improvement.
* **Communication Matters** 
 : You are concise and articulate in your communication, external or internal. You listen well and genuinely.
* **Invent and Simplify** 
 : You are open\-minded, looking for great new ideas that can elevate and even transform the member experience. You find novel ways to simplify complex status quos.
* **Be an Owner** 
 : You think about the long\-term effects of your decisions. You invest real time in building relationships with your colleagues.
**Below are the traits we look for and actively cultivate in every Axialite**
* **Humility:** 
 We seek truth, not credit, and learn from anyone.
* **Positivity:** 
 We bring energy, optimism, and belief, even when it is hard.
* **Grit:** 
 We show up, follow through, and push beyond the first draft.
* **Discernment:** 
 We choose wisely, prioritize sharply, and ask better questions.
* **Accountability:** 
 We take full responsibility for our work and results.
 NY Pay Range: $100,000 USD \- $130,000 USD</t>
        </is>
      </c>
    </row>
    <row r="129">
      <c r="A129" t="inlineStr">
        <is>
          <t>li-4371178776</t>
        </is>
      </c>
      <c r="B129" t="inlineStr">
        <is>
          <t>Senior AI Product Manager</t>
        </is>
      </c>
      <c r="C129" t="inlineStr">
        <is>
          <t>Studio Management</t>
        </is>
      </c>
      <c r="D129" t="inlineStr">
        <is>
          <t>linkedin</t>
        </is>
      </c>
      <c r="E129">
        <f>HYPERLINK("https://www.linkedin.com/jobs/view/4371178776", "https://www.linkedin.com/jobs/view/4371178776")</f>
        <v/>
      </c>
      <c r="F129" t="inlineStr"/>
      <c r="G129" t="inlineStr">
        <is>
          <t>New York, NY</t>
        </is>
      </c>
      <c r="H129" t="inlineStr"/>
      <c r="I129" t="inlineStr">
        <is>
          <t>**Company Description** 
 Studio Management operates at the intersection of venture capital, public markets, and venture studios to drive innovation and societal progress. Our team invests in startups during early stages, writes significant checks for emerging companies. At our Venture Studio, we identify unmet societal needs and incubate transformative companies, particularly in the AI, consumer apps, wellness, and productivity sectors.
 This is a full\-time remote opportunity for a Senior AI Product Manager, based in the US.
**Example Initiative w/in our incubator:** 
 Most "second brains" are digital graveyards. We’re on a mission to reinvent how humans, teams, and computers work together by building the next\-gen all\-in\-one workspace built for AI and voice.
* The Task: Build AI systems that ingest massive volumes of structured and unstructured data (images, links, voice, text) and turn them into "reasoning artifacts."
* The UI: This isn't just a chatbot and needs to work across devices. You will design and build intuitive interfaces for users to store, tag, and act on AI recommendations.
* The Goal: Unleveling the workflow so the AI handles the synthesis and the human handles the high\-level judgment.
**Who You Are** 
 You are a Systems Thinker. To you, a "product" isn't just a set of screens. You think about the end\-to\-end flow: how data is ingested, how the AI processes it, and how the UI must adapt to show the user exactly what they need. You can map out a complex multi\-step workflow and then build the code to make it real.
 You are AI\-Native. One\-shot prompting is your baseline, not your ceiling. You are fluent in the new stack—Cursor, Windsurf, Antigravity, Lovable, Replit. You know how to stitch together LLMs, vector databases, and agentic loops to build systems that actually work.
 You have "Product Taste" for Density. You prefer building "power user" interfaces over simplified consumer apps. You understand how to organize massive amounts of information on a single screen without it feeling cluttered.
 You are High\-Agency. There is no map. You have a heavy bias toward visionary execution and product\-led growth. You are comfortable identifying a bottleneck, sketching a solution, and shipping a working prototype in the same day.
**Why this is a unique seat** 
* Impact: You will build the tools that will power early\-stage teams in multiple markets.
* Visibility: Direct exposure to multiple business facets and founder\-level strategy.
* Execution over Process: No "growth hacks," no endless sprint planning. We focus on shipping cognitive leverage at the speed of the latest AI breakthroughs.
**Qualifications** 
* Proven experience in delivering successful software or AI\-driven products to market.
* Highly adept in core product management functions, including roadmap development, prototyping, feature prioritization, and product lifecycle management.
* Strong understanding of LLM's, Eval's, and data\-driven technologies, as well as experience working with data science and engineering teams.
* Experience in customer and market research, gathering feedback, and translating needs into actionable product features.
* Excellent communication, leadership, and collaboration skills to work effectively with cross\-functional teams.
* BS in engineering, computer science, mathematics, or a related field; advanced degrees are a plus.</t>
        </is>
      </c>
    </row>
    <row r="130">
      <c r="A130" t="inlineStr">
        <is>
          <t>li-4371180961</t>
        </is>
      </c>
      <c r="B130" t="inlineStr">
        <is>
          <t>Associate Product Manager I</t>
        </is>
      </c>
      <c r="C130" t="inlineStr">
        <is>
          <t>Hunter Douglas, Inc.</t>
        </is>
      </c>
      <c r="D130" t="inlineStr">
        <is>
          <t>linkedin</t>
        </is>
      </c>
      <c r="E130">
        <f>HYPERLINK("https://www.linkedin.com/jobs/view/4371180961", "https://www.linkedin.com/jobs/view/4371180961")</f>
        <v/>
      </c>
      <c r="F130" t="inlineStr"/>
      <c r="G130" t="inlineStr">
        <is>
          <t>Broomfield, CO</t>
        </is>
      </c>
      <c r="H130" t="inlineStr"/>
      <c r="I130" t="inlineStr">
        <is>
          <t>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*What’s yours?* 
**Position Overview** 
 The Associate Product Manager I plays a vital role in supporting the vision and direction of product lifecycle management at Hunter Douglas. This position is integral to driving product strategy, development, and quality through collaboration with cross\-functional teams. The Associate Product Manager I contributes to organizational success by ensuring product excellence, supporting new product development, and driving continuous improvement initiatives
**What you'll do** 
* Inspire and motivate cross\-functional teams to take action and achieve product goals while recognizing and valuing team contributions.
* Actively participate in meetings, trainings, and summits, gathering data and input from cross\-functional teams to make informed product decisions.
* Demonstrate strong verbal and written communication skills, create visual presentation content, and document requirements clearly for stakeholders.
* Lead small\-scale projects, support larger initiatives, and facilitate meetings using project management tools effectively.
* Participate in the product development process from ideation to implementation, develop product requirements, and support design and validation testing.
* Attend quality\-focused meetings, analyze and prioritize quality issues, and collaborate on continuous improvement projects.
* Understand product features, benefits, and user applications, conduct performance analysis, and support short\- and long\-term product strategies.
* Provide sales analysis related to product margin goals, track progress toward financial goals, and assist in writing AFE business cases.
* Conduct research to understand product trends, consumer needs, and competitive landscape, and develop voice\-of\-customer data to support initiatives.
* Organize and lead meetings to ensure alignment and progress on product\-related initiatives.
* Assist with alpha and beta testing, compile feedback, and analyze testing results to improve product quality.
* Collaborate with cross\-functional teams to identify inefficiencies and implement solutions for enhanced product quality and operational efficiency.
* Conduct detailed analysis of competitors and market trends to guide product positioning and strategy.
* All other duties as assigned
**Who you are** 
* Bachelor’s degree in a related field.
* Two or more years of product management experience.
* Demonstrated project management ability.
* Basic knowledge of SAP and product lifecycle management.
* Strong analytical, communication, and organizational skills.
* Ability to prioritize and manage multiple tasks independently.
* Proficiency in Microsoft Office and other software tools.
* Willingness to travel within the U.S. and internationally.
**What's in it for you** 
* Annual base salary range: $58,000\- $83,000
* Bonus target: 5% \- 10%
* Generous benefits package including medical, dental, vision, life, disability
* A company culture that prioritizes internal development and professional growth
* Time off with pay
* 401(k) plan with a degree of employer matching
* Paid parental leave
* Wellness programs and product discounts
*Please note, all offers presented to candidates are carefully crafted to ensure market competitiveness, equity, and reflect the individual candidate’s education, experience, skills and potential.
 Hunter Douglas is an Equal Opportunity Employer and complies with applicable employment laws. EOE/M/F/Vet/Disabled are encouraged to apply.*
 \[]
 \[]
*By submitting your application below, you are providing your prior consent to receive SMS messages to notify you of any updates to your application status and to engage in discussion throughout your application process. You can cancel the SMS service at any time. Just text “STOP” to any of our texts to unsubscribe. Message \&amp; data rates may apply. Message frequency may vary. If you have any questions regarding privacy, please read our privacy policy, https://www.hunterdouglas.com/privacy\-policy or terms of use https://www.hunterdouglas.com/terms\-of\-use*</t>
        </is>
      </c>
    </row>
    <row r="131">
      <c r="A131" t="inlineStr">
        <is>
          <t>li-4371467066</t>
        </is>
      </c>
      <c r="B131" t="inlineStr">
        <is>
          <t>Product Manager</t>
        </is>
      </c>
      <c r="C131" t="inlineStr">
        <is>
          <t>Baird Consulting Group</t>
        </is>
      </c>
      <c r="D131" t="inlineStr">
        <is>
          <t>linkedin</t>
        </is>
      </c>
      <c r="E131">
        <f>HYPERLINK("https://www.linkedin.com/jobs/view/4371467066", "https://www.linkedin.com/jobs/view/4371467066")</f>
        <v/>
      </c>
      <c r="F131" t="inlineStr"/>
      <c r="G131" t="inlineStr"/>
      <c r="H131" t="inlineStr"/>
      <c r="I131" t="inlineStr">
        <is>
          <t>Here is a clean, well\-formatted version of your job description:
 Product Manager
**Behavioral Health EHR \&amp; Practice Management Platform** 
 We are seeking a highly experienced
 **Product Manager** 
 to join our team and help scale a next\-generation EHR and Practice Management (PM) platform purpose\-built for behavioral health providers.
 This is a pivotal role for a product\-minded operator who thrives on execution, owns outcomes, and knows how to move strategy into production—quickly, cleanly, and with quality in mind.
 Our product team emphasizes excellence in three core areas:
**Product Sense · Execution · Analytical Skills** 
 Key Responsibilities
* Own and drive complex product initiatives across EHR and PM domains, including:
* Clinical workflows
* Billing
* Documentation
* Compliance
* Integrations
* Understand and optimize growth mechanisms, including:
* Retention
* Conversion
* Activation
* Product\-led growth and sales\-led growth
* Operate as a strong individual contributor:
* Write clear, actionable requirements
* Collaborate closely with engineering
* Make data\-informed decisions
* Leverage AI tools where appropriate to:
* Accelerate prototyping
* Structure exploratory work
* Increase throughput without sacrificing quality
* Partner with engineering, design, support, and senior leadership to define and prioritize the roadmap
* Conduct market and user research to validate opportunities and sharpen product direction
* Translate strategy into execution and proactively remove delivery blockers
* Monitor adoption, usage, and customer feedback; iterate based on signals—not assumptions
* Serve as a cross\-functional leader, operating confidently at both strategic and tactical levels
 Qualifications
* 3–5 years of product management experience, ideally in healthcare technology (EHR, PM, RCM, or adjacent systems)
* Demonstrated experience shipping and scaling production\-grade software with measurable customer and business impact
* Strong product judgment and execution discipline, balancing speed with rigor
* Excellent analytical skills:
* Ability to interrogate product usage
* Build models
* Drive decisions from data
* Technically adept and experienced collaborating closely with engineering teams
* Comfortable incorporating AI capabilities to streamline workflows, accelerate ideation, and increase execution leverage
* Proven ability to increase roadmap velocity and bring clarity in ambiguous, fast\-moving environments
* Comfortable engaging with executive leadership and frontline users alike
* Experience in the behavioral or mental health vertical is a significant plus</t>
        </is>
      </c>
    </row>
    <row r="132">
      <c r="A132" t="inlineStr">
        <is>
          <t>li-4371618023</t>
        </is>
      </c>
      <c r="B132" t="inlineStr">
        <is>
          <t>Product Manager, iPad Ordering</t>
        </is>
      </c>
      <c r="C132" t="inlineStr">
        <is>
          <t>Afresh</t>
        </is>
      </c>
      <c r="D132" t="inlineStr">
        <is>
          <t>linkedin</t>
        </is>
      </c>
      <c r="E132">
        <f>HYPERLINK("https://www.linkedin.com/jobs/view/4371618023", "https://www.linkedin.com/jobs/view/4371618023")</f>
        <v/>
      </c>
      <c r="F132">
        <f>HYPERLINK("https://job-boards.greenhouse.io/afresh/jobs/5729499004&amp;urlHash=zZLo", "https://job-boards.greenhouse.io/afresh/jobs/5729499004&amp;urlHash=zZLo")</f>
        <v/>
      </c>
      <c r="G132" t="inlineStr">
        <is>
          <t>San Francisco, CA</t>
        </is>
      </c>
      <c r="H132" t="inlineStr"/>
      <c r="I132" t="inlineStr">
        <is>
          <t>Afresh is the leading AI company in fresh food—partnering with grocers like Albertsons, Wakefern, Meijer, and Stater Bros to order billions of dollars of fresh food in over 12,000 grocery departments nationwide.
 Following record\-breaking 70% growth in 2025, we’ve expanded our platform to cover all fresh departments, launched our full store suite, and debuted DC Fresh Buying.
 We’re on a mission to eliminate food waste and make fresh food accessible to all. In 2025 alone our software helped save 200M lbs of food waste. If you're looking for a role where your work directly translates into massive scale and social good, and you want to be part of the team that defines the future of fresh, there is no better time to join us.
**About The Role**
 As the PM for iPad Store Ordering, you’ll steward our flagship store ordering product, used by tens of thousands of grocery departments nationwide. You’ll own working with our current customers, prioritizing our roadmap, and maximizing the impact of a solution that is already driving 100s of millions of pounds of food waste each year. You'll work closely with product design, machine learning engineers, and mobile and full\-stack engineers to improve the holistic experience. Your ownership, attention to detail, and your obsession with outcomes will lead to both short and long term rewards: every incremental bit of performance you can deliver will directly result in less food waste.
 What You'll Do
* Steward and improve iPad Store Ordering for performance, reliability, and shrink and sales impact.
* Own roadmap and prioritization, balancing customer commitments, tech debt, and new value with pragmatic trade\-offs.
* Partner with Data and ML to monitor and evolve forecasting and ordering policies, adding guardrails to avoid regressions.
* Strengthen adherence and input quality across display controls, overrides, and detection of “gaming.”
* Lead cross\-functional delivery and change management for multi\-chain rollouts.
* Ensure reliability at scale: SLAs, incident response, telemetry, alerting, and on\-call playbooks.
* Maintain customer relationships and translate feedback into priorities. Track accuracy, adoption, adherence, and impact; support GTM on renewals.
**Skills And Experience**
* 2\+ years as a PM shipping customer\-facing software in a fast\-paced environment.
* Proven track record of improving an in\-market product: balance bugs and tech debt with new value, ship incremental, low\-risk rollouts.
* Technical fluency: Understands the basics of web app and mobile architecture, can read an API spec and make calls to it, write basic SQL or experienced with at least 1 programming language.
* Analytical decision\-making: define useful metrics, synthesize qual and quant; A/B tests or phased rollouts a plus.
* Ownership Mindset: incidents, SLAs, alerting, on\-call coordination, and follow\-ups that drive lasting fixes.
* Clear communicator who writes crisp PRDs and change specs and aligns cross\-functional stakeholders.
* Experience with rapidly creating prototypes using generative coding tools.
 We encourage all highly qualified candidates to apply, even if you don’t meet every bullet.
 Salary Band for U.S.
**About Afresh**
 Founded in 2017, Afresh is working on the \#1 solution to curb climate change: reducing food waste. By combining human insight and transformative technology, we're helping grocers provide fresher food to customers at more affordable prices.
 Afresh sits at an incredible intersection of positive social impact, rocket ship financial growth, and cutting\-edge technology. Our best\-in\-class AI research has been published in top journals including ICML, and we've raised over $148 million in funding from investors including former co\-CEO of Whole Foods Market Walter Robb and Eric Schmidt's Innovation Endeavors.
 Fresh is the past, present, and future of our food system – the waste we create today will impact our planet for years to come. Join us as we continue to build a vibrant, diverse, and inclusive team that embodies our company’s values of proactivity, kindness, candor, and humility.
**Afresh provides equal employment opportunities (EEO) to all employees and applicants for employment without regard to race, color, religion, sex, national origin, age, disability, genetics, sexual orientation, gender identity/expression, marital status, pregnancy or related condition, or any other basis protected by law.**
**Here at Afresh, many of our employees work remotely provided that they reside in one of the following states: AL, AR, CA, CO, FL, GA, IL, KY, MA, MI, MT, MO, NV, NJ, NY, NC, OR, PA, TX, WA, UT, VA, WI** 
 .</t>
        </is>
      </c>
    </row>
    <row r="133">
      <c r="A133" t="inlineStr">
        <is>
          <t>li-4371467431</t>
        </is>
      </c>
      <c r="B133" t="inlineStr">
        <is>
          <t>Senior Product Manager</t>
        </is>
      </c>
      <c r="C133" t="inlineStr">
        <is>
          <t>TailorMed</t>
        </is>
      </c>
      <c r="D133" t="inlineStr">
        <is>
          <t>linkedin</t>
        </is>
      </c>
      <c r="E133">
        <f>HYPERLINK("https://www.linkedin.com/jobs/view/4371467431", "https://www.linkedin.com/jobs/view/4371467431")</f>
        <v/>
      </c>
      <c r="F133" t="inlineStr"/>
      <c r="G133" t="inlineStr">
        <is>
          <t>New York, NY</t>
        </is>
      </c>
      <c r="H133" t="inlineStr"/>
      <c r="I133" t="inlineStr">
        <is>
          <t>**Join Us at TailorMed – Transforming Healthcare Affordability**
**Awarded Best in Class in Health Equity 2025**
 At
 **TailorMed** 
 , we’re on a mission to eliminate barriers across the entire medication journey—from affordability to access and adherence. As a pioneering force in healthcare, we’re building a new category that transforms how patients, providers, pharmacies, life sciences, and payers collaborate to ensure every patient receives the treatment they need without delay.
 Our enterprise solution streamlines the full lifecycle of patient support programs, reducing the cost of care and driving better outcomes. With the nation's
 **largest Affordability Network** 
 —deployed across
 **800\+ hospitals, 1,300 clinics, and 650 pharmacies** 
 —we’re reshaping healthcare with innovative automation and industry\-leading partnerships.
 If you’re passionate about making healthcare more accessible and impactful, we’d love to have you on our team.
 **Join us and help redefine what’s possible.** 
 Learn more at tailormed.co.
 As a
 **Senior Product Manager** 
 at TailorMed, you will own product initiatives focused on simplifying and accelerating complex healthcare affordability, access and adherence workflows within our product solutions.
 You will play a pivotal role in shaping and executing our strategy in the complex, high\-impact patient medication journey—connecting providers, pharmacies, patients, and pharma partners.
 This role requires strong domain knowledge in healthcare workflows, deep product craftsmanship, a data\-driven and patient\-first mindset, with the ability to build innovative solutions that reduce friction, improve outcomes, and drive faster therapy starts.
 Responsibilities:
* Own the product strategy and roadmap for a net\-new product area, building capabilities that streamline workflows and improve the medication journey and outcomes.
* Lead zero\-to\-one initiatives that bring automation, intelligence, and operational efficiency into complex healthcare processes.
* Oversee the end\-to\-end product development lifecycle—from discovery and validation through launch and ongoing optimization—using real\-world performance data and user behavior insights.
* Design solutions that address key healthcare workflow challenges, including documentation requirements, clinical data capture, rule variation across stakeholders, submissions, follow\-up workflows, exception handling and communication with patients.
* Own product analytics for your domain, including defining success metrics such as cycle times, drop\-off points, throughput, and workflow efficiency.
* Partner closely with engineering teams to deliver high\-quality product features, write PRDs, translate market needs into clear requirements, and mitigate risks to meet milestones.
* Collaborate cross\-functionally with operations, customer success, and commercial teams to ensure solutions align with real\-world customer workflows, desired patient experience and market dynamics.
* Define and measure end\-to\-end program impact, ensuring product insights directly inform roadmap, prioritization, and strategic investment.
* Own the integration of this product area into TailorMed’s broader product ecosystem, driving cohesion and consistency across platforms.
 Requirements:
* Bachelor’s degree in Computer Science, Engineering, Business, or a related field; MBA or advanced degree preferred.
* 5\+ years of product management experience in healthcare technology, digital health, or enterprise SaaS, including B2B and/or B2B2C products.
* Experience building or supporting complex healthcare workflow products, such as:
* provider\-facing platforms
* utilization or administrative workflow tools
* specialty medication access solutions
* rules\-based automation systems
* enterprise healthcare workflow software
* Strong understanding of the medication access landscape
* Experience using AI to drive product innovation
* Demonstrated strength in product analytics and data\-driven decision\-making, including funnel optimization, experimentation, and outcome measurement.
* Strong multi\-tasker who thrives in a fast\-paced, dynamic start\-up environment in growth mode
* Builder mindset with experience taking products from early discovery through MVP and scaling.
* Strong business orientation, with the ability to connect product strategy to commercial and customer outcomes.
* Excellent communication and stakeholder management skills, with the ability to influence across clinical, operational, and technical teams.
* Experience working in agile development environments, with a strong grasp of modern product methodologies and best practices.
 What We Offer:
* Competitive salary \+ equity
* Premium medical, dental, and vision insurance plans, a wide range of voluntary and supplemental benefits, and 24/7 benefits access and support \- all effective from your first day of work
* 401(k) plan with a 4% employer match
* Paid holidays, vacation, and sick leave
* Six weeks of paid parental leave
* Company\-paid life insurance
* New MacBook, plus all of the equipment and technology you’ll need to be successful in your role
* The opportunity to help shape the future of healthcare
 TailorMed is proud to be an equal opportunity employer. TailorMed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Due to the sensitive nature of the data that TailorMed handles, finalist candidates must complete a successful background and reference check.
 At this time, TailorMed is unable to provide sponsorship for employment. In order to be considered for employment, applicants must be currently legally authorized to work in the United States and not require future sponsorship in order to continue working in the United States.</t>
        </is>
      </c>
    </row>
    <row r="134">
      <c r="A134" t="inlineStr">
        <is>
          <t>li-4363271273</t>
        </is>
      </c>
      <c r="B134" t="inlineStr">
        <is>
          <t>Product Manager</t>
        </is>
      </c>
      <c r="C134" t="inlineStr">
        <is>
          <t>DIGITAL HARBOR, Inc.</t>
        </is>
      </c>
      <c r="D134" t="inlineStr">
        <is>
          <t>linkedin</t>
        </is>
      </c>
      <c r="E134">
        <f>HYPERLINK("https://www.linkedin.com/jobs/view/4363271273", "https://www.linkedin.com/jobs/view/4363271273")</f>
        <v/>
      </c>
      <c r="F134" t="inlineStr"/>
      <c r="G134" t="inlineStr"/>
      <c r="H134" t="inlineStr"/>
      <c r="I134" t="inlineStr">
        <is>
          <t>**About Digital Harbor** 
 Digital Harbor is a
 **leading innovator of SaaS enterprise platforms** 
 , delivering data\-driven, collaborative, and scalable solutions for complex business environments. Our products are used by large organizations to improve decision\-making, operational efficiency, and product outcomes. We operate globally, with teams across the United States, Bolivia, and India, and a strong focus on building modern,
 **high\-impact SaaS products** 
 for the U.S. market.
 We are looking for
 **Product Managers with a strong Business Analysis** 
 foundation who have actively participated in the development and evolution of SaaS products and are ready to take ownership of product outcomes from strategy through execution.
**Job Description** 
 We are seeking experienced
 **Product Managers with solid Business Analysis expertise** 
 to drive the discovery, definition, and delivery of SaaS products. This role requires a professional who can deeply understand business needs, translate them into clear and actionable product requirements, and work closely with cross\-functional teams to deliver measurable business value.
 The ideal candidate combines
 **product mindset, analytical rigor, and hands\-on execution** 
 , ensuring alignment between business objectives, user needs, and technical delivery in an Agile environment.
**Key Responsibilities** 
**Product Ownership \&amp; Strategy** 
* This role owns day\-to\-day product discovery, requirements, and delivery decisions, while partnering closely with Product Leadership on broader portfolio direction and long\-term strategy.
**Business Analysis \&amp; Requirements Definition** 
* Lead requirements gathering and analysis with stakeholders.
* Develop and maintain high\-quality documentation including:
* User stories
* Acceptance criteria
* Functional specifications
* Process flows and business rules
* Business Requirements Documents (BRDs)
* Ensure clarity, feasibility, and alignment of requirements before development begins,
**Discovery, Delivery \&amp; Agile Execution** 
* Collaborate closely with Engineering, Design, QA, and DevOps teams throughout discovery and delivery.
* Actively participate in sprint planning, refinement, reviews, and release activities.
* Adjust priorities and scope based on changing business needs without losing execution momentum.
**Data, Metrics \&amp; Continuous Improvement** 
* Define and track product KPIs to measure adoption, performance, and business outcomes.
* Analyze data to identify trends, risks, and opportunities for product and process improvement.
* Use insights to drive continuous iteration and optimization.
**Stakeholder Collaboration \&amp; Communication** 
* Serve as a key point of contact between business, technical teams, and leadership.
* Clearly communicate product goals, trade\-offs, progress, and risks.
* Align cross\-functional stakeholders around shared outcomes and priorities.
**Qualifications** 
**Education \&amp; Experience** 
* Bachelor’s degree in Information Systems, Computer Science, or a related field, or equivalent practical experience.
* 5\+ years of experience in Product Management, Business Analysis, or closely related roles.
* Proven experience working on
 **SaaS products** 
 in Agile environments.
* Demonstrated background as a Business Analyst or in BA\-heavy product roles.
**Product \&amp; Analytical Skills** 
* Strong ability to break down complex business problems into structured, actionable solutions.
* Deep understanding of requirements analysis, backlog management, and product delivery.
* Experience tying product initiatives to measurable business results.
**Technical \&amp; Collaboration Skills** 
* Comfortable working with technical teams and understanding system\-level implications.
* Experience collaborating with distributed and cross\-functional teams.
* Strong communication skills, able to translate between business and technical contexts.
**Mindset \&amp; Ways of Working** 
* Ownership\-driven, proactive, and accountable for outcomes, not just outputs.
* Comfortable operating in ambiguous, fast\-moving environments.
* Strong product mindset with a balance of strategic thinking and hands\-on execution.
* Customer\- and value\-oriented approach to decision\-making.</t>
        </is>
      </c>
    </row>
    <row r="135">
      <c r="A135" t="inlineStr">
        <is>
          <t>li-4371192484</t>
        </is>
      </c>
      <c r="B135" t="inlineStr">
        <is>
          <t>Product Owner</t>
        </is>
      </c>
      <c r="C135" t="inlineStr">
        <is>
          <t>Wellspring Worldwide</t>
        </is>
      </c>
      <c r="D135" t="inlineStr">
        <is>
          <t>linkedin</t>
        </is>
      </c>
      <c r="E135">
        <f>HYPERLINK("https://www.linkedin.com/jobs/view/4371192484", "https://www.linkedin.com/jobs/view/4371192484")</f>
        <v/>
      </c>
      <c r="F135">
        <f>HYPERLINK("https://ats.rippling.com/wellspring/jobs/8ea55423-e3a1-4432-a322-4372e53dc903?jobSite=LinkedIn&amp;urlHash=jYx7", "https://ats.rippling.com/wellspring/jobs/8ea55423-e3a1-4432-a322-4372e53dc903?jobSite=LinkedIn&amp;urlHash=jYx7")</f>
        <v/>
      </c>
      <c r="G135" t="inlineStr"/>
      <c r="H135" t="inlineStr"/>
      <c r="I135" t="inlineStr">
        <is>
          <t>**About Wellspring**
****Wellspring Worldwide, Inc.****
 is a leading provider of web\-based software systems for managing research, technology commercialization, and innovation operations for universities, companies, government agencies, and independent labs. Founded in 2003, Wellspring has grown to serve over 500 organizations globally, including Fortune 500 companies, SMEs, hospitals, and universities. The company’s flagship products—Sophia, Flintbox, and Zeto—enable organizations to manage the entire innovation lifecycle, from discovery and IP management to commercialization and knowledge transfer.
**Job Summary**
 We are seeking a dynamic Product Owner to lead feature definition, backlog management, and release planning for our Innovation Management Platform, Accolade. The ideal candidate will be adept in overseeing the end\-to\-end product lifecycle, ensuring that our solution not only meets but surpasses customer expectations. You will be the key liaison between Product Managers, Engineering, Services and customers, translating complex business needs into robust and scalable product features. With a focus on enhancing and streamlining the capacity for innovation management processes within our software, you will drive innovation and maintain the highest standards of product quality.
****Essential Functions:****
* Craft and clearly communicate Product Backlog Items, ordering and refining them to ensure value maximization.
* Champion a transition from text\-based requirements to visually communicated product requirements driven by AI\-assisted prototyping tools.
* Facilitate transparency, ensuring that the Product Backlog is visible and understood by all stakeholders.
* Engage with the Product Manager, representing the market and business needs within the Product Backlog.
* Translate business objectives into detailed product requirements and user stories that align with our strategic vision.
* Manage the product backlog, refining and prioritizing features to ensure timely delivery of product enhancements.
* Lead agile\-like rituals related to backlog grooming, prioritization, and demos, fostering a collaborative environment that encourages ownership and accountability.
* Support internal services and customer facing teams during milestone build validation cycles by clarifying stories, reviewing build outputs, and ensuring alignment with business expectations.
* Support quality assurance by validating acceptance criteria, participating in triage, and ensuring test coverage reflects business intent.
* Serve as a subject matter expert and content provider for internal training and technical writing teams.
* Define and analyze metrics that inform the success of the product with the Product Manager and iterate accordingly.
* Serve as the primary point of contact for stakeholders, providing clear communication and aligning product vision with business goals.
****Qualifications:****
* Bachelor's degree in business, IT, or related field; or equivalent practical experience.
* Proven experience as a Product Owner or similar role in enterprise software development, it’s a bonus if there is prior experience with product development, innovation management and project management systems.
* Strong understanding of software development methodologies (waterfall, agile, and hybrids) and the ability to adapt in a fast\-paced, evolving environment.
* Excellent communication and stakeholder management skills.
* Demonstrated ability to work independently as well as part of a collaborative team.
* Critical thinkers with a focus on problem\-solving and continuous improvement.
* Passion for delivering high\-quality products that meet the nuanced needs of intellectual property management.</t>
        </is>
      </c>
    </row>
    <row r="136">
      <c r="A136" t="inlineStr">
        <is>
          <t>li-4309215151</t>
        </is>
      </c>
      <c r="B136" t="inlineStr">
        <is>
          <t>Product Manager, Codex</t>
        </is>
      </c>
      <c r="C136" t="inlineStr">
        <is>
          <t>OpenAI</t>
        </is>
      </c>
      <c r="D136" t="inlineStr">
        <is>
          <t>linkedin</t>
        </is>
      </c>
      <c r="E136">
        <f>HYPERLINK("https://www.linkedin.com/jobs/view/4309215151", "https://www.linkedin.com/jobs/view/4309215151")</f>
        <v/>
      </c>
      <c r="F136" t="inlineStr"/>
      <c r="G136" t="inlineStr">
        <is>
          <t>San Francisco, CA</t>
        </is>
      </c>
      <c r="H136" t="inlineStr"/>
      <c r="I136" t="inlineStr">
        <is>
          <t>**About The Team**
 With Codex we’re building an AI software engineer. One that you can pair with, delegate to, or even ask to take on future tasks proactively. Our team is a fast\-moving group within OpenAI, bringing together research, engineering, design, and product. We iteratively build the Codex agent harness and product to get the most out of the model, and we iteratively train the model to be great in the Codex.
**About The Role**
 As the product manager on Codex, you will lead the development of a highly technical product designed for a technical audience. Much of the work is 0–1, requiring you to shape product direction amid ambiguity and shape what the future of agents will look like. You’ll partner closely with world\-class engineers and researchers to bring cutting\-edge capabilities into the hands of developers, and you’ll shape how our AI tools support software development workflows.
 This role is based in San Francisco, CA. We use a hybrid work model of 3 days in the office per week and offer relocation assistance to new employees.
**In This Role, You Will**
* Shape product strategy for Codex, from early concepts through launch and iteration.
* Collaborate with engineering and research to translate breakthroughs into usable, high\-value developer experiences.
* Deeply understand developer workflows and identify opportunities where AI can make them faster, more intuitive, and more powerful.
* Navigate ambiguity and make thoughtful trade\-offs in 0–1 product environments.
* Partner with cross\-functional teams to deliver quickly while maintaining a high bar for technical quality and user experience.
**You Might Thrive In This Role If You**
* Bring a strong technical background and have recently shipped code to production
* Have a deep intuition for developer workflows and a passion for building tools that make coding more productive and enjoyable.
* Can define product direction in ambiguous, 0–1 environments and rally teams around it.
* Demonstrate strong product intuition, making thoughtful prioritization and sequencing decisions.
* Have experience driving execution across engineering, design, and research.
* Bring an entrepreneurial mindset and adaptability, whether from startup or high\-growth company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$325K</t>
        </is>
      </c>
    </row>
    <row r="137">
      <c r="A137" t="inlineStr">
        <is>
          <t>li-4311153293</t>
        </is>
      </c>
      <c r="B137" t="inlineStr">
        <is>
          <t>Senior Product Manager</t>
        </is>
      </c>
      <c r="C137" t="inlineStr">
        <is>
          <t>EarnIn</t>
        </is>
      </c>
      <c r="D137" t="inlineStr">
        <is>
          <t>linkedin</t>
        </is>
      </c>
      <c r="E137">
        <f>HYPERLINK("https://www.linkedin.com/jobs/view/4311153293", "https://www.linkedin.com/jobs/view/4311153293")</f>
        <v/>
      </c>
      <c r="F137" t="inlineStr"/>
      <c r="G137" t="inlineStr">
        <is>
          <t>Mountain View, CA</t>
        </is>
      </c>
      <c r="H137" t="inlineStr"/>
      <c r="I137"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product leader to lead efforts for a new product offering. The product leader will partner closely with senior leadership and a dedicated engineering team to define our vision, shape how the product works, and rapidly execute to get it to market. This is an exciting opportunity to define how we create value for our customers and our business.  
 This is a Mountain View\-based position requiring in\-office work 2\-3 days a week. The Mountain View base salary range for this full\-time position is $206,280 \- $252,120, plus equity and benefits. Our salary ranges are determined by role, level, and location.
**WHAT YOU'LL DO** 
* Shape the vision for a new product area. Communicate your product vision, roadmap, and results to your team, stakeholders, including the executive team, and our customers.
* Lead a diverse team of engineers, designers, and data analysts to create and scale impactful experiences for our customers.
* Own a business area end\-to\-end and drive financial and customer results.
* Create a fast\-paced environment facilitating product iterations and growth.
* Lead a cross\-functional team of engineers, designers, and data analysts to build and scale your products
**WHAT WE'RE LOOKING FOR** 
* 4\+ years of product management at a consumer technology product company
* Strong technical background, preferably with a background in payroll software and financial services
* Strong analytical skills in leveraging data to drive product decisions and improve metrics
* Strong product/design sense developed by shipping delightful and innovative products
* Exceptional communication skills to engage with executive leadership and key stakeholders.
* Deep user empathy and experience in building products based on user needs
* Ability to think outside the box to solve complex problems with creative and radical ideas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row>
    <row r="138">
      <c r="A138" t="inlineStr">
        <is>
          <t>li-4371452517</t>
        </is>
      </c>
      <c r="B138" t="inlineStr">
        <is>
          <t>Principal Product Manager</t>
        </is>
      </c>
      <c r="C138" t="inlineStr">
        <is>
          <t>League</t>
        </is>
      </c>
      <c r="D138" t="inlineStr">
        <is>
          <t>linkedin</t>
        </is>
      </c>
      <c r="E138">
        <f>HYPERLINK("https://www.linkedin.com/jobs/view/4371452517", "https://www.linkedin.com/jobs/view/4371452517")</f>
        <v/>
      </c>
      <c r="F138">
        <f>HYPERLINK("https://grnh.se/wpx773gc4us&amp;urlHash=42rO", "https://grnh.se/wpx773gc4us&amp;urlHash=42rO")</f>
        <v/>
      </c>
      <c r="G138" t="inlineStr">
        <is>
          <t>Chicago, IL</t>
        </is>
      </c>
      <c r="H138" t="inlineStr"/>
      <c r="I138" t="inlineStr">
        <is>
          <t>**About League**
 Founded in 2014, League is the leading healthcare consumer experience (CX) platform, powered by artificial intelligence (AI), reaching more than 63 million people around the world and delivering the highest level of personalization in the industry. Payers, providers, and consumer health partners build on League's platform to deliver high\-engagement healthcare solutions proven to improve health outcomes. League has raised over $285 million in venture capital funding to date, powering the digital experiences for some of healthcare's most trusted brands, including Highmark Health, Manulife, Medibank, and Shoppers Drug Mart.
**Position Summary:**
 As a
 **Principal Product Manager** 
 , you are the strategic architect of a sophisticated, high\-scale platform for our Member Portal Solution for payer customers.
 You are directly responsible for accelerating our 2026 growth trajectory and long\-term AI\-native vision. While we operate a robust digital infrastructure, we are at a pivotal moment of evolution—leveraging our high\-scale foundations to drive an AI\-native experience that is proactive, personalized, and dynamic.
 Your mission is to drive the successful hardening of our core digital product capabilities while leading this strategic shift. This role requires a high degree of fluency in the US Payer landscape, claims data, and benefits orchestration. You will leverage the voice of the customer and deep healthcare market insights to inform our data\-backed roadmap that prioritizes long\-term margin expansion, TAM growth, and member experience quality. You will provide the strategic leverage required to de\-risk delivery, mitigate architectural gaps before they become fires, and influence the Executive team with high\-quality logic and roadmap rigor.
**In this role, you will:**
* Serve as the subject matter expert for US Healthcare integrations, with a primary focus on helping members navigate the complexities of the healthcare system—specifically demystifying EOBs, claims status, accumulators, and complex benefits.
* Drive the product strategy for administrative self\-service, ensuring members can easily take care of necessary actions and understand their financial and health data without friction.
* Synthesize complex member needs and market dynamics into a solidified, roadmap focused on new revenue generation and efficiency.
* Create buy\-in for the product strategy with the Product Leadership Team through high\-quality logic and rigorous business\-case storytelling.
* Define and execute a roadmap to increase the utilization of key features, proving that users can successfully complete their intended tasks and derive tangible value from the portal.
* Ensures cross\-functional alignment across the 'Triangle' (Product, Engineering, Design) to eliminate silos to the Essential Duties.
* Define goals \&amp; measure success for the portfolio.
* Represent our platform and infrastructure externally with clients and prospects.
* Establish and deliver a high\-integrity roadmap built to ensure predictable, high\-scale execution, characterized by vetted trade\-offs and binary commitments.
* Significantly expand member reach and engagement. Accelerate program enrollment, feature adoption, and task completion rates through optimized member journeys, delivering measurable ROI for payer customers.
* Drive industry\-leading utilization and accuracy across core member domains including coverage, cost, claims, and accumulators, ensuring seamless member access to their financial and health data.
* Optimize the home screen and overall information architecture (IA) of the Member Portal to ensure the experience is optimized for discoverability, findability, self service, and ease of use.
* Successfully transition AI prototypes into production\-grade experiences that redefine the member experience and achieve market readiness.
**About You:**
* 6\+ years in Product Management with a minimum of 3 years specifically in the US Payer or Health Insurance space.
* Bachelor's degree (or equivalent), preferred
* Proven work experience in product management creating successful products
* Proven ability to move an organization through architecting rather than individual output.
* Experience working at a platform company or leading the implementation of complex platforms. You have deep experience in agile methodologies—leading agile release planning and demonstrating an iterative, incremental, and value\-driven delivery.
**What we offer:**
* Comprehensive Health Benefits: We prioritize your well\-being with complete medical, dental, and vision coverage
* Bonus Program: Be rewarded for your contributions with our performance\-based bonus program
* Employee Stock Option Program: Become an owner and share in our success through our stock option program
* Unlimited Paid Time Off: Take the time you need to recharge and maintain a healthy work\-life balance
* Spending Accounts: Manage your healthcare and dependent care expenses with tax\-advantaged spending accounts
* Wellness Days: Prioritize your mental and physical health with dedicated wellness days throughout the year
* Growth Opportunities: We invest in your future with abundant opportunities for professional development and advancement
* Mentorship Program: Benefit from guidance and support from experienced leaders in your field
**Security\-Related Responsibilities**
* Ensure access management is performed in compliance with the employee's role and responsibilities
* Responsibility and accountability for executing League's policies and procedures within the department/ team
* Notification of HR, Legal, Compliance \&amp; Security of any incidents, breaches or policy violations
* Compliance with Information Security Policies
***US APPLICANTS ONLY:***
*The US\-specific compensation range below for this full\-time position is exclusive of bonus, equity and benefits. This range reflects the minimum and maximum target for base salaries for the position across all US locations. The salary range is intentional to account for the performance and career progressions a Leaguer will experience in the role throughout their time at League. Where in the band you may land is determined by job\-related skills/experience. Your recruiter can share more about the specific salary range specific to your skills and experience during the hiring process.*
 Compensation range for USA applicants only
 $169,900—$207,700 USD
 Our employees come from different backgrounds, and we celebrate those differences. We are looking for the best candidates for our open roles, but do not expect applicants to meet every qualification in order to be considered. If you are excited about what you could accomplish at League and believe you can add value to our team, we would love to hear from you.
 We are committed to equal employment opportunity regardless of race, color, ancestry, religion, sex, national origin, sexual orientation, age, citizenship, marital status, disability, gender identity or Veteran status. If you are an individual in need of assistance at any time during our recruitment process, please contact us at recruitinginfo@league.com.
**Our Application Process:**
 Applying to a role you love can be exhausting, and understanding the next steps can feel vague and uncertain. You have done the hard part of submitting your application; let's do ours by sharing potential next steps
* You should receive a confirmation email after submitting your application.
* A recruiter (not a computer) reviews all applications at League.
* If we see alignment with League's needs, a recruiter will reach out to learn more about your goals. The recruiter will also share the team\-specific interview process depending on the roles you are exploring.
* The final step is an offer, which we hope you will accept!
* Prior to joining us, we conduct reference and background checks. Additional checks could be required for US Candidates, depending on the role you are exploring.
 Here are some additional resources to learn more about League:
* Learn about our platform, leadership team and partners
* Highmark Health, Google Cloud, League: new digital front door to seamless care
* Former Providence President and Workday EVP of Corporate Strategy join League Board of Directors
* League raises $95 million USD in Series C to build world's leading healthcare CX platform
* Forbes x League: The Platformization Of Healthcare Is Here
* Fast Company x League: If we want better innovations in healthtech, we need more competition
**Work Location:**
 We have a mix of office\-centric roles based in our vibrant Toronto office, and remote\-eligible roles based anywhere in Canada or US. Each job posting will indicate where the role will be based. Regardless of the role's posted location, all Toronto\-area Leaguers (living within 65 km of our downtown HQ) collaborate in\-office Monday through Thursday. Depending on your distance to the office, you'll enjoy 10 or 20 Flexible Remote Days each quarter for focus and deep\-work time. We are committed to fostering a meaningful work environment and connections for all Leaguers regardless of location.
**Recognize and Avoid Employment scams. Practice safe job searching.**
 Scammers are getting craftier and leveraging fake job postings to get personal information. Know the warning signs and protect yourself from scammers. Learn more here.
**Use of AI Notice**
 We are committed to ensuring fairness and transparency throughout our hiring process. League may use Artificial Intelligence (AI) tools to assist in the screening of applicants for this position. Please check out our stance on using AI in recruitment here.
**Privacy Policy**
 Review our Privacy Policy for information on how League is protecting personal data.</t>
        </is>
      </c>
    </row>
    <row r="139">
      <c r="A139" t="inlineStr">
        <is>
          <t>li-4371182563</t>
        </is>
      </c>
      <c r="B139" t="inlineStr">
        <is>
          <t>Product Manager, Fan Intelligence</t>
        </is>
      </c>
      <c r="C139" t="inlineStr">
        <is>
          <t>WMT Digital</t>
        </is>
      </c>
      <c r="D139" t="inlineStr">
        <is>
          <t>linkedin</t>
        </is>
      </c>
      <c r="E139">
        <f>HYPERLINK("https://www.linkedin.com/jobs/view/4371182563", "https://www.linkedin.com/jobs/view/4371182563")</f>
        <v/>
      </c>
      <c r="F139">
        <f>HYPERLINK("https://wmtdigital.bamboohr.com/careers/67?source=aWQ9MTk%3D&amp;urlHash=AI7s", "https://wmtdigital.bamboohr.com/careers/67?source=aWQ9MTk%3D&amp;urlHash=AI7s")</f>
        <v/>
      </c>
      <c r="G139" t="inlineStr"/>
      <c r="H139" t="inlineStr"/>
      <c r="I139" t="inlineStr">
        <is>
          <t>**About Us**
 WMT Digital is a SaaS technology company powering digital experiences across the sports and music \&amp; entertainment industries. We deliver innovative mobile, web, and engagement platforms that enhance fan and attendee experiences while giving organizations the tools they need to drive revenue, build loyalty, and operate more efficiently.
 Our solutions support colleges, teams, leagues, festivals, venues, and promoters, helping them connect with audiences through personalized experiences, data\-driven insights, and seamless integrations. From fan identity and ticketing to analytics and engagement, WMT Digital is trusted by some of the most recognized brands in sports and entertainment.
**About The Role**
 We’re looking for a Product Manager to lead our Fan Intelligence products, including data and identity platforms. This role sits at the intersection of product, data engineering, identity management, and customer outcomes. You will define the product strategy, craft roadmaps, collaborate with engineering, and serve as the subject\-matter expert to support sales, customer success, and go\-to\-market teams.
 Key Responsibilities
* Set product vision \&amp; strategy: Define the long\-term roadmap for the Fan Intelligence portfolio aligned with WMT Digital’s business goals and market opportunities.
* Drive execution: Translate vision into actionable product roadmaps, ensuring timely and successful delivery.
* Engage with customers \&amp; partners: Build trusted relationships with partners and customers to understand needs, validate solutions, and shape strategy.
* Requirements gathering: Translate business needs and customer feedback into clear user stories, acceptance criteria, and product requirements.
* Foster cross\-functional alignment: Collaborate with engineering, design, marketing, and sales to ensure products deliver value in\-market.
* Delivery management: Support sprint planning, reviews, and retrospectives to ensure teams remain aligned and productive.
* Data\-driven decisions: Track feature adoption, collect feedback, and recommend improvements based on KPIs and user insights.
* Market awareness: Stay current on trends in sports, music, and entertainment technology to inform backlog priorities and feature development.
* Product expert: Provide sales teams with technical product support, data solution expertise, and lead technical demos for customers.
**Requirements**
* Bachelor’s degree in Business, Engineering, Computer Science, or related field.
* At least 4 years in Product Management or Data Product roles within a technology SaaS company. Ideally in sports or music and entertainment.
* Proven success in scaling products from vision to market adoption.
* Strong knowledge of Agile/Scrum and modern product development practices.
* Excellent leadership, communication, and storytelling skills, with ability to influence across all levels of the organization.
* Analytical mindset with customer\-first orientation.
* Experience building data platforms with a knowledge of either the sports or music and entertainment industry ecosystems preferred.
* Thrives in fast\-paced, entrepreneurial environments.
* Strong communication skills with the ability to simplify complex concepts.
* Comfortable working with sales, engineers, data teams, and enterprise clients.
 Desired Technology Skills
* Understanding of data warehouses like Snowflake, BigQuery, ClickHouse.
* Familiarity with data transformation tools like dbt, Fivetran, Airbyte.
* Experience with BI and analytics tools.
* Knowledge of Customer Data Platforms (CDP) including data ingestion \&amp; normalization, master data records, building real\-time and fixed customer segmentation.
* Knowledge of identity platforms including authentication and authorization concepts: OAuth and OpenID Connect (OIDC).
* Familiarity with privacy, consent, and data governance frameworks (GDPR/CCPA).
 Desired Traits
* Customer\-first mindset with a passion for improving user experience.
* Strong attention to detail while keeping the bigger picture in mind.
* Collaborative and adaptable, able to work across teams and adjust priorities quickly.
* Curious, proactive, and eager to learn about evolving technologies such as personalization, AI, and customer data platforms.
* Experience working in the sports or entertainment industries</t>
        </is>
      </c>
    </row>
    <row r="140">
      <c r="A140" t="inlineStr">
        <is>
          <t>li-4371171676</t>
        </is>
      </c>
      <c r="B140" t="inlineStr">
        <is>
          <t>Technical Product Owner</t>
        </is>
      </c>
      <c r="C140" t="inlineStr">
        <is>
          <t>Speridian Technologies</t>
        </is>
      </c>
      <c r="D140" t="inlineStr">
        <is>
          <t>linkedin</t>
        </is>
      </c>
      <c r="E140">
        <f>HYPERLINK("https://www.linkedin.com/jobs/view/4371171676", "https://www.linkedin.com/jobs/view/4371171676")</f>
        <v/>
      </c>
      <c r="F140" t="inlineStr"/>
      <c r="G140" t="inlineStr">
        <is>
          <t>Sacramento, CA</t>
        </is>
      </c>
      <c r="H140" t="inlineStr"/>
      <c r="I140" t="inlineStr">
        <is>
          <t>**Join DHCS’s Behavioral Health Transformation: Where Purpose Meets Innovation** 
 Speridian Technologies is recruiting for a Senior Technical Product Owner for our State of California Client, the Department of Healthcare Services, Behavioral Health. This person will be part of a long\-term, fully budgeted, state\-of\-the\-art, extremely vast technical modernization project working with a variety of cross\-functional teams and stakeholders.
**This is a remote role; however, there will may meetings in the Sacramento area during the year.  Candidates are expected to work business hours, Monday\-Friday, Pacific Time Zone.**
**Join DHCS’s Behavioral Health Transformation: Where Purpose Meets Innovation**
**Location:** 
 Remote in the United States
**Department:** 
 Department of Healthcare Services (DHCS)
**Commitment:** 
 Full\-Time Consultant (W2 employee of Speridian or 1099/IC for Speridian) 
**Why DHCS?**
 At DHCS we are leading a transformative journey in Behavioral Health, reshaping systems and services to ensure better outcomes for communities across California. Our Behavioral Health transformation initiative is more than a project—it’s a movement to make California a leader in accessible, high\-quality health services. We’re setting the stage for a new era of government services built on agile methodologies, cutting\-edge technology, continuous improvement, and a relentless commitment to serving the public good.
 At DHCS, we’re looking for innovators who are passionate about purposeful work and excited by the opportunity to drive lasting change through innovative solutions.
**Our Core Values (Achieve Together, Be Curious, Elevate Yourself, and Deliver Value)** 
* We
 **achieve together** 
 by championing a team\-oriented workplace built on mutual respect, collaboration, and open communication.
* We encourage individuals and teams to constantly
 **be curious** 
 and seek a deeper understanding and fresh ideas that drive innovation and meaningful change.
* We provide a supportive workplace where you can
 **elevate yourself** 
 and achieve personal growth through continuous learning, focused effort, and perseverance.
* We
 **deliver value** 
 as part of every action we take to serve California’s citizens
 We work within government, for government—but we don’t work like government
 We’re agile in practice and philosophy
 We’re purpose\-driven and outcome\-obsessed
 We’re modernizing behavioral health technology in California—including addressing overdose, suicide, and the crises that leave people on the streets
 We’re honest about the challenges—state government is bureaucratic, and we can't match most tech salaries. But here’s what we can offer:
 Purpose that matters
 Teammates who care deeply
 Work\-life balance (no nights, weekends, offshore or burnout)
 Fully remote work
 We're not just changing legacy tech into modern, scalable tech—we're changing how the government sector uses technology
**Description**
 The Senior Technical Product Owner drives delivery of DHCS’s modern data platform and behavioral health (BH) data products. This role owns the backlog for data engineering teams and ensures alignment between business, policy, and technical objectives. The PO partners with Product Managers, data engineers, analysts, and policy experts to enable accurate, timely, and actionable data pipelines and reporting capabilities.
 This role is responsible for converting objectives, key results, product strategy, and roadmaps into well\-groomed, prioritized backlogs that deliver measurable value, improve data quality, and ensure compliance with state and federal behavioral health reporting requirements.
**Responsibilities**
* **Backlog Ownership \&amp; Prioritization** 
	+ Own, refine, and maintain the product backlog for data engineering teams delivering the DHCS data platform and BH data products
	+ Translate policy, program, and stakeholder requirements into actionable epics, features, and user stories with clear acceptance criteria
* **Strategic Alignment \&amp; Delivery** 
	+ Collaborate with Product Managers to define and maintain product objectives and key results (OKRs)
	+ Align backlog priorities with strategic goals, compliance mandates, and agency\-wide data initiatives
	+ Collaborates with Product \&amp; Delivery Managers on budget oversight and financial accountability—including tool procurement, monitoring burn rate relative to sprint velocity, and ensuring alignment between delivery cadence and contractual or funding constraints
* **Data Product Development** 
	+ Support delivery of core data products including reporting pipelines, compliance dashboards, analytics tools, and data integration services
	+ Ensure data solutions enable oversight, performance monitoring, and cross\-county learning
* **Stakeholder \&amp; Policy Integration** 
	+ Work with policy teams, analysts, and external partners (e.g., counties, MCPs, QHIOs) to gather requirements and validate outputs
	+ Ensure solutions align with behavioral health policy, reporting standards, and privacy regulations (HIPAA, 42 CFR Part 2\)
* **Metrics \&amp; Continuous Improvement** 
	+ Define, track, and report on success metrics (e.g., data quality, pipeline performance, reporting accuracy, adoption)
	+ Drive backlog items that improve data completeness, timeliness, and usability
	+ Facilitate discovery, prototyping, and testing to validate solutions
* **Collaboration \&amp; Leadership** 
	+ Lead agile ceremonies with cross\-functional teams (engineering, analytics, UX, policy)
	+ Champion the voice of data users and ensure solutions meet the needs of DHCS analysts, leadership, and counties
	+ Provide thought leadership on best practices in data product development and platform management
**Qualifications** 
* **Experience** 
	+ 7\+ years in product ownership with significant experience in
	 **data, analytics, and reporting**
	+ Proven track record managing complex data engineering or analytics backlogs in an Agile environment
	+ Experience with reporting requirements development, data modeling, data platforms, data pipelines, and analytics tools (e.g., Databricks, Snowflake, PowerBI, Tableau)
	+ Demonstrated ability to translate policy and compliance requirements into technical product deliverables
	+ Demonstrated experience supporting products or teams operating in cloud\-based environments such as AWS and Azure, with a strong understanding of infrastructure, deployment workflows, and cloud\-native service integration
	+ Background in
	 **healthcare, government, or compliance\-driven industries** 
	 strongly preferred
* **Skills** 
	+ Backlog and roadmap management for data products and/or platforms
	+ Strong understanding of data engineering concepts (ETL/ELT, entity resolution, semantic layers, data governance)
	+ Data\-driven decision\-making and outcome\-based prioritization
	+ Ability to define, track, and communicate product OKRs and metrics
	+ Exceptional communication and storytelling to bridge technical and non\-technical stakeholders
	+ Owns the full operational lifecycle of their product area—including backlog management, incident response, and risk mitigation—ensuring stability, resilience, and alignment with business goals
	+ Strategic and systems\-level thinking with ability to balance short\-term delivery and long\-term planning
	+ Effective leadership in cross\-functional, highly regulated environments
**Additional Preferred Skills** 
* Experience working with policy and program staff to align data products with legislative and regulatory mandates
* Knowledge of data privacy and security requirements in healthcare
 Speridian is an Equal Opportunity Employer</t>
        </is>
      </c>
    </row>
    <row r="141">
      <c r="A141" t="inlineStr">
        <is>
          <t>li-4371435985</t>
        </is>
      </c>
      <c r="B141" t="inlineStr">
        <is>
          <t>Product Manager</t>
        </is>
      </c>
      <c r="C141" t="inlineStr">
        <is>
          <t>Swooped</t>
        </is>
      </c>
      <c r="D141" t="inlineStr">
        <is>
          <t>linkedin</t>
        </is>
      </c>
      <c r="E141">
        <f>HYPERLINK("https://www.linkedin.com/jobs/view/4371435985", "https://www.linkedin.com/jobs/view/4371435985")</f>
        <v/>
      </c>
      <c r="F141" t="inlineStr"/>
      <c r="G141" t="inlineStr"/>
      <c r="H141" t="inlineStr"/>
      <c r="I141" t="inlineStr">
        <is>
          <t>**About Our Client** 
 Our client is a remote\-first, open\-source leader best known for its globally used visualization tool with over
 **20 million users** 
 , supporting everything from NASA launches to major global events. In addition, it serves
 **3,000\+ companies** 
 with its observability stack, offering scalable metrics, logs, and traces in both managed and self\-managed environments.
 Our client is rapidly growing while maintaining its open\-source roots, transparent culture, and commitment to autonomy, trust, and meaningful innovation.
 This is a fully remote U.S.\-based role, and the company encourages candidates to apply even if they don’t meet every requirement.
**About The Role** 
 The
 **Product Manager** 
 is responsible for defining the vision and strategy for their product domain, owning the roadmap, market research, and product collateral while aligning goals with leadership. They act as the main advocate and subject matter expert, communicating effectively with both customers and internal stakeholders in a fully remote, global environment.
 This role serves as the bridge between Engineering, Design, UX, and Go\-To\-Market teams, ensuring smooth collaboration and information flow. The PM is expected to be technically proficient and capable of representing the product confidently to customers.
 As a
 **Product Manager for AI** 
 , the focus is on shaping and driving the AI product roadmap, understanding customer needs, influencing what gets built next, and collaborating across R\&amp;D and GTM teams to deliver AI solutions—particularly in the observability space. The role also contributes to defining the organization’s broader AI vision.
**What You’ll Be Doing** 
* Partnering with the senior AI PM to define and own AI features end\-to\-end
* Working closely with product marketing and sales teams to shape AI messaging and support large commercial deals
* Understanding competitors, working with partners and staying on top of the broader AI market
* Being a hands\-on builder: prototyping, building, and shipping AI features end\-to\-end with the engineering team
* Partnering with the data function to analyze large amounts at scale about the product, usage patterns and commercials
* Empathizing with customer problems in order to collect user needs, requirements, and pain points
* Curating and properly representing user feedback to Engineering, while providing evidence to support tradeoffs and priorities
* Using deep product expertise to make decisions about go\-to\-market strategies, pricing, packaging, licensing, and tiering
**What Makes You a Great Fit** 
* Excellent written and verbal communication
* Strong product sense and curiosity about AI, including demonstrated evidence such as AI projects, blog posts and community contributions
* 2 years of product experience or equivalent experience in a related role with ownership of a feature or project
* Comfortable with basic data analysis (SQL, spreadsheets) and able to interpret experiment results
* Familiarity with large language models (LLMs), prompt engineering, or experience using open\-source models
**Bonus Points** 
* Experience using or building observability products and/or developer tools, either internally as an SRE or for external customers
**Salary Range** 
 In the United States, the base compensation range for this role is
 **$143,759 \- $172,511\.** 
 Actual compensation may vary based on level, experience, and skillset as assessed throughout the interview process. All roles include Restricted Stock Units (RSUs), giving every team member ownership in the organization's success. The organization believes in shared outcomes—RSUs help to stay aligned and invested as it scales globally.
 Compensation ranges are country specific. If you are applying for this role from a different location than listed above, your recruiter will discuss your specific market’s defined pay range \&amp; benefits at the beginning of the process.
**Why You’ll Thrive at This Organization** 
* **100% Remote, Global Culture** 
 – As a remote\-only company, the organization brings together talent from around the world, united by a culture of collaboration and shared purpose.
* **Scaling Organization** 
 – Tackle meaningful work in a high\-growth, ever\-evolving environment.
* **Transparent Communication** 
 – Expect open decision\-making and regular company\-wide updates.
* **Innovation\-Driven** 
 – Autonomy and support to ship great work and try new things.
* **Open Source Roots** 
 – Built on community\-driven values that shape how the organization works.
* **Empowered Teams** 
 – High trust, low ego culture that values outcomes over optics.
* **Career Growth Pathways** 
 – Defined opportunities to grow and develop your career.
* **Approachable Leadership** 
 – Transparent execs who are involved, visible, and human.
* **Passionate People** 
 – Join a team of smart, supportive folks who care deeply about what they do.
* **In\-Person onboarding** 
 \- The organization wants you to thrive from day 1 with your fellow new team members to learn all about what the organization does and how it does it.
* **Balance is Key** 
 \- The organization operates a global annual leave policy of 30 days per annum. 3 days of your annual leave entitlement are reserved for organization shutdown days to allow the team to really disconnect. The organization will comply with local legislation where applicable.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42">
      <c r="A142" t="inlineStr">
        <is>
          <t>li-4336373824</t>
        </is>
      </c>
      <c r="B142" t="inlineStr">
        <is>
          <t>Senior Product Manager</t>
        </is>
      </c>
      <c r="C142" t="inlineStr">
        <is>
          <t>Thistle</t>
        </is>
      </c>
      <c r="D142" t="inlineStr">
        <is>
          <t>linkedin</t>
        </is>
      </c>
      <c r="E142">
        <f>HYPERLINK("https://www.linkedin.com/jobs/view/4336373824", "https://www.linkedin.com/jobs/view/4336373824")</f>
        <v/>
      </c>
      <c r="F142">
        <f>HYPERLINK("https://www.paycomonline.net/v4/ats/web.php/jobs/ViewJobDetails?job=311422&amp;clientkey=9A7B5820D6756C40066E985D0E34D2EE&amp;source=LinkedIn&amp;urlHash=BAT8", "https://www.paycomonline.net/v4/ats/web.php/jobs/ViewJobDetails?job=311422&amp;clientkey=9A7B5820D6756C40066E985D0E34D2EE&amp;source=LinkedIn&amp;urlHash=BAT8")</f>
        <v/>
      </c>
      <c r="G142" t="inlineStr"/>
      <c r="H142" t="inlineStr"/>
      <c r="I142" t="inlineStr">
        <is>
          <t>**TITLE:** 
 Senior Product Manager
 **DEPARTMENT:** 
 Product \&amp; Data
 **REPORTS TO:** 
 Director of Product Management
**About The Role**
 The Senior Product Manager leads the end\-to\-end design process across both internal operational tools and customer\-facing experiences. This role plays a critical part in shaping product strategy, defining user\-centric solutions, and driving successful launches that align with business objectives and elevate the brand experience.
**How You’ll Make a Difference**
* Help set the vision for the future of Thistle’s products for customers and for internal teams.
* Constantly learn about our customers by co\-leading research, analyzing behavior and data, and collecting feedback.
* Identify and prioritize significant opportunities to map out both near\-term and long\-term product roadmaps.
* Work backward from customer needs to the technical capabilities that will best address those needs.
* Collaborate effectively with cross\-functional partners, including engineering, design, data science, marketing, culinary development, operations, customer support, and third\-party partners.
* Use quantitative and qualitative user data to build well\-crafted products for end\-users.</t>
        </is>
      </c>
    </row>
    <row r="143">
      <c r="A143" t="inlineStr">
        <is>
          <t>li-4371303080</t>
        </is>
      </c>
      <c r="B143" t="inlineStr">
        <is>
          <t>Senior Product Manager</t>
        </is>
      </c>
      <c r="C143" t="inlineStr">
        <is>
          <t>Hiive</t>
        </is>
      </c>
      <c r="D143" t="inlineStr">
        <is>
          <t>linkedin</t>
        </is>
      </c>
      <c r="E143">
        <f>HYPERLINK("https://www.linkedin.com/jobs/view/4371303080", "https://www.linkedin.com/jobs/view/4371303080")</f>
        <v/>
      </c>
      <c r="F143" t="inlineStr"/>
      <c r="G143" t="inlineStr">
        <is>
          <t>California, United States</t>
        </is>
      </c>
      <c r="H143" t="inlineStr"/>
      <c r="I143" t="inlineStr">
        <is>
          <t>Recognized as one of Canada’s top startups two years in a row — climbing from \#4 in 2024 to \#2 in 2025 — Hiive is a fintech/marketplace startup connecting buyers and sellers of stock in venture\-backed pre\-IPO companies🚀. Thanks to our industry\-leading technology and best\-in\-class sales and trading team, we are home to the fastest\-growing marketplace for the stock of “unicorns” on the planet. As a profitable and rapidly growing business backed by US venture capital investors, we are seeking to scale our high\-performing team.
 Interested in learning more about life at Hiive? Check out our careers page to see how you can grow with us!
 As a
 **Senior Product Manager** 
 , you would join our fast growing product team reporting to an experienced product leader with over 25 years in the industry. Hiive has a modern tech stack and quality engineering that ships high\-quality updates quickly. You will be expected to ramp up quickly and work with designers and engineers to deliver meaningful change in the business.
**In This Role, Your Responsibilities Would Include**
* Being a masterful prioritizer, able to balance competing objectives, customer versus business needs, and short\-term and long\-term goals.
* Being a highly organized thinker, able to structure their process around mental models and communicate those thoughts.
* Having a customer\-centric mindset and a passion for improving user experiences.
* Understanding systems and how to change them to achieve business and user goals while addressing the implications of change.
* Having a deep understanding and experience in effective product development processes.
**Required Experience**
* 6\+ years of product management experience at early\-stage to growth\-stage startups.
* A proven track record of managing and launching multiple successful products or large features that have solved meaningful customer problems.
* Strong analytical and problem\-solving skills, with the ability to work with databases and analytics tools to make data\-driven decisions.
* Defining, measuring, and optimizing around product KPIs.
* Exceptional communication and presentation skills.
* Experience collaborating with cross\-functional teams, including engineering, design, marketing and sales.
**Preferable Experience**
* Experience in marketplaces of any kind, fintech, or similar.
* Software engineering background.
* Knowledge of Amplitude and Business Intelligence solutions for querying data.
**Benefits**
* Opportunity to participate in ownership of a rapidly growing early\-stage startup through our employee stock option plan.
* Comprehensive 100% employer\-paid health and dental premiums, and a health spending account.
* A dedicated desk in our Vancouver, BC HQ, in the heart of downtown, with a fridge stocked with healthy snacks and drinks, an onsite gym and a gorgeous rooftop amenity.
* Preference to those willing to work in our Vancouver, BC HQ, with a first\-class view of the mountains. Open to Canadian or US\-based remote candidates.
* Enjoy a $20 per day commuter benefit for every day you work in our Vancouver HQ.
* An engaging social calendar, including bi\-weekly catered lunches, bi\-weekly “Friday bar”, team workouts, annual summer party and holiday party, two “onsite” all\-team retreats each year, semi\-annual team\-building events, and Hiive Womens’ Network events.
* Significant opportunities for growth into team leadership and management roles.
* Entrepreneurial culture, and a small and dynamic team.
* Sponsorship, immigration and relocation for exceptional candidates.
 Hiive is committed to fostering an inclusive workplace where all individuals have an opportunity to succeed.</t>
        </is>
      </c>
    </row>
    <row r="144">
      <c r="A144" t="inlineStr">
        <is>
          <t>li-4371146829</t>
        </is>
      </c>
      <c r="B144" t="inlineStr">
        <is>
          <t>Product Manager- Health (Remote)</t>
        </is>
      </c>
      <c r="C144" t="inlineStr">
        <is>
          <t>Forbes Advisor</t>
        </is>
      </c>
      <c r="D144" t="inlineStr">
        <is>
          <t>linkedin</t>
        </is>
      </c>
      <c r="E144">
        <f>HYPERLINK("https://www.linkedin.com/jobs/view/4371146829", "https://www.linkedin.com/jobs/view/4371146829")</f>
        <v/>
      </c>
      <c r="F144" t="inlineStr"/>
      <c r="G144" t="inlineStr">
        <is>
          <t>Wilmington, DE</t>
        </is>
      </c>
      <c r="H144" t="inlineStr"/>
      <c r="I144" t="inlineStr">
        <is>
          <t>At Forbes Advisor, our mission is to help readers turn their aspirations into reality. We arm people with trusted advice and guidance, so they can make informed decisions they feel confident in and get back to doing the things they care about most.We are an experienced team of industry experts dedicated to helping readers make smart decisions and choose the right products with ease.
 Forbes Advisor boasts decades of experience across dozens of geographies and teams, including Content, SEO, Business Intelligence, Finance, HR, Marketing, Production, Technology and Sales. The team brings rich industry knowledge to Forbes Advisor’s global coverage of consumer credit, debt, health, home improvement, banking, investing, credit cards, small business, education, insurance, loans, real estate and travel.
**Job Description**
 Forbes Advisor is hiring! We are searching for a Product Manager who will play a pivotal role in shaping ourselves as a tech leader in the US Health market. Reporting into the UK\-based Head of Product, you will collaborate closely with senior stakeholders, customers, and cross\-functional teams to drive product discovery, development, and delivery. This is an exciting opportunity to lead and influence the key areas of our business while working in an environment that values innovation, creativity, and adaptability.
**Responsibilities:**
* Take full ownership of the Health product vertical, leading initiatives that balance user needs, technical feasibility, and business goals. Drive both strategy and execution, ensuring the roadmap supports long\-term growth.
* Work collaboratively with cross\-functional teams—including engineering, design, analytics, and commercial—to deliver best\-in\-class product experiences from concept through to release and beyond.
* Define and manage a structured product backlog. Clearly prioritise initiatives based on impact, resource availability, and strategic alignment, while staying responsive to new information.
* Dive deep into user behaviours, feedback, and data to understand what drives value. Regularly test assumptions through prototyping, experimentation, and structured discovery.
* Track performance across key metrics, identifying areas of improvement and driving iterative enhancements post\-launch.
* Act as the central point of communication across the business for your product area, ensuring transparency, managing stakeholder expectations, and aligning on shared outcomes.
* Play a key role in refining product development practices across the team—bringing experience, structure, and a proactive mindset to each challenge.
**Qualifications:**
* 6\+ years of experience in product management, with a strong track record of delivering high\-impact features or owning a product area
* Proven experience of the US Health market, an extensive knowledge of key market trends and lead generation journeys
* Confident working across the full product lifecycle—from discovery and definition to delivery and iteration
* Comfortable leading cross\-functional teams and managing input from multiple stakeholders
* Data\-driven, with the ability to define and track performance metrics, and use insights to inform decisions
* Strong communication and influencing skills, able to build alignment and manage trade\-offs
* Curious, collaborative, and proactive in identifying new opportunities or resolving blockers
**What We Offer:**
* A visionary role with the freedom to shape the tech stack and strategic direction of your product area.
* Build a modern serverless setup, moving away from monolithic solutions to version\-controlled services and stores.
* Work with exciting brands like Forbes in a rapidly expanding environment.
* Enjoy a supportive and agile culture that encourages innovation and embraces change.
**Additional Information**
 Forbes Advisor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45">
      <c r="A145" t="inlineStr">
        <is>
          <t>li-4371610382</t>
        </is>
      </c>
      <c r="B145" t="inlineStr">
        <is>
          <t>Product Owner/Product Manager</t>
        </is>
      </c>
      <c r="C145" t="inlineStr">
        <is>
          <t>SRM Digital LLC</t>
        </is>
      </c>
      <c r="D145" t="inlineStr">
        <is>
          <t>linkedin</t>
        </is>
      </c>
      <c r="E145">
        <f>HYPERLINK("https://www.linkedin.com/jobs/view/4371610382", "https://www.linkedin.com/jobs/view/4371610382")</f>
        <v/>
      </c>
      <c r="F145" t="inlineStr"/>
      <c r="G145" t="inlineStr">
        <is>
          <t>Fort Mill, SC</t>
        </is>
      </c>
      <c r="H145" t="inlineStr"/>
      <c r="I145" t="inlineStr">
        <is>
          <t>**Job Overview:** 
 We are seeking an experienced
 **Product Owner with strong domain expertise in Wealth Management \&amp; Financial Services** 
 to lead the end\-to\-end execution of digital product initiatives. This role will collaborate with business stakeholders, technology teams, and cross\-functional partners to deliver value\-driven solutions that support investment operations, portfolio management, advisory platforms, and client servicing products.
**Key Responsibilities** 
* Own and prioritize the product backlog for wealth management and financial products (e.g., portfolio advisory, asset allocation platforms, investment research tools).
* Conduct requirement gathering with investment managers, traders, wealth advisors, and compliance teams.
* Translate business needs into detailed user stories, acceptance criteria, wireframes, and functional specifications.
* Drive end\-to\-end product lifecycle from conceptualization, planning, and delivery through release and post\-launch optimization.
* Partner with engineering, QA, UX, data, and finance operations to ensure timely execution of product releases.
* Conduct competitive research \&amp; market analysis to identify product gaps and growth opportunities in digital finance solutions.
* Ensure compliance with financial regulations (FINRA, SEC, MiFID II, KYC/AML when applicable).
* Facilitate sprint planning, backlog grooming, feature release planning, and product demos using Agile/Scrum.
* Define and track KPIs and analytics to measure product success and drive enhancements.
**Required Qualifications** 
* **3–8 years of experience** 
 as a Product Owner/Product Manager in
 **Wealth Management, Investment Banking, Brokerage, or Financial Services** 
 .
* Hands\-on experience working with platforms like
 **Portfolio Management Systems (PMS), Asset Management tools, Trading \&amp; Order Management Systems (OMS), Financial Advisory tools, or Retirement Planning products** 
 .
* Strong understanding of
 **investment products** 
 (Mutual Funds, ETFs, Equities, Bonds, Alternative Investments).
* Familiarity with
 **financial data sources/APIs** 
 such as Bloomberg, Morningstar, FactSet, Thomson Reuters, etc.
* Excellent communication skills, with the ability to influence senior stakeholders.
* Practical knowledge of
 **Agile/Scrum methodologies** 
 and tools (Jira, Confluence, Aha!, etc.).
 Bachelor's degree in Finance, Business, Computer Science, or related field;
 **MBA or CFA Level I/II preferred (not mandatory)** 
 .</t>
        </is>
      </c>
    </row>
    <row r="146">
      <c r="A146" t="inlineStr">
        <is>
          <t>li-4370090117</t>
        </is>
      </c>
      <c r="B146" t="inlineStr">
        <is>
          <t>Principal Product Manager</t>
        </is>
      </c>
      <c r="C146" t="inlineStr">
        <is>
          <t>The Walt Disney Company</t>
        </is>
      </c>
      <c r="D146" t="inlineStr">
        <is>
          <t>linkedin</t>
        </is>
      </c>
      <c r="E146">
        <f>HYPERLINK("https://www.linkedin.com/jobs/view/4370090117", "https://www.linkedin.com/jobs/view/4370090117")</f>
        <v/>
      </c>
      <c r="F146" t="inlineStr"/>
      <c r="G146" t="inlineStr">
        <is>
          <t>San Francisco, CA</t>
        </is>
      </c>
      <c r="H146" t="inlineStr"/>
      <c r="I146"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Product Management is responsible for driving the overall user experience, feature strategies and concepts, and engagement paradigms for Disney Entertainment \&amp; ESPN's global portfolio of consumer\-facing streaming and digital products – including Disney\+, Hulu, ESPN, ABC, ABC News, Nat Geo, Marvel, and Star Wars.
**About This Role**
 This position is part of the ESPN Product team. At ESPN, our mission is To Serve Sports Fans. Anytime. Anywhere. The mission statement is not just words; it is the mantra that we live by. The ESPN Product Team is responsible for setting strategy, building, executing and operating world\-class products for sports fans. Anytime. Anywhere. With unmatched scale, best\-in\-class content, incredible rights, and world class platforms, ESPN is the market leader in Sports, and we are never complacent. We are constantly innovating for our fans.
 As the Principal Product Manager of Fandom for ESPN Digital products, you will be a key leader responsible for shaping fan expression, “lean\-forward” participatory features, and connected social experiences across the ESPN suite of apps to unlock the full potential of sports fandom across the ESPN ecosystem.
 This role demands a seasoned product manager with a deep understanding of how to build an engaging fan experience in a brand safe way, a proven track record of operating online communities, navigating complex user experience projects, and the ability to collaborate effectively with cross\-functional teams, particularly in design and engineering. You will work with other leaders to define a unified strategic vision for creating engagement flywheels centered around sports fandom. The ability and excitement to strategize for a new generation of sports fans and how they engage with our products is vital for this position.
 This role demands a strong technical background, excellent product sense, strategic thinking, analytical capabilities, and the ability to collaborate with cross\-functional teams to deliver high\-quality, cutting\-edge solutions.
 The ideal candidate must be highly experienced in cultivating and operating online communities and connected social products that leverage user\-generated content (UGC). This person must operate with a high level of autonomy and demonstrate strong product vision, strategy, leadership and analytical thinking in furtherance of business objectives. This opportunity is uniquely positioned to make an immediate impact on the next generation of ESPN’s consumer experiences.
**Responsibilities**
***Product Strategy and Vison***
* Develop and communicate a strategic vision for engaging our fans, aligning with broader company goals and market trends.
* Effectively communicate product strategies, updates, and results to stakeholders at all levels, fostering a collaborative and transparent working environment.
* Work with leadership to craft product vision, strategy, OKRs, and roadmap while executing with great success.
* Stay abreast of industry trends and emerging technologies related to fan engagement and moderation, providing recommendations for continuous improvement.
* Be an ambassador and culture champion for ESPN products internally and externally.
***Product Development***
* Leverage previous experience building online communities and connected social experiences and apply those learnings to ESPN and Disney.
* Champion a fan\-centered design approach, ensuring that user needs and preferences drive the development of innovative and intuitive product features.
* Lead and inspire cross\-functional teams in the planning, execution, and delivery of complex user experience projects, ensuring timelines and quality standards are met.
* Write detailed product requirements, user stories, and documentation to drive development of features.
* Manage road maps, backlogs, and prioritize features to drive maximum impact.
* Fill in gaps across roles and functions as needed, performing as an adaptive problem solver.
* Engage in our sports\-obsessed culture to best serve our fans.
***OKRs and Analytics***
* Define and monitor Objectives and Key Results (OKRs) related to fan engagement and user satisfaction.
* Identify KPIs, build dashboards, and analyze data to understand user behaviors.
* Utilize data and analytics to make informed decisions, conduct A/B testing, and continuously iterate features to optimize performance and user satisfaction.
* Conduct user research to inform new features and improved user experiences.
**Basic Qualifications**
* 10\+ years of product management or highly\-relevant experience required.
* Direct product management experience cultivating and operating online communities and connected social products that leverage user\-generated content (UGC).
* Proven track record of building world\-class digital products for large, consumer\-focused companies.
* Keen product sense and demonstrated product leadership experience.
* Strong analytical skills with the ability to use data\-driven insights to inform product decisions, measure performance, and optimize the user experience.
* Ability to operate effectively in a team oriented and collaborative environment.
* Excellent written and verbal communication skills.
* Experience leading end\-to\-end product development processes, from concept through retrospective, for both consumer\-facing and back\-end features.
* Experience creating and delivering compelling, data\-driven presentations to both senior and junior audiences.
* Understanding of fandom, fan engagement, moderation, sports landscapes, and familiarity with terminologies and business models.
* Proven ability to drive product initiatives from concept to delivery.
**Required Education**
* Bachelor's degree in a relevant field or equivalent practical experience.
 The hiring range for this position in San Francisco is $201,900 \- $270,700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47">
      <c r="A147" t="inlineStr">
        <is>
          <t>li-4371192838</t>
        </is>
      </c>
      <c r="B147" t="inlineStr">
        <is>
          <t>Principal Product Manager</t>
        </is>
      </c>
      <c r="C147" t="inlineStr">
        <is>
          <t>Pebl</t>
        </is>
      </c>
      <c r="D147" t="inlineStr">
        <is>
          <t>linkedin</t>
        </is>
      </c>
      <c r="E147">
        <f>HYPERLINK("https://www.linkedin.com/jobs/view/4371192838", "https://www.linkedin.com/jobs/view/4371192838")</f>
        <v/>
      </c>
      <c r="F147" t="inlineStr"/>
      <c r="G147" t="inlineStr">
        <is>
          <t>Palo Alto, CA</t>
        </is>
      </c>
      <c r="H147" t="inlineStr"/>
      <c r="I147" t="inlineStr">
        <is>
          <t>**Purpose in Every Position**
 Pebl puts a world of talent at your fingertips. With our AI\-powered Global Work Platform™, companies can hire, pay, and manage employees in 185\+ countries—removing risk, red tape, and guesswork from global growth. Backed by more than a decade of compliance leadership and local expertise, Pebl helps businesses move fast, stay compliant, and scale with confidence. With Pebl, companies everywhere can hire great talent anywhere.
**Where Your Work Moves the Needle.**
 At Pebl, every team member drives our success. Joining us means more than filling a role—you’re accountable for results and impact. Our values guide how we operate, execute, and collaborate across borders. By putting them into action, you’ll help us scale faster, compete harder, and lead the future of global work.
**What Makes You a Great Fit**
 We are looking for an innovative, customer\-focused Principal Product Management to lead the Pricing/Packaging and Payments product area at Pebl. As the Principal Product Management , you will be at the helm of shaping a platform that powers AI\-driven solutions for the future of customer engagement. You will collaborate with designers, engineers, GTM teams, and the executive leadership to build a modern Payment platform with AI capabilities that accelerate growth and lead to market leadership. You will be a Product Leader with accountability for creating the vision \&amp; strategy, managing the roadmap, and building on the product backlog, working with cross\-functional teams to build great products for our customers.
 You will manage all facets (strategy, processes, reporting) surrounding the pricing and packaging of our product offerings.
 This is a hybrid position based in Palo Alto, California, and in\-office collaboration is required for 3 days per week. You will be an individual contributor reporting to the VP Product.
**How You'll Make An Impact**
* Strategy: Work with cross functional teams to develop vision and strategy for the payments platform, pricing and packaging solutions to accomplish effective outcomes across the enterprise
* Ownership: Align with strategy for multiple business teams, create and lead a portfolio of cross\-functional initiatives to achieve core elements of the business strategy. Maximize price and margin opportunities across brands. Manage KPI's to measure effectiveness and outcomes of pricing actions
* Definition: Explain business problems, gather evidence from users and outside sources, clarify the potential solutions with assumptions, guiding principles, strategic connections
* Roadmap: Define the roadmap and prioritization across the portfolio and create functional and non\-functional requirements and user stories to manage product backlog and execution through scrum teams
* Delivery: Partner with engineering teams, product managers and technology partners to ensure, efficient execution of key initiatives in a scaled agile delivery framework
* Communication: Serve as primary evangelist of pricing and payments strategy and product capabilities with internal, business, and executive stakeholders. Participate in industry events, customer briefings, analyst briefings, and advisory boards
* Outcomes: Drive product and feature launches aligned with company goals and report key metrics
* Stay ahead of the curve: Maintain a deep understanding of emerging trends in Payments, AI, and the EOR landscape
**Let's Connect If You Have**
* 10\+ years of Product Management experience
* Computer Science background or equivalent technical experience
* Experience building Payments platform
* Experience leading initiatives across large engineering and cross functional teams, to influence roadmap planning and execution
* Hands\-on experience in testing product/features before releasing and editing FAQ/documentation
* Strong written and verbal communication skills, structuring ambiguous concepts clearly and from first principles
* Experience working in a startup, preferably in FinTech
* Bonus points if you have taken a product from 0\-1 or founded a startup
**Our Commitment to You**
 At Pebl, we’re committed to supporting our team with comprehensive rewards and benefits designed to meet diverse needs across roles and locations. Our core offerings include:
* Flexible Time Off – Take the time you need to recharge.
* Parental Leave – Support for growing families.
* Health and Dental Insurance – Where applicable, to cover you and your loved ones.
* Retirement Savings \+ Employee Incentive Plan – Plan for the future while sharing our success.
 Please visit our career page for more information.
**Pebl is an Equal Opportunity Employer.**
 We power global teams and believe diverse perspectives drive innovation and impact. Employment decisions at Pebl are based on qualifications, merit, and business needs. We do not discriminate on the basis of race, color, religion, sex (including pregnancy, sexual orientation, or gender identity), national origin, age, disability, genetic information, veteran status, or any other status protected by applicable law. We’re committed to fostering an inclusive culture where every teammate can thrive and do the best work of their career—anywhere in the world.
 Compensation Range: $250K \- $300K</t>
        </is>
      </c>
    </row>
    <row r="148">
      <c r="A148" t="inlineStr">
        <is>
          <t>li-4322809373</t>
        </is>
      </c>
      <c r="B148" t="inlineStr">
        <is>
          <t>Product Manager, Accessories - 57th Street Flagship Boutique</t>
        </is>
      </c>
      <c r="C148" t="inlineStr">
        <is>
          <t>CHANEL</t>
        </is>
      </c>
      <c r="D148" t="inlineStr">
        <is>
          <t>linkedin</t>
        </is>
      </c>
      <c r="E148">
        <f>HYPERLINK("https://www.linkedin.com/jobs/view/4322809373", "https://www.linkedin.com/jobs/view/4322809373")</f>
        <v/>
      </c>
      <c r="F148">
        <f>HYPERLINK("https://cc.wd3.myworkdayjobs.com/en-US/ChanelCareers/job/New-York-Ny/Manager\u002d\u002dShoes\u002d\u002d-Other-Accessories_JOBREQ00107583?source=Job_Board_Linkedin&amp;urlHash=lTZa", "https://cc.wd3.myworkdayjobs.com/en-US/ChanelCareers/job/New-York-Ny/Manager\u002d\u002dShoes\u002d\u002d-Other-Accessories_JOBREQ00107583?source=Job_Board_Linkedin&amp;urlHash=lTZa")</f>
        <v/>
      </c>
      <c r="G148" t="inlineStr">
        <is>
          <t>New York, NY</t>
        </is>
      </c>
      <c r="H148" t="inlineStr"/>
      <c r="I148" t="inlineStr">
        <is>
          <t>**Manager, Product**
*At CHANEL, we are focused on creating an inclusive culture that nurtures personal growth, contributing to collective progress. We believe the uniqueness of each individual increases the diversity, complementarity, and effectiveness of our teams. We strongly encourage your application, as we value the perspective, experience, and potential you could bring to CHANEL.*
**About the role:**
 We are looking for a Product Manager who will be a brand ambassador and business leader focused on delivering extraordinary experiences for the internal team and clients. They will play a vital role for driving the business of their respective product category(ies), by coaching and managing a diverse team of salespeople, and will work closely with the Boutique Director by imparting critical business knowledge. The Product Manager will be responsible for fully owning and driving the business within the Shoes \&amp; Other Accessories division.
**What impact you can create at CHANEL:**
* Coach and inspire a team to deliver an elevated client experience for all clients
* Foster a positive working environment and create a culture of feedback, encouraging diversity, mutual respect, and teamwork
* Provide initial and frequent ongoing training and development for all team members, including CHANEL savoir faire, product details and service delivery
* Drive all aspects of the assigned product category, including analysis, reporting, assortment planning, and partnership with Home Office buying team
* Lead a team with agility and resilience by applying key performance indicators and lessons learned to enhance team and business performance
* Represent CHANEL in the market, developing the client base through community involvement, partnerships with local high\-profile businesses, as well as social and seasonal events
**You are energized by:**
* The history and heritage of The House of CHANEL
* Building collaborative partnerships and relationships
* People leadership and development
* Fostering a meaningful client experience centered around inclusion and connection
* Being comfortable in the middle of complexity and ambiguity
* Creativity and innovation by testing, learning, and taking new risks
**What you will bring to the team:**
* Ability to thrive in a team environment and work collaboratively
* Understanding of, and passion for client experience
* Excellent communication skills
* Foreign language skills are preferred but not required
* Passion for the House of CHANEL, its history, product offerings, and commitment to social and cultural initiatives
* Curiosity and desire to learn and grow professionally within the world of CHANEL
**Position Logistics:**
* Minimum 5 years of related experience
* Bachelor’s degree (preferred)
* Ability to lift 15 lbs.
* A flexible schedule with the ability to work late nights, weekends, and some holidays
* Boutique Management: Requires in\-store presence to develop and coach teams, ensure boutique image and operational standards are upheld, and deliver elevated client service to drive business results
* Chanel, Inc. reserves the right to edit, change, or make exceptions on designations where circumstances where deemed appropriate.
**What skills you will learn:**
 (This is best leveraged for internal job posting to best attract internal talents)
* Exposure to multiple boutique business functions and categories
* Growth in additional business and functional areas of the retail business
* Opportunity to collaborate and succeed as a team with colleagues and cross\-functionally
* Further grow and develop your skill set with thoughtful career development workshops and self\-directed learning modules
**Compensation:**
* The anticipated base salary range for this position is $87,500 through $121,800\. Base salary is one component of the total compensation for this position. Other forms of variable pay \[may/will] be offered for this position. Other components \[may/will] include bonus potential, benefits, and/or perks.
**Benefits and Perks:**
* Wellbeing resources include dedicated paid time off for wellbeing (Wellbeing Days in Retail) and a Wellbeing fund
* Family and care giving benefits (inclusive of parental leave, fertility support, Milk Stork, and Care.com Membership)
* Generous paid time off policies to include vacation, holiday, sick and volunteer days
* 401K and other incentives
* Robust healthcare offerings; medical, dental, vision, MDLIVE (virtual care), One Medical, Flexible Spending Accounts (Health Care \&amp; Dependent Care), Health Savings Account and Employee Assistance Program
* Life insurance, Accidental Death \&amp; Dismemberment, Short Term Disability, Long Term Disability, Health Advocate, International Business Travel Accident \&amp; Medical, and Commuter Transit \&amp; Parking
**Additional Information:**
 CHANEL is a private company whose values are grounded in creating the conditions for people to perform at their best and feel fulfilled and confident in their work. We offer a unique work environment where individuals are encouraged to better understand the brand, the business, and motivations, so that together we can unlock the possibilities of growth. This is reflected in:
**Diversity and Inclusion:**
* At CHANEL, we are intentional in promoting Diversity \&amp; Inclusion. We foster respect, empathy, and dignity for all. We believe strongly that the diversity of our people across the full spectrum of human differences is essential to our organisation and the connections we have with each other and our clients.
* We offer Employee Resource Groups in the US that are voluntary, open to all, employee\-led groups formed around a shared identity or lived experience, whose aim is to foster a diverse, inclusive, and equitable community aligned with the values and missions of the communities they support.
**CHANEL Community:**
* CHANEL Community empowers our employees to channel their passions, talents, and sense of purpose to contribute to and learn from our communities.
* Employees are encouraged to take time off annually to volunteer through CHANEL Community. CHANEL also matches employee donations to select charitable organizations.
**Sustainability:**
* CHANEL Mission 1\.5° is our climate action plan. It is focused on transforming the business in line with the ambitions of the Paris Agreement on climate change to limit the average global mean temperature increase to 1\.5 degrees Celsius above preindustrial levels.
* Employees are encouraged to contribute to our US Sustainability efforts at the corporate level and within the divisions, through organized taskforces and initiatives.
**Arts and Culture:**
* We are committed to extending our legacy of cultural engagement. Global support includes the CHANEL Culture Fund, which supports a select group of leading art culture institutions across the globe, and the CHANEL Next Prize for the next generation of creative talent. US support currently includes Annual sponsorship of the MoMA film program, Tribeca Film Festival programs and Through Her Lens, Support of the Academy Gold Fellowship for Women and Sponsorship of the BAAND Together Dance Festival at Lincoln Center.
**Fondation CHANEL:**
* Since 2011, Fondation CHANEL’s mission is for women and girls to be free to shape their own destiny. Through multi\-year partnerships with financial and technical support, Fondation CHANEL is committed to improving the safety and autonomy of women and adolescent girls around the world, impacting over a million women and girls in its first 10 years.
* For more information, please navigate to the Fondation CHANEL website here.
**Career and Leadership Development:**
* We have dedicated in\-house teams focused on supporting the onboarding of employees, developing leadership skills via custom programs like Imagine CHANEL People, Heart of Leadership and group and individual coaching, and blended online and live classes offered on our Bloom platform and by skilled trainers, such as Shape Your Career, to develop career building skills.
* CHANEL, Inc. benefits and perks are dependent on eligibility and subject to modification by CHANEL at any time.</t>
        </is>
      </c>
    </row>
    <row r="149">
      <c r="A149" t="inlineStr">
        <is>
          <t>li-4371160847</t>
        </is>
      </c>
      <c r="B149" t="inlineStr">
        <is>
          <t>Product Manager, Mobile Applications</t>
        </is>
      </c>
      <c r="C149" t="inlineStr">
        <is>
          <t>Black Diamond Group</t>
        </is>
      </c>
      <c r="D149" t="inlineStr">
        <is>
          <t>linkedin</t>
        </is>
      </c>
      <c r="E149">
        <f>HYPERLINK("https://www.linkedin.com/jobs/view/4371160847", "https://www.linkedin.com/jobs/view/4371160847")</f>
        <v/>
      </c>
      <c r="F149" t="inlineStr"/>
      <c r="G149" t="inlineStr">
        <is>
          <t>Scottsdale, AZ</t>
        </is>
      </c>
      <c r="H149" t="inlineStr"/>
      <c r="I149" t="inlineStr">
        <is>
          <t>**Scottsdale, AZ**
**About The Role**
 We’re seeking a driven Product Manager with strong experience in consumer\-facing Mobile applications (iOS \&amp; Android) to lead the development and optimization of the end\-to\-end experience for customers and travelers. You’ll collaborate closely with cross\-functional teams to define the product roadmap, translate customer needs into solutions, define success metrics, and ensure our platform evolves to meet the demands of a growing market.
 The ideal candidate will have strong analytical thinking abilities, as well as excellent communication and relationship\-building skills, being able to work across multiple teams to synthesize information and determine requirements. They will have 5\+ years of experience in product management, with strong mobile application experience, and a desire to collaborate with other product managers on platform (SaaS) solutions.
 This role is hybrid \- in\-office with 20% flexibility to work from home.
**Duties \&amp; Responsibilities**
**Product Strategy \&amp; Technical Vision**
* Define and articulate a clear product strategy that aligns with company goals and customer needs that defines the future of our mobile experiences
* Use data, research, and market insights to identify opportunities and prioritize initiatives.
* Develop and maintain a product roadmap that communicates priorities and progress to stakeholders.
**Stakeholder Collaboration**
* Collaborate with Product Management, Engineering, QA, and Design teams to prioritize and deliver high\-quality features.
* Communicate product plans, progress, and results to internal and external stakeholders.
* Partner with Sales, Marketing, and Customer Success to enable successful product launches.
**Execution \&amp; Delivery**
* Define clear, actionable requirements for new features and improvements through user stories, requirements and acceptance criteria.
* Manage product development from ideation to release, ensuring timely delivery of high\-impact initiatives.
* Monitor and analyze product performance post\-launch, using data to iterate and improve.
**Customer Focus**
* Act as the voice of the customer by deeply understanding their needs and advocating for solutions.
* Build relationships with users and gather insights to inform product direction
**Qualifications**
* 5 years of experience in product management with a focus on Mobile App development
* Bachelor’s degree in a relevant field;
* Strong understanding of Agile methodologies and experience working with engineering teams.
* Proven ability to define and deliver successful digital products or features.
* Excellent problem\-solving skills, with a user\-centric approach to product development.
* Familiarity with tools such as Jira, Confluence, Figma, or similar.
* Strong analytical skills, with the ability to interpret data and turn insights into action.
* Exceptional communication and collaboration skills, capable of influencing cross\-functional teams.
**Nice to Have**
* MBA or equivalent experience
* Experience in travel, logistics, or workforce solutions industries.
* Knowledge of travel or accommodation management challenges.
* Experience working with geographically distributed teams.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**LodgeLink Is a Black Diamond Group Company. Learn More**
 Black Diamond Group is a publicly traded company with 20 years of experience in modular space and workforce solutions, and operations across Canada, the United States, and Australia. Learn more: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t>
        </is>
      </c>
    </row>
    <row r="150">
      <c r="A150" t="inlineStr">
        <is>
          <t>li-4371463947</t>
        </is>
      </c>
      <c r="B150" t="inlineStr">
        <is>
          <t>Product Manager - Manufacturing</t>
        </is>
      </c>
      <c r="C150" t="inlineStr">
        <is>
          <t>Calnetix Technologies</t>
        </is>
      </c>
      <c r="D150" t="inlineStr">
        <is>
          <t>linkedin</t>
        </is>
      </c>
      <c r="E150">
        <f>HYPERLINK("https://www.linkedin.com/jobs/view/4371463947", "https://www.linkedin.com/jobs/view/4371463947")</f>
        <v/>
      </c>
      <c r="F150" t="inlineStr"/>
      <c r="G150" t="inlineStr">
        <is>
          <t>Cypress, CA</t>
        </is>
      </c>
      <c r="H150" t="inlineStr"/>
      <c r="I150" t="inlineStr">
        <is>
          <t>**Job description:** 
**Company Overview** 
 Calnetix Technologies, LLC is dedicated to transforming the energy landscape by developing innovative, high\-speed motor generator technologies that promote energy efficiency and environmental sustainability. We partner with Original Equipment Manufacturers (OEMs) across diverse industries to enhance existing products and pioneer new markets through cutting\-edge solutions.
**Overview** 
 We are seeking a
 **Product Manager** 
 with background in
 **Manufacturing** 
 to oversee the development, manufacturing and lifecycle management of mechanical components for a key client. This role will interface between internal teams, vendors and the client. You will manage product deliveries, scheduling and technical changes as needed.
 The ideal candidate has a strong mechanical engineering background, hands\-on manufacturing experience and experience managing mechanical products from concept to production.
**Duties** 
* Own and manage assigned mechanical component products throughout their lifecycle, from development through production and delivery
* Coordinate with internal engineering, manufacturing, and quality teams to ensure product requirements are met
* Manage external vendors and suppliers, including sourcing, technical alignment, timelines, and performance
* Develop and maintain project schedules, production timelines, and delivery plans
* Act as the primary point of contact for the customer, managing expectations, requirements, and ongoing communication
* Ensure products meet cost, quality, and performance targets
* Identify and mitigate technical, schedule, and supply chain risks
* Support design reviews, manufacturing readiness, and continuous improvement initiatives
* Track progress and report status to internal stakeholders and the client
**Requirements** 
* Bachelor’s degree in Mechanical Engineering or a related field
* Minimum of 3 years of experience in mechanical product management, manufacturing engineering, or a similar role
* Strong background in mechanical systems, with experience in motors, stators, magnetic bearings, or related electromechanical components preferred
* Hands\-on experience in a manufacturing environment
* Proven experience working with suppliers and contract manufacturers
* Strong project management skills, including scheduling and timeline management
* Some proficiency in Solidworks is a plus
* Use of MS Office tools for productivity and Project scheduling is necessary</t>
        </is>
      </c>
    </row>
    <row r="151">
      <c r="A151" t="inlineStr">
        <is>
          <t>li-4371305269</t>
        </is>
      </c>
      <c r="B151" t="inlineStr">
        <is>
          <t>Product Manager</t>
        </is>
      </c>
      <c r="C151" t="inlineStr">
        <is>
          <t>iperceptions</t>
        </is>
      </c>
      <c r="D151" t="inlineStr">
        <is>
          <t>linkedin</t>
        </is>
      </c>
      <c r="E151">
        <f>HYPERLINK("https://www.linkedin.com/jobs/view/4371305269", "https://www.linkedin.com/jobs/view/4371305269")</f>
        <v/>
      </c>
      <c r="F151" t="inlineStr"/>
      <c r="G151" t="inlineStr">
        <is>
          <t>Lake Mary, FL</t>
        </is>
      </c>
      <c r="H151" t="inlineStr"/>
      <c r="I151" t="inlineStr">
        <is>
          <t>**Product Manager** 
 Hybrid
 At Frontline Insurance, we are on a mission to Make Things Better, and our Product Manager plays a pivotal role in achieving this vision.  We strive to provide high quality service and proactive solutions to all our customers to ensure that we are making things better for each one.
 What makes us different? At Frontline Insurance, our core values – Integrity, Patriotism, Family, and Creativity – are at the heart of everything we do. We’re committed to making a difference and achieving remarkable things together. If you’re looking for a role, as a Product Manager, where you can make a meaningful impact and grow your career, your next adventure starts here!
 Our Product Manager enjoys robust benefits:
* Hybrid work schedule!
* Health \&amp; Wellness:  Company\-sponsored Medical, Dental, Vision, Life, and Disability Insurance (Short\-Term and Long\-Term).
* Financial Security: 401k Retirement Plan with up to a generous 9% match
* Work\-Life Balance:  Four weeks of PTO and Pet Insurance for your furry family members.
 What you can expect as a Product Manager:
* Develop new product lines as identified by senior leadership
* Conduct and/or oversee product research and provide intelligence to senior decision makers
* Make research backed product recommendations
* Oversee and continuously improve an efficient process to manage the company’s new product form filings.
* Coordinate with rating team in support of any related rate changes
* Lead market research into competitor’s filings, emerging markets, litigation trends, and innovative policy solutions to address key issues
* Work with compliance to ensure that new products comply with applicable state and/or federal regulations.
* Identify additional product opportunities to present to senior leadership
* As part of product development, assist in the formation of the complete product line including:
* Forms
* Underwriting Guidelines
* System Requirements
* Process Guidelines
* Manage state form filings and coordinate with regulators and senior leaders as required.
* Work with various departments and senior leadership to ensure successful launch of new products
* Provide new product training for various departments where appropriate
 What we are looking for as a Product Manager:
* 10\-15 years underwriting or forms development experience
* Product development experience preferred
* 5\+ years management experience
* College degree and/or insurance designation such as CPCU or CIC
* Knowledge of forms performance in matters of litigation is preferred
* Proficiency in policy forms drafting
* Well versed in the Florida insurance regulatory process and environment
 Why work for Frontline Insurance?
 At Frontline Insurance, we’re more than just a workplace – we’re a community of innovators, problem solvers, and dedicated professionals committed to our core values: Integrity, Patriotism, Family, and Creativity. We provide a collaborative, inclusive, and growth\-oriented work environment where every team member can thrive.
 Frontline Insurance is an equal\-opportunity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is>
      </c>
    </row>
    <row r="152">
      <c r="A152" t="inlineStr">
        <is>
          <t>li-4371169417</t>
        </is>
      </c>
      <c r="B152" t="inlineStr">
        <is>
          <t>Senior Product Manager</t>
        </is>
      </c>
      <c r="C152" t="inlineStr">
        <is>
          <t>Meltwater</t>
        </is>
      </c>
      <c r="D152" t="inlineStr">
        <is>
          <t>linkedin</t>
        </is>
      </c>
      <c r="E152">
        <f>HYPERLINK("https://www.linkedin.com/jobs/view/4371169417", "https://www.linkedin.com/jobs/view/4371169417")</f>
        <v/>
      </c>
      <c r="F152" t="inlineStr"/>
      <c r="G152" t="inlineStr">
        <is>
          <t>Charlotte, NC</t>
        </is>
      </c>
      <c r="H152" t="inlineStr"/>
      <c r="I152" t="inlineStr">
        <is>
          <t>**Description**
 About the Role
 Meltwater is looking for a Senior Product Manager to lead Search Services \- the foundational capabilities that power how customers discover, refine, organize, and reuse data across our social and media intelligence platform.
 Search sits at the heart of Meltwater’s products. The systems you own will enable customers to move seamlessly from exploration to insight, supporting workflows that span saved searches, filtering, enrichment, and downstream analytics and reporting. Your work will directly shape how efficiently users surface trends, monitor narratives, and make data\-driven decisions at scale.
 This role is ideal for a product leader who enjoys operating at the intersection of platform architecture, user experience, and data\-driven insights, and who thrives on solving complex problems with broad organizational impact.
 What You’ll Own
 Core Search \&amp; Asset Services
* Own the strategy and evolution of the services that allow customers to create, manage, organize, and reuse searches and related assets across Meltwater’s platform
* Enable intuitive organization and retrieval experiences that scale from individual users to large enterprise teams
* Provide reliable, scalable access to search assets and metadata for use across multiple Meltwater applications
 Search Filtering \&amp; Metadata
* Lead the development of powerful, usable search filtering capabilities, spanning both user experience and backend services
* Expand the metadata and dimensions customers can use to refine results while maintaining performance, clarity, and ease of use
* Define reusable filtering patterns that can be consistently applied across products and surfaces
 Cross\-Product Workflows
* Identify opportunities to connect search creation with downstream analysis, reporting, and monitoring workflows
* Enable natural, efficient transitions between finding data and turning it into insights across the Meltwater ecosystem
 What You’ll Do
* Define and execute a clear product vision and roadmap for Search Services in close partnership with Design and Engineering
* Balance near\-term delivery with longer\-term platform strategy and scalability
* Establish and track meaningful product KPIs, using data to inform decisions and continuously improve outcomes
* Collaborate closely with Product, Engineering, UX, Product Marketing, and Customer\-facing teams to align solutions with customer needs and business priorities
* Communicate progress, trade\-offs, and direction clearly to stakeholders across the organization
 What You’ll Bring
* 7\+ years of product management experience, with ownership of complex product areas involving search, data retrieval, content organization, or platform services
* Strong technical fluency, with the ability to partner effectively with engineering teams on APIs, services, and data\-driven systems
* Experience designing products that balance flexibility, usability, and performance at scale
* Proven ability to use product usage data and platform metrics to evaluate success and guide iteration
* Excellent communication and collaboration skills, with a track record of aligning cross\-functional teams around shared outcomes
* A strategic mindset paired with a hands\-on approach to execution
* Bachelor’s degree or equivalent practical experience required; advanced degree a plus.
 Why Join Meltwater
 At Meltwater, you’ll work on products that help organizations around the world understand the narratives shaping their industries. As Senior Product Manager for Search Services, you’ll own a highly visible, high\-impact product area that influences nearly every customer workflow \- and you’ll help define how search and insight generation evolve across a complex, data\-rich platform.
**What We Offer** 
 :
* 
+ Enjoy flexible paid time off that allows you to have an enhanced work\-life balance.
+ Excellent medical, dental, and vision options
+ 401(k) matching, life insurance, commuter benefits, and parental leave plans
+ Complimentary CalmApp subscription for you and your loved ones, because mental wellness matters.
+ Energetic work environment with a hybrid work style, providing the balance you need.
+ Thrive within our inclusive community and seize ongoing professional development opportunities to elevate your career.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
 We may use AI to assist in aspects of our hiring process, such as reviewing candidate information and supporting evaluation activities. These tools are used only to assist our team through increased efficiencies. Every output continues to be reviewed by humans, and all hiring decisions are made by humans. We remain committed to evaluating candidates fairly, consistently, and in compliance with all applicable laws.</t>
        </is>
      </c>
    </row>
    <row r="153">
      <c r="A153" t="inlineStr">
        <is>
          <t>li-4371485535</t>
        </is>
      </c>
      <c r="B153" t="inlineStr">
        <is>
          <t>Product Manager - Mobile Experiences</t>
        </is>
      </c>
      <c r="C153" t="inlineStr">
        <is>
          <t>Tive</t>
        </is>
      </c>
      <c r="D153" t="inlineStr">
        <is>
          <t>linkedin</t>
        </is>
      </c>
      <c r="E153">
        <f>HYPERLINK("https://www.linkedin.com/jobs/view/4371485535", "https://www.linkedin.com/jobs/view/4371485535")</f>
        <v/>
      </c>
      <c r="F153">
        <f>HYPERLINK("https://ats.rippling.com/tive-careers/jobs/46887a77-093a-44ef-984b-b0eb242e4298&amp;urlHash=oDKX", "https://ats.rippling.com/tive-careers/jobs/46887a77-093a-44ef-984b-b0eb242e4298&amp;urlHash=oDKX")</f>
        <v/>
      </c>
      <c r="G153" t="inlineStr"/>
      <c r="H153" t="inlineStr"/>
      <c r="I153" t="inlineStr">
        <is>
          <t>At Tive, we imagine a fully\-transparent world in which everything and everyone is connected. We innovate beyond what the world thought possible—so what people hold near and dear arrives on time and in full.
 We believe (and live!) four core values:
* Transparency First: We make everything visible so that everyone can operate better
* Always strive to make things simpler
* We are One Team, we have each other's backs
* Relentless iteration to optimize and improve
 Whether shipped by road, rail, ocean, or air, Tive reduces shipment delays, minimizes rejected loads, and decreases theft, damage, and spoilage. Our customers count on Tive to ensure that their shipments are delivered on time and in full—because every shipment matters.
 As the Product Manager for mobile experiences, you will own and evolve our mobile product—used daily by drivers, logistics operators, and frontline teams across the supply chain. You’ll be responsible for defining strategy, driving execution, and delivering intuitive, reliable mobile products that operate in high\-stakes, real\-world environments.
**Our Ideal Candidate Must Have**
* Bachelor's degree. Business, engineering, computer science, or related fields preferred.
* 5\+ total years of work experience and 3\+ years of product management experience
* Self\-starter with a proactive attitude and ability to thrive in a dynamic, entrepreneurial environment
* Proven track record of successfully shipping products and driving business results
* Strong analytical skills with the ability to use data to inform decision\-making
****Nice to Have****
* Experience delivering successful mobile experiences
* Experience delivering successful B2B products
* Previous experience at a high growth technology startup
**What You’ll Be Doing**
* Own the mobile product strategy and roadmap, aligned to company and customer outcomes
* Own the success and execution of initiatives, from concept to launch, including prioritizing features, creating product requirements, and coordinating release plans.
* Translate complex logistics workflows into simple, intuitive mobile experiences
* Maintain an exceptional product quality bar through deep collaboration during product development and ownership of launch decisions at the end of the process.
* Conduct user research with drivers, warehouse teams, and operations leaders to deeply understand real\-world constraints (connectivity, safety, time pressure)
* Define clear requirements, success metrics, and tradeoffs for mobile initiatives
* Manage execution across iOS and Android, including feature parity, performance, and reliability
* Balance near\-term delivery with long\-term mobile platform investments
* Communicate progress, decisions, and learnings to stakeholders across the company
**Need To Know Info**
* This role is remote, however candidates must be located in EST
* If you are located near our Boston HQ, you are welcome to work hybrid remote.
****What does Tive offer?****
* A chance to join what may very well turn out to be the most important company in your career.
* The autonomy and resources to build what you know how to build.
* Work with a committed global team that have each others back.
* Office\-based or hybrid options. Your choice.
* Competitive equity to ensure all of our employees have a sense of ownership in the long\-term success of Tive’s growth.
**We celebrate diversity, and consider it key to our success as both a team and a company. We are proud to be an equal\-opportunity employer, and we are committed to creating an inclusive environment of mutual respect for all employees.**</t>
        </is>
      </c>
    </row>
    <row r="154">
      <c r="A154" t="inlineStr">
        <is>
          <t>li-4371494085</t>
        </is>
      </c>
      <c r="B154" t="inlineStr">
        <is>
          <t>Technical Product Owner</t>
        </is>
      </c>
      <c r="C154" t="inlineStr">
        <is>
          <t>KCF Technologies, Inc.</t>
        </is>
      </c>
      <c r="D154" t="inlineStr">
        <is>
          <t>linkedin</t>
        </is>
      </c>
      <c r="E154">
        <f>HYPERLINK("https://www.linkedin.com/jobs/view/4371494085", "https://www.linkedin.com/jobs/view/4371494085")</f>
        <v/>
      </c>
      <c r="F154" t="inlineStr"/>
      <c r="G154" t="inlineStr">
        <is>
          <t>State College, PA</t>
        </is>
      </c>
      <c r="H154" t="inlineStr"/>
      <c r="I154" t="inlineStr">
        <is>
          <t>**Perks \&amp; Benefits:** 
 At KCF, we are committed to providing best\-in\-class benefits, engaging development opportunities, and powerful perks that are focused on bringing out the best in you.
 Full\-time benefits include:
* 100% company\-paid Medical, Dental, Vision, Disability, and Life Insurance premiums
* Health Savings Account with generous employer contributions
* Flexible work model for most positions, “work from home, work from anywhere”
* Competitive compensation \&amp; bonus opportunities
* Four weeks Paid Time Off; Paid Holidays \+ "Flex" Holiday
* 401(k) with company match
* Monthly cell phone and internet stipend
* $500 annual wellness reimbursement
* Learning culture committed to growth and continuous development
**Mission \&amp; Values:** 
 KCF Technologies exists to solve the world's machine health problems to drive safety and sustainability for our communities. We empower industry to eradicate downtime, waste, and injuries with KCF's Machine Health Solutions Platform.
 Learn more at www.kcftech.com
 Curious about what working at KCF is really like? Explore Life at KCF here! If you’re an A\-player who wants to be part of one of the most important companies revitalizing machine health across the world, KCF is the place for you. If our values resonate with you, please keep reading!
 Core Values:
 Smarts:
 We are humbly aggressive lifelong learners.
 Grit:
 We are scrappy, proactive problem solvers who don’t stop until the job is done.
 Drive:
 We demonstrate an insatiable hunger to serve others.
 Responsibility:
 We do the right thing and contribute to the greater good.
 Autonomy:
 We own our work and define how we do it, while aligned with the greater mission.
**Essential Functions:** 
* Work with stakeholders to define product vision, strategy, and the roadmap.
* Identify and document business requirements to fulfill the Roadmap initiatives along with acceptance criteria and work with Technical Leads to capture the technical and non\-functional requirements.
* Prioritize features based on business value, technical complexity, and customer feedback.
* Work closely with development teams to ensure timely delivery of features and enhancements.
* Conduct market research and competitive analysis to identify new opportunities and stay ahead of industry trends.
* Collaborate with other Technical Product Owners to prioritize features and resources across various bodies of work.
* Act as a subject matter expert for your product area, providing guidance and support to internal teams and stakeholders.
* Lead Initiative Kick\-Offs, Progress Reviews, and assist with knowledge sharing during Refinements and Sprint Planning sessions.
* Monitor and analyze product adoption rates and key performance metrics to track product performance and identify areas for improvement.
* Continuously iterate and improve products based on user feedback and market insights.
* Other duties as assigned by the supervisor and other KCF leadership staff.
**Qualifications:** 
* Prior experience as a Technical Product Owner or a similar role in a software, hardware, or analytics development environment preferred
* Strong understanding of Agile methodologies and frameworks (e.g. Scrum, Kanban)
* Superb communication skills with the ability to effectively collaborate with cross\-functional teams
* Solid technical background with experience in software development, web technologies, and cloud platforms
* Proven experience managing several large projects with tight timelines effectively
* Strong analytics and problem\-solving skills
* Ability to thrive in a fast\-paced, dynamic environment and manage multiple priorities simultaneously
* Experience working with Azure DevOps, GitHub, or other similar software development tools
* Bachelor’s degree in Computer Science, Engineering, or similar related field preferred
 At KCF Technologies, we are an Equal Opportunity Employer. The only things we require for employment, compensation, advancement and benefits are performance and a good team attitude. No one will be denied opportunities or benefits, and no employment decisions will be made, on the basis of race, religion/creed, national origin, ancestry, sex, sexual orientation, gender, gender identity, age, disability that does not prohibit performance of essential job functions, protected veteran status, medical condition, marital status, pregnancy, genetic information, possession of a general education development certificate (“GED”) as compared to a high school diploma, or any other characteristic protected by applicable federal or state laws. KCF complies with applicable state and local laws governing nondiscrimination in employment in every location in which KCF has facilities.</t>
        </is>
      </c>
    </row>
    <row r="155">
      <c r="A155" t="inlineStr">
        <is>
          <t>li-4363910011</t>
        </is>
      </c>
      <c r="B155" t="inlineStr">
        <is>
          <t>Product Manager (Retention and Rewards)</t>
        </is>
      </c>
      <c r="C155" t="inlineStr">
        <is>
          <t>Covert Recruiting</t>
        </is>
      </c>
      <c r="D155" t="inlineStr">
        <is>
          <t>linkedin</t>
        </is>
      </c>
      <c r="E155">
        <f>HYPERLINK("https://www.linkedin.com/jobs/view/4363910011", "https://www.linkedin.com/jobs/view/4363910011")</f>
        <v/>
      </c>
      <c r="F155" t="inlineStr"/>
      <c r="G155" t="inlineStr"/>
      <c r="H155" t="inlineStr"/>
      <c r="I155" t="inlineStr">
        <is>
          <t>**Product Manager, Retention \&amp; Rewards** 
**Full Time** 
**Full Remote** 
**$120\-150k base salary plus benefits.** 
**About the Client Company:** 
 We are a fast\-growing consumer fintech platform focused on expanding access to education and helping students reduce financial burden. Operating at the intersection of fintech, education, and payments, we build scalable products that drive long\-term value for millions of members. Our team prioritizes sustainable growth, strong unit economics, and meaningful user impact.
**The Role** 
 We are hiring a Product Manager, Retention \&amp; Rewards to own strategy and execution for increasing monthly active users (MAUs) and strengthening long\-term engagement.
 This is a high\-impact individual contributor role with full ownership of retention and engagement initiatives. You will lead the roadmap for rewards, lifecycle engagement, and in\-product experiences that deepen habit formation and long\-term value.
 You’ll collaborate closely with engineering, design, marketing, operations, and data to build durable growth loops and scalable retention systems.
**What You’ll Own** 
* MAU growth and retention across key lifecycle milestones
* Rewards strategy and roadmap (earning, redemption, ledger experience, expansion)
* Engagement surfaces including mobile, browser extensions, and in\-app experiences
* Lifecycle strategy across email, push, SMS, and in\-product messaging
* Experimentation and analytics to identify high\-leverage retention opportunities
* Cross\-functional execution to ship features that increase engagement and long\-term value
* Strategic input on product economics, user value, and support impact
* Platform\-level thinking across rewards, engagement tools, and core user flows
**What You Bring** 
* Proven experience as a retention, lifecycle, or rewards\-focused product manager in a consumer or fintech environment
* Strong analytical capability and comfort working in SQL; able to build dashboards and use data to guide decisions
* Track record of leading high\-impact initiatives in fast\-paced environments
* Experience with notifications, lifecycle messaging, rewards systems, or browser\-based products is a plus
* Ability to translate complex retention mechanics into intuitive product experiences
* Strong communication and cross\-functional collaboration skills
* Comfort operating in ambiguity and building from first principles
* A high\-performing individual contributor who enjoys ownership and deep work</t>
        </is>
      </c>
    </row>
    <row r="156">
      <c r="A156" t="inlineStr">
        <is>
          <t>li-4371440724</t>
        </is>
      </c>
      <c r="B156" t="inlineStr">
        <is>
          <t>Sr. Product Manager - Specialty Pharmacy</t>
        </is>
      </c>
      <c r="C156" t="inlineStr">
        <is>
          <t>Omnicell</t>
        </is>
      </c>
      <c r="D156" t="inlineStr">
        <is>
          <t>linkedin</t>
        </is>
      </c>
      <c r="E156">
        <f>HYPERLINK("https://www.linkedin.com/jobs/view/4371440724", "https://www.linkedin.com/jobs/view/4371440724")</f>
        <v/>
      </c>
      <c r="F156" t="inlineStr"/>
      <c r="G156" t="inlineStr">
        <is>
          <t>Austin, TX</t>
        </is>
      </c>
      <c r="H156" t="inlineStr"/>
      <c r="I156" t="inlineStr">
        <is>
          <t>The
 **Senior Product Manager – Specialty Pharmacy** 
 will lead the vision, strategy, and execution of our next‑generation specialty pharmacy. This individual will transform our current managed service offering into a
 **modular, scalable, technology‑first platform built on OmniSphere** 
 , enabling health systems to establish, manage, and optimize their own entity‑owned specialty pharmacies.
 In this role, you will define the product direction for a rapidly growing and strategically critical business. You’ll partner closely with engineering, design, operations, clinical, data science, and go‑to‑market teams to translate the evolving needs of health systems, pharmacists, prescribers, and patients into a compelling and differentiated product experience. You will guide products through the full lifecycle—from discovery and strategy to launch, customer adoption, and iterative enhancement—delivering meaningful improvements in patient access, pharmacy growth, operational efficiency, and margin performance.
**Key Responsibilities**
* Set and own the long‑term product strategy and roadmap for the Specialty Pharmacy platform, grounded in market trends, regulatory dynamics, payer/benefit design shifts, competitive offerings, and deep customer insight.
* Transform the specialty pharmacy offering from a managed model into a configurable, modular SaaS platform delivered on OmniSphere, enabling scalability, automation, and repeatability across health systems.
* Lead cross\-functional product development, partnering with Engineering, UX, Clinical, Operations, Data, Sales, and Marketing to ensure high‑quality delivery, launch readiness, and ongoing alignment across the business.
* Engage directly with health systems to uncover unmet needs, validate hypotheses, and shape product direction through research, interviews, workflow observations, and pilot programs.
* Drive rigorous prioritization, balancing customer value, strategic impact, technical considerations, and revenue potential—while managing innovation vs. technical debt vs. foundational work.
* Develop compelling value propositions and product positioning that support commercial readiness, pricing strategies, and differentiated messaging in the market.
* Ensure compliance and quality, aligning with regulatory, clinical, and pharmacy best practices in collaboration with internal experts.
* Monitor product performance to identify opportunities to improve adoption, reduce cost, accelerate time‑to‑value, or strengthen customer satisfaction.
**Required Qualifications**
* 5\+ years of product management experience delivering complex technology solutions (SaaS, platforms, workflow systems, or health IT).
* Experience in specialty pharmacy, pharmacy operations, health system solutions, care management, or medical benefit/claims workflows. Strong understanding of healthcare operations, specialty pharmacy workflows, or adjacent areas (e.g., prior authorization, benefits verification, HUB services, payer engagement).
* Deep experience translating user workflows and business models into structured product capabilities and platform components.
* Demonstrated ability to collaborate across technical and non‑technical teams and influence without authority.
* Proven success leading products from concept to launch in fast‑paced environments.
* Data‑driven mindset with the ability to define metrics, interpret insights, and make informed prioritization decisions.
* Skilled at breaking down complex problems into simple, actionable solutions.
* Proficient in modern product management tools (e.g., Jira, Confluence). Familiarity with AI prototyping tools (e.g., Builder.io, Figma AI)
* Excellent communication, storytelling, and presentation skills.
**Preferred Qualifications**
* Background working with platform architecture or modular product ecosystems.
* Familiarity with healthcare interoperability (FHIR, HL7\), EHR integrations, or pharmacy systems.
* Experience managing regulated healthcare products or working within hospital/health system environments.
* Bachelor’s degree in engineering, computer science, business, pharmacy, or related field; advanced degree or MBA a plus.
* Customer‑facing experience in technical, consulting, or implementation roles.
**Work Conditions**
* Remote position.
* Occasional travel up to 20% for customer visits, conferences, and internal collaboration.</t>
        </is>
      </c>
    </row>
    <row r="157">
      <c r="A157" t="inlineStr">
        <is>
          <t>li-4371199275</t>
        </is>
      </c>
      <c r="B157" t="inlineStr">
        <is>
          <t>Senior Product Manager</t>
        </is>
      </c>
      <c r="C157" t="inlineStr">
        <is>
          <t>Hiive</t>
        </is>
      </c>
      <c r="D157" t="inlineStr">
        <is>
          <t>linkedin</t>
        </is>
      </c>
      <c r="E157">
        <f>HYPERLINK("https://www.linkedin.com/jobs/view/4371199275", "https://www.linkedin.com/jobs/view/4371199275")</f>
        <v/>
      </c>
      <c r="F157">
        <f>HYPERLINK("https://jobs.ashbyhq.com/hiive/afdff67b-0d05-40be-a3f2-6c1956718bc4?source=linkedinapplicant&amp;urlHash=sKab", "https://jobs.ashbyhq.com/hiive/afdff67b-0d05-40be-a3f2-6c1956718bc4?source=linkedinapplicant&amp;urlHash=sKab")</f>
        <v/>
      </c>
      <c r="G157" t="inlineStr">
        <is>
          <t>Portland, OR</t>
        </is>
      </c>
      <c r="H157" t="inlineStr"/>
      <c r="I157" t="inlineStr">
        <is>
          <t>Recognized as one of Canada’s top startups two years in a row — climbing from \#4 in 2024 to \#2 in 2025 — Hiive is a fintech/marketplace startup connecting buyers and sellers of stock in venture\-backed pre\-IPO companies🚀. Thanks to our industry\-leading technology and best\-in\-class sales and trading team, we are home to the fastest\-growing marketplace for the stock of “unicorns” on the planet. As a profitable and rapidly growing business backed by US venture capital investors, we are seeking to scale our high\-performing team.
 Interested in learning more about life at Hiive? Check out our careers page to see how you can grow with us!
 As a
 **Senior Product Manager** 
 , you would join our fast growing product team reporting to an experienced product leader with over 25 years in the industry. Hiive has a modern tech stack and quality engineering that ships high\-quality updates quickly. You will be expected to ramp up quickly and work with designers and engineers to deliver meaningful change in the business.
**In This Role, Your Responsibilities Would Include**
* Being a masterful prioritizer, able to balance competing objectives, customer versus business needs, and short\-term and long\-term goals.
* Being a highly organized thinker, able to structure their process around mental models and communicate those thoughts.
* Having a customer\-centric mindset and a passion for improving user experiences.
* Understanding systems and how to change them to achieve business and user goals while addressing the implications of change.
* Having a deep understanding and experience in effective product development processes.
**Required Experience**
* 6\+ years of product management experience at early\-stage to growth\-stage startups.
* A proven track record of managing and launching multiple successful products or large features that have solved meaningful customer problems.
* Strong analytical and problem\-solving skills, with the ability to work with databases and analytics tools to make data\-driven decisions.
* Defining, measuring, and optimizing around product KPIs.
* Exceptional communication and presentation skills.
* Experience collaborating with cross\-functional teams, including engineering, design, marketing and sales.
**Preferable Experience**
* Experience in marketplaces of any kind, fintech, or similar.
* Software engineering background.
* Knowledge of Amplitude and Business Intelligence solutions for querying data.
**Benefits**
* Opportunity to participate in ownership of a rapidly growing early\-stage startup through our employee stock option plan.
* Comprehensive 100% employer\-paid health and dental premiums, and a health spending account.
* A dedicated desk in our Vancouver, BC HQ, in the heart of downtown, with a fridge stocked with healthy snacks and drinks, an onsite gym and a gorgeous rooftop amenity.
* Preference to those willing to work in our Vancouver, BC HQ, with a first\-class view of the mountains. Open to Canadian or US\-based remote candidates.
* Enjoy a $20 per day commuter benefit for every day you work in our Vancouver HQ.
* An engaging social calendar, including bi\-weekly catered lunches, bi\-weekly “Friday bar”, team workouts, annual summer party and holiday party, two “onsite” all\-team retreats each year, semi\-annual team\-building events, and Hiive Womens’ Network events.
* Significant opportunities for growth into team leadership and management roles.
* Entrepreneurial culture, and a small and dynamic team.
* Sponsorship, immigration and relocation for exceptional candidates.
 Hiive is committed to fostering an inclusive workplace where all individuals have an opportunity to succeed.</t>
        </is>
      </c>
    </row>
    <row r="158">
      <c r="A158" t="inlineStr">
        <is>
          <t>li-4342794544</t>
        </is>
      </c>
      <c r="B158" t="inlineStr">
        <is>
          <t>Product Manager - Accounts</t>
        </is>
      </c>
      <c r="C158" t="inlineStr">
        <is>
          <t>Vercel</t>
        </is>
      </c>
      <c r="D158" t="inlineStr">
        <is>
          <t>linkedin</t>
        </is>
      </c>
      <c r="E158">
        <f>HYPERLINK("https://www.linkedin.com/jobs/view/4342794544", "https://www.linkedin.com/jobs/view/4342794544")</f>
        <v/>
      </c>
      <c r="F158">
        <f>HYPERLINK("https://job-boards.greenhouse.io/vercel/jobs/5589398004?gh_src=3d7d0c634us&amp;urlHash=9FOn", "https://job-boards.greenhouse.io/vercel/jobs/5589398004?gh_src=3d7d0c634us&amp;urlHash=9FOn")</f>
        <v/>
      </c>
      <c r="G158" t="inlineStr">
        <is>
          <t>San Francisco, CA</t>
        </is>
      </c>
      <c r="H158" t="inlineStr"/>
      <c r="I158"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**About the Role:**
 We’re looking for a scrappy and high\-output Product Manager to lead key initiatives in identity, authentication, and growth infrastructure. You’ll play a pivotal role in shaping how developers and teams interact with Vercel \- from individual accounts to enterprise organizations. You’ll drive strategic initiatives like account model evolution, RBAC, third\-party integrations, and simplified sign\-in flows.
 This is a highly cross\-functional role that requires a hands\-on mindset, analytical thinking, and a strong product sense. You’ll work closely with Engineering, Design, GTM, and Executive stakeholders to ensure we’re building scalable systems that grow with our users.
 If you’re based within a pre\-determined commuting distance of one of our offices (SF, NY, London, or Berlin), the role includes in\-office anchor days on Monday, Tuesday, and Friday. If you're located beyond that distance, the role is fully remote. For location\-specific details, please connect with our recruiting team.
**What You Will Do:**
* Own the Identity \&amp; Access roadmap: Drive key initiatives around authentication, authorization, organization modeling, and secure access controls.
* Optimize the account experience: Iterate on signup, login, and onboarding flows for hobbyists, pros, and enterprise users through data\-driven experimentation.
* Scale access for enterprises: Design features that enable complex org structures and secure collaboration via RBAC, SSO, SCIM, and more.
* Drive integrations: Ensure seamless interoperability with key platforms, identity providers, and marketplaces.
* Set Vercel standards: Shape account and access patterns that feel native to developers across tools and ecosystems.
* Turn feedback into action: Translate data, user research, and customer conversations into clear product requirements and strategies.
**About You:**
* Proven ability to get things done with speed and focus \- able to thrive in a fast\-moving environment without heavy process.
* Strong analytical and structured thinking\- you can navigate tradeoffs and design scalable systems with clarity.
* A collaboration\-first mindset \- you work exceptionally well with Engineers, Designers, and Execs.
* Deep experience with authentication, authorization, identity, and security\-focused product areas.
* Understanding of organizational modeling (e.g. user vs. team vs. enterprise) and implementing secure role\-based access systems.
* Experience building B2B SaaS or cloud products, especially in fast\-growing AI\-native companies.
* You’re a power user of AI tools and stay up to speed on the evolution of the AI and developer tooling space.
**Bonus If You:**
 Have a passion for Vercel \&amp; Frontend Ecosystem: You appreciate our mission, understand the needs of modern developers, and have opinions about where frontend technology is headed.
**Benefits:**
* Competitive compensation package, including equity.
* Inclusive Healthcare Package.
* Learn and Grow \- we provide mentorship and send you to events that help you build your network and skills.
* Flexible Time Off.
* We will provide you the gear you need to do your role, and a WFH budget for you to outfit your space as needed.
 The San Francisco, CA base pay range for this role is $168,000\-$252,000\.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159">
      <c r="A159" t="inlineStr">
        <is>
          <t>li-4371199338</t>
        </is>
      </c>
      <c r="B159" t="inlineStr">
        <is>
          <t>Product Manager - User Experience</t>
        </is>
      </c>
      <c r="C159" t="inlineStr">
        <is>
          <t>TradeCentric</t>
        </is>
      </c>
      <c r="D159" t="inlineStr">
        <is>
          <t>linkedin</t>
        </is>
      </c>
      <c r="E159">
        <f>HYPERLINK("https://www.linkedin.com/jobs/view/4371199338", "https://www.linkedin.com/jobs/view/4371199338")</f>
        <v/>
      </c>
      <c r="F159" t="inlineStr"/>
      <c r="G159" t="inlineStr">
        <is>
          <t>Charlottesville, VA</t>
        </is>
      </c>
      <c r="H159" t="inlineStr"/>
      <c r="I159" t="inlineStr">
        <is>
          <t>**Department:** 
 Product
**Location:** 
 US \- Remote
**Description**
**Job Summary:**
 At TradeCentric, we're transforming how B2B suppliers and buyers transact digitally by simplifying complicated workflows through innovation, AI and thoughtful design. We’re seeking a seasoned
 **Product Manager \- User Experience** 
 to drive the product roadmap and evolve the user experience across our product suite with a strong focus on technical, expert users.
 This role is responsible for defining and executing UX\-driven and data\-informed initiatives for highly technical platforms, partnering closely with Design, Engineering, and Go\-To\-Market teams. You will lead efforts that improve self\-service and insight generation for users who interact directly with complex configuration, integration and operation workflows.
 The ideal candidate will have previous experience working on complex SaaS products for technical users in the domains of B2B, eCommerce or Integration, and a hands\-on approach to defining clear, actionable requirements. They will also possess strong communication skills and have experience communicating at all levels, from engineers to business executives. The solutions you deliver with your team will directly contribute to customer success and support TradeCentric’s continued growth as the leader of eProcurement integration.
**Report To:** 
 Director of Product Management
**Pay Range:** 
 $135,000–$150,000 annually, plus eligibility for an annual bonus of up to 5% of base salary based on company and individual performance.
 *Final compensation is determined based on skills, experience, and qualifications.*
**Work Location:** 
 This is a
 **100% remote position** 
 . We are currently seeking candidates who are based in or near the following locations:
* Raleigh, North Carolina
* Charlottesville, Virginia
* Boston, Massachusetts
* Minneapolis, Minnesota
* Chicago, Illinois
**What You'll Do**
* Work with Product leadership and the Product Management team to plan roadmaps that align with our strategic objectives.
* Leverage customer and stakeholder feedback, product performance and usage data, and competitive analysis in roadmap planning.
* Own the definition of product requirements, including writing clear, detailed user stories and acceptance criteria that enable Engineering to refine, build, test, and deliver high\-quality solutions.
* Collaborate with QA by providing unambiguous acceptance criteria that support effective test planning and validation.
* Partner with Design to ensure complex technical workflows are intuitive, safe, and efficient for expert users.
* Collaborate with Marketing and Go\-To\-Market teams on planning, positioning, enablement, and launches.
* Leverage AI tools effectively as an accelerator to delivering intelligent and intentional products.
* Appropriately incorporate AI to streamline and enhance user workflows.
* Be the voice of the customer and subject matter expert for your product areas by supporting demos, customer conversations, internal training, and critical support escalations.
* Track key performance metrics (KPIs) to measure product success and identify areas for improvement.
* Build and maintain effective relationships with customers and technical partners.
* Support and participate in continuous improvement efforts within the Product team.
**Who You Are**
* Bachelor Degree in Business, Computer Science, or a related field is preferred.
* 4–7 years of experience as a Product Manager, ideally in B2B, eCommerce, integration, or enterprise SaaS environments.
* Demonstrated experience working on products with technical end users such as engineers, integration specialists, administrators, or system operators.
* Excellent organizational and prioritization skills, with the ability to manage multiple initiatives simultaneously.
* Strong UX sensibility with ability to simplify complex workflows for both technical and business users.
* Analytical mindset, with the ability to interpret data and make data\-driven decisions.
* Excellent communication and interpersonal skills, with the ability to effectively collaborate with cross\-functional teams, communicate at an Executive level, as well as write User Stories.
* A great teammate. Confident and passionate, yet humble and empathetic.
* Comfortable working within an Agile development environment.
**Company Benefits**
 At TradeCentric, we have a strong and innovative team dedicated to transforming the way our clients do business. It is our people who make it happen and we strive to take care of our employees in every way we can. Below is a list of benefits that are offered to employees, once eligibility is met:
 🕒 Flexible Time Off
 🕒 Volunteer Time Off
 🩺 Health Benefits: Medical, Dental and Vision
 💰 Health Savings Account (HSA) and Flexible Spending Account (FSA)
 👨‍👩‍👧‍👦 Dependent Care FSA (DCFSA)
 📈 401k with Company Match
 👶 Paid Parental Leave
 🛡️ Company paid Short Term \&amp; Long Term Disability
 🛡️ Company paid Life Insurance
 🏠 Monthly Work from Home Stipend
 🎓 Professional Development Reimbursement Program
**TradeCentric is an equal opportunity employer (M/F/D/V).**
 We recruit, employ, train, compensate, and promote without regard to race, religion, creed, color, national origin, age, gender, sexual orientation, gender identity, marital status, disability, veteran status, or any other basis protected by applicable federal, state or local law.
 Reasonable accommodations may be made to enable individuals with disabilities to perform the essential functions.</t>
        </is>
      </c>
    </row>
    <row r="160">
      <c r="A160" t="inlineStr">
        <is>
          <t>li-4311326471</t>
        </is>
      </c>
      <c r="B160" t="inlineStr">
        <is>
          <t>Senior Product Manager</t>
        </is>
      </c>
      <c r="C160" t="inlineStr">
        <is>
          <t>Qualcomm</t>
        </is>
      </c>
      <c r="D160" t="inlineStr">
        <is>
          <t>linkedin</t>
        </is>
      </c>
      <c r="E160">
        <f>HYPERLINK("https://www.linkedin.com/jobs/view/4311326471", "https://www.linkedin.com/jobs/view/4311326471")</f>
        <v/>
      </c>
      <c r="F160" t="inlineStr"/>
      <c r="G160" t="inlineStr">
        <is>
          <t>Folsom, CA</t>
        </is>
      </c>
      <c r="H160" t="inlineStr"/>
      <c r="I160" t="inlineStr">
        <is>
          <t>**Company**
 Qualcomm Technologies, Inc.
**Job Area**
 Operations Group, Operations Group \&gt; Product Management
**General Summary**
 Qualcomm is looking for an experienced Windows Product Manager with passion for Windows software solutions running on Windows on Snapdragon on Qualcomm SoCs.
 Ideal candidate has background to understand and identify product categories across multiple layers of Software, Windows Operating System, Kernel, Compiler, Drivers, BIOS features, Enterprise Software ..Etc. As a Windows Software Product Manager, you'll be owning and driving all platform software aspects and producing best in class solutions for next generation of Consumer, and Enterprise products based on Windows on Snapdragon.
 In this role you will work closely with software architects, OS and kernel developers, CPU architects and SOC architects to define performance optimization strategies to deliver the best performing Windows on Snapdragon desktop devices.
 We are looking for a self\-starter, with excellent people and leadership skills to drive analysis and planning with senior technical members from broad set of teams across Qualcomm and external partners. Should be able to self\-manage and work through ambiguous issues and requirements. The candidate should have strong written and verbal communication skills.
**Responsibilities**
* Development of software architecture that scales and is portable across diverse Windows on Snapdragon compute products based on Qualcomm SoCs
* Partner closely with the core technology teams to create a roadmap of software offerings to OEMs, ODMs \&amp; third\-party application vendors.
* The right candidate would need to have a deep technical understanding to work and drive software engineering to achieve the above goals. The candidate will need to work with multiple teams from technology product management and engineering and must have the ability to work across teams and build consensus.
* Deep understanding of Windows Operating System
* Proficiency with software portability across multiple generation hardware platforms
* Present data to the team and leadership on product software gaps and options to close the gaps and expand market reach.
* Collaborate with internal teams and external partners for analysis, optimizations, benchmarks ..etc.
* Collaborates with others inside and outside of project team to accomplish project objectives.
* Makes decisions based on incomplete, contradictory, and ambiguous requirements and information that affect policies and multiple teams in the software development process. Manages project priorities, deadlines, and deliverables for larger projects.
* Acts as a tech lead on projects and owns the outcome of the project.
* Leads others with technical credibility.
**Minimum Qualifications**
* Bachelor's degree in Engineering, Information Systems, Computer Science, Humanities, or related field.
* 4\+ years of Product Management or related work experience.
**Preferred Qualifications**
* 7\+ years of Product Management or related work experience.
* 2\+ years of working with operating budgets and/or project financials.
* 2\+ years of negotiating 3rd party business agreements.
* 2\+ years of working in a large matrixed organization.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$162,400\.00 \- $243,600\.00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61">
      <c r="A161" t="inlineStr">
        <is>
          <t>li-4371170352</t>
        </is>
      </c>
      <c r="B161" t="inlineStr">
        <is>
          <t>Senior Product Manager</t>
        </is>
      </c>
      <c r="C161" t="inlineStr">
        <is>
          <t>Meltwater</t>
        </is>
      </c>
      <c r="D161" t="inlineStr">
        <is>
          <t>linkedin</t>
        </is>
      </c>
      <c r="E161">
        <f>HYPERLINK("https://www.linkedin.com/jobs/view/4371170352", "https://www.linkedin.com/jobs/view/4371170352")</f>
        <v/>
      </c>
      <c r="F161">
        <f>HYPERLINK("https://meltwatercareers.ttcportals.com/en/jobs/17332197-senior-product-manager?tm_job=12706-OTHLOC-CKxnYfwm&amp;tm_event=view&amp;tm_company=89119&amp;bid=370&amp;__jvst=Job+Board&amp;__jvsd=LinkedIn&amp;urlHash=0ND1", "https://meltwatercareers.ttcportals.com/en/jobs/17332197-senior-product-manager?tm_job=12706-OTHLOC-CKxnYfwm&amp;tm_event=view&amp;tm_company=89119&amp;bid=370&amp;__jvst=Job+Board&amp;__jvsd=LinkedIn&amp;urlHash=0ND1")</f>
        <v/>
      </c>
      <c r="G161" t="inlineStr">
        <is>
          <t>Washington, DC</t>
        </is>
      </c>
      <c r="H161" t="inlineStr"/>
      <c r="I161" t="inlineStr">
        <is>
          <t>**Description**
 About the Role
 Meltwater is looking for a Senior Product Manager to lead Search Services \- the foundational capabilities that power how customers discover, refine, organize, and reuse data across our social and media intelligence platform.
 Search sits at the heart of Meltwater’s products. The systems you own will enable customers to move seamlessly from exploration to insight, supporting workflows that span saved searches, filtering, enrichment, and downstream analytics and reporting. Your work will directly shape how efficiently users surface trends, monitor narratives, and make data\-driven decisions at scale.
 This role is ideal for a product leader who enjoys operating at the intersection of platform architecture, user experience, and data\-driven insights, and who thrives on solving complex problems with broad organizational impact.
 What You’ll Own
 Core Search \&amp; Asset Services
* Own the strategy and evolution of the services that allow customers to create, manage, organize, and reuse searches and related assets across Meltwater’s platform
* Enable intuitive organization and retrieval experiences that scale from individual users to large enterprise teams
* Provide reliable, scalable access to search assets and metadata for use across multiple Meltwater applications
 Search Filtering \&amp; Metadata
* Lead the development of powerful, usable search filtering capabilities, spanning both user experience and backend services
* Expand the metadata and dimensions customers can use to refine results while maintaining performance, clarity, and ease of use
* Define reusable filtering patterns that can be consistently applied across products and surfaces
 Cross\-Product Workflows
* Identify opportunities to connect search creation with downstream analysis, reporting, and monitoring workflows
* Enable natural, efficient transitions between finding data and turning it into insights across the Meltwater ecosystem
 What You’ll Do
* Define and execute a clear product vision and roadmap for Search Services in close partnership with Design and Engineering
* Balance near\-term delivery with longer\-term platform strategy and scalability
* Establish and track meaningful product KPIs, using data to inform decisions and continuously improve outcomes
* Collaborate closely with Product, Engineering, UX, Product Marketing, and Customer\-facing teams to align solutions with customer needs and business priorities
* Communicate progress, trade\-offs, and direction clearly to stakeholders across the organization
 What You’ll Bring
* 7\+ years of product management experience, with ownership of complex product areas involving search, data retrieval, content organization, or platform services
* Strong technical fluency, with the ability to partner effectively with engineering teams on APIs, services, and data\-driven systems
* Experience designing products that balance flexibility, usability, and performance at scale
* Proven ability to use product usage data and platform metrics to evaluate success and guide iteration
* Excellent communication and collaboration skills, with a track record of aligning cross\-functional teams around shared outcomes
* A strategic mindset paired with a hands\-on approach to execution
* Bachelor’s degree or equivalent practical experience required; advanced degree a plus.
 Why Join Meltwater
 At Meltwater, you’ll work on products that help organizations around the world understand the narratives shaping their industries. As Senior Product Manager for Search Services, you’ll own a highly visible, high\-impact product area that influences nearly every customer workflow \- and you’ll help define how search and insight generation evolve across a complex, data\-rich platform.
**What We Offer** 
 :
* 
+ Enjoy flexible paid time off that allows you to have an enhanced work\-life balance.
+ Excellent medical, dental, and vision options
+ 401(k) matching, life insurance, commuter benefits, and parental leave plans
+ Complimentary CalmApp subscription for you and your loved ones, because mental wellness matters.
+ Energetic work environment with a hybrid work style, providing the balance you need.
+ Thrive within our inclusive community and seize ongoing professional development opportunities to elevate your career.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
 We may use AI to assist in aspects of our hiring process, such as reviewing candidate information and supporting evaluation activities. These tools are used only to assist our team through increased efficiencies. Every output continues to be reviewed by humans, and all hiring decisions are made by humans. We remain committed to evaluating candidates fairly, consistently, and in compliance with all applicable laws.</t>
        </is>
      </c>
    </row>
    <row r="162">
      <c r="A162" t="inlineStr">
        <is>
          <t>li-4365101550</t>
        </is>
      </c>
      <c r="B162" t="inlineStr">
        <is>
          <t>Principal Product Manager</t>
        </is>
      </c>
      <c r="C162" t="inlineStr">
        <is>
          <t>Microsoft</t>
        </is>
      </c>
      <c r="D162" t="inlineStr">
        <is>
          <t>linkedin</t>
        </is>
      </c>
      <c r="E162">
        <f>HYPERLINK("https://www.linkedin.com/jobs/view/4365101550", "https://www.linkedin.com/jobs/view/4365101550")</f>
        <v/>
      </c>
      <c r="F162" t="inlineStr"/>
      <c r="G162" t="inlineStr">
        <is>
          <t>Mountain View, CA</t>
        </is>
      </c>
      <c r="H162" t="inlineStr"/>
      <c r="I162" t="inlineStr">
        <is>
          <t>**Overview**
 Microsoft AI is a customer\-first organization building AI powered products in service of our customer’s business goals. The world is changing rapidly during this AI platform shift and we need Product Managers who can live in the future and bring back clarity to the present to guide our work.
 As a Principal Product Manager for Microsoft AI, you will help businesses that want to grow and expand their business using our products, data, and services through advertising and new business models that unlock AI\-first products. This role requires consistent knowledge and deep awareness of the emerging AI industry to develop new products as we have the freedom and flexibility to use the best technology in service of our customer.
 We work within Microsoft AI (MAI), an organization responsible for Copilot, Bing, Edge, MSN, and other AI\-first products. The organization has all the ingredients needed for success with Product, Engineering, Research, and Go To Market functions partnering as peers with shared goals. This enables close collaboration and rapid decision making.
 One of the reasons Microsoft AI consistently brings innovative products to market is because of the collaborative work we do in Product Management. We work closely with talented engineers, designers, marketers, creatives, customers, partners, and go\-to\-market teams to design and develop products tailored for our customer’s benefit. We run lean, obsess about users, and make decisions based on evidence. We ship regularly, so your work will have real and immediate impact. It’s a time of huge change in the AI landscape, and this role will put you right in the heart of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Drive building world\-class AI applications that will delight consumers and deliver business results .
* Own a product area and be responsible for understanding user needs and behaviors, defining product requirements, managing end\-to\-end product development, launches and iterations.
* Find a path to get things done despite roadblocks to get your work into the hands of users quickly and iteratively.
* Enjoy working in a fast\-paced, customer\-first, product development cycle.
* Translate business goals into strategy, user experience and technical requirements in close collaboration with Applied Science, Data Science, Engineering, UX and Product Marketing/Sales teams.
* Define goals and performance indicators, set up and oversee experiments, measure success with data and research.
* Embody our Culture and Values.
**Qualifications**
**Required Qualifications:**
* Bachelor's Degree AND 8\+ years experience in product/service/program management or software development
+ OR equivalent experience.
**Preferred Qualifications**
* Bachelor's Degree AND 10\+ years experience in product/service/program management or software development
* 
+ OR equivalent experience.
* 2\+ years experience leading cross functional product teams across advertising, privacy, search, conversational AI, or generative AI
* 5\+ years experience delivering products that include full Search and/or Advertising technology stack
* 5\+ years experience with data analytics and experimentation tools with working knowledge of SQL and coding skills (Python, Javascript).
* 7\+ years of experience building Ads products
* 5\+ years of experience in monetization products and B2B
* Ability to work in a fast\-paced environment, manage multiple priorities, and adapt to changing requirements and deadlines.
* Proven ability to collaborate and contribute to a positive, inclusive work environment, fostering knowledge sharing and growth within the team.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3">
      <c r="A163" t="inlineStr">
        <is>
          <t>li-4371306076</t>
        </is>
      </c>
      <c r="B163" t="inlineStr">
        <is>
          <t>Product Manager, Platforms</t>
        </is>
      </c>
      <c r="C163" t="inlineStr">
        <is>
          <t>RemoteHunter</t>
        </is>
      </c>
      <c r="D163" t="inlineStr">
        <is>
          <t>linkedin</t>
        </is>
      </c>
      <c r="E163">
        <f>HYPERLINK("https://www.linkedin.com/jobs/view/4371306076", "https://www.linkedin.com/jobs/view/4371306076")</f>
        <v/>
      </c>
      <c r="F163" t="inlineStr"/>
      <c r="G163" t="inlineStr"/>
      <c r="H163" t="inlineStr"/>
      <c r="I163" t="inlineStr">
        <is>
          <t>About the Opportunity:
 An experienced Product Manager is sought to join the Platform organization focused on building foundational components and cloud services that enable internal teams to launch, operate, and improve Intelligent Machines without redundant development of core capabilities. The role involves owning one or more Platform offerings or cross\-cutting capabilities, working at the intersection of robotics software, machine learning systems, fleet operations, and developer experience to turn ambiguous needs into clear product outcomes and widely adopted capabilities.
 Responsibilities:
 • Own strategy, roadmap, and outcomes for one or more Platform offerings or cross\-cutting capabilities.
 • Establish feedback loops with program teams and engineers to understand real\-world constraints such as messy data and variable environments.
 • Translate problems into clear requirements, success metrics, and prioritized backlogs; balance tradeoffs across speed, reuse, reliability, and customization.
 • Collaborate with engineering and design to iteratively ship APIs, tooling, workflows, and user experiences that teams adopt.
 • Lead onboarding, documentation, enablement, and rollout plans; measure adoption and resolve integration blockers.
 • Define and enforce production readiness standards, including reliability, observability, supportability, and backward compatibility.
 • Coordinate dependencies across Platform and program teams; reduce duplication and align on shared building blocks.
 • Define and track product metrics to guide priorities and investments.
 • Communicate clearly with stakeholders regarding narratives, status updates, decisions, and risks, especially when managing conflicting priorities or shifting timelines.
 Requirements:
 • 5\+ years of experience as a Product Manager with proven success launching and managing complex technical products.
 • Strong knowledge of robotics, autonomous systems, and machine learning technologies.
 • Familiarity with perception, environmental understanding, machine learning, path planning, and actuation.
 • Experience leading product efforts involving embedded technologies and software solutions for edge devices or autonomous systems.
 • Bachelor’s or advanced degree in computer science, engineering, or related field.
 • Strong analytical and problem\-solving skills.
 • Familiarity with Agile, Scrum, or similar software development methodologies.
 • Ability to collaborate effectively in fast\-paced, cross\-functional environments.
 • Excellent communication skills with the ability to convey technical concepts to both technical and non\-technical audiences.
 Preferred Experience and Skills:
 • Prior work on autonomous systems, machine learning, computer vision, or artificial intelligence projects.
 • Experience building platform products for engineering teams including APIs, SDKs, documentation, and onboarding, with a focus on driving adoption without mandates.
 • Knowledge of fleet operations, telemetry, incident workflows, OTA updates, and remote diagnostics.
 • Experience with cloud platforms and data\-intensive systems such as pipelines, storage, observability, and analytics.
 • Familiarity with cloud computing for edge computing and remote device management.
 • Experience leading cross\-functional product development efforts.
 • Record of innovation or research contributions in autonomous robotics.
 Benefits \&amp; Perks:
 No specific benefits or perks were detailed in the provided description.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4">
      <c r="A164" t="inlineStr">
        <is>
          <t>li-4362225736</t>
        </is>
      </c>
      <c r="B164" t="inlineStr">
        <is>
          <t>Product Owner</t>
        </is>
      </c>
      <c r="C164" t="inlineStr">
        <is>
          <t>Zayo Group</t>
        </is>
      </c>
      <c r="D164" t="inlineStr">
        <is>
          <t>linkedin</t>
        </is>
      </c>
      <c r="E164">
        <f>HYPERLINK("https://www.linkedin.com/jobs/view/4362225736", "https://www.linkedin.com/jobs/view/4362225736")</f>
        <v/>
      </c>
      <c r="F164" t="inlineStr"/>
      <c r="G164" t="inlineStr">
        <is>
          <t>Denver, CO</t>
        </is>
      </c>
      <c r="H164" t="inlineStr"/>
      <c r="I164" t="inlineStr">
        <is>
          <t>**Company Description**
 Zayo provides mission\-critical bandwidth to the world’s most impactful companies, fueling the innovations that are transforming our society. Zayo’s 141,000\-mile network in North America and Europe includes extensive metro connectivity to thousands of buildings and data centers. Zayo’s communications infrastructure solutions include dark fiber, private data networks, wavelengths, Ethernet, and dedicated Internet access. Zayo serves wireless and wireline carriers, media, tech, content, finance, healthcare and other large enterprises.
 Zayo is looking for an experienced
 **Product Owner** 
 who can embed quickly into agile teams and ensure continuity in backlog creation \&amp; management, prioritization, and stakeholder alignment in anticipation of acquisition. Potential for contract to hire as long term strategy unfolds.
**Scope of Work:**
 The Product Owner will be responsible for:
* Acting as the primary point of contact for one or more agile delivery teams.
* Creating, managing and refining the team backlog in alignment business objectives
* Writing clear, actionable user stories and acceptance criteria.
* Prioritizing work based on value delivery, dependencies, and team capacity. Participating in key agile ceremonies (e.g., sprint planning, reviews, retrospectives, daily stand\-ups).
* Collaborate with cross\-functional teams to drive successful product delivery during organizational transitions.
* Partnering with business SMEs for domain knowledge transfer
* Partnering with Portfolio and Program Managers to align and prioritize overall business strategy and guide backlog refinement.
* Engaging with business stakeholders to gather requirements and translate them into product requirements.
* Ensuring delivered functionality meets business expectations and acceptance criteria.
* Escalating risks or blockers that impact delivery timelines or scope.
* Serving as the voice of the customer and internal stakeholders, ensuring business continuity.
* Data driven insights \- Leverages metrics, analytics, and feedback loops to validate assumptions, measure success, and guide product decisions
* Monitoring and communicating KPIs related to product performance, user adoption, and operational readiness in the context of post\-merger integration.
* Adaptability and continuous improvement \- Thrives in a fast\-changing environment, continuously learning and adapting based on feedback and evolving market needs.
**Deliverables:**
* A groomed and prioritized product backlog for assigned teams
* Documented user stories with clear acceptance criteria
* Participation in all agile ceremonies
* Weekly progress reports or updates to key stakeholders
* Clear articulation of risks, blockers, and mitigation plans
**Key Qualifications:**
* Minimum of three (3\) years of experience as a Product Owner
* Strong understanding of Agile frameworks (Scrum, SAFe, or equivalent)
* Proven experience translating business requirements into technical deliverables
* Excellent communication and stakeholder management skills
* Experience with tools such as Jira, Confluence, LucidChat, or similar
**Optional / Preferred Qualifications:**
* Certified Scrum Product Owner (CSPO) or SAFe Product Owner/Product Manager (POPM)
* Experience working with decentralized or offshore agile teams
* Familiarity with telecom systems like OSS/BSS, network inventory, service activation, and billing
* Experience in telecommunications and/or software delivery
**Estimated base salary range: $95,100 \- $146,300 USD/annually.**
 The base pay range shown is a guideline and reasonable estimate for this role. It takes into account the wide variety of factors that are considered in making compensation decisions. Actual compensation offered may vary from the posted range based upon geographic location, work experience, skill level, certifications, and other business and organizational needs. Non\- sales roles may be eligible to participate in a discretionary annual incentive plan. Sales roles may be eligible to participate in a sales incentive plan.
 Additionally, this position may be eligible for certain benefits, such as health insurance, life insurance, disability retirement plans, paid time off.
 The posting will be active for a minimum of 3 days. The active posting will continue to extend by 3 days until the position is filled.
**Benefits, Rewards \&amp; Wellness**
* Excellent Health, Dental \&amp; Vision Insurance
* Retirement 401(k) Savings Plan
* Generous paid time off policy including paid parental leave
 Zayo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provincial or local laws.
 This policy applies to all terms and conditions of employment, including recruiting, hiring, placement, promotion, termination, layoff, recall, transfer, leaves of absence, compensation and training.</t>
        </is>
      </c>
    </row>
    <row r="165">
      <c r="A165" t="inlineStr">
        <is>
          <t>li-4371455754</t>
        </is>
      </c>
      <c r="B165" t="inlineStr">
        <is>
          <t>Product Manager, Automation</t>
        </is>
      </c>
      <c r="C165" t="inlineStr">
        <is>
          <t>Swooped</t>
        </is>
      </c>
      <c r="D165" t="inlineStr">
        <is>
          <t>linkedin</t>
        </is>
      </c>
      <c r="E165">
        <f>HYPERLINK("https://www.linkedin.com/jobs/view/4371455754", "https://www.linkedin.com/jobs/view/4371455754")</f>
        <v/>
      </c>
      <c r="F165">
        <f>HYPERLINK("https://app.swooped.co/job-postings/23644809-12fb-4633-86db-1290deb2b271?utm_source=linkedin&amp;utm_medium=job_posting&amp;utm_campaign=23644809-12fb-4633-86db-1290deb2b271&amp;sl=linkedin-job-posting&amp;urlHash=kTmm", "https://app.swooped.co/job-postings/23644809-12fb-4633-86db-1290deb2b271?utm_source=linkedin&amp;utm_medium=job_posting&amp;utm_campaign=23644809-12fb-4633-86db-1290deb2b271&amp;sl=linkedin-job-posting&amp;urlHash=kTmm")</f>
        <v/>
      </c>
      <c r="G165" t="inlineStr"/>
      <c r="H165" t="inlineStr"/>
      <c r="I165" t="inlineStr">
        <is>
          <t>**About Our Client** 
 Our client is built from many blocks, all united by the same purpose of economic empowerment. The blocks that form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different perspectives are needed to see them all. Bring yours to the organization.
 The automation backbone of the organization is being built. The systems that will be created will decide how work flows, how decisions are made, and how fast the company can move. This platform powers automation across customer support, risk and compliance, sales and marketing, and core internal operations. When it works, the organization scales with confidence, speed, and precision.
**About The Role** 
 As a
 **Product Manager** 
 on the Automation team, the individual will shape AI products that fundamentally change how work gets done. The role will decide where automation should exist, where humans must stay in the loop, and how the two work together at scale. The work will directly impact quality, cost, growth, efficiency, and reliability across the company.
 This is a hands\-on, end\-to\-end role. The individual will be a builder, owning problems from first principles to production reality. The role will work side by side with engineering, machine learning, data, design, and operations to turn messy, ambiguous workflows into intelligent systems that deliver real results.
 The scope is deliberately broad. Focus could be on customer operations, risk and compliance, commercial teams like sales and marketing, or internal productivity tools and shared automation primitives used across the organization.
**Key Responsibilities** 
* Own the strategy and roadmap for AI\-powered products that matter
* Identify automation opportunities rooted in real user pain and measurable business outcomes
* Turn ambiguous, high\-stakes problems into clear product direction and requirements
* Partner deeply with ML engineers, data scientists, and researchers on model goals, data strategy, evaluation, and quality thresholds
* Design and run experiments to test ideas fast and learn even faster
* Define product behavior across success paths, failures, and edge cases
* Set and own metrics for accuracy, safety, latency, reliability, and user trust
* Work with design to build human\-AI interactions that are intuitive, transparent, and safe
* Collaborate with legal, security, and compliance to ship responsible AI in regulated environments
* Lead cross\-functional execution from concept to launch and continuous improvement
**Required Qualifications** 
* 6 to 9 years of product management experience, with a strong track record shipping AI or ML\-driven products
* Deep technical intuition around machine learning systems, including training loops, evaluation, prompt design, data pipelines, and real\-time inference constraints
* Experience running structured experiments such as A/B tests and offline model evaluations
* A true ownership mindset and the ability to drive complex initiatives across teams without waiting for permission
* Clear, compelling communication skills for executive, technical, and operational audiences
* Experience working in scaled, high\-stakes, or regulated environments such as risk, compliance, or operations
* Strong understanding of AI quality, safety, and responsible use
* Hands\-on experience with LLMs, multimodal models, or applied generative AI
**Preferred Qualifications** 
* Technical or analytical background
**Additional Information** 
 Every benefit offered is designed with one goal: empowering individuals to do the best work of their careers while building the life they want. Remote work, medical insurance, flexible time off, retirement savings plans, and modern family planning are just some of the offerings.
 The organization builds technology to increase access to the global economy. Each of its brands unlocks different aspects of the economy for more people.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66">
      <c r="A166" t="inlineStr">
        <is>
          <t>li-4363194490</t>
        </is>
      </c>
      <c r="B166" t="inlineStr">
        <is>
          <t>Senior Software Product Manager</t>
        </is>
      </c>
      <c r="C166" t="inlineStr">
        <is>
          <t>SPAN</t>
        </is>
      </c>
      <c r="D166" t="inlineStr">
        <is>
          <t>linkedin</t>
        </is>
      </c>
      <c r="E166">
        <f>HYPERLINK("https://www.linkedin.com/jobs/view/4363194490", "https://www.linkedin.com/jobs/view/4363194490")</f>
        <v/>
      </c>
      <c r="F166">
        <f>HYPERLINK("https://jobs.ashbyhq.com/span/f0910d04-d0b8-40d5-882e-0e09e1bfb445?utm_source=LinkedInPaid&amp;urlHash=iSJY", "https://jobs.ashbyhq.com/span/f0910d04-d0b8-40d5-882e-0e09e1bfb445?utm_source=LinkedInPaid&amp;urlHash=iSJY")</f>
        <v/>
      </c>
      <c r="G166" t="inlineStr">
        <is>
          <t>San Francisco, CA</t>
        </is>
      </c>
      <c r="H166" t="inlineStr"/>
      <c r="I166" t="inlineStr">
        <is>
          <t>**Our Mission**
**SPAN is enabling electrification for all ⚡**
 We are a mission\-driven company designing, building, and deploying products that electrify the built environment, reduce carbon emissions, and slow the effects of climate change.
* Decarbonization is the process to reduce or remove greenhouse gas emissions, especially carbon dioxide, from entering our atmosphere.
* Electrification is the process of replacing fossil fuel appliances that run on gas or oil with all\-electric upgrades for a cleaner way to power our lives.
**At SPAN, We Believe In**
* Enabling homes and vehicles powered by clean energy
* Making electrification upgrades possible
* Building more resilient homes with reliable backup
* Designing a flexible and distributed electrical grid
**The Role**
 We are looking for a passionate software product manager with experience developing engaging customer experiences especially through mobile apps. You will be responsible for the vision, detailed product requirements, and use cases for Span’s existing and future software products. This includes the two existing mobile apps for homeowners and installers as well as future web platforms and external APIs. You will constantly be testing the product to validate that features match expectations, understand product gaps, and look for improvements. You will evaluate integration opportunities between Span and distributed energy systems, smart home devices, as well as other energy management services. You will create a close relationship with all Span team members and many of our customers as some of the best product features often originate from unexpected places. You will work with the software team to implement features that will excite Span customers.
**Responsibilities**
* Define a product vision that impresses users and inspires the development team
* Own full roadmap of device software, cloud software, and mobile apps
* Drive implementation of roadmap with software team
* Write product requirement documents that clearly communicate key objectives
* Define use cases for new product concepts
* Collaborate with the business development team to analyze and approximate market sizes to make a case for or against investing in new features and integrations
* Collaborate with hardware team to ensure continuity across product development
* Develop, refine, prioritize and track the implementation of requirements and new features
* Prioritize bugs and small enhancement requests against planned feature development
* Coordinate communication of updates to internal and external audiences: business development, customer support, and app users
* Collect customer feedback; share learnings and help foster understanding and empathy for our customers throughout the entire organization
* Design usability studies, run them, and improve product features based on the results
* Define metrics to enable collaborative tradeoff decisions with the engineering team relating to product features, cost, and schedule
**About You**
**Required Qualifications**
**We Are Seeking a Software Product Manager Who Has**
* 7\+ years of experience in software product management
* Direct experience interfacing with engineering and technical development
* Experience with mobile apps
* Proven experience in managing across the complete product lifecycle, from concept to end\-of\-life
* High level of comfort with ambiguity and fast\-pace environments
**Bonus Qualifications**
 We would love to hire someone who has one or more of the following:
* Prior experience in smart home, IoT, renewable energy, or distributed energy resources
* Strong analytical and quantitative skills with the ability to use data and metrics to back up assumptions, recommendations and drive actions
* Exceptional interpersonal and communication skills, both written and verbal
* Influenced cross functional groups
* Mobile experience for both iOS and Android apps
* Experience developing requirements for APIs and coordinating documentation
* Experience with hardware products that involve firmware and embedded software
* Engineering or technical background
* Masters in Business Administration (MBA)
 Life at SPAN
 Headquartered in San Francisco’s vibrant SoMa neighborhood, we are an eclectic group of creative thinkers who value open communication, teamwork, and a ‘make it happen’ approach to addressing complex challenges.
 SPAN embraces diversity and equal opportunity in a serious way. We are committed to building a team that represents a variety of backgrounds, perspectives, and skills.
 We’re hiring talented individuals who are driven by success and are passionate about shaping the future of renewable energy. If that sounds like you, we’d love for you to consider joining the rapidly growing team at SPAN.
**The Perks**
 ⚡ Competitive compensation \+ equity grants at a well\-funded, venture\-backed company
 ⚡ Comprehensive benefits: 100% employee premiums for base plans on medical, dental, vision with options for additional coverage. Parental leave up to twenty four (24\) weeks depending on eligibility
 ⚡ Comfortable, sunny office space located near BART and Caltrain public transit
 ⚡ Strong focus on team building and company culture: Employee Resource Groups, monthly social events, SPANcakes recognition breakfast, lunch, and learns
 ⚡ Flexible hours, one holiday per month, and flexible time off
 Interested in joining our team? Apply today and we’ll be in touch with the next steps!</t>
        </is>
      </c>
    </row>
    <row r="167">
      <c r="A167" t="inlineStr">
        <is>
          <t>li-4371450522</t>
        </is>
      </c>
      <c r="B167" t="inlineStr">
        <is>
          <t>Sr. Product Manager - Specialty Pharmacy</t>
        </is>
      </c>
      <c r="C167" t="inlineStr">
        <is>
          <t>Omnicell</t>
        </is>
      </c>
      <c r="D167" t="inlineStr">
        <is>
          <t>linkedin</t>
        </is>
      </c>
      <c r="E167">
        <f>HYPERLINK("https://www.linkedin.com/jobs/view/4371450522", "https://www.linkedin.com/jobs/view/4371450522")</f>
        <v/>
      </c>
      <c r="F167">
        <f>HYPERLINK("https://apply.omnicell.com/careers/job/1133911490559?domain=omnicell.com&amp;utm_source=LinkedIn&amp;urlHash=DuWB", "https://apply.omnicell.com/careers/job/1133911490559?domain=omnicell.com&amp;utm_source=LinkedIn&amp;urlHash=DuWB")</f>
        <v/>
      </c>
      <c r="G167" t="inlineStr">
        <is>
          <t>Cranberry Township, PA</t>
        </is>
      </c>
      <c r="H167" t="inlineStr"/>
      <c r="I167" t="inlineStr">
        <is>
          <t>The
 **Senior Product Manager – Specialty Pharmacy** 
 will lead the vision, strategy, and execution of our next‑generation specialty pharmacy. This individual will transform our current managed service offering into a
 **modular, scalable, technology‑first platform built on OmniSphere** 
 , enabling health systems to establish, manage, and optimize their own entity‑owned specialty pharmacies.
 In this role, you will define the product direction for a rapidly growing and strategically critical business. You’ll partner closely with engineering, design, operations, clinical, data science, and go‑to‑market teams to translate the evolving needs of health systems, pharmacists, prescribers, and patients into a compelling and differentiated product experience. You will guide products through the full lifecycle—from discovery and strategy to launch, customer adoption, and iterative enhancement—delivering meaningful improvements in patient access, pharmacy growth, operational efficiency, and margin performance.
**Key Responsibilities**
* Set and own the long‑term product strategy and roadmap for the Specialty Pharmacy platform, grounded in market trends, regulatory dynamics, payer/benefit design shifts, competitive offerings, and deep customer insight.
* Transform the specialty pharmacy offering from a managed model into a configurable, modular SaaS platform delivered on OmniSphere, enabling scalability, automation, and repeatability across health systems.
* Lead cross\-functional product development, partnering with Engineering, UX, Clinical, Operations, Data, Sales, and Marketing to ensure high‑quality delivery, launch readiness, and ongoing alignment across the business.
* Engage directly with health systems to uncover unmet needs, validate hypotheses, and shape product direction through research, interviews, workflow observations, and pilot programs.
* Drive rigorous prioritization, balancing customer value, strategic impact, technical considerations, and revenue potential—while managing innovation vs. technical debt vs. foundational work.
* Develop compelling value propositions and product positioning that support commercial readiness, pricing strategies, and differentiated messaging in the market.
* Ensure compliance and quality, aligning with regulatory, clinical, and pharmacy best practices in collaboration with internal experts.
* Monitor product performance to identify opportunities to improve adoption, reduce cost, accelerate time‑to‑value, or strengthen customer satisfaction.
**Required Qualifications**
* 5\+ years of product management experience delivering complex technology solutions (SaaS, platforms, workflow systems, or health IT).
* Experience in specialty pharmacy, pharmacy operations, health system solutions, care management, or medical benefit/claims workflows. Strong understanding of healthcare operations, specialty pharmacy workflows, or adjacent areas (e.g., prior authorization, benefits verification, HUB services, payer engagement).
* Deep experience translating user workflows and business models into structured product capabilities and platform components.
* Demonstrated ability to collaborate across technical and non‑technical teams and influence without authority.
* Proven success leading products from concept to launch in fast‑paced environments.
* Data‑driven mindset with the ability to define metrics, interpret insights, and make informed prioritization decisions.
* Skilled at breaking down complex problems into simple, actionable solutions.
* Proficient in modern product management tools (e.g., Jira, Confluence). Familiarity with AI prototyping tools (e.g., Builder.io, Figma AI)
* Excellent communication, storytelling, and presentation skills.
**Preferred Qualifications**
* Background working with platform architecture or modular product ecosystems.
* Familiarity with healthcare interoperability (FHIR, HL7\), EHR integrations, or pharmacy systems.
* Experience managing regulated healthcare products or working within hospital/health system environments.
* Bachelor’s degree in engineering, computer science, business, pharmacy, or related field; advanced degree or MBA a plus.
* Customer‑facing experience in technical, consulting, or implementation roles.
**Work Conditions**
* Remote position.
* Occasional travel up to 20% for customer visits, conferences, and internal collaboration.</t>
        </is>
      </c>
    </row>
    <row r="168">
      <c r="A168" t="inlineStr">
        <is>
          <t>li-4371474318</t>
        </is>
      </c>
      <c r="B168" t="inlineStr">
        <is>
          <t>Product Manager - Embroidery</t>
        </is>
      </c>
      <c r="C168" t="inlineStr">
        <is>
          <t>Holland &amp; Sherry Interiors</t>
        </is>
      </c>
      <c r="D168" t="inlineStr">
        <is>
          <t>linkedin</t>
        </is>
      </c>
      <c r="E168">
        <f>HYPERLINK("https://www.linkedin.com/jobs/view/4371474318", "https://www.linkedin.com/jobs/view/4371474318")</f>
        <v/>
      </c>
      <c r="F168" t="inlineStr"/>
      <c r="G168" t="inlineStr">
        <is>
          <t>Norwalk, CT</t>
        </is>
      </c>
      <c r="H168" t="inlineStr"/>
      <c r="I168" t="inlineStr">
        <is>
          <t>**Position:** 
 Product Manager \- Embroidery
**Location:** 
 Norwalk, CT
**Reports To:** 
 Director of Operations
**Duration:** 
 Full\-time
**Overview**
 We are seeking a detail\-driven, highly organized Product Manager for our custom embroidery department to oversee the operational execution of our custom embroidery business. This role is critical to ensuring smooth, accurate process from quote through production, sample management and new collection launches, acting as the operational bridge between sales, creative and our embroidery workroom in based in Europe.
**Responsibilities**
* Own and execute the strategic roadmap for the custom embroidery category, including pricing frameworks, service standards and long\-term growth planning
* Oversee the annual sampling budget, sample stock levels and sampling initiatives, ensuring investment aligns with sales performance and demand
* Partner with creative, production, sales and logistics teams to execute approved sampling strategies and new collection launches
* Analyze sales performance across all embroidery categories to determine sampling priorities
* Maintain oversight of active and archived designs, ensuring clear documentation and controlled availability
* Develop and refine workflows to improve efficiency and accuracy across quoting, order processing, inventory tracking and sample organization
* Serve as a key liaison with the European embroidery workroom, ensuring quality, capacity planning and alignment on lead times
* Collaborate closely with the embroidery department team and sales teams to support client needs, feasibility guidance and category growth
* Maintain showroom inventories of embroidered pillows and accessories, enforce consignment rules and handling standards
* Support sales education and category positioning through targeted internal training
**Qualifications, Experience \&amp; Skills**
* 5\+ years of experience in product operations, production coordination or operational management (textiles or custom products preferred)
* Strong organizational and follow\-up skills with exceptional attention to detail
* Ability to work independently while coordinating across multiple teams and international partners
* Execution focused with a clear, professional communication style and a problem\-solving mindset
* Comfort with numbers, measurements, costing and spreadsheets
* Proficiency in Microsoft Office, especially excel
**About Our Company**
 Holland \&amp; Sherry is a fast\-growing, and dynamic player in the luxury To\-the\-Trade interiors textiles arena. We are a leading provider of high\-quality product, known for our commitment to innovation and customer satisfaction.
**What We Offer**
* A competitive salary
* Comprehensive medical, dental and vision insurance
* 401k retirement savings program with employer matching contributions
* Paid time off with at least 10 federal holidays observed throughout the calendar year</t>
        </is>
      </c>
    </row>
    <row r="169">
      <c r="A169" t="inlineStr">
        <is>
          <t>li-4362722707</t>
        </is>
      </c>
      <c r="B169" t="inlineStr">
        <is>
          <t>IT Product Manager, Salesforce</t>
        </is>
      </c>
      <c r="C169" t="inlineStr">
        <is>
          <t>SailPoint</t>
        </is>
      </c>
      <c r="D169" t="inlineStr">
        <is>
          <t>linkedin</t>
        </is>
      </c>
      <c r="E169">
        <f>HYPERLINK("https://www.linkedin.com/jobs/view/4362722707", "https://www.linkedin.com/jobs/view/4362722707")</f>
        <v/>
      </c>
      <c r="F169">
        <f>HYPERLINK("https://sailpoint.wd1.myworkdayjobs.com/SailPoint/job/United-States/IT-Product-Manager\u002d\u002dSFDC\u002d\u002d-AI_R011328?source=LinkedIn&amp;urlHash=0jpY", "https://sailpoint.wd1.myworkdayjobs.com/SailPoint/job/United-States/IT-Product-Manager\u002d\u002dSFDC\u002d\u002d-AI_R011328?source=LinkedIn&amp;urlHash=0jpY")</f>
        <v/>
      </c>
      <c r="G169" t="inlineStr"/>
      <c r="H169" t="inlineStr"/>
      <c r="I169" t="inlineStr">
        <is>
          <t>**Product Manager – Salesforce**
 SailPoint is the leader in identity security and governance, driving innovation and shaping the future of the industry. As a rapidly growing company, we're committed to extending our market leadership by investing heavily in AI capabilities.  
 Since 2018, SailPoint has been delivering AI\-driven solutions, and now, more than ever, Artificial Intelligence is a core pillar of our strategy. We are seeking a visionary product manager to both launch new initiatives as well as spearhead the deeper integration of AI into SailPoint’s core functionality.   
 This role needs a product leader with a keen understanding of market dynamics and strategic thinking, combined with strong communication, emotional intelligence, and organizational skills. You will collaborate with internal and external stakeholders, including peer product managers across different business lines, to help define the vision and deliver AI/ML\-powered innovations across SailPoint's portfolio, delivering value for our customers. 
 We genuinely care about people and value kindness in our everyday interactions. You'll be able to be yourself, valued, supported, learn, and grow. If you want to learn more about what it's like to work here, check out
 sailpoint.com
 , and read
 what makes us different
 . 
**What will I be doing?** 
* Closely partner with the business stakeholders and data engineering teams across SailPoint orgs to deliver new functionality as well as to iterate on existing features in third party applications.
* Participate in all areas of the product lifecycle from ideation, user research, gathering requirements, to launch readiness
* Drive product innovation through feedback from our business stakeholders and IT partners, as well as product analytics and market research
* Engage with stakeholders to scope work, understand the impact, and gain consensus
* Translate business needs into clear product requirements and user stories
* Help deﬁne success metrics and measure the impact and results of new solutions
* Prioritize features and enhancements with our business stakeholders, focusing on impact, feasibility and compliance
* Partner with Salesforce and IT data engineering to develop, prioritize, and manage the product backlog in a lean/agile environment. Influence product direction across functional IT teams (security, ops, applications infrastructure, etc.)
* Maintain roadmap and coordinate adoption of deliverables with other product lines.
* Manage and refine integrations between Salesforce and integrated systems like Certinia and Ironclad.
* Oversee configuration, data models, workflows, and automation in partnership with Salesforce admins and developers.
* Collaborate with Legal teams to streamline contract lifecycle workflows through Ironclad.
* Work with Sales, RevOps, and Operations to improve quoting, forecasting, and pipeline processes.
* Champion data quality, security, and compliance across systems
**What will I need?** 
* 5\+ years of experience as a Product Manager, Salesforce Product Owner, working closely with both business stakeholders and technical teams
* Strong understanding of SaaS business processes (quote‑to‑cash, contract lifecycle, financial operations).
* **Previous Salesforce implementation, enhancement, and modification experience required.**
* **Knowledge of Salesforce objects, fields, opportunities, workflows, and validations.**
* **Previous experience in a product management environment.**
* Excellent communication skills with the ability, and confidence, to communicate and land messages across both technical, and non\-technical, audiences
* Experience with Salesforce and CPQ, working with business stakeholders and technical teams to solve business problems
* Experience managing enterprise SaaS products in a rapidly growing industry
* Demonstrable success working in a data\-driven, outcome\-oriented environment using frameworks like OKRs (objectives and key results)
* Demonstrated success in working with user experience and engineering teams to research, plan, develop, refine, and launch successful enterprise SaaS products
* Proven experience working with product marketing, marketing, and sales to successfully launch new products and enhancements to the market
* Excellent interpersonal, facilitation, and communication skills
**Preferred but not required:** 
* BA/BS in computer science information systems or related field
* Background working in Agile/Scrum environments
* Direct experience with
 **Certinia (FinancialForce)** 
  — PSA, Billing, Revenue Management, or Accounting modules.(Preferred)
* Experience implementing or managing
 **Ironclad** 
  workflows and integrations.(Preferred)
**Base salary will be $120,000\-$130,000\.**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$86,200 \- $123,100 \- $160,000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is>
      </c>
    </row>
    <row r="170">
      <c r="A170" t="inlineStr">
        <is>
          <t>li-4371490785</t>
        </is>
      </c>
      <c r="B170" t="inlineStr">
        <is>
          <t>Principal Product Manager Tech, Prime Video Personalization &amp; Discovery</t>
        </is>
      </c>
      <c r="C170" t="inlineStr">
        <is>
          <t>Prime Video &amp; Amazon MGM Studios</t>
        </is>
      </c>
      <c r="D170" t="inlineStr">
        <is>
          <t>linkedin</t>
        </is>
      </c>
      <c r="E170">
        <f>HYPERLINK("https://www.linkedin.com/jobs/view/4371490785", "https://www.linkedin.com/jobs/view/4371490785")</f>
        <v/>
      </c>
      <c r="F170" t="inlineStr"/>
      <c r="G170" t="inlineStr">
        <is>
          <t>Seattle, WA</t>
        </is>
      </c>
      <c r="H170" t="inlineStr"/>
      <c r="I170"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The Prime Video Personalization \&amp; Discovery team is seeking a Principal Product Manager \- Tech with Personalization or Ad Platform experience to help deliver superior experiences to Prime Video customers worldwide.
 You will own a substantial portion of the product strategy and vision, and develop product roadmaps to execute on that vision. This role is inherently cross\-functional; you will work with engineering, science, project management, design, operations, finance, legal, business development, customer service, content acquisition, and executive teams to optimize the Prime Video Personalization \&amp; Discovery customer experience. We are looking for an analytical, data\-driven, resourceful, customer\-focused individual who has the ability to work independently but also excels as part of a high\-performing team. This individual will have a proven track record in taking on end\-to\-end ownership and successfully delivering results in a fast\-paced and dynamic environment while keeping customers' best interests in mind at all times.
**Basic Qualifications**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\- 179,900\.00 \- 243,400\.00 USD annually
**Company** 
 \- Amazon.com LLC
 Job ID: A3178876</t>
        </is>
      </c>
    </row>
    <row r="171">
      <c r="A171" t="inlineStr">
        <is>
          <t>li-4365052200</t>
        </is>
      </c>
      <c r="B171" t="inlineStr">
        <is>
          <t>Principal Product Manager</t>
        </is>
      </c>
      <c r="C171" t="inlineStr">
        <is>
          <t>Microsoft</t>
        </is>
      </c>
      <c r="D171" t="inlineStr">
        <is>
          <t>linkedin</t>
        </is>
      </c>
      <c r="E171">
        <f>HYPERLINK("https://www.linkedin.com/jobs/view/4365052200", "https://www.linkedin.com/jobs/view/4365052200")</f>
        <v/>
      </c>
      <c r="F171">
        <f>HYPERLINK("https://apply.careers.microsoft.com/careers/job/1970393556734902?utm_source=linkedin&amp;domain=microsoft.com&amp;src=LinkedIn&amp;urlHash=5jDz", "https://apply.careers.microsoft.com/careers/job/1970393556734902?utm_source=linkedin&amp;domain=microsoft.com&amp;src=LinkedIn&amp;urlHash=5jDz")</f>
        <v/>
      </c>
      <c r="G171" t="inlineStr">
        <is>
          <t>Redmond, WA</t>
        </is>
      </c>
      <c r="H171" t="inlineStr"/>
      <c r="I171"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Copilot for Security empowers defenders to detect hidden patterns, harden defenses, and respond to incidents faster with generative AI.  The same platform also empowers IT Admins and Data Security admins to proactively protect the assets. While Generative AI has created a new set of possibilities, it’s also created a new set of challenges: hallucination, prompt injection, rapidly changing industry trends.  Our team is at the forefront of both the opportunities and the challenges for Microsoft Security.  We are looking for a Principal Product Manager for Security Copilot to execute strategic priorities, drive alignment across internal and external stakeholders, and design/define critical capabilities. Our culture is centered on embracing a growth mindset, a theme of inspiring excellence, and empowering teams to maximize productivity. In doing so, we create life\-changing innovations that impact billions of lives around the world.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Principal Product Manager, you’ll define strategy and deliver secure, scalable AI experiences that protect customers globally. You’ll lead innovation in agentic systems and Responsible AI, shaping the next generation of security solutions. Other REsponsibilities include:
* Understand security customers and markets Develop strategy and build buy\-in from cross\-functional teams into your ideas
* Translate strategic plans into work involving cross\-team collaboration.
* Develop clear requirements and work closely with the software engineering team to meet product goals.
* Lead the execution of strategic initiatives you’ve championed.
* Define product vision and roadmap for agentic AI security workflows.
* Drive cross\-functional alignment and secure buy\-in for strategic initiatives. Author clear requirements and partner with engineering to deliver resilient AI capabilities.
* Champion Responsible AI principles and implement safety guardrails. Establish evaluation frameworks for reliability, performance, and ethical compliance.
**Qualifications**
**Required/minimum qualifications**
* Bachelor's Degree AND 8\+ years experience in product/service/program management or software development OR equivalent experience.
**Other Requirements**
* Candidates must be able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\#MSFT Security \#SCEM \#MSFTSecurity \#GenAI \#SecurityCopilot \#Security \#Agents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2">
      <c r="A172" t="inlineStr">
        <is>
          <t>li-4371479630</t>
        </is>
      </c>
      <c r="B172" t="inlineStr">
        <is>
          <t>Senior Product Manager (Private Label)</t>
        </is>
      </c>
      <c r="C172" t="inlineStr">
        <is>
          <t>Benco Dental</t>
        </is>
      </c>
      <c r="D172" t="inlineStr">
        <is>
          <t>linkedin</t>
        </is>
      </c>
      <c r="E172">
        <f>HYPERLINK("https://www.linkedin.com/jobs/view/4371479630", "https://www.linkedin.com/jobs/view/4371479630")</f>
        <v/>
      </c>
      <c r="F172" t="inlineStr"/>
      <c r="G172" t="inlineStr">
        <is>
          <t>Pittston, PA</t>
        </is>
      </c>
      <c r="H172" t="inlineStr"/>
      <c r="I172" t="inlineStr">
        <is>
          <t>**Location: Pittston, PA. This is a hybrid position with Tuesdays and Thursdays onsite.**
 Senior Product Manager (Private Label) at Benco Dental
 At Benco Dental, our company is our family, and we are looking for a new addition to assist us in Driving Dentistry Forward. Please review the description below carefully to ensure that this position is the perfect match for you!
**What’s in it for YOU?**
* Excellent Compensation Packages
* Medical, Dental and Vision Benefits Effective on Day 1
* 401k Package, Paid Time Off Program, and Profit Sharing
* Hybrid Work Environment
* Associate Discounts and Community Giveback Programs
* College Tuition Savings Program
* Caring Family Culture Toward all Associates
* Certified as a FORTUNE Great Place to Work
* Opportunities to join resource groups that promote Diversity, Equity, and Inclusion
* Family owned for 90\+ years
**Position Summary**
 The Senior Private Label Product Manager is responsible for leading the strategy, development, sourcing, and lifecycle management of Benco Dental’s private\-label portfolio across multiple categories. This role drives innovation, revenue growth, and margin performance while ensuring delivery of high\-quality, clinically relevant products aligned with Benco’s brand and operational standards.
 As a senior leader, this position influences cross\-functional teams and enterprise initiatives, partners closely with vendor networks, and plays a key role in shaping long\-term private\-label strategy, sourcing direction, and portfolio expansion. The role serves as a strategic advisor to leadership while executing end\-to\-end product initiatives from concept through commercialization.
**Do YOU Possess These Skills and Attributes?**
* Advanced analytical and financial insight.
* Strategic thinking and portfolio planning capabilities.
* Executive\-level communication and presentation skills.
* Strong leadership and stakeholder influence skills.
* Proficiency with Excel, PowerPoint, and product lifecycle tools/systems.
* Strategic leadership and execution
* Customer and market orientation
* Cross\-functional influence and collaboration
* Financial ownership and accountability
* Innovation and continuous improvement
**Do These Responsibilities Interest YOU?**
*Strategic Leadership \&amp; Portfolio Ownership*
* Lead long\-term strategy and roadmap development for Benco Dental™ and ValuLine® private\-label portfolios.
* Identify high\-impact growth opportunities through market analysis, customer insights, and competitive benchmarking.
* Drive category expansion, portfolio optimization, and product rationalization initiatives.
* Provide strategic recommendations to leadership on investment priorities and portfolio direction.
*Product Development \&amp; Commercialization*
* Lead complex product development initiatives from ideation through commercialization and lifecycle management.
* Define product requirements, positioning, and pricing strategies aligned with financial and customer objectives.
* Oversee packaging, branding, regulatory alignment, and product documentation.
* Partner with Marketing and Sales to develop go\-to\-market strategies, sales enablement tools, and launch plans.
*Vendor Strategy \&amp; Sourcing Leadership*
* Establish and lead global sourcing strategies to ensure cost competitiveness, supply continuity, and risk mitigation.
* Negotiate complex vendor agreements, pricing structures, and long\-term supply contracts.
* Strengthen strategic supplier relationships and evaluate new manufacturing partners.
* Lead initiatives related to cost optimization, tariff mitigation, and supply diversification.
*Cross\-Functional Leadership*
* Serve as a senior liaison across Sales, Marketing, Supply Chain, Quality, Finance, and Operations.
* Influence and align stakeholders across departments to deliver strategic product initiatives.
* Mentor and guide junior product managers and cross\-functional team members.
* Support enterprise initiatives, planning cycles, and executive\-level presentations.
*Financial Ownership \&amp; Performance Management*
* Own financial performance across assigned categories, including revenue, margin, and lifecycle profitability.
* Develop business cases and investment models to support new product initiatives and sourcing strategies.
* Monitor KPIs, product adoption, and portfolio health to drive continuous improvement.
* Support annual planning, forecasting, and long\-range financial strategies.
*Customer, Market \&amp; Innovation Focus*
* Champion the voice of the customer and clinical relevance across product decisions.
* Monitor industry trends, emerging technologies, and competitor strategies.
* Drive innovation initiatives to strengthen Benco’s private\-label differentiation and value proposition.
**Do YOU Meet These Requirements?**
**Education**
* Bachelor’s degree in Business, Marketing, Supply Chain, Life Sciences, or related field required.
**Experience**
* 4\-6\+ years of product management, category management, sourcing, or related experience.
* Experience in private\-label, healthcare, dental, medical, or consumable product environments preferred.
* Proven success leading complex product launches and cross\-functional initiatives.
* Experience managing vendor negotiations and strategic supplier relationships.
**Who We Are: It’s our Mission to Drive Dentistry Forward**
 Benco Dental, the largest privately owned, full\-service dental distributor in the United States, has remained in the family since 1930—a family that now includes our more than 40,000 customers and over 1,500 associates in the 48 contiguous states.
 We provide more supply and equipment options than any other full\-service distributor, an offering enhanced by a comprehensive suite of services, including office design, equipment repair, practice coaching, financing and project management, wealth management and dental\-specific technology solutions. These services are supported by over 400 professionally trained sales representatives and 300 factory\-trained service technicians who begin every task by asking “What does the customer want?”
 If you enjoy working for a progressive company, who is committed to diversity in our workforce, who values all customers and associates, who also provides the opportunity for growth and development\- we encourage you to learn more about our Benco family. We are looking for driven professionals who want to play a key role in our future success, while making a positive impact within our industry. Thank you for your interest in Benco Dental. We look forward to hearing from you!
 We're proud to be an equal opportunity and affirmative action employer. At Benco Dental we celebrate our associates' differences to foster a culture of diversity and inclusion every day. Click here to learn more about how we promote Equal Opportunity and Diversity and Inclusion at Benco.</t>
        </is>
      </c>
    </row>
    <row r="173">
      <c r="A173" t="inlineStr">
        <is>
          <t>li-4371473489</t>
        </is>
      </c>
      <c r="B173" t="inlineStr">
        <is>
          <t>Lead Technical Product Manager - Remote</t>
        </is>
      </c>
      <c r="C173" t="inlineStr">
        <is>
          <t>Optum</t>
        </is>
      </c>
      <c r="D173" t="inlineStr">
        <is>
          <t>linkedin</t>
        </is>
      </c>
      <c r="E173">
        <f>HYPERLINK("https://www.linkedin.com/jobs/view/4371473489", "https://www.linkedin.com/jobs/view/4371473489")</f>
        <v/>
      </c>
      <c r="F173">
        <f>HYPERLINK("https://careers.unitedhealthgroup.com/job/22997691/lead-technical-product-manager-remote-minneapolis-mn/?src=JB-22455&amp;utm_source=linkedin.com&amp;utm_medium=job_posting&amp;urlHash=nJZ_", "https://careers.unitedhealthgroup.com/job/22997691/lead-technical-product-manager-remote-minneapolis-mn/?src=JB-22455&amp;utm_source=linkedin.com&amp;utm_medium=job_posting&amp;urlHash=nJZ_")</f>
        <v/>
      </c>
      <c r="G173" t="inlineStr">
        <is>
          <t>Minneapolis, MN</t>
        </is>
      </c>
      <c r="H173" t="inlineStr"/>
      <c r="I17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Engagement Technology's mission is to power meaningful, timely, and personalized member interactions across all touchpoints, enabling better experiences and stronger relationships. Our charter is to unify customer data, orchestrate intelligent journeys, and deliver capabilities that elevate how members engage with our products and services.
 The Engagement Tech team brings together product, engineering, data, and architecture disciplines to build scalable platforms that support omnichannel communication, real time decisioning, and continuous experience improvement. We partner closely with business and technology stakeholders to drive platforms that are resilient, modern, and member focused.
 The Lead Technical Product Manager for the Call Center Transformation initiative will own the technology roadmap, platform capabilities, and execution strategy that modernize our contact center ecosystem. This role will define and deliver next generation tools, integrations, and data\-driven experiences that empower agents, streamline operations, and drive exceptional member outcomes.
 You'll enjoy the flexibility to work remotely \* from anywhere within the U.S. as you take on some tough challenges.
**Primary Responsibilities**
* Leads product management activities for multiple products, or one strategic product, with cross\-divisional impact. Drives the design and continuous improvement of AI/ML technical solutions
* Influences and collaborates with cross\-functional teams to create best practices that drive significant change to the client experience. Ensures business outcomes are linked to business case drivers
* Provides guidance to technical product and engineering teams, helping them adopt effective AI/ML practices and insights. Oversees product teams' support of the messaging, communication, and customer outreach as necessary
* Facilitates strong business support through working with team members to promote a consistent approach to decisions/impacts and client propositions. Drives connection across all appropriate internal and external stakeholders
* Leads the planning, development, and implementation of new AI/ML technical products with cross\-divisional impact. Defines and analyzes AI/ML markets, developing detailed product features and requirements, and developing implementation plans
* Drives the team's engineering practices in development, continuous integration, and automated deployment
* Participates in and influences ongoing business planning and departmental prioritization activities
* Manages the complete product lifecycle from strategy and planning to development and go\-to\-market execution for AI/ML\-based products
* Conducts market research and analyzes trends to identify opportunities for AI/ML product innovation and enhancement
* Determines features and functional specifications in collaboration with cross\-functional teams
* Prepares product documentation and enables internal stakeholders (including sales and marketing) with the required product knowledge and technical expertise
* Aligns the Engagement Technology strategy with the enterprise AI strategy, guiding when to adopt existing AI capabilities versus when to build new ones
* Influences and contributes to overall corporate AI strategy and ensures AI development aligns to industry and corporate best practices and responsible guidelines
* Uses customer feedback and product performance data to evaluate current functionality and shape the direction of future releases
* Map and drive improvements across contact center and omnichannel communication workflows (email, SMS, chat, digital channels), leveraging AI/ML enabled capabilities to enhance customer experience, streamline operations, and deliver more intelligent, personalized interactions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Engineering, Artificial Intelligence, or a related technical field required; Master's degree or MBA preferred
* 10\+ years of experience in product management, technical project management, or AI/ML product leadership roles, including 5 years of experience managing AI/ML solutions, ideally in data\-intensive or AI/ML\-driven platforms
* 5\+ years in AI/ML product lifecycle management, stakeholder engagement, market research, data\-driven decision\-making, and technical collaboration across engineering and data science teams
* 5\+ years working with agile development methodologies, AI/ML frameworks (e.g., TensorFlow, PyTorch), and cloud platforms (e.g., AWS, Azure, GCP) is expected
* 2\+ years of experience improving contact center or omnichannel communication ecosystems (email, SMS, chat, digital), including hands on work or prototyping with AI/ML methods such as intelligent routing, conversational AI, automation, or predictive engagement
* 2\+ years of experience deploying AI/ML products or features into a production
* Deep understanding of the Data and AI platform landscape and emerging technologies
* Solid knowledge of how to leverage AI tools in a business setting
**Preferred Qualifications**
* Experience with contact center platforms (Genesys, Five9, Twilio), agent assist, QA/interaction analytics, or knowledge/deflection
* Proven excellent stakeholder communication and the ability to influence across product, operations, engineering, InfoSec, and compliance
* Proven solid verbal and written communication, problem\-solving, critical thinking, cross\-functional collaboration, and organizational skills
* Proven ability to adapt quickly in a fast\-paced environment, work with ambiguity, and lead products that are technically complex and strategically impactful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174">
      <c r="A174" t="inlineStr">
        <is>
          <t>li-4371472783</t>
        </is>
      </c>
      <c r="B174" t="inlineStr">
        <is>
          <t>Product Manager, Interoperability Orchestration</t>
        </is>
      </c>
      <c r="C174" t="inlineStr">
        <is>
          <t>ELLKAY</t>
        </is>
      </c>
      <c r="D174" t="inlineStr">
        <is>
          <t>linkedin</t>
        </is>
      </c>
      <c r="E174">
        <f>HYPERLINK("https://www.linkedin.com/jobs/view/4371472783", "https://www.linkedin.com/jobs/view/4371472783")</f>
        <v/>
      </c>
      <c r="F174" t="inlineStr"/>
      <c r="G174" t="inlineStr"/>
      <c r="H174" t="inlineStr"/>
      <c r="I174" t="inlineStr">
        <is>
          <t>ELLKAY started out providing connectivity solutions to laboratories and within a few years, grew to also provide data management solutions to ambulatory organizations. ELLKAY is now a trusted data management partner in five healthcare segments. ELLKAY’s solutions continue to serve laboratories and ambulatory practices and have expanded to empower hospitals and health systems, healthcare IT vendors, ambulatory practices, health plans, and other healthcare organizations with cutting\-edge technologies and solutions that drive their growth and interoperability strategies.
 Today, ELLKAY remains true to our core values, building strong partner relationships and offering unparalleled service and support while providing innovative, scalable solutions to the challenges our customers face in today’s data\-rich world.
 ELLKAY's experience, customer\-focused approach, and reputation for innovation, speed, and accuracy differentiate ELLKAY as a premier partner for your interoperability needs and data management strategy.
**Job Description**
 ELLKAY is seeking a Product Manager to drive the design and delivery of an orchestration and automation layer that enables delivery teams and customers to build powerful, automated workflows for data interfacing, validating, integrating, aggregating and delivering.
 Reporting to the Director of Product Management LKOpera, this role focuses on enabling configuration‑driven and AI‑assisted workflow automation across healthcare interoperability use cases. You will bring modern automation patterns from industries beyond healthcare—such as iPaaS, workflow orchestration, and API automation—to accelerate how interfaces, integrations, and data\-driven workflows are identified, configured, tested, and deployed.
 This role is ideal for a product manager who blends strong technical fluency with healthcare customer empathy and who is excited to apply orchestration, containers, and agentic AI concepts to complex, real\-world problems.
 Focus Areas
 BASE (First 3–6 Months)
* Define an orchestration roadmap focused on configuration\-first and AI\-assisted workflows
* Evaluate business cases for new interoperability requests, including EMR integrations and new data exchange capabilities
 GROWTH (6–12 Months)
* Deliver orchestration capabilities that allow support for multi\-step, conditional workflows through refinement, testing, and deployment without direct developer involvement
* Partner with Product Owners across portfolio products to guide backlog prioritization
 FUTURE (12\+ Months)
* Apply AI and agentic patterns to further automate workflow creation, optimization, and exception handling.
**Essential Duties \&amp; Responsibilities**
* Understand ELLKAY’s platforms, customer workflows, and delivery model
* Identify high\-value automation and orchestration opportunities where configuration or AI can replace manual or developer\-driven effort
* Own the product roadmap for orchestration, automation, and workflow capabilities that translate customer and delivery team needs into intuitive, configuration\-driven experiences
* Partner with Engineering on architectural decisions involving containers, Kubernetes, message buses, and workflow engines to ensure orchestration features integrate cleanly with ELLKAY’s interface engine and API ecosystem
* Define success metrics around time\-to\-integration, deployment velocity, error reduction, and customer adoption
* Act as a bridge between modern automation paradigms and healthcare interoperability realities to influence ELLKAY’s long\-term automation and AI roadmap to expand orchestration capabilities to support increasingly complex, cross\-system workflows as a core platform differentiator
* Experience with automation platforms such as Zapier, Workato, MuleSoft, or similar.
* Exposure to healthcare data and exchange concepts (HL7, FHIR, CCDs)
* Experience designing low\-code or no\-code configurations
* Familiarity with CI/CD pipelines and cloud\-native delivery models
* A strong point of view on how automation and AI can reduce integration friction
* Demonstrated ability to bring modern orchestration concepts into regulated or complex domains
* Experience enabling non\-developers to build reliable, production\-grade workflows
* Curiosity, pragmatism, and comfort operating at the intersection of product, engineering, and customers
 People Leadership
* Work with a team of Product Owners to drive automation into the roadmaps
**Qualifications**
 5\+ years of Product Management experience, preferably with platform, infrastructure, or developer\-adjacent products
* Experience building or managing workflow orchestration, automation, or iPaaS\-style products
* Strong technical fluency with APIs, event\-driven architectures, containers and Kubernetes\-based environments, message buses and integration patterns
* Experience applying AI or agentic AI concepts to automation, decisioning, or workflow optimization
* Ability to design a business case
* Ability to write detailed requirements and collaborate deeply with Engineering teams
* Comfort working with healthcare data and translating non\-healthcare best practices into healthcare environments
**Benefits**
**ELLKAY offers a comprehensive and competitive benefit package that starts day one!**
**Including**
* Medical, Dental, and Vision benefits
* Employer\-paid Life and LTD
* 401k w/ matching – once eligibility is met
* Work/life balance
* Paid Volunteer Program
* Flexible working hours
* Generous FTO
* Remote work options
* Employee Discounts
* Parental Leave
**Our Awesome Culture Includes**
* Working with talented, collaborative, and friendly people who love what they do
* Professional growth within
* Innovation environment
* On site in HQ Free daily lunches
**Additional Information**
 At ELLKAY,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of operating as a hybrid workplace underscores our dedication to enabling employees to tailor work\-life balance to their individual preferences. For those who do not live within 40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For more information on our company, visit www.ELLKAY.com.
 ELLKAY LLC is a Smoke\-Free Workplace.
 ELLKAY,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75">
      <c r="A175" t="inlineStr">
        <is>
          <t>li-4371175856</t>
        </is>
      </c>
      <c r="B175" t="inlineStr">
        <is>
          <t>Senior Product Manager, Card Experience</t>
        </is>
      </c>
      <c r="C175" t="inlineStr">
        <is>
          <t>Affirm</t>
        </is>
      </c>
      <c r="D175" t="inlineStr">
        <is>
          <t>linkedin</t>
        </is>
      </c>
      <c r="E175">
        <f>HYPERLINK("https://www.linkedin.com/jobs/view/4371175856", "https://www.linkedin.com/jobs/view/4371175856")</f>
        <v/>
      </c>
      <c r="F175" t="inlineStr"/>
      <c r="G175" t="inlineStr">
        <is>
          <t>Palo Alto, CA</t>
        </is>
      </c>
      <c r="H175" t="inlineStr"/>
      <c r="I175" t="inlineStr">
        <is>
          <t>Affirm is reinventing credit to make it more honest and friendly, giving consumers the flexibility to buy now and pay later without any hidden fees or compounding interest.
 We’re hiring a Senior Product Manager, Card Acquisition (New Channels) to launch and scale new acquisition channels for the Affirm Card. In this role, you’ll identify high\-impact growth opportunities, validate them through rapid experimentation, and bring them to market at scale. You’ll play a pivotal role in shaping how millions of consumers first discover and adopt the Affirm Card, with direct ownership over measurable acquisition and activation outcomes. This is a highly visible role with significant opportunity to influence strategy and drive Affirm’s next phase of cardholder growth.
**What You'll Do**
* Define and own the Card Acquisition roadmap for new growth channels, setting clear hypotheses, success metrics, and sequencing.
* Launch and scale new acquisition surfaces, partnering closely with Engineering and Design to deliver seamless, high\-conversion onboarding experiences.
* Design and execute acquisition programs (e.g., referrals, exploratory partner pilots) with measurable CAC→LTV impact.
* Own funnel performance end\-to\-end: track weekly acquisitions, 30\-day activation, drop\-offs by step, and implement robust incrementality testing.
* Collaborate cross\-functionally with Risk, Compliance, Marketing, and the Card Foundations team to align dependencies and ensure safe, scalable growth.
* Continuously experiment and iterate to unlock new distribution levers, maximize conversion, and expand the cardholder base.
**What We Look For**
* 4\+ years in Product Management; Ideally with previous background owning growth/distribution channels
* Track record shipping consumer financial or regulated products; comfort partnering with Risk/Credit, Legal, and Compliance.
* Deep fluency in experiment design, incrementality/attribution, and CAC→LTV optimization.
* Strong UX instincts for moment‑of‑intent surfaces; ability to work across web, app, and partner integrations.
* Data chops (SQL/Amplitude‑level self‑serve) and a bias for shipping, learning, and iterating quickly.
* Excellent cross‑functional leadership; experience leading embedded eng/design pods.
* Bachelor’s or Master’s in Computer Science, or other related fields; or equivalent practical experience.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76">
      <c r="A176" t="inlineStr">
        <is>
          <t>li-4371173927</t>
        </is>
      </c>
      <c r="B176" t="inlineStr">
        <is>
          <t>Senior Product Manager, Card Experience</t>
        </is>
      </c>
      <c r="C176" t="inlineStr">
        <is>
          <t>Affirm</t>
        </is>
      </c>
      <c r="D176" t="inlineStr">
        <is>
          <t>linkedin</t>
        </is>
      </c>
      <c r="E176">
        <f>HYPERLINK("https://www.linkedin.com/jobs/view/4371173927", "https://www.linkedin.com/jobs/view/4371173927")</f>
        <v/>
      </c>
      <c r="F176">
        <f>HYPERLINK("https://job-boards.greenhouse.io/affirm/jobs/7620527003?gh_src=689c81d53us&amp;urlHash=VxaA", "https://job-boards.greenhouse.io/affirm/jobs/7620527003?gh_src=689c81d53us&amp;urlHash=VxaA")</f>
        <v/>
      </c>
      <c r="G176" t="inlineStr">
        <is>
          <t>San Jose, CA</t>
        </is>
      </c>
      <c r="H176" t="inlineStr"/>
      <c r="I176" t="inlineStr">
        <is>
          <t>Affirm is reinventing credit to make it more honest and friendly, giving consumers the flexibility to buy now and pay later without any hidden fees or compounding interest.
 We’re hiring a Senior Product Manager, Card Acquisition (New Channels) to launch and scale new acquisition channels for the Affirm Card. In this role, you’ll identify high\-impact growth opportunities, validate them through rapid experimentation, and bring them to market at scale. You’ll play a pivotal role in shaping how millions of consumers first discover and adopt the Affirm Card, with direct ownership over measurable acquisition and activation outcomes. This is a highly visible role with significant opportunity to influence strategy and drive Affirm’s next phase of cardholder growth.
**What You'll Do**
* Define and own the Card Acquisition roadmap for new growth channels, setting clear hypotheses, success metrics, and sequencing.
* Launch and scale new acquisition surfaces, partnering closely with Engineering and Design to deliver seamless, high\-conversion onboarding experiences.
* Design and execute acquisition programs (e.g., referrals, exploratory partner pilots) with measurable CAC→LTV impact.
* Own funnel performance end\-to\-end: track weekly acquisitions, 30\-day activation, drop\-offs by step, and implement robust incrementality testing.
* Collaborate cross\-functionally with Risk, Compliance, Marketing, and the Card Foundations team to align dependencies and ensure safe, scalable growth.
* Continuously experiment and iterate to unlock new distribution levers, maximize conversion, and expand the cardholder base.
**What We Look For**
* 4\+ years in Product Management; Ideally with previous background owning growth/distribution channels
* Track record shipping consumer financial or regulated products; comfort partnering with Risk/Credit, Legal, and Compliance.
* Deep fluency in experiment design, incrementality/attribution, and CAC→LTV optimization.
* Strong UX instincts for moment‑of‑intent surfaces; ability to work across web, app, and partner integrations.
* Data chops (SQL/Amplitude‑level self‑serve) and a bias for shipping, learning, and iterating quickly.
* Excellent cross‑functional leadership; experience leading embedded eng/design pods.
* Bachelor’s or Master’s in Computer Science, or other related fields; or equivalent practical experience.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77">
      <c r="A177" t="inlineStr">
        <is>
          <t>li-4371483335</t>
        </is>
      </c>
      <c r="B177" t="inlineStr">
        <is>
          <t>Product Manager II - Platform Staking</t>
        </is>
      </c>
      <c r="C177" t="inlineStr">
        <is>
          <t>Coinbase</t>
        </is>
      </c>
      <c r="D177" t="inlineStr">
        <is>
          <t>linkedin</t>
        </is>
      </c>
      <c r="E177">
        <f>HYPERLINK("https://www.linkedin.com/jobs/view/4371483335", "https://www.linkedin.com/jobs/view/4371483335")</f>
        <v/>
      </c>
      <c r="F177" t="inlineStr"/>
      <c r="G177" t="inlineStr"/>
      <c r="H177" t="inlineStr"/>
      <c r="I177"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**Team/ Role** 
 Staking is the \#3 revenue\-generating products at Coinbase ($700M\+ ARR in 2024\). The Staking Platform team builds platform services to empower high quality staking products for our retail and institutional customers. This way, people don’t just buy / sell crypto, they “earn” on crypto, and in the meantime provide security and decentralization for underlying blockchain networks. We design the interface that abstracts blockchain complexities into simple and easy\-to\-use platform APIs for all our product teams at Coinbase. We must be at the forefront of crypto, operating blockchains at scale, designing new products and solving hard engineering problems to make the latest staking technologies accessible to people around the world. We take on challenging problems in user experience, security and blockchain technology.
 On the Staking Platform team, you’ll be tasked with learning about new blockchains and technologies, and enabling new utilities through existing and new  products for our users. You’ll work with leadership to turn ideas into reliable products and infrastructure for Coinbase. 
**What you’ll be doing (ie. job duties):** 
* Own a product area and define long\-term strategy for areas such as Staking Protocol Integrations \&amp; infrastructure, International expansion and support
* Develop products \&amp; services for internal and external developer audiences.
* Own managing the addition of multiple assets including network launches and staking support across Consumer and Insto products.
* Own product management of public\-facing developer tools and communities managed by Staking Platform team
* Research and stay ahead of new and upcoming technology in the crypto space, and build relationships with key community members.
* Drive adoption of staking and crypto\-first product features, working closely with partners on product teams.
**What we look for in you (ie. job requirements):** 
* Minimum of 5\+ years experience in product management or elsewhere in a similar capacity (product\-minded engineer or entrepreneur).
* You’re familiar with the crypto ecosystem, be it DeFi, protocol technologies, crypto developer tools or more.
* You’re passionate about building an open financial system that brings the world together.
* You’re an excellent communicator, comfortable talking to individual contributors and executive leadership.
* Aptitude for learning and ability to ramp quickly on new and potentially complicated domains
* Ability to focus on scalable platform and business outcomes
* An execution\-focused mindset, capable of navigating through ambiguity and delivering results.
**Nice to haves:** 
* Previous project or work experience in crypto\-native projects (i.e. Staking, NFTs, DeFi, DAOs, RWAs, etc.)
* Crypto\-forward experience, including familiarity with staking, onchain activity such as interacting with Ethereum addresses, using ENS, and engaging with dApps or blockchain\-based services.
*Position ID:* 
 * *P74401*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78">
      <c r="A178" t="inlineStr">
        <is>
          <t>li-4363193491</t>
        </is>
      </c>
      <c r="B178" t="inlineStr">
        <is>
          <t>Technical Product Manager (CMH Health)</t>
        </is>
      </c>
      <c r="C178" t="inlineStr">
        <is>
          <t>Milliman</t>
        </is>
      </c>
      <c r="D178" t="inlineStr">
        <is>
          <t>linkedin</t>
        </is>
      </c>
      <c r="E178">
        <f>HYPERLINK("https://www.linkedin.com/jobs/view/4363193491", "https://www.linkedin.com/jobs/view/4363193491")</f>
        <v/>
      </c>
      <c r="F178">
        <f>HYPERLINK("https://recruiting2.ultipro.com/MIL1017/JobBoard/f54234e9-dfde-b183-fd20-4fbdb19cba7a/OpportunityDetail?opportunityId=34ba9135-5da5-4581-9592-13dc68f790e1&amp;source=LinkedIn&amp;utm_source=LINKEDIN&amp;urlHash=K7kJ", "https://recruiting2.ultipro.com/MIL1017/JobBoard/f54234e9-dfde-b183-fd20-4fbdb19cba7a/OpportunityDetail?opportunityId=34ba9135-5da5-4581-9592-13dc68f790e1&amp;source=LinkedIn&amp;utm_source=LINKEDIN&amp;urlHash=K7kJ")</f>
        <v/>
      </c>
      <c r="G178" t="inlineStr">
        <is>
          <t>Brookfield, WI</t>
        </is>
      </c>
      <c r="H178" t="inlineStr"/>
      <c r="I178" t="inlineStr">
        <is>
          <t>**Individual(s) must be legally authorized to work in the United States without the need for immigration support or sponsorship from Milliman now or in the future.**
 Software Engineering and Product Management are changing faster than we've witnessed in the past. When GenAI can generate UI scaffolding and boilerplate on demand, the differentiator isn’t "writing tickets"—it’s turning ambiguous, high\-stakes work into repeatable capability.
 We are moving from traditional professional service delivery to selling outcomes and subscriptions. That shift only works if we build a product engine that is fast, safe, and grounded in real domain workflows.
 CMH Health is hiring a
 **Technical Product Manager** 
 to help lead that transformation. You’ll operate at the intersection of Healthcare \+ actuarial workflows, Platform engineering, and AI productization. We want the team building the future of healthcare work to represent the people affected by it. If you’re excited about the mission but don’t match every bullet, apply anyway—we care more about trajectory, judgment, and learning velocity than perfect backgrounds.
**Job Responsibilities**
* Build an internal AI platform and product portfolio that materially changes how healthcare consulting work is delivered—faster time\-to\-production, more reuse, higher reliability, and a clearer line\-of\-sight from “feature” to “business outcome.”
* Provide platform product leadership
+ Own the roadmap for an internal AI platform (IDP\-style) with “golden paths” that make safe delivery the default.
+ Define and ship platform capabilities such as: agent registry, prompts and new models, evaluation harnesses, agent/workflow runtimes, notebook\-to\-service pathways, and observability.
+ Oversee new products, existing products and associated features.
* Facilitate AI\-enabled workflow and product development
+ Identify high\-leverage workflows (documents, data pipelines, reporting, bid prep) and turn them into productized automations.
+ Design LLM\-enabled experiences that reduce “clicks to outcomes,” without creating chaos, ambiguity, or hidden failure modes.
+ Build quality and trust into the product: evaluation strategy, human\-in\-the\-loop patterns, auditability, and clear UX around uncertainty.
* Perform domain immersion \+ customer discovery
+ Spend time with the people doing the work—consultants, analysts, principals—to understand the real workflow, not the slide deck version.
+ Translate domain logic into product requirements that engineering can implement and that users will actually adopt.
**Minimum Requirements**
* Bachelor's degree in Computer Science, Data Science, Business Administration, or a related field.
* 6\+ years of experience in product management for technical products (platforms, workflow tools, B2B SaaS, or complex internal systems).
* Strong technical fluency: you can reason about APIs, data models, service boundaries, and delivery tradeoffs.
* Practical experience shipping AI/ML or LLM\-enabled features (including an understanding of model/product lifecycle: data, evaluation, deployment, monitoring, governance).
* Proven ability to prioritize and execute: you can simplify scope while protecting the core value.
* Excellent written and verbal communication: concise, structured, and persuasive to both technical and non\-technical audiences.
**Competencies that Support Success in this Role**
* We’re optimizing for judgment, clarity, and systems thinking—not keyword bingo.
* Define success metrics up front, instrument usage, and close the loop after launch.
* Drive adoption: documentation, enablement, internal marketing, and iterative improvement based on behavioral data.
* Healthcare, actuarial, pharmacy, provider or “complex regulated domain” experience.
* Experience with platform thinking: internal marketplaces, reusable components, golden paths, and adoption strategy.
* Think big, then ship in increments: You can describe a compelling end\-state and still deliver a v1 that people use.
* Ruthlessly prioritize: You aim for compounding impact and avoid “feature entropy.”
* Earn trust through craft: You set quality bars for UX clarity, evaluation rigor, and stakeholder alignment.
* Stay close to the work: You learn the domain by watching it happen.
**The Team**
 Milliman is one of the leading experts in healthcare financing and delivery. We advise clients on a wide range of issues—from assessing the impact of healthcare reform on organizations or populations to streamlining operations while advancing the quality of patient care. Our consulting work is supported by a powerful toolkit of data analytics solutions and informed by the most trusted, comprehensive set of cost guidelines in the industry.
 Through a team of professionals ranging from actuaries to clinicians, technology specialists to plan administrators, we offer unparalleled expertise in employee benefits, investment consulting, healthcare, life insurance and financial services, and property and casualty insurance.
**Location:**
 It is preferred that candidates work on\-site at our Brookfield, WI, Chicago, IL, or Hartford, CT office, however, remote candidates will be considered. The expected application deadline for this job is July 30, 2026
 **.**
**Compensation**
 The overall salary range for this role is $117,500 \- $249,780\.
**For Candidates Residing In**
 Alaska, California, Connecticut, Illinois, Maryland, Massachusetts, New Jersey, New York City, Newark, San Jose, San Francisco, Pennsylvania, Virginia, Washington, or the District of Columbia:
* $135,125 \- $222,985 if overall experience is less than 7 years; and
* $151,340 \- $249,780 for experience greater than 7 years.
**All Other States**
* $117,500 \- $193,900 if overall experience is less than 7 years; and
* $131,600 \- $217,200 for experience greater than 7 years
 A combination of factors will be considered, including, but not limited to, education, relevant work experience, qualifications, skills, certifications, etc.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observed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179">
      <c r="A179" t="inlineStr">
        <is>
          <t>li-4371435553</t>
        </is>
      </c>
      <c r="B179" t="inlineStr">
        <is>
          <t>Senior Product Manager -Provider Data &amp; Identity</t>
        </is>
      </c>
      <c r="C179" t="inlineStr">
        <is>
          <t>Northwell Health</t>
        </is>
      </c>
      <c r="D179" t="inlineStr">
        <is>
          <t>linkedin</t>
        </is>
      </c>
      <c r="E179">
        <f>HYPERLINK("https://www.linkedin.com/jobs/view/4371435553", "https://www.linkedin.com/jobs/view/4371435553")</f>
        <v/>
      </c>
      <c r="F179" t="inlineStr"/>
      <c r="G179" t="inlineStr">
        <is>
          <t>Melville, NY</t>
        </is>
      </c>
      <c r="H179" t="inlineStr"/>
      <c r="I179" t="inlineStr">
        <is>
          <t>170981
**Department Overview:** 
 Leads the strategy for provider data as a core digital capability, ensuring accuracy, integrity, and alignment across clinical, operational, and patient\-facing systems. Supports enterprise identity management, provider matching, and interoperability to enhance reliability and patient trust in digital experiences
**Highly Preferred Skills**
* Experience in healthcare data product management or provider information systems, ideally with exposure to provider data as a strategic product.
* Proven ability to co\-develop and govern provider data capabilities in partnership with operational, digital, and technical stakeholders.
* Deep knowledge of provider data integrity, identity management, and interoperability frameworks across clinical and patient\-facing systems.
* Experience leading data\-driven initiatives that enhance accuracy, reliability, and alignment across enterprise systems (Epic, CRM, digital platforms, etc.).
* Strong stakeholder engagement skills — able to bridge product thinking with operational realities and drive adoption through collaboration
**Job Description**
 Manages research and development initiatives, overseeing the design, development, and qualification of new and existing software and hardware products. Provides technical leadership and strategic direction, driving innovation and ensuring alignment with overall product roadmap and business strategy.
 Job Responsibility
* Collaborates with business stakeholders in multiple departments to establish a strategic product roadmap.
* Leads cross\-functional teams to ensure successful product development and launch, from concept to commercialization. Evaluates product performance and oversees the transition from development through market release.
* Defines service scope and parameters, collaborating with planning roles, relationship managers, and capacity planners to forecast demand and ensure adequate resource allocation.
* Determines product delivery and deployment dates for new product releases, feature enhancements, maintenance releases, and regular corrective service or service pack releases.
* Serves as a technical expert and advisor to the product organization, leading research and prototyping effors for innovative technologies and products.
* Ensures alignment between the engineering technology roadmap and the overall product/business roadmap.
* Acts as a primary technical liaison for clients, addressing complex integration issues, custom development requests, and product requirements. Oversees major releases, ensuring feature enhancements align with customer needs and market demands.
* Drives product delivery by managing schedules, resources, and tasks across all development phases. Creates user documentation and corrdinates end user training.
* Tracks and analyzes key product erformance metrics to inform strategic decisions. Identifies and evaluates market opportunities for product expansion.
* Provides technical guidance and support to product development team or to product managers on best practices.
* Operates under limited guidance and work assignments involve moderately complex to complex issues where the analysis of situations or data requires in\-depth evaluation of variable factors.
* Regularly exercises independent judgment on matters of significance including selecting methods, techniques for obtaining results, and making recommendations.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 3\-5 years of relevant experience, required.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180">
      <c r="A180" t="inlineStr">
        <is>
          <t>li-4371434566</t>
        </is>
      </c>
      <c r="B180" t="inlineStr">
        <is>
          <t>Principal Product Owner</t>
        </is>
      </c>
      <c r="C180" t="inlineStr">
        <is>
          <t>The Depository Trust &amp; Clearing Corporation (DTCC)</t>
        </is>
      </c>
      <c r="D180" t="inlineStr">
        <is>
          <t>linkedin</t>
        </is>
      </c>
      <c r="E180">
        <f>HYPERLINK("https://www.linkedin.com/jobs/view/4371434566", "https://www.linkedin.com/jobs/view/4371434566")</f>
        <v/>
      </c>
      <c r="F180" t="inlineStr"/>
      <c r="G180" t="inlineStr">
        <is>
          <t>Dallas, TX</t>
        </is>
      </c>
      <c r="H180" t="inlineStr"/>
      <c r="I180"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This role will be in the Enterprise Intelligence Organization in Enterprise Data \&amp; Corporate Technology. The Enterprise Intelligence team builds and manages Data Products for IT. The Product Owner (Data and Business Intelligence) will play a pivotal role in driving the success of the data products, ensuring they meet the evolving needs of the business while leading a dynamic team of product owners. This position demands a blend of strategic insight, operational agility, and a deep commitment to delivering excellence in data management and business intelligence.
* Product Development: Lead the development of data products from conception to implementation, ensuring they meet business requirements and quality standards.
* Stakeholder Collaboration: Work closely with stakeholders, including Data Product Managers, Data Producers, and Data Consumers, to gather requirements, prioritize features, and ensure alignment with business goals.
* Data Quality: Ensure the accuracy, reliability, and integrity of data products by implementing robust data quality measures and collaborating with Data Owners.
* Product Lifecycle Management: Manage the entire lifecycle of data products, including planning, development, testing, deployment, and maintenance.
* Roadmap and Prioritization: Develop and maintain product roadmaps, prioritize features based on business needs, and manage the intake process for new product requests.
* Communication: Act as the primary point of contact for all communications related to data products, including updates, issues, and enhancements.
* Continuous Improvement: Continuously evaluate and improve data products to ensure they meet evolving business needs and industry standards.
* Industry Knowledge: A working knowledge of financial services and related back\-office and middle\-office functions.
* Aligns risk and control processes into day\-to\-day responsibilities to monitor and mitigate risk; escalates appropriately.
**Leadership Competencies For This Level Include**
* Accountability: Demonstrates reliability by taking necessary actions to continuously meet required deadlines and goals.
* Global Collaboration: Applies global perspective when working within a team by being aware of own style and ensuring all relevant parties are involved in key team tasks and decisions.
* Communication: Articulates information clearly and presents information effectively and confidently when working with others.
* Influencing: Convinces others by making a strong case, bringing others along to their viewpoint; maintains strong, trusting relationships while at the same time is comfortable challenging ideas.
* Innovation and Creativity: Thinks boldly and out of the box, generates new ideas and processes, and confidently pursues challenges as new avenues of opportunity.
**Qualifications**
* Minimum of 10 years of related experience
* Minimum of 5 years of experience in People management \&amp; Team Leadership
* Bachelor's degree preferred or equivalent experience
**Talents Needed For Success**
* Proven experience as a Data Product Owner or similar role in data management and product development.
* Ability to manage distributed teams with an employee/vendor mix
* Demonstrate ability to inspire and motivate a team towards achieving strategic goals.
* Ability to facilitate educational and working sessions with stakeholders and users
* Experience with supporting Enterprise Tools.
* Experience in managing technical projects and ensuring they align with organizational objectives.
* Ability to drive innovation within the team and encourage creative problem\-solving.
* Strong understanding of data management principles, data quality, and data governance.
* Excellent communication and collaboration skills, with the ability to work effectively with cross\-functional teams.
* Experience with data product lifecycle management and agile methodologies.
* Ability to prioritize and manage multiple tasks and projects simultaneously.
* Strong analytical and problem\-solving skills.
* Experience with data visualization tools and technologies.
* Experience with SQL and Snowflake.
* Ability to assess completeness of requirements and readiness of data products.
* Knowledge of industry standards and best practices in data management and product development.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81">
      <c r="A181" t="inlineStr">
        <is>
          <t>li-4344789308</t>
        </is>
      </c>
      <c r="B181" t="inlineStr">
        <is>
          <t>Senior Associate Product Manager</t>
        </is>
      </c>
      <c r="C181" t="inlineStr">
        <is>
          <t>John B. Sanfilippo &amp; Son, Inc.</t>
        </is>
      </c>
      <c r="D181" t="inlineStr">
        <is>
          <t>linkedin</t>
        </is>
      </c>
      <c r="E181">
        <f>HYPERLINK("https://www.linkedin.com/jobs/view/4344789308", "https://www.linkedin.com/jobs/view/4344789308")</f>
        <v/>
      </c>
      <c r="F181" t="inlineStr"/>
      <c r="G181" t="inlineStr">
        <is>
          <t>Elgin, IL</t>
        </is>
      </c>
      <c r="H181" t="inlineStr"/>
      <c r="I181" t="inlineStr">
        <is>
          <t>**Summary of Position** 
 The Senior Associate Product Manager plays a hands\-on leadership role in delivering JBSS strategic initiatives and commercializing products to support volume and profit growth, with a focus on the new bars capability. This role is critical to advancing plan\-makers and strategic priorities, while accelerating JBSS growth by diversifying the portfolio into high‑growth snacking categories.
***This position is 4 days a week on\-site in Elgin, IL.***
**Functions of the Position:** 
* Partners with Consumer Insights, Procurement, Technical Services, Quality, Safety, Operations, Sales, Finance, Private Label or Branded Marketing, Creative Services, and customers.
* Leads the commercialization process, including entering projects into the JBSS project management system and managing them through development, commercialization, and launch.
* Supports new product and SKU development by creating technical briefs, coordinating development discussions, managing timelines, sample requests, product cuttings, documentation, and approving first production runs.
* Leads and facilitates cross\-functional teams and group meetings for prioritized projects.
* Leads pricing efforts for new and existing customer products to maintain or improve JBSS margins.
* Partners with the Director of Pricing on pricing analysis to deliver profitable bars growth.
* Facilitates product and packaging initiatives—including discontinuations or transitions—involving structure, graphics, or ingredient changes in collaboration with appropriate cross\-functional partners.
**Education, Experience, and Knowledge:** 
* Bachelor’s degree, preferably in Marketing or Business.
* 4 years of experience, ideally with a CPG/food company or in new product development.
* Foundational knowledge of new product launches and commercialization processes.
**Skills and Competencies:** 
* Strong written and verbal communication skills.
* Demonstrated financial acumen.
* Strong project management capability.
* Bias for action with a strong drive for results.
* High learning agility.
* Ability to prioritize effectively with strong time‑management skills.
* Strong team leadership skills and ability to work cross\-functionally.
* Proficient in Microsoft Office applications.
 Additionally, we provide a comprehensive benefits package that reflects our commitment to support the wellness of our colleagues and their families. This includes health benefits, professional growth support, generous paid time off benefits to support work/life balance, retirement benefits and other programs to support financial wellness. A full listing of our extensive benefits package can be found on our Company website, located here:
 https://jbssinc.com/careers/
***JBSS is an Equal Opportunity Employer:***
*All qualified applicants will receive consideration for employment without regard to race, color, religion, sex, sexual orientation, gender identity, national origin, disability, or status as a protected veteran.*</t>
        </is>
      </c>
    </row>
    <row r="182">
      <c r="A182" t="inlineStr">
        <is>
          <t>li-4365028202</t>
        </is>
      </c>
      <c r="B182" t="inlineStr">
        <is>
          <t>Senior Product Manager - Technical, Amazon Nova Models (AGI)</t>
        </is>
      </c>
      <c r="C182" t="inlineStr">
        <is>
          <t>Amazon</t>
        </is>
      </c>
      <c r="D182" t="inlineStr">
        <is>
          <t>linkedin</t>
        </is>
      </c>
      <c r="E182">
        <f>HYPERLINK("https://www.linkedin.com/jobs/view/4365028202", "https://www.linkedin.com/jobs/view/4365028202")</f>
        <v/>
      </c>
      <c r="F182" t="inlineStr"/>
      <c r="G182" t="inlineStr">
        <is>
          <t>San Francisco, CA</t>
        </is>
      </c>
      <c r="H182" t="inlineStr"/>
      <c r="I182" t="inlineStr">
        <is>
          <t>**Description**
 We are seeking a Senior Product Manager \- Technical to join our team to drive the development of new agentic and inference capabilities for Amazon's Nova Foundational Models.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diving deep with customers to innovate on their behalf, and developing model capabilities the raise the bar for Amazon Nova Models.
 You will be the voice of the customer and responsible for driving a product roadmap that enables Amazon to build the most capable Foundation Models and the most compelling agentic capabilities and runtime features.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\- 173,900\.00 \- 235,200\.00 USD annually
 USA, CA, Sunnyvale \- 173,900\.00 \- 235,200\.00 USD annually
 USA, MA, Boston \- 151,200\.00 \- 204,600\.00 USD annually
 USA, WA, Bellevue \- 151,200\.00 \- 204,600\.00 USD annually
**Company** 
 \- Amazon.com Services LLC
 Job ID: A3162865</t>
        </is>
      </c>
    </row>
    <row r="183">
      <c r="A183" t="inlineStr">
        <is>
          <t>li-4371168461</t>
        </is>
      </c>
      <c r="B183" t="inlineStr">
        <is>
          <t>Sr. Product Manager</t>
        </is>
      </c>
      <c r="C183" t="inlineStr">
        <is>
          <t>American Woodmark</t>
        </is>
      </c>
      <c r="D183" t="inlineStr">
        <is>
          <t>linkedin</t>
        </is>
      </c>
      <c r="E183">
        <f>HYPERLINK("https://www.linkedin.com/jobs/view/4371168461", "https://www.linkedin.com/jobs/view/4371168461")</f>
        <v/>
      </c>
      <c r="F183" t="inlineStr"/>
      <c r="G183" t="inlineStr">
        <is>
          <t>Winchester, VA</t>
        </is>
      </c>
      <c r="H183" t="inlineStr"/>
      <c r="I183" t="inlineStr">
        <is>
          <t>American Woodmark is one of the nation's largest cabinet manufacturers. By partnering with major home centers, builders, and dealers, we spark the imagination of homeowners and designers and bring their vision to life. Across our service and distribution centers, our corporate office and manufacturing facilities, you'll always find the same commitment to customer satisfaction, integrity, teamwork, and excellence.
 We are on a journey to encourage an inclusive Woodmark and are taking meaningful actions to promote diverse representation across every part of the business. Together, every team member contributes to making American Woodmark a place where people can express who they are through what they do.
**POSITION PURPOSE:** 
 Through collaboration with cross\-functional teams (marketing, engineering, operations, finance, etc), the Sr. Product Manager will lead the development and management of the Made\-to\-Order product offering. This position is responsible for tracking, analyzing and reporting on internal and competitive trends and will use this information along with other relevant data to recommend product opportunities. The Sr. Product Manager will lead cross\-functional project teams, support the development, launch of new Core products, and perform other tasks as assigned.
**IDEAL CANDIDATE PROFILE:** 
 To perform this job successfully, an individual must be able to excel at the essential functions assigned. The requirements listed below are representative of the knowledge, skill and ability required.
**Experience** 
* Minimum of 10 years' experience in one or more of the following; marketing, product management, product design, product engineering, quality assurance, sales, manufacturing, builder operations or equivalent experience
* P\&amp;L experience is a plus
* Experience with wood fabricating, wood technology or wood finishing processes a plus
* Kitchen design and / or kitchen installation experience a plus
* Thorough knowledge of kitchen cabinet industry is a plus
**Skills** 
* Enterprise\-level thinking with a strong understanding of production systems
* Out of the box thinking and creative problem solving skills; ability to work independently with little direction
* Strong project management skills required
* Excellent personal computer skills \-\- Microsoft products (Word, Excel, PowerPoint, Project and Access)
* Ability to build effective business relationships with customers and internal clients, as well as the ability to work discreetly with proprietary and confidential information
* Excellent organizational, oral and written communications skills, with an emphasis on formal presentations, priority setting and self\-directed work habits is essential
**Education** 
* A bachelor's degree in; marketing, engineering, architecture, design, wood science or similar discipline is preferred
**ESSENTIAL FUNCTIONS:** 
* Collaborates on and drives the execution of the company's overall product strategy
* Stay thoroughly abreast of competitive and industry trends, customer needs, competitors' products and other relevant data
* Develop strategy for generating and implementing product needs and specifications
* Influence company strategy \&amp; objectives through utilizing consumer research, channel / customer requirements, while balancing with internal capabilities / production platform.
* Drive all new products and product improvements through the Product Development process
* Research and develop understanding of new categories as needed
* Actively manages and drives the financial performance of the assigned category
* Analyze and distill a broad range of information to build a compelling business case for a new product
* Work with Product Engineering to ensure that all new products are designed to meet customer expectation
* Lead a broad range of teams
* Presentations frequently made to Senior Management as well as occasional sales launch meetings and customer meetings as required
* Review and approve the technical accuracy of advertising and promotional copy, including but not limited to consumer catalogs, specifications books and price books prior to printing.
**SUPERVISORY RESPONSIBILITES:** 
* This job does not have direct supervisor responsibilities; however matrix environment requires significant cross\-functional leadership.
**SCOPE \&amp; EXPECATIONS:** 
* Reports to: Director, Product (MTO)
* Travel Requirements:
	+ Occasional travel (approximately 15% of time), both in and out of town, is required. Travel is typically by company car and commercial air carrier.
* Recruitment process may consist of any combination of phone, video and in person interviews.
* Offers may be contingent upon successful completion of Background Check, Drug Screen, Physical Examination and/or potential Motor Vehicle Check.
**BENEFITS PACKAGE INCLUDES:** 
* Competitive Compensation
* Health Care Benefits
* Paid Holidays
* Paid Vacation Days
* Paid Sick Days
* 401(k) Retirement Savings Plan \&amp; Profit Sharing
* Tuition Assistance
* Relocation Assistance when available
**AN EQUAL OPPORTUNITY EMPLOYER** 
 The American Woodmark Corporation does not discriminate on the basis of race, color, national origin, ancestry, age, religion, military and veteran status, sex, gender, gender identity, gender expression, sexual orientation, genetic information, marital status, medical condition, pregnancy, or any other legally\-protected characteristic; and it will comply with all applicable state discrimination laws. No person will be denied employment solely because of a disability, provided that the person can perform the essential functions of the position for which the person has applied, either with or without reasonable accommodations.</t>
        </is>
      </c>
    </row>
    <row r="184">
      <c r="A184" t="inlineStr">
        <is>
          <t>li-4342821249</t>
        </is>
      </c>
      <c r="B184" t="inlineStr">
        <is>
          <t>Program Manager</t>
        </is>
      </c>
      <c r="C184" t="inlineStr">
        <is>
          <t>UnitedMasters</t>
        </is>
      </c>
      <c r="D184" t="inlineStr">
        <is>
          <t>linkedin</t>
        </is>
      </c>
      <c r="E184">
        <f>HYPERLINK("https://www.linkedin.com/jobs/view/4342821249", "https://www.linkedin.com/jobs/view/4342821249")</f>
        <v/>
      </c>
      <c r="F184" t="inlineStr"/>
      <c r="G184" t="inlineStr">
        <is>
          <t>New York, NY</t>
        </is>
      </c>
      <c r="H184" t="inlineStr"/>
      <c r="I184" t="inlineStr">
        <is>
          <t>**Who We Are** 
 UnitedMasters is building a marketplace that connects artists, brands and fans \- empowering artists to earn and grow. UnitedMasters has taken the bold step of building a music distribution service that, radically, puts artists first \- disrupting the legacy music business by letting up\-and\-coming artists distribute their music directly to fans through streaming services while maintaining ownership of their master recording rights and up to 100% of royalties. Through the combination of UnitedMasters’ music distribution platform and its deep ties to brands, UnitedMasters enables independent artists and change\-makers to grow and earn unlike any other platform.
 The UnitedMasters team is made up of musicians, marketers, engineers, and storytellers with backgrounds from YouTube, SoundCloud, Pandora, Facebook, Uber, Dropbox, Complex, VICE, and more. We work hand in hand with the award\-winning creative teams that forge those innovative partnerships at Translation (our in\-house creative advertising agency).
 We are looking for a Program Manager to join Translation! Please note that this role is a Hybrid role: four days in office and 1 day remote.
**What You'll Do** 
* Develop project timeline, monitor progress and enforce milestones
* Maintain real\-time status and internal communications
* Set up briefs/reviews and record and distribute clear deliverables, direction and next steps
* Maintain daily/weekly hot sheets, and run core team status per account
* Manage day\-to\-day action items and priorities across the team
* Actively monitor issues and new developments, keeping the team informed, and proactively problem\-solving
**Knowledge, Skills and Abilities** 
* 3\+ years of agency or allied communications industry experience that ensures your understanding of advertising, marketing, media, creative, production, public relations, research, agency finance, etc.
* Possess and deliver excellent written and verbal communication skills, demonstrating the ability to present thoughts clearly, accurately, and succinctly.
* Excellent time management, organization and prioritization skills.
* Have the proven ability to work under tight deadlines and handle pressure, while consistently paying attention to accuracy and quality of work.
**Minimum Qualifications** 
* Minimum 3 years experience
* Creative agency background
* Experience with integrated production (broadcast, digital, social)
**Preferred Qualifications** 
* Fluent in Google Suite, with emphasis on Sheets and Slides
* Production experience a plus
* Monday.com or SmartSheets proficiency
***About UnitedMasters, Inc.***
 UnitedMasters Inc. represents the creative solutions company, Translation, and the leading software and services platform for independent creators, UnitedMasters. UnitedMasters enables ownership, exposure, and new paths for financial return for independent creators, while Translation helps brands leverage the power of contemporary culture to achieve transformational growth. Combined, UnitedMasters, Inc. is the world’s leading marketplace for cultural capital, connecting independent artists and brands to realize a future in which all creators own their future. Backed by Alphabet, Andreessen Horowitz, and Apple, UnitedMasters, Inc. is reimagining how brands and artists come together to tell their stories, build profitable growth, and push culture forward.
**Salary Hiring Range:** 
**$70,000 \- $90,000** 
*Our salary ranges are based on paying competitively for our size and industry, and are one part of many compensation, benefits and other reward opportunities we provide (e.g. bonus, stock options, 401(k) match, etc.)*
*Individual pay rate decisions are based on a number of factors, including qualifications for the role, experience level, skillset, and balancing internal equity relative to peers at the company.  We expect the majority of the candidates who are offered roles at our company to fall healthily throughout the range based on these factors.*
*The range above is for the expectations as laid out in the job description, however we are often open to a wide variety of profiles, and recognize that the person we hire may be less experienced (or more senior) than this job description as posted.  If that ends up being the case, the updated salary range will be communicated with you as a candidate.*
*The salary range above is for the NY/CA.  As a company, we have a location based strategy, which means the salary range could be lower or higher than this if the role is hired in another location.*</t>
        </is>
      </c>
    </row>
    <row r="185">
      <c r="A185" t="inlineStr">
        <is>
          <t>li-4363213309</t>
        </is>
      </c>
      <c r="B185" t="inlineStr">
        <is>
          <t>Sr. Product Owner</t>
        </is>
      </c>
      <c r="C185" t="inlineStr">
        <is>
          <t>SHI International Corp.</t>
        </is>
      </c>
      <c r="D185" t="inlineStr">
        <is>
          <t>linkedin</t>
        </is>
      </c>
      <c r="E185">
        <f>HYPERLINK("https://www.linkedin.com/jobs/view/4363213309", "https://www.linkedin.com/jobs/view/4363213309")</f>
        <v/>
      </c>
      <c r="F185">
        <f>HYPERLINK("https://shi.wd12.myworkdayjobs.com/shicareers/job/Somerset-NJ-USA/Sr-Product-Owner_JR2569?source=LinkedIn&amp;urlHash=NRP7", "https://shi.wd12.myworkdayjobs.com/shicareers/job/Somerset-NJ-USA/Sr-Product-Owner_JR2569?source=LinkedIn&amp;urlHash=NRP7")</f>
        <v/>
      </c>
      <c r="G185" t="inlineStr">
        <is>
          <t>Somerset, NJ</t>
        </is>
      </c>
      <c r="H185" t="inlineStr"/>
      <c r="I185" t="inlineStr">
        <is>
          <t>**About Us**
**Since 1989, SHI International Corp. has helped organizations change the world through technology. We’ve grown every year since, and today we’re proud to be a $16 billion global provider of IT solutions and services.**
 Over 17,000 Organizations Worldwide Rely On SHI’s Concierge Approach To Help Them Solve What’s Next. But The Heartbeat Of SHI Is Our Employees – All 7,000 Of Them. If You Join Our Team, You’ll Enjoy
* Our commitment to diversity, as the largest minority\- and woman\-owned enterprise in the U.S.
* Continuous professional growth and leadership opportunities.
* Health, wellness, and financial benefits to offer peace of mind to you and your family.
* World\-class facilities and the technology you need to thrive – in our offices or yours.
**Job Summary**
 The Senior Product Owner defines and communicates a clear vision for business systems solutions, collaborating with cross\-functional teams to gather and prioritize requirements while maintaining a comprehensive product backlog. This role involves guiding the development process through user stories, facilitating Agile Scrum processes, and overseeing product design and implementation to meet business goals. The ideal candidate will plan and prioritize sprints, conduct testing to ensure quality solutions, and engage in hands\-on business analysis to support successful product delivery.
**Role Description**
* Define and communicate a clear vision and goals for business systems solutions to align with business objectives and stakeholder needs.
* Collaborate with cross\-functional teams and stakeholders, including IT leadership and development teams, to gather and prioritize requirements.
* Create and manage a comprehensive product backlog, prioritizing items based on strategy, business objectives, and stakeholder priorities.
* Develop user stories with clear acceptance criteria to guide the development process.
* Facilitate communication and coordination between teams, ensuring adherence to Agile Scrum processes and refining the methodology as needed.
* Oversee the design, implementation, and improvement of products and productized services, ensuring they meet business goals.
* Plan, arrange, and prioritize sprints and releases, incorporating feature requests into the product roadmap.
* Monitor and support the progress of development work, addressing issues and refining requirements as necessary.
* Conduct hands\-on business analysis and documentation to support successful product delivery.
* Plan and conduct testing, such as functional and User Acceptance Testing (UAT), and document results to ensure quality solutions.
**Behaviors and Competencies**
* Analytical Thinking: Can synthesize complex data, identify patterns, draw insights, and present findings clearly and understandably.
* Business Acumen: Can evaluate market trends and competitive landscape to identify opportunities and risks.
* Collaboration: Can proactively seek out diverse perspectives, facilitate open communication among team members, and drive toward consensus and action.
* Communication: Can effectively communicate complex ideas and information to diverse audiences and can facilitate effective communication between others.
* Data Analysis: Can apply complex analytical methods and algorithms for predictive modeling and can interpret and communicate the results effectively.
* Detail\-Oriented: Can manage complex tasks or projects, identifying errors or inconsistencies, and ensuring all details are addressed, necessary corrections are made, and quality is maintained.
* Initiative: Can proactively seek out challenges, initiate projects, and contribute to innovative ideas.
* Follow\-Through: Can independently track progress, make necessary adjustments, and ensure the successful completion of complex projects.
* Organization: Can effectively coordinate multiple projects, delegate tasks where appropriate, and employ advanced organizational tools and methods.
* Problem\-Solving: Can proactively identify potential problems, initiate preventive measures, and propose and contribute to innovative solutions.
**Skill Level Requirements**
* Ability to oversee and direct projects to completion, ensuring goals are met, resources are utilized efficiently, and stakeholders are satisfied \- Intermediate
* Familiarity with enterprise resource planning (ERP) systems, including the ability to navigate, utilize, and integrate these systems to streamline business processes and improve operational efficiency \- Intermediate
* Proficiency in using Dynamics CRM to manage customer relationships, track sales, and streamline business processes through automation and data analysis \- Intermediate
* Experience in various project management frameworks such as Agile, Waterfall, and Scrum to effectively plan, execute, and close projects \- Intermediate
* Demonstrates a working knowledge of current and evolving technologies including Cloud, Security, IoT, and Digital Workplace \- Intermediate
**Other Requirements**
* Completed Bachelor's Degree in Computer Science or a related field, or relevant work experience required
* 3\-5 years of experience in a similar role
* 3\-5 years of experience with Agile software development methodologies
* Ability to travel 10%
 The estimated annual pay range for this position is $120k \- $185k which includes a base and bonus. The compensation for this position is dependent on job\-related knowledge, skills, experience, and market location and, therefore, will vary from individual to individual. Benefits may include, but are not limited to, medical, vision, dental, 401K, and flexible spending.
 Equal Employment Opportunity – M/F/Disability/Protected Veteran Status</t>
        </is>
      </c>
    </row>
    <row r="186">
      <c r="A186" t="inlineStr">
        <is>
          <t>li-4371176724</t>
        </is>
      </c>
      <c r="B186" t="inlineStr">
        <is>
          <t>Senior Product Manager, Card Experience</t>
        </is>
      </c>
      <c r="C186" t="inlineStr">
        <is>
          <t>Affirm</t>
        </is>
      </c>
      <c r="D186" t="inlineStr">
        <is>
          <t>linkedin</t>
        </is>
      </c>
      <c r="E186">
        <f>HYPERLINK("https://www.linkedin.com/jobs/view/4371176724", "https://www.linkedin.com/jobs/view/4371176724")</f>
        <v/>
      </c>
      <c r="F186">
        <f>HYPERLINK("https://job-boards.greenhouse.io/affirm/jobs/7620527003?gh_src=689c81d53us&amp;urlHash=VxaA", "https://job-boards.greenhouse.io/affirm/jobs/7620527003?gh_src=689c81d53us&amp;urlHash=VxaA")</f>
        <v/>
      </c>
      <c r="G186" t="inlineStr">
        <is>
          <t>Raleigh, NC</t>
        </is>
      </c>
      <c r="H186" t="inlineStr"/>
      <c r="I186" t="inlineStr">
        <is>
          <t>Affirm is reinventing credit to make it more honest and friendly, giving consumers the flexibility to buy now and pay later without any hidden fees or compounding interest.
 We’re hiring a Senior Product Manager, Card Acquisition (New Channels) to launch and scale new acquisition channels for the Affirm Card. In this role, you’ll identify high\-impact growth opportunities, validate them through rapid experimentation, and bring them to market at scale. You’ll play a pivotal role in shaping how millions of consumers first discover and adopt the Affirm Card, with direct ownership over measurable acquisition and activation outcomes. This is a highly visible role with significant opportunity to influence strategy and drive Affirm’s next phase of cardholder growth.
**What You'll Do**
* Define and own the Card Acquisition roadmap for new growth channels, setting clear hypotheses, success metrics, and sequencing.
* Launch and scale new acquisition surfaces, partnering closely with Engineering and Design to deliver seamless, high\-conversion onboarding experiences.
* Design and execute acquisition programs (e.g., referrals, exploratory partner pilots) with measurable CAC→LTV impact.
* Own funnel performance end\-to\-end: track weekly acquisitions, 30\-day activation, drop\-offs by step, and implement robust incrementality testing.
* Collaborate cross\-functionally with Risk, Compliance, Marketing, and the Card Foundations team to align dependencies and ensure safe, scalable growth.
* Continuously experiment and iterate to unlock new distribution levers, maximize conversion, and expand the cardholder base.
**What We Look For**
* 4\+ years in Product Management; Ideally with previous background owning growth/distribution channels
* Track record shipping consumer financial or regulated products; comfort partnering with Risk/Credit, Legal, and Compliance.
* Deep fluency in experiment design, incrementality/attribution, and CAC→LTV optimization.
* Strong UX instincts for moment‑of‑intent surfaces; ability to work across web, app, and partner integrations.
* Data chops (SQL/Amplitude‑level self‑serve) and a bias for shipping, learning, and iterating quickly.
* Excellent cross‑functional leadership; experience leading embedded eng/design pods.
* Bachelor’s or Master’s in Computer Science, or other related fields; or equivalent practical experience.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87">
      <c r="A187" t="inlineStr">
        <is>
          <t>li-4329668018</t>
        </is>
      </c>
      <c r="B187" t="inlineStr">
        <is>
          <t>Senior Workday Product Owner (Financials &amp; HCM)</t>
        </is>
      </c>
      <c r="C187" t="inlineStr">
        <is>
          <t>Sprouts Farmers Market</t>
        </is>
      </c>
      <c r="D187" t="inlineStr">
        <is>
          <t>linkedin</t>
        </is>
      </c>
      <c r="E187">
        <f>HYPERLINK("https://www.linkedin.com/jobs/view/4329668018", "https://www.linkedin.com/jobs/view/4329668018")</f>
        <v/>
      </c>
      <c r="F187" t="inlineStr"/>
      <c r="G187" t="inlineStr">
        <is>
          <t>Phoenix, AZ</t>
        </is>
      </c>
      <c r="H187" t="inlineStr"/>
      <c r="I187" t="inlineStr">
        <is>
          <t>**Overview** 
**Location:** 
 Phoenix; Hybrid, 3\+ days
 This role requires a highly experienced Workday Product Owner with deep functional and system administration expertise. The individual will own Workday configuration, security, business process design, tenant management, releases, and integrations, acting as the primary subject matter expert for the platform. Success in this role depends on the ability to balance strategic roadmap ownership with hands\-on administration/configuration and complex troubleshooting and support. The Product Owner partners closely with HR, Finance, and IT stakeholders to translate business needs into scalable Workday solutions while ensuring system stability, data integrity, and continuous improvement.
 Responsibilities will span Sprout’s Workday environment, including Financials, Adaptive Planning, Projects, Core HCM, Compensation \&amp; Benefits, US Payroll, Talent Management, Absence, and any future modules under consideration.
**Overview Of Responsibilities:** 
* Leads the Workday configuration and development efforts by conveying the vision, outlining and prioritizing work based on business value
* Collaborate with stakeholders ensuring their interests are included in the release and the team to ensure the release is developed by the deadline
* Ability to gather, document, and determine all types of requirements; define and execute complex solutions; plan, write, and execute testing to ensure solution success, acting as a Test Lead when needed; plan, write, and execute Release Plans as needed
* Work with Workday to understand/influence roadmap, and manage the health of our account, supporting Business Reviews, Risk Assessments and contract renewals
* Manage lean\-on vendors that serve as an extension of our team on planning and delivery of prioritized work
* Support identification of resources with skills to complete upcoming roadmap and sprint work
* Manage semi\-annual Workday release cycle, understanding and socialization new features for prioritization and coordinating/supporting regression testing throughout our environment
* Responsible for the 12\-month\+ product roadmap
* Manage run\-the\-business/continuous delivery via a Scrum methodology
* Manage relevant budget lines to ensure we are delivering within spend limit
* Manage (as necessary) efforts that require traditional waterfall/SDLC project delivery/ status (i.e. vendor delivery of an upgrade, enhancements; OCM/communications/training) in adherence with SDLC and PMO standards
* Identify ways to optimize end\-to\-end technology including processes, adoption of tooling, and opportunities to automate for efficiency gains through owning and providing deep expertise of products
* Monitor Product Production Queue for new issues, triage, poor system performance; conducts regular audits, assign and/or address according to SLA
* Support solving escalated calls when On Call team member is unable to resolve themselves
* Ownership of SOX controls, including auditing of roles and permissions, as required
* Research and assess emergent technology in the industry for future strategic growth, bringing forth recommendations to keep Sprouts relevant
* Coach more junior team members as they grow into product ownership
**Knowledge Skills \&amp; Abilities:** 
* Bachelor’s degree in computer science, engineering, or equivalent work experience
* 5\-7 years of experience as Workday administrator, with breadth of knowledge across both Finance and HCM modules. Workday certifications preferred.
* Finance, Accounting or Human Resources business domain experience preferred.
* 5\-7 years of experience in product ownership, product management, or technical project management, with a focus on technical products or solutions
* Strong understanding of software development and technical concepts, with experience working in Agile environments
* Proficiency in product management and agile tools
* Excellent communication and interpersonal skills, with the ability to translate complex technical information for non\-technical audiences
* Strong analytical and problem\-solving skills, with a strategic, customer\-focused mindset
**Core Competencies:** 
* Communication: Convey information, ideas, and feedback clearly and concisely in an engaging manner that helps others understand and retain the message; listening actively to others.
* Customer Focus: Place a high priority on the customer’s perspective when making decisions and taking action; implementing service practices that meet the customers’ and own organization’s needs.
* Driving for Results: Set SMART goals and measure progress; tenaciously working to meet or exceed goals and making continuous improvement. Seeking innovative ways to solve problems that result in unique and differentiated solutions.
* Positive Approach: Demonstrate a positive attitude in the face of difficult or challenging situations; provide an uplifting (yet realistic) outlook on what the future holds and the opportunities it might present.
**Benefits:** 
 In addition to a rewarding career, Sprouts offers a comprehensive program to help support you and your family. These programs include:
* Competitive pay
* Sick time plan that you can use to support you or your immediate families health
* Opportunities for career growth
* 15% discount for you and one other family member in your household on all purchases made at Sprouts
* Flexible schedules
* Employee Assistance Program (EAP)
**Eligibility Requirements May Apply For The Following Benefits** 
* 401(K) Retirement savings plan with a generous company match
* Affordable benefit coverage, including medical, dental vision
* Paid parental leave for both mothers and fathers
* Pre\-tax Flexible Spending Accounts for healthcare and dependent care
* Company paid life insurance and short\-term disability coverage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 management reserves the right to amend and change duties, responsibilities, and requirements to meet business and organizational needs as necessary.* 
*California Residents: We collect information in accordance with California law, please see here for more information.*</t>
        </is>
      </c>
    </row>
    <row r="188">
      <c r="A188" t="inlineStr">
        <is>
          <t>li-4371194303</t>
        </is>
      </c>
      <c r="B188" t="inlineStr">
        <is>
          <t>Technical Product Manager</t>
        </is>
      </c>
      <c r="C188" t="inlineStr">
        <is>
          <t>Jobs via Dice</t>
        </is>
      </c>
      <c r="D188" t="inlineStr">
        <is>
          <t>linkedin</t>
        </is>
      </c>
      <c r="E188">
        <f>HYPERLINK("https://www.linkedin.com/jobs/view/4371194303", "https://www.linkedin.com/jobs/view/4371194303")</f>
        <v/>
      </c>
      <c r="F188">
        <f>HYPERLINK("https://click.appcast.io/t/htgxV2lHWlNzfWZjEMAdwfgaz8nlk6FHi7wJnwNKYMI=&amp;urlHash=V-Qs", "https://click.appcast.io/t/htgxV2lHWlNzfWZjEMAdwfgaz8nlk6FHi7wJnwNKYMI=&amp;urlHash=V-Qs")</f>
        <v/>
      </c>
      <c r="G188" t="inlineStr"/>
      <c r="H188" t="inlineStr"/>
      <c r="I188" t="inlineStr">
        <is>
          <t>Dice is the leading career destination for tech experts at every stage of their careers. Our client, AIT Global, Inc., is seeking the following. Apply via Dice today!
**Job Title: Technical Product Manager
 Location: Remote**
**Skills required:**
* Software Development Life Cycle (SDLC) \&amp; Methodologies: Expertise in managing the product development process using Agile methodologies (Scrum, Kanban) is essential, along with a deep understanding of the entire software development lifecycle.
* DevOps and Infrastructure Basics: Knowledge of how J2EE applications are built, tested, and deployed is important.
* Web Frameworks: Familiarity with popular frameworks
* Persistence Frameworks: Knowledge of how data is stored and retrieved
* APIs and Web Services: Understanding of Service\-Oriented Architecture (SOA
* Database Knowledge: Proficiency with database concepts.
* Front\-end Technologies: knowledge of related web technologies to understand UI/UX constraints and possibilities.
**Core Product Management \&amp; Soft Skills:**
* Communication \&amp; Stakeholder Management: Acts as a crucial bridge between highly technical engineering teams and non\-technical business, marketing, and sales teams. Excellent written and oral communication skills are necessary to translate complex technical issues into business implications and vice versa.
* Strategic Thinking and Roadmap Planning: The ability to define the product vision, create a compelling roadmap, and prioritize features and tasks based on user needs, market trends, and business goals.
* Problem\-Solving \&amp; Analytical Skills: Utilizes data analysis and critical thinking to identify user pain points, assess potential technical problems, and make data\-driven decisions.
* Leadership \&amp; Collaboration: Inspires and guides cross\-functional teams, manages expectations, resolves conflicts, and ensures alignment across all departments involved in the product's success.
* Risk Management: Proactively identifies potential technical bottlenecks or project risks and develops mitigation strategies.
**Key Responsibilities:**
* Requirements Definition: Translating business needs into detailed technical specifications for development.
* Technical Strategy: Defining the technical vision and roadmap, ensuring scalability, security, and long\-term viability.
* Engineering Collaboration: Working directly with engineers to detail requirements, prioritize features, and resolve technical challenges.
* Roadmap Management: Balancing technical debt, new features, and business demands on the product roadmap.
* Market \&amp; User Understanding: Researching market trends, competitor products, and user feedback, often focusing on technical users (developers).
* Cross\-Functional Alignment: Ensuring marketing, sales, and design teams understand the technical aspects and limitations.</t>
        </is>
      </c>
    </row>
    <row r="189">
      <c r="A189" t="inlineStr">
        <is>
          <t>li-4371193068</t>
        </is>
      </c>
      <c r="B189" t="inlineStr">
        <is>
          <t>Product Manager II, Consumer Experiences</t>
        </is>
      </c>
      <c r="C189" t="inlineStr">
        <is>
          <t>Affirm</t>
        </is>
      </c>
      <c r="D189" t="inlineStr">
        <is>
          <t>linkedin</t>
        </is>
      </c>
      <c r="E189">
        <f>HYPERLINK("https://www.linkedin.com/jobs/view/4371193068", "https://www.linkedin.com/jobs/view/4371193068")</f>
        <v/>
      </c>
      <c r="F189">
        <f>HYPERLINK("https://job-boards.greenhouse.io/affirm/jobs/7622734003?gh_src=689c81d53us&amp;urlHash=PQH1", "https://job-boards.greenhouse.io/affirm/jobs/7622734003?gh_src=689c81d53us&amp;urlHash=PQH1")</f>
        <v/>
      </c>
      <c r="G189" t="inlineStr">
        <is>
          <t>Portland, OR</t>
        </is>
      </c>
      <c r="H189" t="inlineStr"/>
      <c r="I189" t="inlineStr">
        <is>
          <t>Affirm is reinventing credit to make it more honest and friendly, giving consumers the flexibility to buy now and pay later without any hidden fees or compounding interest.
 We're looking for a product manager with proven experience building and launching search products to own our consumer\-facing surfaces and discovery experiences. You'll drive feature development for our Home Tab, own the Search experience, Profile/Settings and drive our App Redesign work forward. In this role, you'll partner closely with design to deliver compelling consumer experiences, while working with engineering and analytics to ship high\-impact features that improve satisfaction, engagement, and long\-term loyalty.
 What you’ll do
* Own and drive feature development for Home Tab, partnering closely with design to improve discovery, engagement, and activation on Affirm's app front door
* Own the Search Experience end\-to\-end, ensuring consumers can seamlessly find relevant merchants, products, and offers, with the opportunity to execute on AI\-native search capabilities as that workstream accelerates
* Lead Profile/Settings surface, making account management simple, transparent, and trustworthy
* Partner with engineering, design, analytics, and marketing to ship consumer\-facing products with measurable impact on conversion, NPS, and repeat usage
* Use data and experimentation to identify friction points, measure outcomes, and continuously improve core consumer journeys
 What we look for
* Experience building and launching search products: you've shipped search experiences end\-to\-end and understand relevance, ranking, and discovery UX
* Strong design sensibility and partnership skills: you work effectively with design to solve user problems and ship polished consumer experiences
* Track record of shipping consumer\-facing products with measurable impact on engagement, conversion, or growth
* Comfort with funnel analysis, A/B testing, and data\-driven decision making
* Ability to execute on technical product builds, particularly in search/discovery infrastructure
* Flexibility to pivot priorities as business needs evolve, comfortable with ambiguity and shifting focus areas
* 4\-6 years of product management experience, ideally in consumer apps, search, e\-commerce, or marketplace
 Pay Grade \- L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$160,000\-210,000
 USA base pay range (all other U.S. states) per year: $142,000\-192,000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90">
      <c r="A190" t="inlineStr">
        <is>
          <t>li-4371173922</t>
        </is>
      </c>
      <c r="B190" t="inlineStr">
        <is>
          <t>Senior Product Manager, Card Experience</t>
        </is>
      </c>
      <c r="C190" t="inlineStr">
        <is>
          <t>Affirm</t>
        </is>
      </c>
      <c r="D190" t="inlineStr">
        <is>
          <t>linkedin</t>
        </is>
      </c>
      <c r="E190">
        <f>HYPERLINK("https://www.linkedin.com/jobs/view/4371173922", "https://www.linkedin.com/jobs/view/4371173922")</f>
        <v/>
      </c>
      <c r="F190" t="inlineStr"/>
      <c r="G190" t="inlineStr">
        <is>
          <t>Chicago, IL</t>
        </is>
      </c>
      <c r="H190" t="inlineStr"/>
      <c r="I190" t="inlineStr">
        <is>
          <t>Affirm is reinventing credit to make it more honest and friendly, giving consumers the flexibility to buy now and pay later without any hidden fees or compounding interest.
 We’re hiring a Senior Product Manager, Card Acquisition (New Channels) to launch and scale new acquisition channels for the Affirm Card. In this role, you’ll identify high\-impact growth opportunities, validate them through rapid experimentation, and bring them to market at scale. You’ll play a pivotal role in shaping how millions of consumers first discover and adopt the Affirm Card, with direct ownership over measurable acquisition and activation outcomes. This is a highly visible role with significant opportunity to influence strategy and drive Affirm’s next phase of cardholder growth.
**What You'll Do**
* Define and own the Card Acquisition roadmap for new growth channels, setting clear hypotheses, success metrics, and sequencing.
* Launch and scale new acquisition surfaces, partnering closely with Engineering and Design to deliver seamless, high\-conversion onboarding experiences.
* Design and execute acquisition programs (e.g., referrals, exploratory partner pilots) with measurable CAC→LTV impact.
* Own funnel performance end\-to\-end: track weekly acquisitions, 30\-day activation, drop\-offs by step, and implement robust incrementality testing.
* Collaborate cross\-functionally with Risk, Compliance, Marketing, and the Card Foundations team to align dependencies and ensure safe, scalable growth.
* Continuously experiment and iterate to unlock new distribution levers, maximize conversion, and expand the cardholder base.
**What We Look For**
* 4\+ years in Product Management; Ideally with previous background owning growth/distribution channels
* Track record shipping consumer financial or regulated products; comfort partnering with Risk/Credit, Legal, and Compliance.
* Deep fluency in experiment design, incrementality/attribution, and CAC→LTV optimization.
* Strong UX instincts for moment‑of‑intent surfaces; ability to work across web, app, and partner integrations.
* Data chops (SQL/Amplitude‑level self‑serve) and a bias for shipping, learning, and iterating quickly.
* Excellent cross‑functional leadership; experience leading embedded eng/design pods.
* Bachelor’s or Master’s in Computer Science, or other related fields; or equivalent practical experience.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91">
      <c r="A191" t="inlineStr">
        <is>
          <t>li-4367635962</t>
        </is>
      </c>
      <c r="B191" t="inlineStr">
        <is>
          <t>Sr. Product Owner, Cloud</t>
        </is>
      </c>
      <c r="C191" t="inlineStr">
        <is>
          <t>Insulet Corporation</t>
        </is>
      </c>
      <c r="D191" t="inlineStr">
        <is>
          <t>linkedin</t>
        </is>
      </c>
      <c r="E191">
        <f>HYPERLINK("https://www.linkedin.com/jobs/view/4367635962", "https://www.linkedin.com/jobs/view/4367635962")</f>
        <v/>
      </c>
      <c r="F191" t="inlineStr"/>
      <c r="G191" t="inlineStr">
        <is>
          <t>San Diego, CA</t>
        </is>
      </c>
      <c r="H191" t="inlineStr"/>
      <c r="I191" t="inlineStr">
        <is>
          <t>We are looking for a self\-motivated
 **Senior Product Owner, Cloud,** 
 to join our mission\-driven Data Cloud team to shape the future of connected medical devices through innovative cloud solutions. Working in an Agile environment, in collaboration with a cross\-functional team, this person will be responsible for defining and executing the Product roadmap and ensuring the Backlog is properly prioritized, defined and executed for the team.
**Responsibilities**
* Obtain high\-level work estimation (t\-shirt size) for Phase A and Phase B
* Prioritizes the ART Backlog to streamline the execution of program priorities
* Maintains the conceptual and technical integrity of the Features for the team
* Provides input into timelines/ dates, and investigates alternate paths forward on potential timing options
* Drives tradeoff evaluations on feature implementations
* Defines Program Increment objectives
* Participates in usability studies to bring voice of the customer on a feature to the tea
* Support PM with Phase A business case development (both cost and value)
* Support PM with Phase B in defining and gaining approval of customer journeys, detailed process flows, epic identification, feature identification, and consolidation of high\-level work estimations required for Phase B approval and closure
* Ensure consistency of configuration and partners with Solution Leads to ensure design and development consistency across all work with ART
* Lead software selection to define product scope and capabilities
* Serve as 1st escalation point for all Delivery POs in the ART (questions on feature refinement, solution options, and/or in sprint tradeoffs
**Minimum Requirements**
* Bachelor’s degree and 5\+ years of relevant work experience OR 8 years of relevant work experience
* Experience in Medical Device Development and/or other highly regulated field
* 5\+ years of experience using Agile methodologies and SAFe methodologies, related to Product Owner role
* Knowledge of Software Development, DevOps and Cloud Technologies
* Demonstrates strong communication skills with audiences with various levels of technical background
* Able to work independently with minimum supervision
* Passion to continuously improve processes and practices
* Knowledge of IT systems development is strongly preferred
* Experience working with scrum team with different demography
**Preferred Skills and Competencies**
* Experience with Insulin Pumps development will be a plus
* Software within medical device experience as a Product Owner preferred
* Knowledge of Software development specific to Cloud services is strongly preferred
* Experience building solutions in AWS or other hosted services strongly desired
* Experience working with DevOps or Cloud operation team strongly desired
* Proactive at communicating with various stakeholders in the organization
* Detail oriented, with effective verbal and written communication skills
* Creative problem\-solver with a sense of urgency
* Demonstrated flexibility and ability to function in a fast\-paced, growth industry and work environment
* Able to organize and judge multiple priorities
**Additional Information**
* *Hybrid: NOTE: This position is eligible for hybrid working arrangements (requires on\-site work from an Insulet office). \#LI\-Hybrid*
* US travel as needed (at least once per quarter)</t>
        </is>
      </c>
    </row>
    <row r="192">
      <c r="A192" t="inlineStr">
        <is>
          <t>li-4371173921</t>
        </is>
      </c>
      <c r="B192" t="inlineStr">
        <is>
          <t>Product Manager II, Consumer Experiences</t>
        </is>
      </c>
      <c r="C192" t="inlineStr">
        <is>
          <t>Affirm</t>
        </is>
      </c>
      <c r="D192" t="inlineStr">
        <is>
          <t>linkedin</t>
        </is>
      </c>
      <c r="E192">
        <f>HYPERLINK("https://www.linkedin.com/jobs/view/4371173921", "https://www.linkedin.com/jobs/view/4371173921")</f>
        <v/>
      </c>
      <c r="F192" t="inlineStr"/>
      <c r="G192" t="inlineStr">
        <is>
          <t>Houston, TX</t>
        </is>
      </c>
      <c r="H192" t="inlineStr"/>
      <c r="I192" t="inlineStr">
        <is>
          <t>Affirm is reinventing credit to make it more honest and friendly, giving consumers the flexibility to buy now and pay later without any hidden fees or compounding interest.
 We're looking for a product manager with proven experience building and launching search products to own our consumer\-facing surfaces and discovery experiences. You'll drive feature development for our Home Tab, own the Search experience, Profile/Settings and drive our App Redesign work forward. In this role, you'll partner closely with design to deliver compelling consumer experiences, while working with engineering and analytics to ship high\-impact features that improve satisfaction, engagement, and long\-term loyalty.
 What you’ll do
* Own and drive feature development for Home Tab, partnering closely with design to improve discovery, engagement, and activation on Affirm's app front door
* Own the Search Experience end\-to\-end, ensuring consumers can seamlessly find relevant merchants, products, and offers, with the opportunity to execute on AI\-native search capabilities as that workstream accelerates
* Lead Profile/Settings surface, making account management simple, transparent, and trustworthy
* Partner with engineering, design, analytics, and marketing to ship consumer\-facing products with measurable impact on conversion, NPS, and repeat usage
* Use data and experimentation to identify friction points, measure outcomes, and continuously improve core consumer journeys
 What we look for
* Experience building and launching search products: you've shipped search experiences end\-to\-end and understand relevance, ranking, and discovery UX
* Strong design sensibility and partnership skills: you work effectively with design to solve user problems and ship polished consumer experiences
* Track record of shipping consumer\-facing products with measurable impact on engagement, conversion, or growth
* Comfort with funnel analysis, A/B testing, and data\-driven decision making
* Ability to execute on technical product builds, particularly in search/discovery infrastructure
* Flexibility to pivot priorities as business needs evolve, comfortable with ambiguity and shifting focus areas
* 4\-6 years of product management experience, ideally in consumer apps, search, e\-commerce, or marketplace
 Pay Grade \- L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$160,000\-210,000
 USA base pay range (all other U.S. states) per year: $142,000\-192,000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93">
      <c r="A193" t="inlineStr">
        <is>
          <t>li-4371191219</t>
        </is>
      </c>
      <c r="B193" t="inlineStr">
        <is>
          <t>Senior Product Manager, Card Experience</t>
        </is>
      </c>
      <c r="C193" t="inlineStr">
        <is>
          <t>Affirm</t>
        </is>
      </c>
      <c r="D193" t="inlineStr">
        <is>
          <t>linkedin</t>
        </is>
      </c>
      <c r="E193">
        <f>HYPERLINK("https://www.linkedin.com/jobs/view/4371191219", "https://www.linkedin.com/jobs/view/4371191219")</f>
        <v/>
      </c>
      <c r="F193" t="inlineStr"/>
      <c r="G193" t="inlineStr">
        <is>
          <t>Sioux Falls, SD</t>
        </is>
      </c>
      <c r="H193" t="inlineStr"/>
      <c r="I193" t="inlineStr">
        <is>
          <t>Affirm is reinventing credit to make it more honest and friendly, giving consumers the flexibility to buy now and pay later without any hidden fees or compounding interest.
 We’re hiring a Senior Product Manager, Card Acquisition (New Channels) to launch and scale new acquisition channels for the Affirm Card. In this role, you’ll identify high\-impact growth opportunities, validate them through rapid experimentation, and bring them to market at scale. You’ll play a pivotal role in shaping how millions of consumers first discover and adopt the Affirm Card, with direct ownership over measurable acquisition and activation outcomes. This is a highly visible role with significant opportunity to influence strategy and drive Affirm’s next phase of cardholder growth.
**What You'll Do**
* Define and own the Card Acquisition roadmap for new growth channels, setting clear hypotheses, success metrics, and sequencing.
* Launch and scale new acquisition surfaces, partnering closely with Engineering and Design to deliver seamless, high\-conversion onboarding experiences.
* Design and execute acquisition programs (e.g., referrals, exploratory partner pilots) with measurable CAC→LTV impact.
* Own funnel performance end\-to\-end: track weekly acquisitions, 30\-day activation, drop\-offs by step, and implement robust incrementality testing.
* Collaborate cross\-functionally with Risk, Compliance, Marketing, and the Card Foundations team to align dependencies and ensure safe, scalable growth.
* Continuously experiment and iterate to unlock new distribution levers, maximize conversion, and expand the cardholder base.
**What We Look For**
* 4\+ years in Product Management; Ideally with previous background owning growth/distribution channels
* Track record shipping consumer financial or regulated products; comfort partnering with Risk/Credit, Legal, and Compliance.
* Deep fluency in experiment design, incrementality/attribution, and CAC→LTV optimization.
* Strong UX instincts for moment‑of‑intent surfaces; ability to work across web, app, and partner integrations.
* Data chops (SQL/Amplitude‑level self‑serve) and a bias for shipping, learning, and iterating quickly.
* Excellent cross‑functional leadership; experience leading embedded eng/design pods.
* Bachelor’s or Master’s in Computer Science, or other related fields; or equivalent practical experience.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94">
      <c r="A194" t="inlineStr">
        <is>
          <t>li-4362106726</t>
        </is>
      </c>
      <c r="B194" t="inlineStr">
        <is>
          <t>AI/ML Program Manager</t>
        </is>
      </c>
      <c r="C194" t="inlineStr">
        <is>
          <t>KCI</t>
        </is>
      </c>
      <c r="D194" t="inlineStr">
        <is>
          <t>linkedin</t>
        </is>
      </c>
      <c r="E194">
        <f>HYPERLINK("https://www.linkedin.com/jobs/view/4362106726", "https://www.linkedin.com/jobs/view/4362106726")</f>
        <v/>
      </c>
      <c r="F194" t="inlineStr"/>
      <c r="G194" t="inlineStr"/>
      <c r="H194" t="inlineStr"/>
      <c r="I194" t="inlineStr">
        <is>
          <t>**Overview**
**Join us as we Rise to the Challenge**
 At KCI, we’re building an enduring community that provides unparalleled value to our employee\-owners. We make our mark designing and delivering our world\-class solutions, so we invest deeply in supporting and developing our team. We reward integrity and commitment, and when we do well, you do well. Our employee’s have the freedom to innovate, unlimited growth, a voice that matters, a lifestyle that works, and skin in the game. Achievements are shared and celebrated. As a team, we are motivated to better ourselves, each other, and the world around us.
**The Company**
 KCI Technologies, Inc. is a 100% employee\-owned engineering, consulting and construction firm serving clients throughout the United States. KCI is recognized as an industry leader, employing cutting\-edge technologies, management practices and strategic growth initiatives. Employee ownership fosters an entrepreneurial spirit, encourages technical expertise, and shapes strategic planning.
 KCI is currently ranked \#53 on Engineering News\-Record’s list of the Top 500 design firms in the nation.
**Kci Benefits Information**
 We offer a competitive compensation package, family friendly benefits, a collaborative working environment, and the training, mentoring and resources you need to advance in your career.
 We understand that you have choices, and we know that together we will make a great team!
**KCI is committed to building a diverse and inclusive staff, and we encourage women, people of color, LGBTQ\+ individuals, and individuals with disabilities to apply.**
 KCI Technologies, Inc. is an equal opportunity employer. All qualified applicants will receive consideration for employment without regard to race, color, religion, sex, sexual orientation, gender identity, national origin, disability or veteran status.
**Duties, Responsibilities \&amp; Other**
 As
 **AI/ML Program Manager** 
 , you will serve as a trusted consultant guiding clients in the responsible and strategic adoption of AI/ML technologies and workflows. You will mentor AI/ML analysts and engineers while contributing directly to technical development and business strategy, demonstrating strong technical acumen, leadership skills, and a proactive approach to both project delivery and cross\-functional collaboration.
 You will lead client engagements from discovery through delivery, designing tailored AI/ML programs, shaping policies around responsible AI use, and providing hands\-on technical insight into machine learning tools, data curation practices, and large language model (LLM) development. This position is ideal for someone at the intersection of technology strategy, applied AI/ML, and client consulting.
**Responsibilities**
* Serve as the primary advisor to clients on AI/ML adoption strategy, governance, and responsible use policies.
* Identify needs and opportunities to incorporate AI/ML for optimizing outcomes while supporting predictive modeling and data\-driven decision making for clients
* Lead needs assessments to identify organizational gaps, training requirements, and technical infrastructure needs.
* Guide clients to understand, trust, and embrace AI/ML as a viable, practical tool to drive business outcomes.
* Design and deliver AI/ML roadmaps, including implementation frameworks, program structures, and success metrics.
* Establish governance and compliance frameworks to support the safe and scalable deployment of AI solutions.
* Partner with client leadership to align AI initiatives with business goals and enterprise IT strategies.
* Define best practices and standards for scalable AI/ML operations within organizations.
* Demonstrate AI/ML capabilities through proofs\-of\-concept and success stories to build client confidence and accelerate adoption.
* Provide expertise in machine learning, and LLMs—guiding clients on model selection, training pipelines, and deployment practices.
* Implement and lead projects using retrieval\-augmented generation (RAG) systems, embeddings, and vector databases.
* Strategically utilize foundation models, including fine\-tuning, evaluation, and deployment.
* Advise on tools and platforms across the ML lifecycle.
* Lead project planning, define sprints, estimation, prioritization, and retrospectives.
* Collaborate internally to refine our consulting methodologies, solution frameworks, and service offerings in AI/ML.
* Mentor and guide junior developers in both technical and professional development.
* Help establish team skills baselines and contribute to training and upskilling initiatives.
* Conduct regular code and model reviews, establish best practices, and support SDLC.
* Provide updates to the Data Analytics Manager about project progress, team needs, junior analyst development needs, etc .
* Provide technical expertise during proposal development, including reviewing RFPs, crafting technical approaches, and estimating LOEs.
* Participate in client meetings and demos.
* Other duties as assigned.
**Qualifications**
**Requirements:**
* Bachelor’s degree in Computer Science, Computer Engineering, Systems Engineering, Data Science, or related field.
* 15\+ years of professional experience in client\-facing or consulting work.
* Strong experience with and understanding of ML frameworks and tools.
* Proficiency in Python and experience with additional languages (e.g., Java, R, C\+\+).
* Ability to translate complex AI/ML concepts into clear, actionable guidance for non\-technical stakeholders.
* Pre\-employment drug screening and background check are conditions of employment. Motor vehicle checks may be required based upon position.
**Preferred Qualifications**
* Master’s degree in Computer Science, Computer Engineering, Systems Engineering, Data Science, or related field.
* 8\+ years of professional experience in AI/ML.
* Prior experience designing or leading AI/ML training and upskilling programs.
* Expertise in data curation and preparation, including LLM training workflows and dataset development
* Experience with cloud platforms (Azure, AWS, GCP) and modern MLOps pipelines (Docker, Kubernetes, CI/CD).</t>
        </is>
      </c>
    </row>
    <row r="195">
      <c r="A195" t="inlineStr">
        <is>
          <t>li-4371194283</t>
        </is>
      </c>
      <c r="B195" t="inlineStr">
        <is>
          <t>Product Owner</t>
        </is>
      </c>
      <c r="C195" t="inlineStr">
        <is>
          <t>Jobs via Dice</t>
        </is>
      </c>
      <c r="D195" t="inlineStr">
        <is>
          <t>linkedin</t>
        </is>
      </c>
      <c r="E195">
        <f>HYPERLINK("https://www.linkedin.com/jobs/view/4371194283", "https://www.linkedin.com/jobs/view/4371194283")</f>
        <v/>
      </c>
      <c r="F195">
        <f>HYPERLINK("https://click.appcast.io/t/o5q53X1-nDkD_2IJUJY7HDdX4zQb48QDX5qu4Qha-hA=&amp;urlHash=SrLJ", "https://click.appcast.io/t/o5q53X1-nDkD_2IJUJY7HDdX4zQb48QDX5qu4Qha-hA=&amp;urlHash=SrLJ")</f>
        <v/>
      </c>
      <c r="G195" t="inlineStr">
        <is>
          <t>Phoenix, AZ</t>
        </is>
      </c>
      <c r="H195" t="inlineStr"/>
      <c r="I195" t="inlineStr">
        <is>
          <t>Dice is the leading career destination for tech experts at every stage of their careers. Our client, NAAS Technologies, is seeking the following. Apply via Dice today!
**Product Owner
 Location: Phoenix AZ or New York Hybrid onsite**
 Strong understanding of Scrum and Agile methodologies.
 Experience with tools like JIRA, Confluence, Azure DevOps, or similar.
 Ability to write detailed user stories, epics, and acceptance criteria.
 Strong stakeholder management and communication skills.
 Experience working with cross\-functional teams (Engineering, QA, UX, Business).
 Basic understanding of product metrics and KPIs.</t>
        </is>
      </c>
    </row>
    <row r="196">
      <c r="A196" t="inlineStr">
        <is>
          <t>li-4342856009</t>
        </is>
      </c>
      <c r="B196" t="inlineStr">
        <is>
          <t>Lead Technical Product Manager - Agent Platform (P4476)</t>
        </is>
      </c>
      <c r="C196" t="inlineStr">
        <is>
          <t>84.51˚</t>
        </is>
      </c>
      <c r="D196" t="inlineStr">
        <is>
          <t>linkedin</t>
        </is>
      </c>
      <c r="E196">
        <f>HYPERLINK("https://www.linkedin.com/jobs/view/4342856009", "https://www.linkedin.com/jobs/view/4342856009")</f>
        <v/>
      </c>
      <c r="F196" t="inlineStr"/>
      <c r="G196" t="inlineStr">
        <is>
          <t>Cincinnati, OH</t>
        </is>
      </c>
      <c r="H196" t="inlineStr"/>
      <c r="I196"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**Lead Technical Product Manager – Agent Platform**
**LOCATION: Cincinnati / Chicago** 
**(P4476\)**
**Summary**
 The AI Enablement team at 84\.51° is seeking a Lead Product Manager for its Agent Platform team. This team is responsible for architecting, implementing, maintaining, and supporting the use of the agentic foundation of the Kroger enterprise.
 The Lead Product Manager will discover, prioritize, plan the implementation of the agent platform – this could include: a control layer consisting of agent, MCP, eval, and prompt registries; evaluation and monitoring tools; and pro\-code, low\-code, and no\-code development capabilities. The role will partner closely with engineering and data science leads to shape the roadmap, translate business and technical needs into clear requirements, and ensure the delivery of high\-value, enterprise\-grade capabilities that reduce time\-to\-value, improve quality and reliability, and promote safe, compliant use of agentic systems.
**Responsibilities**
* Own product discovery and roadmap for the managed agent platform
* Maintain a current roadmap and communicate trade\-offs, dependencies, and timelines to stakeholders and delivery teams
* Translate business goals, user needs, and technical constraints into product requirements and acceptance criteria with a clear definition of done
* Partner with the Agentic Foundations leadership, as well as engineering and data science leads, to plan quarters/cycles/sprints and ensure efficient, predictable delivery
* Define and evolve core agentic platform capabilities, including:
* Registries (agent/MCP/scorer/prompt), templates, and pattern libraries
* Agent development and monitoring tools, including evaluation frameworks and observability
* Integration with data and API layers and pro\-code agent frameworks
* Integration with enterprise AIOps/MLOps, CI/CD, and governance workflows
* Facilitate user research and testing to understand developer and business user workflows; validate usability, safety, reliability, and performance
* Analyze product usage and operational data to inform prioritization, measure value, and guide iteration
* Drive adoption across customer teams through documentation, enablement, demos, and feedback loops; remove friction points and champion best practice
* Ensure alignment with enterprise strategies for scale, reliability, safety, compliance, and cost\-efficiency
* Manage progress toward objectives; proactively surface risks, blocks, and cross\-team dependencies; coordinate mitigation plans
* Develop strong internal and external stakeholder relationships; influence and drive change in ambiguous, evolving environments
* Communicate realized value and outcomes, including usage, adoption, productivity improvements, and risk reduction
**Qualifications, Skills, And Experience**
* Professional experience in leading enterprise AI, ML, or data platforms
* Professional experience in a product/software development team
* Professional experience in managing technical and business stakeholders
* Professional experience in ambiguous environments
* Skilled in a general technical acumen, able to efficiently converse with software engineers and AI engineers and understand their development processes
* Skilled in managing cross\-functional technical development teams in an agile environment
* Skilled in managing business priorities against design/user needs while delivering against product roadmaps
* Skilled in managing end\-to\-end software product development
* Skilled in problem solving, analytic thinking, and creativity
* Skilled in planning, organization, and verbal/written business communication
* Skilled in maintaining a positive leader persona in ambiguous and changing environments
* Skilled in quickly flexing between technical and business stakeholder conversations, adapting to a variety of audiences
* Demonstrated excellence as a teammate and leader
* 4\-6 years relevant experience
* Education: Bachelor’s degree or higher in Software Engineering, Computer Science, Machine Learning, or a related field
**Pay Transparency And Benefits**
* The stated salary range represents the entire span applicable across all geographic markets from lowest to highest.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 Below is a list of some of the benefits we offer our associates:
+ Health: Medical: with competitive plan designs and support for self\-care, wellness and mental health. Dental: with in\-network and out\-of\-network benefit. Vision: with in\-network and out\-of\-network benefit.
+ Wealth: 401(k) with Roth option and matching contribution. Health Savings Account with matching contribution (requires participation in qualifying medical plan). AD\&amp;D and supplemental insurance options to help ensure additional protection for you.
+ Happiness: Paid time off with flexibility to meet your life needs, including 5 weeks of vacation time, 7 health and wellness days, 3 floating holidays, as well as 6 company\-paid holidays per year. Paid leave for maternity, paternity and family care instances.
 Pay Range
 $121,000—$201,250 USD</t>
        </is>
      </c>
    </row>
    <row r="197">
      <c r="A197" t="inlineStr">
        <is>
          <t>li-4371186362</t>
        </is>
      </c>
      <c r="B197" t="inlineStr">
        <is>
          <t>Product Manager II, Consumer Experiences</t>
        </is>
      </c>
      <c r="C197" t="inlineStr">
        <is>
          <t>Affirm</t>
        </is>
      </c>
      <c r="D197" t="inlineStr">
        <is>
          <t>linkedin</t>
        </is>
      </c>
      <c r="E197">
        <f>HYPERLINK("https://www.linkedin.com/jobs/view/4371186362", "https://www.linkedin.com/jobs/view/4371186362")</f>
        <v/>
      </c>
      <c r="F197" t="inlineStr"/>
      <c r="G197" t="inlineStr">
        <is>
          <t>Detroit, MI</t>
        </is>
      </c>
      <c r="H197" t="inlineStr"/>
      <c r="I197" t="inlineStr">
        <is>
          <t>Affirm is reinventing credit to make it more honest and friendly, giving consumers the flexibility to buy now and pay later without any hidden fees or compounding interest.
 We're looking for a product manager with proven experience building and launching search products to own our consumer\-facing surfaces and discovery experiences. You'll drive feature development for our Home Tab, own the Search experience, Profile/Settings and drive our App Redesign work forward. In this role, you'll partner closely with design to deliver compelling consumer experiences, while working with engineering and analytics to ship high\-impact features that improve satisfaction, engagement, and long\-term loyalty.
 What you’ll do
* Own and drive feature development for Home Tab, partnering closely with design to improve discovery, engagement, and activation on Affirm's app front door
* Own the Search Experience end\-to\-end, ensuring consumers can seamlessly find relevant merchants, products, and offers, with the opportunity to execute on AI\-native search capabilities as that workstream accelerates
* Lead Profile/Settings surface, making account management simple, transparent, and trustworthy
* Partner with engineering, design, analytics, and marketing to ship consumer\-facing products with measurable impact on conversion, NPS, and repeat usage
* Use data and experimentation to identify friction points, measure outcomes, and continuously improve core consumer journeys
 What we look for
* Experience building and launching search products: you've shipped search experiences end\-to\-end and understand relevance, ranking, and discovery UX
* Strong design sensibility and partnership skills: you work effectively with design to solve user problems and ship polished consumer experiences
* Track record of shipping consumer\-facing products with measurable impact on engagement, conversion, or growth
* Comfort with funnel analysis, A/B testing, and data\-driven decision making
* Ability to execute on technical product builds, particularly in search/discovery infrastructure
* Flexibility to pivot priorities as business needs evolve, comfortable with ambiguity and shifting focus areas
* 4\-6 years of product management experience, ideally in consumer apps, search, e\-commerce, or marketplace
 Pay Grade \- L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$160,000\-210,000
 USA base pay range (all other U.S. states) per year: $142,000\-192,000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98">
      <c r="A198" t="inlineStr">
        <is>
          <t>li-4371175857</t>
        </is>
      </c>
      <c r="B198" t="inlineStr">
        <is>
          <t>Senior Product Manager, Card Experience</t>
        </is>
      </c>
      <c r="C198" t="inlineStr">
        <is>
          <t>Affirm</t>
        </is>
      </c>
      <c r="D198" t="inlineStr">
        <is>
          <t>linkedin</t>
        </is>
      </c>
      <c r="E198">
        <f>HYPERLINK("https://www.linkedin.com/jobs/view/4371175857", "https://www.linkedin.com/jobs/view/4371175857")</f>
        <v/>
      </c>
      <c r="F198" t="inlineStr"/>
      <c r="G198" t="inlineStr">
        <is>
          <t>Madison, WI</t>
        </is>
      </c>
      <c r="H198" t="inlineStr"/>
      <c r="I198" t="inlineStr">
        <is>
          <t>Affirm is reinventing credit to make it more honest and friendly, giving consumers the flexibility to buy now and pay later without any hidden fees or compounding interest.
 We’re hiring a Senior Product Manager, Card Acquisition (New Channels) to launch and scale new acquisition channels for the Affirm Card. In this role, you’ll identify high\-impact growth opportunities, validate them through rapid experimentation, and bring them to market at scale. You’ll play a pivotal role in shaping how millions of consumers first discover and adopt the Affirm Card, with direct ownership over measurable acquisition and activation outcomes. This is a highly visible role with significant opportunity to influence strategy and drive Affirm’s next phase of cardholder growth.
**What You'll Do**
* Define and own the Card Acquisition roadmap for new growth channels, setting clear hypotheses, success metrics, and sequencing.
* Launch and scale new acquisition surfaces, partnering closely with Engineering and Design to deliver seamless, high\-conversion onboarding experiences.
* Design and execute acquisition programs (e.g., referrals, exploratory partner pilots) with measurable CAC→LTV impact.
* Own funnel performance end\-to\-end: track weekly acquisitions, 30\-day activation, drop\-offs by step, and implement robust incrementality testing.
* Collaborate cross\-functionally with Risk, Compliance, Marketing, and the Card Foundations team to align dependencies and ensure safe, scalable growth.
* Continuously experiment and iterate to unlock new distribution levers, maximize conversion, and expand the cardholder base.
**What We Look For**
* 4\+ years in Product Management; Ideally with previous background owning growth/distribution channels
* Track record shipping consumer financial or regulated products; comfort partnering with Risk/Credit, Legal, and Compliance.
* Deep fluency in experiment design, incrementality/attribution, and CAC→LTV optimization.
* Strong UX instincts for moment‑of‑intent surfaces; ability to work across web, app, and partner integrations.
* Data chops (SQL/Amplitude‑level self‑serve) and a bias for shipping, learning, and iterating quickly.
* Excellent cross‑functional leadership; experience leading embedded eng/design pods.
* Bachelor’s or Master’s in Computer Science, or other related fields; or equivalent practical experience.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99">
      <c r="A199" t="inlineStr">
        <is>
          <t>li-4353957292</t>
        </is>
      </c>
      <c r="B199" t="inlineStr">
        <is>
          <t>Staff Product Manager, Identity and Access Management</t>
        </is>
      </c>
      <c r="C199" t="inlineStr">
        <is>
          <t>CoreWeave</t>
        </is>
      </c>
      <c r="D199" t="inlineStr">
        <is>
          <t>linkedin</t>
        </is>
      </c>
      <c r="E199">
        <f>HYPERLINK("https://www.linkedin.com/jobs/view/4353957292", "https://www.linkedin.com/jobs/view/4353957292")</f>
        <v/>
      </c>
      <c r="F199" t="inlineStr"/>
      <c r="G199" t="inlineStr">
        <is>
          <t>New York, NY</t>
        </is>
      </c>
      <c r="H199" t="inlineStr"/>
      <c r="I199"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You’ll lead the evolution of CoreWeave IAM, the platform that manages identity, authentication, and authorization across CoreWeave’s products and services. This team builds foundational security capabilities that enable the world’s leading AI labs and enterprises to securely access critical data and infrastructure. Your work will directly support scalable, secure AI workloads by ensuring identity and access controls are robust, flexible, and enterprise\-ready. You will drive a novel, modern approach to IAM that delights customers, even those with the most stringent security requirements.
**About The Role**
 As a Staff Product Manager for Identity and Access Management, you will own and evolve CoreWeave IAM, the platform responsible for identity, authentication, and authorization across CoreWeave’s products and services. In this role, you’ll define the IAM product strategy and roadmap while working closely with engineering, security, product, field, and marketing teams to deliver scalable, secure identity capabilities. You’ll partner with enterprise customers and internal stakeholders to ensure CoreWeave IAM meets the security, reliability, and performance needs of critical AI workloads. This role is highly cross\-functional and sits at the intersection of enterprise security, cloud infrastructure, and AI platforms.
**Who You Are**
* 8\+ years of product management experience, preferably in enterprise identity, security, or cloud infrastructure
* Demonstrated experience owning and delivering identity, authentication, and authorization products or platforms
* Strong technical understanding of enterprise IAM concepts, including least\-privileged access, SSO, MFA, and authn/authz systems
* Hands\-on experience with identity standards and protocols, such as OIDC/OAuth, SAML, and PKI
* Solid understanding of cloud infrastructure and enterprise platforms
* Familiarity with DevOps and Infrastructure\-as\-Code tools, such as Kubernetes and Terraform
* Proven track record of managing products from concept through launch and iteration
* Experience defining and tracking product performance metrics and using data to inform product decisions
* Bachelor’s or Master’s degree in Computer Science, Engineering, or a related technical field
**Preferred**
* Experience building IAM platforms that support large\-scale, multi\-tenant enterprise customers
* Background working with security teams or compliance\-driven environments
* Experience supporting AI, HPC, or mission\-critical infrastructure workloads
**Wondering if You’re a Good Fit?**
 We believe in investing in our people and value candidates who bring diverse experiences, even if you aren’t a 100% match. If some of this describes you, we’d love to talk.
* You believe that security done right is an enabler of great customer experiences, not a hurdle
* You love to act as the voice of the customer, turning real\-world enterprise needs into secure, scalable products
* You’re curious about identity and security trends and how they intersect with AI platforms and agentic infrastructure
* You’re an expert in enterprise identity, authentication, and authorization, and enjoy building systems that enable secure access to critical data and infrastructure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00">
      <c r="A200" t="inlineStr">
        <is>
          <t>li-4371189450</t>
        </is>
      </c>
      <c r="B200" t="inlineStr">
        <is>
          <t>Digital Product Manager</t>
        </is>
      </c>
      <c r="C200" t="inlineStr">
        <is>
          <t>Jobs via Dice</t>
        </is>
      </c>
      <c r="D200" t="inlineStr">
        <is>
          <t>linkedin</t>
        </is>
      </c>
      <c r="E200">
        <f>HYPERLINK("https://www.linkedin.com/jobs/view/4371189450", "https://www.linkedin.com/jobs/view/4371189450")</f>
        <v/>
      </c>
      <c r="F200" t="inlineStr"/>
      <c r="G200" t="inlineStr">
        <is>
          <t>Stamford, CT</t>
        </is>
      </c>
      <c r="H200" t="inlineStr"/>
      <c r="I200" t="inlineStr">
        <is>
          <t>Dice is the leading career destination for tech experts at every stage of their careers. Our client, Diverse Lynx Llc, is seeking the following. Apply via Dice today!
 Position \- Digital Product Manager
 Location: Stamford, CT (No Remote)
 Number of positions : 2
 Job Description:
**Product Manager, Digital Sales Experience**
**As a Product Manager on Spectrum.com** 
 , you will drive the evolution of
 **customer facing digital commerce experiences** 
 in a complex, high scale environment. In this role, you will leverage customer insights, business objectives, and market trends to
 **identify, prioritize, and deliver improvements across the end to end digital purchase journey** 
 , directly impacting conversion, order completion, and revenue.
 As the advocate for both the customer and the business, you will
 **own and communicate a clear product vision and roadmap for Spectrum.com** 
 , working closely with design, engineering, analytics, and cross functional partners to
 **ship, measure, and continuously optimize customer buyflow experiences** 
 . This role offers the opportunity to
 **lead meaningful change in how customers discover, purchase, and complete orders** 
 across Spectrum’s digital channels.
**Responsibilities**
* Complete intake on new features, with explicit focus on customer facing purchase experiences, identifying the value they add to the product and their impact on conversion, completion, and revenue outcomes.
* Develop and maintain a product roadmap that aligns with business objectives and user needs, prioritizing initiatives that improve the end to end digital purchase journey.
* Work with partners and stakeholders to define high\-level user stories and designs for customer facing commerce experiences for handover to the delivery team once aligned to a sprint.
* Align with consumer insights to conduct market research to identify user needs and industry trends that inform product development, with emphasis on ecommerce, subscription, and digital sales behaviors.
* Understand current product performance by analyzing reports, customer feedback, and other insights across the digital sales funnel, to inform leadership on performance to plan.
* Prepare for and participate in agile ceremonies, including daily stand\-up, quarterly planning, sprint planning, and retrospectives.
* Ensure the Product Owner and delivery team are developing and implementing solutions that meet business and user needs, with accountability for customer experience quality and buyflow outcomes.
* Facilitate the resolution of conflicts and impediments faced by the delivery team, balancing customer experience, revenue impact, and delivery constraints.
* Communicate product vision and updates to stakeholders, ensuring alignment and transparency, particularly around performance of customer facing purchase journeys.
* Customer purchase domain experience and ability to translate complex AI capabilities into actionable product roadmaps that improve customer decision making and purchase completion, while ensuring ethical standards and measurable business ROI.
* Must demonstrate a high technical aptitude for managing localization pipelines and predictive forecasting models as they relate to digital commerce and checkout optimization, driving measurable revenue growth and conversion through personalized, data driven customer experiences.
 Core Skills
* Ability to articulate product vision and requirements clearly, particularly for customer facing digital experiences.
* Strong analytical skills to assess performance metrics and user feedback, including conversion, abandonment, and completion rates.
* Proficiency in agile methodologies and experience with product management tools.
* Excellent communication and collaboration skills for engaging with stakeholders and cross\-functional teams.
* Problem\-solving skills to address conflicts and impediments.
* Understanding of UX and design principles to guide feature development, with experience collaborating on high volume transactional flows.
* Commitment to continuous learning and professional development.
* Strategic thinking to develop and execute product roadmaps.
* Market research capabilities to identify opportunities and trends.
* Have 4\+ years of experience as a digital product manager.
* Have 4\+ years of experience using Jira, Figma, and/or other agile delivery tools</t>
        </is>
      </c>
    </row>
    <row r="201">
      <c r="A201" t="inlineStr">
        <is>
          <t>li-4371173920</t>
        </is>
      </c>
      <c r="B201" t="inlineStr">
        <is>
          <t>Senior Product Manager, Card Experience</t>
        </is>
      </c>
      <c r="C201" t="inlineStr">
        <is>
          <t>Affirm</t>
        </is>
      </c>
      <c r="D201" t="inlineStr">
        <is>
          <t>linkedin</t>
        </is>
      </c>
      <c r="E201">
        <f>HYPERLINK("https://www.linkedin.com/jobs/view/4371173920", "https://www.linkedin.com/jobs/view/4371173920")</f>
        <v/>
      </c>
      <c r="F201" t="inlineStr"/>
      <c r="G201" t="inlineStr">
        <is>
          <t>Phoenix, AZ</t>
        </is>
      </c>
      <c r="H201" t="inlineStr"/>
      <c r="I201" t="inlineStr">
        <is>
          <t>Affirm is reinventing credit to make it more honest and friendly, giving consumers the flexibility to buy now and pay later without any hidden fees or compounding interest.
 We’re hiring a Senior Product Manager, Card Acquisition (New Channels) to launch and scale new acquisition channels for the Affirm Card. In this role, you’ll identify high\-impact growth opportunities, validate them through rapid experimentation, and bring them to market at scale. You’ll play a pivotal role in shaping how millions of consumers first discover and adopt the Affirm Card, with direct ownership over measurable acquisition and activation outcomes. This is a highly visible role with significant opportunity to influence strategy and drive Affirm’s next phase of cardholder growth.
**What You'll Do**
* Define and own the Card Acquisition roadmap for new growth channels, setting clear hypotheses, success metrics, and sequencing.
* Launch and scale new acquisition surfaces, partnering closely with Engineering and Design to deliver seamless, high\-conversion onboarding experiences.
* Design and execute acquisition programs (e.g., referrals, exploratory partner pilots) with measurable CAC→LTV impact.
* Own funnel performance end\-to\-end: track weekly acquisitions, 30\-day activation, drop\-offs by step, and implement robust incrementality testing.
* Collaborate cross\-functionally with Risk, Compliance, Marketing, and the Card Foundations team to align dependencies and ensure safe, scalable growth.
* Continuously experiment and iterate to unlock new distribution levers, maximize conversion, and expand the cardholder base.
**What We Look For**
* 4\+ years in Product Management; Ideally with previous background owning growth/distribution channels
* Track record shipping consumer financial or regulated products; comfort partnering with Risk/Credit, Legal, and Compliance.
* Deep fluency in experiment design, incrementality/attribution, and CAC→LTV optimization.
* Strong UX instincts for moment‑of‑intent surfaces; ability to work across web, app, and partner integrations.
* Data chops (SQL/Amplitude‑level self‑serve) and a bias for shipping, learning, and iterating quickly.
* Excellent cross‑functional leadership; experience leading embedded eng/design pods.
* Bachelor’s or Master’s in Computer Science, or other related fields; or equivalent practical experience.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02">
      <c r="A202" t="inlineStr">
        <is>
          <t>li-4371310045</t>
        </is>
      </c>
      <c r="B202" t="inlineStr">
        <is>
          <t>VP, Privileged Secret Server Product Owner</t>
        </is>
      </c>
      <c r="C202" t="inlineStr">
        <is>
          <t>Synchrony</t>
        </is>
      </c>
      <c r="D202" t="inlineStr">
        <is>
          <t>linkedin</t>
        </is>
      </c>
      <c r="E202">
        <f>HYPERLINK("https://www.linkedin.com/jobs/view/4371310045", "https://www.linkedin.com/jobs/view/4371310045")</f>
        <v/>
      </c>
      <c r="F202" t="inlineStr"/>
      <c r="G202" t="inlineStr">
        <is>
          <t>Stamford, CT</t>
        </is>
      </c>
      <c r="H202" t="inlineStr"/>
      <c r="I202" t="inlineStr">
        <is>
          <t>JOB\_POSTING\-3\-78903
**Job Description**
**Role Summary/Purpose:**
 The PAM Product Owner leads the strategic evolution and enhancement of the enterprise Privileged Access Management (PAM) program, with a focus on risk\-based remediation of high\-risk privileged accounts. This role drives rollout and adoption of advanced monitoring, credential lifecycle management, session recording, and integration with IT Service Management (ITSM) tools to enforce governance controls such as dual\-control workflows and strengthen audit readiness.
**Essential Responsibilities**
* Lead the strategic roadmap and continuous enhancement of the enterprise PAM program, emphasizing risk\-based remediation of high\-risk privileged accounts.
* Oversee implementation and adoption of PAM capabilities including advanced monitoring, credential lifecycle management, and privileged session monitoring/recording.
* Drive end\-to\-end privileged access lifecycle expansion (automated discovery through de\-provisioning) across diverse environments (databases, cloud platforms, and infrastructure).
* Define and enforce risk\-tiered control policies and governance workflows to improve accountability and compliance posture.
* Lead integration of PAM capabilities with ITSM platforms and related security tooling (e.g., event monitoring/analytics platforms) to enable automated controls and operational efficiencies.
* Partner with IAM governance bodies, Security Operations, and Audit teams to align priorities, report metrics, and execute enterprise initiatives.
* Prioritize and approve remediation activities based on risk tiers and enterprise impact, driving stakeholder alignment and delivery outcomes.
* Lead cross\-functional initiatives with some to moderate leadership guidance; set objectives and strategy through influence.
* Perform other duties and/or special projects as assigned.
**Qualifications/Requirements**
* 10\+ years of experience in cybersecurity, with depth in Identity \&amp; Access Management (IAM) and security controls, including one or more of: Privileged Access Management (PAM), SSO, MFA, CIAM, RBAC, and/or directory governance.
* Demonstrated success delivering high\-value, cross\-functional technology/security initiatives across multiple workstreams and stakeholder groups.
* Proven ability to cultivate durable partnerships with internal and external business and technology stakeholders; collaborative, outcomes\-driven operating style.
* Demonstrated leadership through mentoring, coaching, and enablement (e.g., building roadmaps, supporting skill development, driving team maturity).
* Strong requirements and delivery execution skills: elicitation, documentation, and translation into implementable delivery artifacts (user stories, workflows, process maps); experience supporting Agile/Scrum execution (backlog/standups/removing blockers).
* Hands\-on experience with ITSM platforms in an operational/delivery context (e.g., catalog, incident/problem/change workflows, dashboards/reporting), including building standardized documentation to support audit readiness and adoption.
* Ability and flexibility to travel for business as required
**Desired Characteristics**
* Advanced expertise in Privileged Access Management, including risk\-based security controls, credential lifecycle management, privileged session monitoring/recording, and privileged identity governance.
* Knowledge of automated discovery tooling, behavioral analytics, privileged anomaly detection, and common compliance/audit frameworks.
* Experience designing and implementing dual\-control policies/workflows tied to incident and change processes.
* Strong communication skills, including reporting program metrics and influencing senior stakeholders across Security Operations, Audit, and IAM governance bodies.
**Grade/Level: 12**
 The salary range for this position is
 **135,000\.00 \- 230,000\.00**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203">
      <c r="A203" t="inlineStr">
        <is>
          <t>li-4371170952</t>
        </is>
      </c>
      <c r="B203" t="inlineStr">
        <is>
          <t>Staff Product Manager, Fraud</t>
        </is>
      </c>
      <c r="C203" t="inlineStr">
        <is>
          <t>Affirm</t>
        </is>
      </c>
      <c r="D203" t="inlineStr">
        <is>
          <t>linkedin</t>
        </is>
      </c>
      <c r="E203">
        <f>HYPERLINK("https://www.linkedin.com/jobs/view/4371170952", "https://www.linkedin.com/jobs/view/4371170952")</f>
        <v/>
      </c>
      <c r="F203" t="inlineStr"/>
      <c r="G203" t="inlineStr">
        <is>
          <t>Dallas, TX</t>
        </is>
      </c>
      <c r="H203" t="inlineStr"/>
      <c r="I203" t="inlineStr">
        <is>
          <t>Affirm is reinventing credit to make it more honest and friendly, giving consumers the flexibility to buy now and pay later without any hidden fees or compounding interest.
 Our mission to deliver honest financial products that improve lives extends beyond borders — and it depends on customer trust as we scale.
 We are at an inflection point: Affirm’s expansion across products, partner distribution channels, and international markets requires a platform‑level Trust \&amp; Safety strategy that protects customers and preserves a seamless, dignified experience. As a Staff Product Manager for Trust \&amp; Safety (Fraud), you will lead that strategy, ensuring fraud prevention is embedded into the product in a way that is transparent, respectful, and customer‑first.
 You will be the accountable product leader for fraud prevention across the company, driving cross‑org execution across Engineering, Fraud Analytics, Legal, Compliance, Operations, and international Product teams. This role focuses on platform leverage, multi‑team alignment, and executive‑level decision‑making, with customer trust as the north star.
**What You’ll Do**
* Customer‑First Platform Strategy: Define and execute a multi‑year fraud platform strategy that scales across products, partner channels, and global markets while protecting customer trust and minimizing unnecessary friction
* Leadership \&amp; Alignment: Be the accountable leader for fraud prevention. Drive organizational alignment, negotiate resources, and create momentum across teams to deliver holistic solutions that protect consumers and merchants
* Experience‑Aware Decisioning: Own the evolution of fraud decisioning systems and step‑ups to balance loss prevention with clear, humane customer experiences
* Roadmap Ownership: Build and prioritize a roadmap that balances immediate risk mitigation with platform‑level innovation and long‑term resilience
* Measurement: Establish KPIs that capture loss prevention and customer impact (e.g., approval rates, friction costs, recovery outcomes)
* Experimentation at Scale: Drive rigorous experimentation to improve both fraud outcomes and customer trust, translating learnings into durable platform capabilities
* Executive Communication: Shape company‑level decisions with clear narratives on customer impact, risk posture, and tradeoffs
**What We Look For**
* 6\+ years of Product Management experience, with sustained ownership of multi‑team, platform‑level initiatives
* Deep experience in Trust \&amp; Safety, Fraud, Risk, Payments, Fintech, or regulated, high‑scale platforms
* Proven ability to define and execute multi‑year product strategy with measurable business impact
* Strong technical fluency (APIs, data pipelines, ML model integration, experimentation, IDV and authentication technologies )
* Exceptional cross‑org influence and stakeholder management, including executive alignment
* High‑agency, autonomous leader who thrives in ambiguity and drives outcomes at scale
* Metrics‑driven decision maker with strong product judgment and principled tradeoff‑making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04">
      <c r="A204" t="inlineStr">
        <is>
          <t>li-4371495384</t>
        </is>
      </c>
      <c r="B204" t="inlineStr">
        <is>
          <t>Director, Cisco Silicon Product Manager - Scale Across/WAN</t>
        </is>
      </c>
      <c r="C204" t="inlineStr">
        <is>
          <t>Cisco</t>
        </is>
      </c>
      <c r="D204" t="inlineStr">
        <is>
          <t>linkedin</t>
        </is>
      </c>
      <c r="E204">
        <f>HYPERLINK("https://www.linkedin.com/jobs/view/4371495384", "https://www.linkedin.com/jobs/view/4371495384")</f>
        <v/>
      </c>
      <c r="F204" t="inlineStr"/>
      <c r="G204" t="inlineStr">
        <is>
          <t>San Jose, CA</t>
        </is>
      </c>
      <c r="H204" t="inlineStr"/>
      <c r="I204" t="inlineStr">
        <is>
          <t>The application window is expected to close on: 03/11/2026
**Job posting may be removed earlier if the position is filled or if a sufficient number of applications are received** 
 .
**Meet the Team**
 The team consists of multi\-functional experts from Cisco Silicon, hardware, software, and systems groups working closely with Cisco Business Units and industry partners. Together, they drive innovation in AI\-based Data Center Interconnect and WAN routing technologies, crafting the future of petabytes\-scale interconnect solutions.
**Your Impact**
 As the lead Product Definition Manager for Cisco Silicon’s Scale Across and WAN Routing segment, you will drive multi\-functional requirements for next\-generation silicon and system solutions in AI\-based Data Center Interconnect across long\-distance networks and WAN deep buffer systems. Your deep expertise in system\-level chassis solutions and distributed Ethernet\-based deep buffer systems will be critical.
* Lead Scale Across \&amp; WAN Definition: Drive multi\-functional system\-inspired silicon requirements for AI\-based DCI and WAN deep buffer systems.
* Chassis \&amp; Distributed Ethernet Strategy: Champion the definition of silicon for chassis solutions and the distributed Ethernet\-based next\-generation deep buffer systems.
* Cultivate Thought Leadership: Shape Cisco’s and industry vision for petabytes interconnect, DCI, and WAN routing. Influence industry standards and position Cisco as a leader in these critical network segments.
* Market \&amp; Customer Insight Strategy: Build trusted relationships with Cisco Business Units’ hyperscalers, service providers, and enterprise customers.
* Inspire Technical Vision \&amp; Action: Encourage technical vision and drive industry collaborative problem\-solving for critical DCI/WAN challenges.
* Orchestrate Cross\-Functional Definition: Champion multi\-disciplinary collaboration across silicon, optics, software, systems, and Cisco Business Units for future petabytes\-scale interconnect solutions.
* Provide outstanding interpersonal skills to articulate sophisticated technical details and simplify for diverse audiences.
* Ability to influence at organizational and market levels, encourage technologists, and align industry stakeholders internal and external to Cisco.
**Minimum Qualifications**
* Bachelor’s degree in Engineering, Computer Science, or a related technical field with 15\+ years experience defining winning products, architectures, or systems within Data Center Interconnect (DCI), WAN routing, service provider, or hyperscale networking domains.
* Experience in DCI, WAN routing protocols, deep buffer systems, chassis system technologies, and distributed Ethernet architectures.
* Experience in leading product definition cycles and running stage\-gate processes.
* Prior experience leading all aspects of end‑to‑end product definition with a focus on meticulous decisions and consistent milestone preparedness.
**Preferred Qualifications**
* MBA or advanced degree preferred.
* Prior experience integrating market, technology, and business signals into actionable, prioritized product and system roadmaps.
* Current knowledge of leading DCI/WAN technologies and supply chain trends, complemented by demonstrated collaboration with hyperscalers and major industry partners.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$230,100\.00 to $325,300\.00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$230,100\.00 \- $374,100\.00
**Non\-Metro New York State \&amp; Washington State**
 $216,500\.00 \- $337,000\.00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05">
      <c r="A205" t="inlineStr">
        <is>
          <t>li-4371175317</t>
        </is>
      </c>
      <c r="B205" t="inlineStr">
        <is>
          <t>Business process excellence Program Manager</t>
        </is>
      </c>
      <c r="C205" t="inlineStr">
        <is>
          <t>techolution</t>
        </is>
      </c>
      <c r="D205" t="inlineStr">
        <is>
          <t>linkedin</t>
        </is>
      </c>
      <c r="E205">
        <f>HYPERLINK("https://www.linkedin.com/jobs/view/4371175317", "https://www.linkedin.com/jobs/view/4371175317")</f>
        <v/>
      </c>
      <c r="F205" t="inlineStr"/>
      <c r="G205" t="inlineStr">
        <is>
          <t>Ridgewood, NJ</t>
        </is>
      </c>
      <c r="H205" t="inlineStr"/>
      <c r="I205" t="inlineStr">
        <is>
          <t>Techolution is the
 **World's \#1 AI Acceleration Partner** 
 and the inventor of
 **BPA 4\.0** 
 , an innovative AI platform that combines Generative AI with Cognitive Decisioning and Instant Learning to deliver guaranteed ROI from enterprise AI in 30 days or less. We specialize in accelerating AI adoption for enterprises, offering solutions in Generative AI, Machine Learning, Cloud Migration (as a Google Premier Partner), Digital Modernization, App Design \&amp; Development, AI Data Readiness, and AI Managed Services—driving measurable efficiency gains (e.g., up to 42x in 30 days), cost savings, and real\-world impact across industries like Healthcare, Media, Government, Retail, Banking, and Life Sciences.
 As a
 **Business process excellence Program Manager – Value \&amp; ROI Transformation** 
 , you will act as a trusted ROI advisor to C\-level executives and business leaders at large enterprises. Your role is to uncover measurable business pain, validate its economic impact, deliver fast, visible wins using
 **BPA 4\.0** 
 , and expand success into multi\-phase, multi\-year transformation programs.
 You will focus only on opportunities with clear financial justification—cost reduction, risk mitigation, revenue enablement, and opportunity\-cost avoidance—politely declining low\-ROI or hype\-driven AI use cases with data\-backed reasoning. This is not traditional consulting or feature\-led sales, but a high\-trust, outcome\-driven role within a rapidly evolving AI company.
**Job Title: Business process excellence Program Manager – Value \&amp; ROI Transformation** 
**Location: Ridgewood, NJ (hybrid work, 3 days onsite)** 
**Key Responsibilities:**
* Lead structured, efficient discovery sessions/workshops (often free or low\-cost initially) to diagnose real business problems at the root: ask targeted questions to map bottlenecks, quantify manual effort/cost leakage/rework/risk, link to executive priorities (e.g., "Is this tied to your bonus?"), identify predecessors in processes, and uncover hidden opportunities (e.g., multi\-dimensional ROI beyond headcount savings, including productivity, fraud reduction, faster processing, opportunity cost avoidance).
* Build and present clear, data\-backed business cases: calculate ROI, break\-even points, baseline economics, success metrics, and risks—using our calculators, AI\-assisted tools, value index outputs, and consultative rigor.
* Act decisively as the economic gatekeeper: politely redirect or decline low\-ROI ideas with data; champion high\-value use cases that justify investment and deliver fast (e.g., 30–100 days to proof\-of\-value).
* Partner with executives to align on priorities, challenge assumptions, and create multi\-year roadmaps that evolve from surgical pilots to full enterprise automation.
* Drive cross\-sell/upsell organically through demonstrated value and trust (not traditional feature\-pushing): leverage quick wins to open adjacent opportunities, turning one success into phases 2–5\.
**Required Experience:**
* **10\+ years of progressive, client\-facing experience** 
 in roles such as Senior Program Manager, Client Partner, Engagement Lead, Management Consultant, or Strategic Advisor within consulting, IT services, AI/digital transformation, or SaaS environments.
* **Proven ownership of end\-to\-end delivery and value realization** 
 for complex enterprise initiatives (AI, automation, cloud modernization, or large\-scale transformation), including governance, risk management, and active course correction to protect ROI and margins.
* **Deep expertise in ROI rigor and economic stewardship** 
 , with hands\-on experience building upfront business cases, ROI and break\-even models, payback calculations, and scenario/sensitivity analyses—along with the authority to enforce go / redesign / stop decisions early when initiatives fail to meet value thresholds.
* **Strong record of account expansion and revenue growth** 
 , consistently identifying repeatable high\-ROI use cases, scaling successful outcomes across functions or business units, and generating meaningful expansion through trusted advisory relationships rather than transactional selling.
* **Hands\-on command of process excellence methodologies** 
 such as Lean, Six Sigma, or equivalent frameworks to diagnose root\-cause issues, eliminate waste, and optimize processes
 *before* 
 applying automation or AI.
* **Demonstrated success partnering with C\-suite and senior executives** 
 (CIO, CFO, COO, BU leaders), confidently challenging assumptions and influencing decisions using data\-driven insights and executive\-level communication.
* **Excellent financial and analytical acumen** 
 , including bottom\-up effort estimation, cost and capacity modeling, margin protection, and scalability analysis.
* **Bachelor’s degree required** 
 in Business, Finance, Engineering, or a related discipline; MBA or advanced certifications (PMP, Lean Six Sigma Black Belt, or equivalent financial/process credentials) strongly preferred.
* **Thrives in fast\-paced, high\-growth environments** 
 , bringing a decisive, math\-backed mindset and a long\-term view of client partnership, value realization, and sustainable expansion.
**About Techolution:**
 Techolution is the
 **world's \#1 AI Acceleration Partner** 
 and the inventor of
 **BPA 4\.0** 
 , the groundbreaking AI platform that delivers
 **guaranteed ROI from enterprise AI in 30 days or less** 
 .
 With over 10\+ years of experience, we specialize in turning AI into measurable business value—helping global enterprises achieve dramatic efficiency gains (like 42x improvements in key processes), modernize legacy systems, migrate to the cloud (as a Google Premier Partner), and deploy custom AI solutions across industries such as healthcare, manufacturing, media, banking, government, and life sciences.
 Our mission is simple yet powerful:
 **"TURN AI INTO ROI"** 
 — where it matters most. We go beyond generic AI by offering risk\-free innovation, including our
 **100k Challenge** 
 (2x quantifiable savings in 100 days or your money back), rapid diagnostics via
 **BPA Value Finder** 
 , and AI\-powered managed services that deliver twice the quality at half the cost.
 Backed by 12 patents, 5 notable awards (including Inc. 5000 recognition), 2 published books, and a track record of solving real\-world challenges—from patient prioritization during COVID\-19 to quality control in supply chains and air quality monitoring—we empower teams to thrive in an AI\-driven future.
 At Techolution, we're building "innovation done right" with a passionate, collaborative team focused on delivering next\-level impact, workforce enablement, and trustworthy, enterprise\-scale automation. Join us to be part of redefining how businesses operate with AI.
 Visit us
 **@
 www.techolution.com
 :** 
 To know more about our revolutionary core practices and getting to know in detail about how we enrich the human experience with technology.</t>
        </is>
      </c>
    </row>
    <row r="206">
      <c r="A206" t="inlineStr">
        <is>
          <t>li-4371179224</t>
        </is>
      </c>
      <c r="B206" t="inlineStr">
        <is>
          <t>Program Manager</t>
        </is>
      </c>
      <c r="C206" t="inlineStr">
        <is>
          <t>Aptara</t>
        </is>
      </c>
      <c r="D206" t="inlineStr">
        <is>
          <t>linkedin</t>
        </is>
      </c>
      <c r="E206">
        <f>HYPERLINK("https://www.linkedin.com/jobs/view/4371179224", "https://www.linkedin.com/jobs/view/4371179224")</f>
        <v/>
      </c>
      <c r="F206" t="inlineStr"/>
      <c r="G206" t="inlineStr">
        <is>
          <t>Oakland, CA</t>
        </is>
      </c>
      <c r="H206" t="inlineStr"/>
      <c r="I206" t="inlineStr">
        <is>
          <t>Program Manager
**Long\-term full\-time hybrid role** 
**Start ASAP** 
**Pay is $85 per hour plus benefits** 
 Introduction
 The Program Manager will be responsible for leading enterprise\-wide initiatives focused on enhancing the coworker journey, developing coworkers and leaders, ensuring safe work practices, improving operational efficiency, and creating work environments that enable people to thrive. This role will drive continuous improvement and engagement within the organization.
 Responsibilities
* Own strategy, standards, and execution of coworker listening ecosystem
* Lead design, testing, deployment, and communications for enterprise survey programs
* Translate feedback into executive\-ready dashboards and visual management tools
* Manage continuous improvement of all listening\-related workflows and support processes
* Develop and deliver post\-survey leadership enablement tools and communications
* Serve as a strategic advisor to senior leaders on people data interpretation and activation
* Champion alignment between coworker experience, customer experience, DEIB, and culture strategy
 Requirements
 Minimum:
* Bachelor’s or Master's degree in Human Resources, Organizational Psychology, Data Analytics, Business, or related field
* 8\+ years of experience in employee listening, people analytics, EX/CX strategy, or organizational effectiveness
* Experience leading large\-scale enterprise survey programs and vendor partnerships
* Expertise in survey design, deployment, and analysis
* Strong written and verbal communication skills
* Proficiency with survey and visualization tools such as Microsoft Power BI and Tableau
* Background in change management, continuous improvement, or customer experience
* Experience in unionized or operationally complex organizations
* Familiarity with Lean and Agile methodologies</t>
        </is>
      </c>
    </row>
    <row r="207">
      <c r="A207" t="inlineStr">
        <is>
          <t>li-4371189239</t>
        </is>
      </c>
      <c r="B207" t="inlineStr">
        <is>
          <t>Staff Product Manager, Fraud</t>
        </is>
      </c>
      <c r="C207" t="inlineStr">
        <is>
          <t>Affirm</t>
        </is>
      </c>
      <c r="D207" t="inlineStr">
        <is>
          <t>linkedin</t>
        </is>
      </c>
      <c r="E207">
        <f>HYPERLINK("https://www.linkedin.com/jobs/view/4371189239", "https://www.linkedin.com/jobs/view/4371189239")</f>
        <v/>
      </c>
      <c r="F207" t="inlineStr"/>
      <c r="G207" t="inlineStr">
        <is>
          <t>Philadelphia, PA</t>
        </is>
      </c>
      <c r="H207" t="inlineStr"/>
      <c r="I207" t="inlineStr">
        <is>
          <t>Affirm is reinventing credit to make it more honest and friendly, giving consumers the flexibility to buy now and pay later without any hidden fees or compounding interest.
 Our mission to deliver honest financial products that improve lives extends beyond borders — and it depends on customer trust as we scale.
 We are at an inflection point: Affirm’s expansion across products, partner distribution channels, and international markets requires a platform‑level Trust \&amp; Safety strategy that protects customers and preserves a seamless, dignified experience. As a Staff Product Manager for Trust \&amp; Safety (Fraud), you will lead that strategy, ensuring fraud prevention is embedded into the product in a way that is transparent, respectful, and customer‑first.
 You will be the accountable product leader for fraud prevention across the company, driving cross‑org execution across Engineering, Fraud Analytics, Legal, Compliance, Operations, and international Product teams. This role focuses on platform leverage, multi‑team alignment, and executive‑level decision‑making, with customer trust as the north star.
**What You’ll Do**
* Customer‑First Platform Strategy: Define and execute a multi‑year fraud platform strategy that scales across products, partner channels, and global markets while protecting customer trust and minimizing unnecessary friction
* Leadership \&amp; Alignment: Be the accountable leader for fraud prevention. Drive organizational alignment, negotiate resources, and create momentum across teams to deliver holistic solutions that protect consumers and merchants
* Experience‑Aware Decisioning: Own the evolution of fraud decisioning systems and step‑ups to balance loss prevention with clear, humane customer experiences
* Roadmap Ownership: Build and prioritize a roadmap that balances immediate risk mitigation with platform‑level innovation and long‑term resilience
* Measurement: Establish KPIs that capture loss prevention and customer impact (e.g., approval rates, friction costs, recovery outcomes)
* Experimentation at Scale: Drive rigorous experimentation to improve both fraud outcomes and customer trust, translating learnings into durable platform capabilities
* Executive Communication: Shape company‑level decisions with clear narratives on customer impact, risk posture, and tradeoffs
**What We Look For**
* 6\+ years of Product Management experience, with sustained ownership of multi‑team, platform‑level initiatives
* Deep experience in Trust \&amp; Safety, Fraud, Risk, Payments, Fintech, or regulated, high‑scale platforms
* Proven ability to define and execute multi‑year product strategy with measurable business impact
* Strong technical fluency (APIs, data pipelines, ML model integration, experimentation, IDV and authentication technologies )
* Exceptional cross‑org influence and stakeholder management, including executive alignment
* High‑agency, autonomous leader who thrives in ambiguity and drives outcomes at scale
* Metrics‑driven decision maker with strong product judgment and principled tradeoff‑making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08">
      <c r="A208" t="inlineStr">
        <is>
          <t>li-4371176434</t>
        </is>
      </c>
      <c r="B208" t="inlineStr">
        <is>
          <t>Program Manager - QSR Industry - Commerce &amp; Omni Channel Domain</t>
        </is>
      </c>
      <c r="C208" t="inlineStr">
        <is>
          <t>Capgemini</t>
        </is>
      </c>
      <c r="D208" t="inlineStr">
        <is>
          <t>linkedin</t>
        </is>
      </c>
      <c r="E208">
        <f>HYPERLINK("https://www.linkedin.com/jobs/view/4371176434", "https://www.linkedin.com/jobs/view/4371176434")</f>
        <v/>
      </c>
      <c r="F208" t="inlineStr"/>
      <c r="G208" t="inlineStr">
        <is>
          <t>Dallas, TX</t>
        </is>
      </c>
      <c r="H208" t="inlineStr"/>
      <c r="I208"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**About the job you are considering:** 
 We are seeking an experienced Program Manager with strong expertise in the
 **Quick Service Restaurant (QSR) industry** 
 . This role supports multi‑workstream initiatives designed to improve operational efficiency, enhance customer experience, optimize technology investments, and strengthen the performance of QSR business operations. The ideal candidate demonstrates strong program execution skills, cross‑functional coordination, and hands‑on understanding of the fast‑paced, high‑volume QSR environment—where speed, consistency, and scalability are critical.
 Expertise in digital (e\-commerce, mobile, marketplaces) and physical (POS, in\-store) commerce into a seamless customer journey. Ensures that buying, returns, loyalty, and promotions are consistent across channels to drive both growth and experience.
**Your Role:** 
* Responsible for leading either a large contract/engagement or a definable segment of a very large and complex contract/engagement. Clients may be external or internal.
* PMs are responsible for the translation of the client's complex business requirements into formal agreements. For these, PM establish specific solutions, applications or processes which ultimately culminate in customer acceptance of the results.
* Drive operational excellence across franchise and multi‑unit environments by optimizing site development, scalable standards, workflow efficiency, and speed of service.
* Apply strong business acumen through budgeting, labor planning, cost control, and ROI evaluation to enhance profitability and competitive positioning.
* Lead cross‑functional and franchisee partnerships to implement digital innovations, improve throughput and guest experience, and ensure consistent execution of new initiatives.
* Manage multi‑phase, high‑impact projects aligned with QSR operational standards, coordinating across operations, marketing, supply chain, and technology for measurable results.
* Improve QSR efficiency and customer experience by modernizing digital systems (POS, KMS, mobile, loyalty, automation), optimizing workflows and store design, and supporting menu, pricing, and SKU‑mix initiatives.
* Partner with cross‑functional teams and franchise operators to ensure consistent execution across sites, supporting pilots, new store development, operational audits, and readiness for scalable growth.
* Use data, guest insights, and KPIs (sales lift, labor efficiency, digital adoption, food costs, uptime) to guide decision‑making, build business cases, and evaluate ROI for operational and digital investments.
**Your Skills and Experience:** 
* 7\-10\+ years of program /project management experience, specifically with a minimum of 3 years direct QSR industry experience or multi‑unit restaurant operations oversight.
* Strong understanding of QSR fundamentals, including standardized menus, speed‑focused execution, minimal table service, and high‑volume production environments.
* Demonstrated success leading cross‑functional initiatives involving technology, operations, customer experience, and franchise organizations.
* Expertise in data‑driven program management, including metrics development, reporting structures, and performance analysis.
* Strong communication, stakeholder management, and change‑leadership skills, particularly within complex operational environments.
* Experience working with digital ordering platforms, POS systems, loyalty programs, or restaurant automation strongly preferred.
 The base compensation range for this role in the posted location is: $76,200\-$203,800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209">
      <c r="A209" t="inlineStr">
        <is>
          <t>li-4371177644</t>
        </is>
      </c>
      <c r="B209" t="inlineStr">
        <is>
          <t>Staff Product Manager, Fraud</t>
        </is>
      </c>
      <c r="C209" t="inlineStr">
        <is>
          <t>Affirm</t>
        </is>
      </c>
      <c r="D209" t="inlineStr">
        <is>
          <t>linkedin</t>
        </is>
      </c>
      <c r="E209">
        <f>HYPERLINK("https://www.linkedin.com/jobs/view/4371177644", "https://www.linkedin.com/jobs/view/4371177644")</f>
        <v/>
      </c>
      <c r="F209">
        <f>HYPERLINK("https://job-boards.greenhouse.io/affirm/jobs/7621002003?gh_src=689c81d53us&amp;urlHash=FcvN", "https://job-boards.greenhouse.io/affirm/jobs/7621002003?gh_src=689c81d53us&amp;urlHash=FcvN")</f>
        <v/>
      </c>
      <c r="G209" t="inlineStr">
        <is>
          <t>Charlotte, NC</t>
        </is>
      </c>
      <c r="H209" t="inlineStr"/>
      <c r="I209" t="inlineStr">
        <is>
          <t>Affirm is reinventing credit to make it more honest and friendly, giving consumers the flexibility to buy now and pay later without any hidden fees or compounding interest.
 Our mission to deliver honest financial products that improve lives extends beyond borders — and it depends on customer trust as we scale.
 We are at an inflection point: Affirm’s expansion across products, partner distribution channels, and international markets requires a platform‑level Trust \&amp; Safety strategy that protects customers and preserves a seamless, dignified experience. As a Staff Product Manager for Trust \&amp; Safety (Fraud), you will lead that strategy, ensuring fraud prevention is embedded into the product in a way that is transparent, respectful, and customer‑first.
 You will be the accountable product leader for fraud prevention across the company, driving cross‑org execution across Engineering, Fraud Analytics, Legal, Compliance, Operations, and international Product teams. This role focuses on platform leverage, multi‑team alignment, and executive‑level decision‑making, with customer trust as the north star.
**What You’ll Do**
* Customer‑First Platform Strategy: Define and execute a multi‑year fraud platform strategy that scales across products, partner channels, and global markets while protecting customer trust and minimizing unnecessary friction
* Leadership \&amp; Alignment: Be the accountable leader for fraud prevention. Drive organizational alignment, negotiate resources, and create momentum across teams to deliver holistic solutions that protect consumers and merchants
* Experience‑Aware Decisioning: Own the evolution of fraud decisioning systems and step‑ups to balance loss prevention with clear, humane customer experiences
* Roadmap Ownership: Build and prioritize a roadmap that balances immediate risk mitigation with platform‑level innovation and long‑term resilience
* Measurement: Establish KPIs that capture loss prevention and customer impact (e.g., approval rates, friction costs, recovery outcomes)
* Experimentation at Scale: Drive rigorous experimentation to improve both fraud outcomes and customer trust, translating learnings into durable platform capabilities
* Executive Communication: Shape company‑level decisions with clear narratives on customer impact, risk posture, and tradeoffs
**What We Look For**
* 6\+ years of Product Management experience, with sustained ownership of multi‑team, platform‑level initiatives
* Deep experience in Trust \&amp; Safety, Fraud, Risk, Payments, Fintech, or regulated, high‑scale platforms
* Proven ability to define and execute multi‑year product strategy with measurable business impact
* Strong technical fluency (APIs, data pipelines, ML model integration, experimentation, IDV and authentication technologies )
* Exceptional cross‑org influence and stakeholder management, including executive alignment
* High‑agency, autonomous leader who thrives in ambiguity and drives outcomes at scale
* Metrics‑driven decision maker with strong product judgment and principled tradeoff‑making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10">
      <c r="A210" t="inlineStr">
        <is>
          <t>li-4371454596</t>
        </is>
      </c>
      <c r="B210" t="inlineStr">
        <is>
          <t>Technical Program Manager</t>
        </is>
      </c>
      <c r="C210" t="inlineStr">
        <is>
          <t>Altera</t>
        </is>
      </c>
      <c r="D210" t="inlineStr">
        <is>
          <t>linkedin</t>
        </is>
      </c>
      <c r="E210">
        <f>HYPERLINK("https://www.linkedin.com/jobs/view/4371454596", "https://www.linkedin.com/jobs/view/4371454596")</f>
        <v/>
      </c>
      <c r="F210">
        <f>HYPERLINK("https://altera.wd1.myworkdayjobs.com/Altera/job/San-Jose-California-United-States/Technical-Program-Manager_R01994?source=LinkedIn&amp;urlHash=4VuN", "https://altera.wd1.myworkdayjobs.com/Altera/job/San-Jose-California-United-States/Technical-Program-Manager_R01994?source=LinkedIn&amp;urlHash=4VuN")</f>
        <v/>
      </c>
      <c r="G210" t="inlineStr">
        <is>
          <t>San Jose, CA</t>
        </is>
      </c>
      <c r="H210" t="inlineStr"/>
      <c r="I210" t="inlineStr">
        <is>
          <t>**Job Details**
**Job Description:**
**About The Role**
 Altera is seeking a
 **Technical Program Manager** 
 to coordinate and drive the engineering execution behind next\-generation FPGA device rollouts. In this highly cross\-functional role, you will orchestrate complex development efforts spanning silicon, IP, software, firmware, validation, and manufacturing readiness, ensuring alignment across geographically distributed teams in North America and Asia.
 As a member of Altera’s
 **Execution Alignment Team** 
 , you will implement best\-in\-class program management practices, drive schedule and risk transparency, and ensure successful delivery of industry\-leading FPGA products.
**Responsibilities**
* Lead and manage large, complex technical programs supporting FPGA device development from definition through production rollout.
* Coordinate execution across multiple engineering disciplines including silicon design, IP, software, firmware, validation, and system enablement.
* Develop and maintain detailed program plans, schedules, milestones, and dependency tracking for multi\-threaded development efforts.
* Drive alignment across global teams in North America and Asia, ensuring clear ownership, accountability, and communication.
* Identify program risks, critical path issues, and resource constraints; proactively develop and execute mitigation plans.
* Partner closely with engineering, product management, quality, and operations teams to ensure on\-time, high\-quality delivery.
* Implement and continuously improve best\-in\-class project and program management processes, tools, and reporting mechanisms.
* Facilitate executive\-level communication by providing clear status updates, issue escalation, and data\-driven decision support.
* Support silicon bring\-up, validation, sampling, and production readiness milestones by ensuring cross\-functional execution alignment.
**Salary Range**
 The pay range below is for Bay Area California only. Actual salary may vary based on a number of factors including job location, job\-related knowledge, skills, experiences, trainings, etc. We also offer incentive opportunities that reward employees based on individual and company performance.
**$113,700 \- $164,700 USD**
 We use artificial intelligence to screen, assess, or select applicants for the position. Applicants must be eligible for any required U.S. export authorizations.
**Qualifications**
**Minimum Qualifications**
* Bachelor’s degree in Electrical Engineering, Software Engineering, Computer Engineering, or a related technical discipline.
* 5\+ years of experience in Technical Program Management, Program Management, or Engineering Program Leadership roles.
* 3\+ years of technical experience in one of the following areas: Transceivers, Embedded Systems (particularly ARM), Config and Security, PCIe, Ethernet or ASIC Design / DV
* 2\+ years of experience managing complex, cross\-functional hardware and software development programs.
* 5\+ years of experience leading programs that integrate silicon, hardware, software, firmware, IP, and validation teams.
* 3\+ years of experience managing programs across multiple organizations and geographically distributed international teams.
* Experience with full product development lifecycle, including definition, development, verification, sampling, and production rollout.
* Experience building detailed execution plans, manage dependencies, and drive teams to meet aggressive schedules.
* Experience with project and program management tools used for schedule tracking, risk management, and reporting.
**Preferred Qualifications**
* 5\+ years of experience working directly on FPGA, ASIC, or silicon\-based product development programs.
* Hands\-on technical background in silicon design, validation, or software/firmware engineering.
* Experience supporting silicon bring\-up, validation, or manufacturing readiness phases.
* Familiarity with Agile, hybrid Agile/Waterfall, or scaled execution frameworks in hardware\-centric environments.
* Experience presenting program status and execution metrics to senior leadership and executive stakeholders.
**Job Type**
 Regular
**Shift**
 Shift 1 (United States of America)
**Primary Location:**
 San Jose, California, United States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t>
        </is>
      </c>
    </row>
    <row r="211">
      <c r="A211" t="inlineStr">
        <is>
          <t>li-4371480529</t>
        </is>
      </c>
      <c r="B211" t="inlineStr">
        <is>
          <t>Program Manager</t>
        </is>
      </c>
      <c r="C211" t="inlineStr">
        <is>
          <t>Barrett Firearms Mfg, Inc</t>
        </is>
      </c>
      <c r="D211" t="inlineStr">
        <is>
          <t>linkedin</t>
        </is>
      </c>
      <c r="E211">
        <f>HYPERLINK("https://www.linkedin.com/jobs/view/4371480529", "https://www.linkedin.com/jobs/view/4371480529")</f>
        <v/>
      </c>
      <c r="F211" t="inlineStr"/>
      <c r="G211" t="inlineStr">
        <is>
          <t>Christiana, TN</t>
        </is>
      </c>
      <c r="H211" t="inlineStr"/>
      <c r="I211" t="inlineStr">
        <is>
          <t>Murfreesboro, TN
**Description**
 Barrett is looking for a driven Program Manager to lead complex engineering initiatives from concept through continuous improvement. In this role, you'll own project timelines, coordinate cross\-functional teams, and keep execution on track across engineering, operations, procurement, and sales. If you thrive in fast\-moving environments and know how to turn ideas into delivered products, this is your stage.
**About The Role**
* Lead and coordinate the full Engineering Change Order process for all program\-related engineering changes, including design, process, and supplier modifications, ensuring disciplined configuration control.
* Partner closely with Product Management to drive new product releases through the Product Development Process and all applicable process flows, ensuring technical readiness at every gate.
* Own program financial performance, maintaining product costs within target thresholds and securing management approval for any deviations while championing cost\-reduction and manufacturability improvements.
* Direct procurement, quality, supply base, and manufacturing engineering to execute new product sourcing strategies, implement design changes, and deploy new manufacturing processes with technical accuracy.
* Serve as the single point of contact for all program\-related inquiries, collaborating with engineering, R\&amp;D, manufacturing, sales, marketing, and military sales teams to support both standard and nonstandard product development.
* Ensure technical data integrity by maintaining accurate BOMs, process routers, ERP configurations, inspection requirements, and supplier communication while supporting continuous improvement and product enhancement initiatives.
**About You**
 You're a results\-driven Program Manager who thrives in a fast\-paced, cross\-functional environment. You take ownership of complex programs from start to finish, keep teams aligned, and drive execution with clarity and accountability. Organized, proactive, and solutions\-focused, you know how to manage competing priorities while delivering measurable results.
* Bachelor's degree in engineering or equivalent required.
* Masters degree in engineering preferred.
* 5\+ years engineering experience required.
* Strong technical foundation in engineering and manufacturing required.
* Proven experience managing engineering or technical manufacturing projects from concept through completion, demonstrating disciplined execution and cross\-functional leadership required.
* Deep understanding of firearm operation, failure analysis, statistical analysis, and debug methodologies, with the ability to apply these techniques in real\-world scenarios.
* Proficient in SolidWorks or comparable 3D modeling software.
* Comprehensive knowledge of manufacturing processes, design for manufacturability, quality standards, GD\&amp;T, ISO standards, and core firearms/ballistics concepts.
**What makes Barrett an exceptional workplace?**
**Benefits**
 Our people are our greatest asset, and we are committed to providing our employees with a supportive and family\-like work culture, accompanied by a variety of attractive benefits including:
* A flexible and adaptable work style.
* Meaningful recognition and bi\-weekly pay cycles.
* Ongoing growth through learning, mentoring, training and career progression opportunities.
**About Us**
 Barrett is a global leader in large\-caliber rifle design and manufacturing, proudly headquartered in Murfreesboro, Tennessee. For over 40 years, we've been at the forefront of innovation, starting with Ronnie Barrett's revolutionary Model 82, which earned praise from the U.S. Army and set the standard for modern firearms.
 Our products serve civilian sport shooters, law enforcement agencies, the U.S. military, and over 80 allied nations. As part of the NIOA Group, we continue to push the boundaries of precision, performance, and innovation.
 At Barrett, we don't just build firearms, we craft solutions that stand the test of time and exceed expectations. "There's always a better way" is our mantra, guiding us to continuously improve and evolve our designs to meet the challenges of tomorrow.
 If you are seeking a new challenge and would enjoy the opportunity to work in a fast paced and customer focused business, click on the APPLY NOW button and submit your application.
 For further information please visit https://barrett.net/ and https://www.nioa.com.au/
**Additional Screening**
 By applying for this role, you accept that the following checks will occur for the successful candidate:
* Background Checks
* Pre\-employment physical
* Drug \&amp; Alcohol Testing
* Permanent working rights and availability to work in the United States</t>
        </is>
      </c>
    </row>
    <row r="212">
      <c r="A212" t="inlineStr">
        <is>
          <t>li-4362124399</t>
        </is>
      </c>
      <c r="B212" t="inlineStr">
        <is>
          <t>Technical Program Manager II, Hardware NPI Interoperability, Cloud Supply Chain</t>
        </is>
      </c>
      <c r="C212" t="inlineStr">
        <is>
          <t>Google</t>
        </is>
      </c>
      <c r="D212" t="inlineStr">
        <is>
          <t>linkedin</t>
        </is>
      </c>
      <c r="E212">
        <f>HYPERLINK("https://www.linkedin.com/jobs/view/4362124399", "https://www.linkedin.com/jobs/view/4362124399")</f>
        <v/>
      </c>
      <c r="F212" t="inlineStr"/>
      <c r="G212" t="inlineStr">
        <is>
          <t>Atlanta, GA</t>
        </is>
      </c>
      <c r="H212" t="inlineStr"/>
      <c r="I212" t="inlineStr">
        <is>
          <t>**Minimum qualifications:**
* Bachelor's degree in a technical field, or equivalent practical experience.
* 2 years of experience in program management.
* Experience in hardware NPI or hardware manufacturing.
* Experience with supply chain operations or data center equipment.
**Preferred qualifications:**
* Master’s degree or MBA in Engineering, Analytics, Operations Research, Supply Chain, or a related field.
* 2 years of experience managing cross\-functional or cross\-team projects.
* Experience in hardware design and manufacturing in a New Product Introduction (NPI) role.
* Experience in data center infrastructure, operations, or construction, and coordination of deployments cross\-functionally.
* Ability to handle complex problems across multiple stakeholders, navigate ambiguity, and guide decision\-making or recommendations in uncertain environments.
* Excellent communication, people management, problem solving, organizational, and prioritization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We plan, buy, build, and deploy infrastructure (e.g., servers, storage, networking, ML accelerators, and Cloud platforms) to deliver capacity at scale for Google’s needs. The Equipment Supply Chain (ESC) team within CSCO is responsible for the supply chain for data center capital equipment and the spares to maintain the equipment.
 As a Technical Program Manager, you will be responsible for coordination of early stage planning with the Data Center Design team on new data center configurations and associated New Product Introduction (NPI). In addition, they will be responsible to lead to feasibility of cut\-in or acceleration decisions. You will coordinate with the different functions in ESC (and outside of ESC) to identify and partner to resolve constraints across the overall data center equipment supply chain and accomplish this through the development and running of programmatic tracking and resolution of various constraints and considerations, while ensuring strong communication of tradeoffs and agreements.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Create decision criteria and processes to determine feasibility of cut\-in and acceleration requests. Lead the consolidation of what needs to be true to enable an accelerated business outcome.
* Ensure alignment between cross\-functional tech\-infrastructure and the Supply Chain team to build scalable and reliable responses to the growth of new demand types and new products.
* Analyze numerous sources of risk/controls data across functions that require leadership attention and eliminate friction by designing solutions, remove blockers, and finding creative ways to accelerate project delivery.
* Liaison between ESC and Google Data Center design and execution organizations for New Product Introduction ensuring ESC Leadership and teams are aware of pipeline, timing, and impact of NPIs.
* Facilitate coordination of hurdle rate for NPI project cut\-in including potential Excess and Obsolete (E\&amp;O) impact on inventory of legacy Original Equipment (OFE).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3">
      <c r="A213" t="inlineStr">
        <is>
          <t>li-4371302330</t>
        </is>
      </c>
      <c r="B213" t="inlineStr">
        <is>
          <t>Technical Program Manager 5</t>
        </is>
      </c>
      <c r="C213" t="inlineStr">
        <is>
          <t>Lam Research</t>
        </is>
      </c>
      <c r="D213" t="inlineStr">
        <is>
          <t>linkedin</t>
        </is>
      </c>
      <c r="E213">
        <f>HYPERLINK("https://www.linkedin.com/jobs/view/4371302330", "https://www.linkedin.com/jobs/view/4371302330")</f>
        <v/>
      </c>
      <c r="F213" t="inlineStr"/>
      <c r="G213" t="inlineStr">
        <is>
          <t>Fremont, CA</t>
        </is>
      </c>
      <c r="H213" t="inlineStr"/>
      <c r="I213" t="inlineStr">
        <is>
          <t>**The group you’ll be a part of**
 The Customer Support Business Group focuses on enabling our customers with premier customer support throughout their lifecycle with Lam. We drive performance, productivity, safety, and quality of customers installed base performance and deliver service and lifecycle solutions for their most critical equipment and processes.
**The impact you’ll make**
 As a Technical Program Manager, you will play a critical role in driving the development and productization of advanced software solutions that power Lam’s global Service Business. You will lead crossfuntioncal teams to deliver high quality, scalable products while shaping the long\-term systems architecture that supports engineers, the field and customers worldwide.
**What You’ll Do**
* Lead complex, multidisciplinary software programs from concept through global deployment
* Actively listen, participate, and lead project team activities to promote collaboration and high performance
* Take ownership of assigned tasks, implementing and participating in corrective actions to ensure timely closure; make appropriate decisions within scope and escalate when necessary
* Drive end to end program planning and execution, including roadmap development,
 scheduling, risk management, and crossfuntioncal issue resolution across global teams
* Translate ambiguous business needs into clear technical requirements and user stories
* Influence and align senior stakeholders across product, engineering, business development, marketing, and field organizations to achieve cohesive decision making and successful program outcomes
* Manage feature pipelines and evaluate progress, quality, and release readiness across project and program tiers
* Own and evolve scalable business systems, software integrations, and process architecture
* Deliver executive level reporting, communications, and program updates with clarity and precision
* Champion operational excellence through improved processes, metrics, and best practices
* Perform deep analysis, generate insights, and present data driven recommendations to leadership
* Drive adoption and continuous improvement of Agile/SAFe methodologies to enhance delivery efficiency and team alignment
* Serve as a champion for customer and engineer experience, ensuring products and systems deliver measurable value and global impact
**Who We’re Looking For**
* Bachelor’s degree with 12\+ years of experience, or Master’s degree with 8\+ years of experience, or PhD with 5\+ years of experience, or equivalent industry experience
* 12\+ years of experience in technical program management, continuous improvement, or related technical leadership roles
* Ability to travel up to 10% to engage with field users and understand customer and engineering requirements
* Demonstrated ability to make effective decisions that drive successful implementation of technical, process, or operational changes
* Strong understanding of business process development, process controls, and mapping work item execution to organizational objectives
* Required tool proficiency: Jira, Confluence, Workboard or equivalent Agile and OKR platforms
**Preferred Qualifications**
* Experience or domain knowledge in semiconductor fabrication, equipment operations, or related high\-tech industries
* Strong understanding of program management methodologies and experience with Product Development \&amp; Release (PDR) processes
* Relevant project/program management certifications such as PMP, CAPM, or Scrum Master
* Familiarity with OKR (Objectives and Key Results) frameworks for alignment and execution
* Experience with Lean Six Sigma methodologies; Green Belt or Black Belt certification is a plus
* Hands\-on experience with Agile and/or Waterfall delivery methodologies
* Proficiency with program and project management tools such as MS Project, QuickBase, Office Timeline, or equivalent platforms
* Experience with organizational change management and adoption methodologies is a plus
* Demonstrated ability to champion field needs and drive alignment between customer\-facing teams and internal organizations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$125,000\.00 \- $270,000\.00\.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214">
      <c r="A214" t="inlineStr">
        <is>
          <t>li-4371173367</t>
        </is>
      </c>
      <c r="B214" t="inlineStr">
        <is>
          <t>Data Center Program Manager</t>
        </is>
      </c>
      <c r="C214" t="inlineStr">
        <is>
          <t>SyllogisTeks</t>
        </is>
      </c>
      <c r="D214" t="inlineStr">
        <is>
          <t>linkedin</t>
        </is>
      </c>
      <c r="E214">
        <f>HYPERLINK("https://www.linkedin.com/jobs/view/4371173367", "https://www.linkedin.com/jobs/view/4371173367")</f>
        <v/>
      </c>
      <c r="F214" t="inlineStr"/>
      <c r="G214" t="inlineStr">
        <is>
          <t>Memphis, TN</t>
        </is>
      </c>
      <c r="H214" t="inlineStr"/>
      <c r="I214" t="inlineStr">
        <is>
          <t>**Memphis TN** 
 On Site \&gt; Local Candidates preferred
 NO Subcontracting \- Direct Hire
 The Senior Project Manager is responsible for the overall direction, planning, coordination, implementation, execution and management of one to many medium projects, several large projects, and/or complex projects according to pre\-determined scope, schedule and budgets. Senior Project Managers will also provide coaching and mentoring to less experienced Project Managers / Project Coordinators. It is expected that the majority of time (70%) will be in customer facing activities.
**Education \&amp; Experience Required** 
* Bachelor’s degree preferred.
* Minimum 7\-10 years’ experience in Project Management within the IT industry.
* **\*\*\*Proven physical data center infrastructure project experience\*\*\***
* Strong customer\-facing and communication skills
* PMP certification is a plus.
**Duties/Responsibilities** 
* Partners with business leaders to deliver services that support company objectives and that are consistent with Winning Together values.
* Lead the planning and implementation of project(s) throughout the project lifecycle, initiation through closure.
* Oversee the review of project scope, goals and deliverables both internally and externally.
* Oversee and Develop a project task list (tracker), risk/issue/action, project contacts and a full\-scale project plan as required within United States Inc’s approved applications and systems.
* Assemble and coordinate project resources both internally, externally and with 3rd parties.
* Manage project budget, resource allocation, project plan, project trackers and project timelines as required.
* Track and advise on project deliverables and tasks using appropriate applications, systems, and/or tools.
* Own and resolve any issues that arise during the project and drive risk mitigation.
* Drive team accountability for project results of staying on\-budget, on\-schedule, and maintain client satisfaction.
* Communicate with internal and external stakeholders including but not limited to project scope, tasks, deliverables, goals, resources, schedules and budgets.
* Communicate expectations to stakeholders and team, gaining acceptance and accomplishing customers business objectives.
* Identify resources required to fulfill project delivery, collaborating with other Project Managers, the Resource Management Group and other groups as required to determine which project resources are available in order to schedule project workload and make assignments.
* The Senior PM should work with the Resource Management Group to explore ways to drive efficiencies on third party project delivery.</t>
        </is>
      </c>
    </row>
    <row r="215">
      <c r="A215" t="inlineStr">
        <is>
          <t>li-4362152390</t>
        </is>
      </c>
      <c r="B215" t="inlineStr">
        <is>
          <t>Lead Technical Program Manager, Supply Strategy and Portfolio Planning</t>
        </is>
      </c>
      <c r="C215" t="inlineStr">
        <is>
          <t>Google</t>
        </is>
      </c>
      <c r="D215" t="inlineStr">
        <is>
          <t>linkedin</t>
        </is>
      </c>
      <c r="E215">
        <f>HYPERLINK("https://www.linkedin.com/jobs/view/4362152390", "https://www.linkedin.com/jobs/view/4362152390")</f>
        <v/>
      </c>
      <c r="F215">
        <f>HYPERLINK("https://careers.google.com/jobs/results/129888843032601286-lead-technical-program-manager/?src=Online/LinkedIn/linkedin_us&amp;utm_source=linkedin&amp;utm_medium=jobposting&amp;utm_campaign=contract&amp;urlHash=WQzE", "https://careers.google.com/jobs/results/129888843032601286-lead-technical-program-manager/?src=Online/LinkedIn/linkedin_us&amp;utm_source=linkedin&amp;utm_medium=jobposting&amp;utm_campaign=contract&amp;urlHash=WQzE")</f>
        <v/>
      </c>
      <c r="G215" t="inlineStr">
        <is>
          <t>Sunnyvale, CA</t>
        </is>
      </c>
      <c r="H215" t="inlineStr"/>
      <c r="I215"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San Francisco, CA, USA** 
 .
 **Minimum qualifications:**
* Bachelor's degree in a technical field, or equivalent practical experience.
* 8 years of experience in program management.
* 8 years of experience in the design and planning of data center infrastructure.
**Preferred qualifications:**
* Master's degree or PhD in a quantitative field.
* 8 years of experience managing cross\-functional or cross\-team projects.
* Ability to develop strategy, define and drive programs and processes through ambiguity to address significant business challenges.
* Ability to navigate ambiguity to define and drive cross\-functional programs in large, complex work groups, including upwards of team members and stakeholders that span multiple teams/organizations.
* Excellent execution, organizational, and stakeholder management skills.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our products and services scale the globe, the Global Infrastructure and Energy (GIE) team works behind the scenes as a dynamic team within Google responsible for delivering the infrastructure capacity needed to support Google's rapidly growing product portfolio. The Supply Strategy and Portfolio Planning (SSP) team sits within GIE, and we manage a complex portfolio of infrastructure projects, ensuring that Google's services have the resources they need to operate seamlessly and reliably. SSP performs location strategy, regional planning and portfolio management to determine where, why, and how much infrastructure assets Google needs to seamlessly scale into the future. The modeling and analytics team, provides decision\-making frameworks with underlying foundation to enable high\-quality decisions at scale, faster and with less risk to meet the needs of Google’s business.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develop models for location strategy given land, energy and networking constraints. Understand business tradeoffs and translate to input and modeling requirements. Produce and maintain model results with explainability and traceability.
* Drive business requirements definition, design data ecosystems, lead and coordinate development to analyze multitudes of data sources reflecting various layers of demand granularities across data center and networking stack.
* Lead design and execution of modeling ecosystem, data collection, model design, tradeoff and constraints analysis, evaluation, model tracking and decision making.
* Manage execution of scalable models and data foundations in collaboration with software engineers and supply planning teams. Create communication channels across various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6">
      <c r="A216" t="inlineStr">
        <is>
          <t>li-4350756871</t>
        </is>
      </c>
      <c r="B216" t="inlineStr">
        <is>
          <t>Principal Program Manager, Business</t>
        </is>
      </c>
      <c r="C216" t="inlineStr">
        <is>
          <t>Circle</t>
        </is>
      </c>
      <c r="D216" t="inlineStr">
        <is>
          <t>linkedin</t>
        </is>
      </c>
      <c r="E216">
        <f>HYPERLINK("https://www.linkedin.com/jobs/view/4350756871", "https://www.linkedin.com/jobs/view/4350756871")</f>
        <v/>
      </c>
      <c r="F216">
        <f>HYPERLINK("https://careers.circle.com/us/en/job/CIICIRUSJR100727EXTERNALENUS/Principal-Program-Manager-Business?utm_source=linkedin&amp;utm_medium=phenom-feeds&amp;src=LinkedIn&amp;urlHash=JMtv", "https://careers.circle.com/us/en/job/CIICIRUSJR100727EXTERNALENUS/Principal-Program-Manager-Business?utm_source=linkedin&amp;utm_medium=phenom-feeds&amp;src=LinkedIn&amp;urlHash=JMtv")</f>
        <v/>
      </c>
      <c r="G216" t="inlineStr"/>
      <c r="H216" t="inlineStr"/>
      <c r="I216"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Program Manager to support partner\-facing Business teams. As a member of the Circle Business team, you will play a critical role in helping our teams execute our go\-to\-market strategy. You will work closely with Circle’s customer\-facing teams, ensuring that Business Development, Sales Engineering, Partner Marketing, Customer Care along with other cross functional teams have the project leadership, process development and operational support to be effective. You will lead internal projects to align the Business and cross\-functional teams. You will influence change by implementing new processes and programs to support the strategy direction of the Business team.
**What You'll Work On**
* Overseeing complex, cross\-functional projects supporting Circle and Business team goals. This can include Business go\-to\-market activities or scoping and leading complex client implementations.
* Leading internal process improvement initiatives and organizing programs and activities on behalf of the Business team to align with business strategy.
* Working closely with Business leadership to ensure important changes and developments are communicated to the Business team by leading communication plans, internal meetings, and managing deliverables.
* Serving as Program Manager and facilitating operational strategy for the Commercial teams.
* Managing program reporting and developing metrics to evaluate and manage internal programs, identifying strengths and areas for improvement.
* Leading multiple projects at time, including projects involving international stakeholders across multiple time zones, while ensuring alignment with overall business goals.
* Coaching and developing team members regarding project methodology, management, communication strategy.
**Core Requirements**
****What you’ll bring to Circle:****
* 10\+ years of experience in a project or customer\-facing implementation role.
* Strong presentation and communication skills and the ability to confidently lead meetings with all levels of management.
* Planning and implementation skills, ability to schedule and manage tasks effectively.
* Conflict resolution and problem\-solving skills.
* Organizational and multitasking skills.
* Experience using project management software.
* A strong interest in the future of global payments.
* A natural curiosity and deep care for understanding the business strategy of Circle.
* Familiarity with generative AI models (ChatGPT, Gemini, etc.) and prompt development.
**Preferred Requirements**
* Experience in the payments, fintech or crypto industries.
* PMP certification.
* Experience/familiarity with Slack, Apple MacOS and GSuite.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$160,000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217">
      <c r="A217" t="inlineStr">
        <is>
          <t>li-4350885791</t>
        </is>
      </c>
      <c r="B217" t="inlineStr">
        <is>
          <t>Principal Program Manager, Business</t>
        </is>
      </c>
      <c r="C217" t="inlineStr">
        <is>
          <t>Circle</t>
        </is>
      </c>
      <c r="D217" t="inlineStr">
        <is>
          <t>linkedin</t>
        </is>
      </c>
      <c r="E217">
        <f>HYPERLINK("https://www.linkedin.com/jobs/view/4350885791", "https://www.linkedin.com/jobs/view/4350885791")</f>
        <v/>
      </c>
      <c r="F217" t="inlineStr"/>
      <c r="G217" t="inlineStr"/>
      <c r="H217" t="inlineStr"/>
      <c r="I217"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Program Manager to support partner\-facing Business teams. As a member of the Circle Business team, you will play a critical role in helping our teams execute our go\-to\-market strategy. You will work closely with Circle’s customer\-facing teams, ensuring that Business Development, Sales Engineering, Partner Marketing, Customer Care along with other cross functional teams have the project leadership, process development and operational support to be effective. You will lead internal projects to align the Business and cross\-functional teams. You will influence change by implementing new processes and programs to support the strategy direction of the Business team.
**What You'll Work On**
* Overseeing complex, cross\-functional projects supporting Circle and Business team goals. This can include Business go\-to\-market activities or scoping and leading complex client implementations.
* Leading internal process improvement initiatives and organizing programs and activities on behalf of the Business team to align with business strategy.
* Working closely with Business leadership to ensure important changes and developments are communicated to the Business team by leading communication plans, internal meetings, and managing deliverables.
* Serving as Program Manager and facilitating operational strategy for the Commercial teams.
* Managing program reporting and developing metrics to evaluate and manage internal programs, identifying strengths and areas for improvement.
* Leading multiple projects at time, including projects involving international stakeholders across multiple time zones, while ensuring alignment with overall business goals.
* Coaching and developing team members regarding project methodology, management, communication strategy.
**Core Requirements**
****What you’ll bring to Circle:****
* 10\+ years of experience in a project or customer\-facing implementation role.
* Strong presentation and communication skills and the ability to confidently lead meetings with all levels of management.
* Planning and implementation skills, ability to schedule and manage tasks effectively.
* Conflict resolution and problem\-solving skills.
* Organizational and multitasking skills.
* Experience using project management software.
* A strong interest in the future of global payments.
* A natural curiosity and deep care for understanding the business strategy of Circle.
* Familiarity with generative AI models (ChatGPT, Gemini, etc.) and prompt development.
**Preferred Requirements**
* Experience in the payments, fintech or crypto industries.
* PMP certification.
* Experience/familiarity with Slack, Apple MacOS and GSuite.
**Additional Information**
* This position is eligible for day\-one PERM sponsorship for qualified candidates.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$160,000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218">
      <c r="A218" t="inlineStr">
        <is>
          <t>li-4371191765</t>
        </is>
      </c>
      <c r="B218" t="inlineStr">
        <is>
          <t>Value-Based Care Program Manager</t>
        </is>
      </c>
      <c r="C218" t="inlineStr">
        <is>
          <t>MASC Medical Recruitment Firm</t>
        </is>
      </c>
      <c r="D218" t="inlineStr">
        <is>
          <t>linkedin</t>
        </is>
      </c>
      <c r="E218">
        <f>HYPERLINK("https://www.linkedin.com/jobs/view/4371191765", "https://www.linkedin.com/jobs/view/4371191765")</f>
        <v/>
      </c>
      <c r="F218">
        <f>HYPERLINK("https://mascmedical.zohorecruit.com/jobs/Careers/571377000035729147?src=linkedin&amp;urlHash=yCUG", "https://mascmedical.zohorecruit.com/jobs/Careers/571377000035729147?src=linkedin&amp;urlHash=yCUG")</f>
        <v/>
      </c>
      <c r="G218" t="inlineStr">
        <is>
          <t>San Diego, CA</t>
        </is>
      </c>
      <c r="H218" t="inlineStr"/>
      <c r="I218" t="inlineStr">
        <is>
          <t>******Value\-Based Care Program Manager
**San Diego
 The Value\-Based Care Program Manager is a key member of the leadership team. This role leads operational and strategic initiatives across our value\-based care portfolio — driving performance, leading case management teams, and ensuring alignment between clinical excellence, quality outcomes, and payer expectations.
 This position requires a balance of visionary leadership and tactical execution: you’ll build, refine, and scale case management\-centric programs that deliver measurable results — while mentoring teams and collaborating with health plans, data teams, and executive leadership to advance our value\-based mission.
**Compensation \&amp; Benefits**
* $85,000 – $120,000 annually (DOE).
* Medical, dental, and vision coverage; retirement; paid vacation; CME/licensure reimbursement.
* Hybrid/remote flexibility with periodic in\-person collaboration.
**Responsibilities**
* Lead the development and execution of case management and wrap\-around programs supporting ECM, transitional care, and high\-risk population initiatives.
* Direct, coach, and mentor a multidisciplinary team (RN, LCSW, CHW, non\-clinical navigators) to ensure accountability, engagement, and excellence in care delivery.
* Manage quality, utilization, and cost metrics across multiple payer contracts; identify performance trends and lead improvement initiatives.
* Design scalable workflows, standard operating procedures, and technology integrations that enhance care coordination and compliance.
* Serve as the primary operational liaison to health plans — representing the company and performance\-improvement discussions.
* Partner with analytics to translate insights into action, shaping strategies around HEDIS, TCM, ECM, and STAR measures.
* Drive adoption of new initiatives, training, and policy updates across case management and quality teams.
* Provide executive\-level reporting, dashboard interpretation, and performance summaries to support leadership decision\-making.
**Requirements**
* Bachelor’s degree in Nursing, Social Work, Public Health, or Healthcare Administration (Master’s preferred).
* 5\+ years in healthcare management, including at least 3 years leading case management or population\-health teams. (Managed a team of 5 or more)
* Strong background in value\-based care, risk adjustment, or health plan collaboration.
* 
* Expertise in quality frameworks (HEDIS, NCQA, DHCS, CMS) and population health reporting.
* Exceptional leadership, analytical, and cross\-functional communication skills.
* Demonstrated success building or scaling care management programs within Medi\-Cal or Medicare settings.
* Preferred Certifications: RN, LCSW, Case Management, or CCM.
 \#ZR
 \#MASC104********</t>
        </is>
      </c>
    </row>
    <row r="219">
      <c r="A219" t="inlineStr">
        <is>
          <t>li-4362124404</t>
        </is>
      </c>
      <c r="B219" t="inlineStr">
        <is>
          <t>Technical Program Manager II, Submarine Cable Deployment, Cloud Networking</t>
        </is>
      </c>
      <c r="C219" t="inlineStr">
        <is>
          <t>Google</t>
        </is>
      </c>
      <c r="D219" t="inlineStr">
        <is>
          <t>linkedin</t>
        </is>
      </c>
      <c r="E219">
        <f>HYPERLINK("https://www.linkedin.com/jobs/view/4362124404", "https://www.linkedin.com/jobs/view/4362124404")</f>
        <v/>
      </c>
      <c r="F219" t="inlineStr"/>
      <c r="G219" t="inlineStr">
        <is>
          <t>New York, NY</t>
        </is>
      </c>
      <c r="H219" t="inlineStr"/>
      <c r="I219" t="inlineStr">
        <is>
          <t>**Minimum qualifications:**
* Bachelor's degree in a technical field, or equivalent practical experience.
* 2 years of experience in program management.
* Experience in fiber\-optic network design, deployment, or construction (e.g., marine route engineering, shore\-end solutions, outside plant installation, etc.).
**Preferred qualifications:**
* Master’s degree in Electrical, Electronic, or Mechanical Engineering, Telecommunications, Marine Science, or a related field.
* 2 years of experience managing cross\-functional or cross\-team projects.
* Experience in the telecommunications or subsea cable industry.
* Experience with submarine cable deployment lifecycle, including marine route engineering, permitting, or civil engineering.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Global Submarine Networks (GSN) team plans, builds and operates the subsea backbone network used by Google to provide our products and services. This international team collaborates with internal stakeholders and an array of suppliers to create construction agreements, oversee the delivery of each cable system, then operate and maintain that infrastructure for high reliability and security.
 The Cable Build team is a specialized group within GSN responsible for cable system construction. This team blends skills from marine construction, fiber\-optic networking, project management and contract negotiation to deliver this core infrastructure.
 In this role, you will manage the execution of fiber\-optic submarine cable construction projects for the Global Submarine Networks team. You will coordinate work between submarine cable vendors, partners, and internal teams through close collaboration with other Technical Program Managers, Strategic Negotiators, Network Deployment Engineers, and Product Managers. You will apply your knowledge of the Google Network and telecommunications best practices (marine survey, installation, outside plant) to drive the successful completion of submarine cable projects.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Analyze and track engineering specifications for cable routes, landing point selections, shore\-end solutions, and marine installation methods.
* Support the permit acquisition process by collaborating with vendors and internal legal/policy teams, tracking applications and flagging potential schedule risks.
* Manage vendor performance against the contract, ensuring deliverables meet quality, budget, and schedule requirements.
* Support commercial discussions and manage the administrative processes for contract variations and system handovers.
* Contribute technical and process knowledge to the broader team to improve project delivery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0">
      <c r="A220" t="inlineStr">
        <is>
          <t>li-4342835575</t>
        </is>
      </c>
      <c r="B220" t="inlineStr">
        <is>
          <t>Senior Engineering Program Manager, Worldwide Engineering and Innovation</t>
        </is>
      </c>
      <c r="C220" t="inlineStr">
        <is>
          <t>Amazon</t>
        </is>
      </c>
      <c r="D220" t="inlineStr">
        <is>
          <t>linkedin</t>
        </is>
      </c>
      <c r="E220">
        <f>HYPERLINK("https://www.linkedin.com/jobs/view/4342835575", "https://www.linkedin.com/jobs/view/4342835575")</f>
        <v/>
      </c>
      <c r="F220">
        <f>HYPERLINK("https://www.amazon.jobs/jobs/3139897/senior-engineering-program-manager-worldwide-engineering-and-innovation-?cmpid=SPLICX0248M&amp;utm_source=linkedin.com&amp;utm_campaign=cxro&amp;utm_medium=social_media&amp;utm_content=job_posting&amp;ss=paid&amp;urlHash=_6P4", "https://www.amazon.jobs/jobs/3139897/senior-engineering-program-manager-worldwide-engineering-and-innovation-?cmpid=SPLICX0248M&amp;utm_source=linkedin.com&amp;utm_campaign=cxro&amp;utm_medium=social_media&amp;utm_content=job_posting&amp;ss=paid&amp;urlHash=_6P4")</f>
        <v/>
      </c>
      <c r="G220" t="inlineStr">
        <is>
          <t>Bellevue, WA</t>
        </is>
      </c>
      <c r="H220" t="inlineStr"/>
      <c r="I220" t="inlineStr">
        <is>
          <t>**Description**
 As an Engineering Manager in the Worldwide Engineering and Innovation (WWEI) org, you will be responsible for overseeing a portfolio of projects across the organization. Your role will ensure these projects align with our strategic objectives by managing project progress, tracking key metrics, ensuring project management standards, and facilitating communication between stakeholders. You will work across technology and operations teams to drive innovation, prioritize initiatives, and optimize processes that positively impact customer experience while supporting business growth. A key aspect of your role will be providing executive\-level reporting, all while maintaining alignment with Amazon's goals and vision.
 Key job responsibilities
* Design and implement Program Management Office (PMO) standards, methodologies, and frameworks across assigned functional areas
* Lead the development and maintenance of executive\-level business review documentation (MBRs and QBRs), with focus on performance metrics and strategic alignment
* Collaborate with director\-level leaders to drive strategic alignment, resource allocation, change management initiatives, and cross\-functional decision\-making
* Facilitate stakeholder management through effective communication and transparent status reporting
* Lead execution of high\-priority worldwide initiatives while ensuring alignment with organizational strategy and objectives
* Partner with vertical Program Managers to provide mentorship, ensure consistent delivery standards, and drive successful project outcomes
 A day in the life
 You will lead critical business initiatives by developing PMO strategies that deliver measurable organizational impact. Your projects will standardize our processes and improve operations across the organization. Working closely with director\-level leaders and stakeholders, you'll define project requirements, monitor progress, and manage risks. Your role involves synthesizing complex information for executive reviews while maintaining clear communication channels to keep all stakeholders informed of changes and impacts.
**Basic Qualifications**
* 5\+ years of directly managing and responsible for multiple large projects experience
* 5\+ years of Microsoft Office products and applications experience
* Experience and strong technical background in relevant fields of automated or non\-automated material handling equipment
* Bachelor's degree in engineering, management, or technology
* Experience writing high\-quality technical content for technical audiences (e.g., engineers, developers, scientists)
**Preferred Qualifications**
* Master's degree in engineering, mechanical, operations, supply chain, business administration, or equivalent STEM field
* Experience in Lean Management, Six Sigma and other operations engineer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\- 119,600\.00 \- 161,700\.00 USD annually
**Company** 
 \- Amazon.com Services LLC
 Job ID: A3139897</t>
        </is>
      </c>
    </row>
    <row r="221">
      <c r="A221" t="inlineStr">
        <is>
          <t>li-4371452976</t>
        </is>
      </c>
      <c r="B221" t="inlineStr">
        <is>
          <t>Technical Program Manager, Software Deployments</t>
        </is>
      </c>
      <c r="C221" t="inlineStr">
        <is>
          <t>Axon</t>
        </is>
      </c>
      <c r="D221" t="inlineStr">
        <is>
          <t>linkedin</t>
        </is>
      </c>
      <c r="E221">
        <f>HYPERLINK("https://www.linkedin.com/jobs/view/4371452976", "https://www.linkedin.com/jobs/view/4371452976")</f>
        <v/>
      </c>
      <c r="F221">
        <f>HYPERLINK("https://job-boards.greenhouse.io/axon/jobs/6531726003?gh_src=cdbb51d93us&amp;urlHash=nPfk", "https://job-boards.greenhouse.io/axon/jobs/6531726003?gh_src=cdbb51d93us&amp;urlHash=nPfk")</f>
        <v/>
      </c>
      <c r="G221" t="inlineStr">
        <is>
          <t>Atlanta, GA</t>
        </is>
      </c>
      <c r="H221" t="inlineStr"/>
      <c r="I221"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Axon is a global leader in public safety technology, dedicated to protecting life and making communities safer. We are seeking a
 **Technical Program Manager** 
 to lead the delivery of complex, enterprise\-grade SaaS solutions that empower our customers to manage information effectively.
 As a Technical Program Manager at Axon, you will play a pivotal role in aligning technical solutions with customer needs, ensuring seamless deployment, and enhancing our product impact. This role requires a proactive leader who thrives in dynamic environments, champions cross\-team collaboration, and drives meaningful change. If you are passionate about technology, possess excellent program management skills, and seek a purpose\-driven career, this is the role for you.
****What You’ll Do****
**Location:** 
 US\-based Axon hub sites (Atlanta, Boston, Denver, Scottsdale, Seattle, or Sterling metro areas)
**Travel:** 
 40%\-50%
**Reports to:** 
 Director, Program Management
**Direct Reports:** 
 0
* Lead complex, enterprise SaaS product deployments, ensuring milestones are met and deliverables align with customer expectations and revenue recognition guidelines.
* Manage multiple medium to large\-sized projects with a focus on timelines, scope, and budget control.
* Collaborate with product and engineering teams to define program requirements, ensuring compliance with national and state standards.
* Engage with customer, sales, product, and software services leaders to define project vision, scope, and delivery timelines.
* Support program planning activities through effective work estimation processes.
* Oversee program\-level change management activities, working closely with client partners and internal stakeholders.
* Develop comprehensive documentation to support customer acceptance and revenue recognition.
* Act as the primary facilitator for project team members and stakeholders, ensuring effective communication and coordination across teams.
* Identify project risks, develop mitigation strategies, and proactively address potential issues to ensure successful outcomes.
* Deliver foundational training to customers both remotely and in person, supporting adoption of Axon solutions.
* Mentor junior project managers and support the recruitment process to strengthen the program management team.
****What You Bring****
* Bachelor’s Degree in Business, Information Systems, Technical Engineering or equivalent experience.
* PMP certification is highly preferred.
* 5\+ years of experience leading complex programs in a SaaS environment with demonstrated success in technical program management.
* Proven experience delivering large\-scale enterprise software deployments, infrastructure programs, or mission\-critical application rollouts.
* Strong proficiency in technical project management tools to track, manage, and deliver on objectives.
* Ability to manage multiple simultaneous projects while driving alignment among diverse stakeholders.
* Expertise in guiding internal and client teams through ambiguity, ensuring clarity, alignment, and execution on shared goals.
* Exceptional communication, organization, and interpersonal skills, with a strong ability to distill technical concepts for varied audiences.
* Experience identifying process improvements to enhance project delivery outcomes and increase customer satisfaction.
* Must pass a Criminal Justice Information Services (CJIS) background check and maintain confidential and highly sensitive information.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222">
      <c r="A222" t="inlineStr">
        <is>
          <t>li-4371181758</t>
        </is>
      </c>
      <c r="B222" t="inlineStr">
        <is>
          <t>Techno-functional SAP Treasury Product Manager / BSA</t>
        </is>
      </c>
      <c r="C222" t="inlineStr">
        <is>
          <t>Jobs via Dice</t>
        </is>
      </c>
      <c r="D222" t="inlineStr">
        <is>
          <t>linkedin</t>
        </is>
      </c>
      <c r="E222">
        <f>HYPERLINK("https://www.linkedin.com/jobs/view/4371181758", "https://www.linkedin.com/jobs/view/4371181758")</f>
        <v/>
      </c>
      <c r="F222" t="inlineStr"/>
      <c r="G222" t="inlineStr">
        <is>
          <t>San Jose, CA</t>
        </is>
      </c>
      <c r="H222" t="inlineStr"/>
      <c r="I222" t="inlineStr">
        <is>
          <t>Dice is the leading career destination for tech experts at every stage of their careers. Our client, IT Gig LLC, is seeking the following. Apply via Dice today!
**Job Description:**
 We are seeking a senior, hands\-on techno\-functional SAP Treasury Product Manager / BSA who is a true Treasury SME first, not a business\-only PM or project manager. The ideal candidate has deep, day\-to\-day experience in SAP Treasury (TRM) with strong SAP FI foundations, and has led end\-to\-end Treasury implementations covering cash management, in\-house banking, FX, hedging, forecasting, TMS, and FSCM.
 The person must work hands\-on in the system, translate business needs into technical/user stories, collaborate closely with engineering in an Agile setup, and independently drive delivery in a metrics\-driven environment. Strong understanding of Treasury integrations (e.g., Bloomberg, trading platforms, third\-party systems) and end\-to\-end finance data flows is critical. Onsite San Jose and experience engaging senior finance stakeholders are required, with SaaS/subscription exposure preferred for faster ramp\-up.
**Responsibilities:**
* Serve as the subject matter expert in S4H Treasury Management and financial accounting areas
* Define and drive the product roadmap to address future business needs and opportunities
* Identify and prioritize growth opportunities using data, customer insights, competitive analysis, and industry\-standard methodologies
* Work together with collaborators from the finance business unit to ensure product solutions meet business requirements
* Partner with cross\-functional teams—including engineering, finance, operations, and analytics—to guide finance products from conception to launch
* Build arguments outlining the projected impact for each initiative to be prioritized on the roadmap
* Write detailed product requirements, functional specs, and user stories to be used by engineering and design teams
* Build impactful insights and convey recommendations to executives and other customers
* Coordinate the full product lifecycle, from design and development to implementation and ongoing optimization
**Required Skills \&amp; Experience:**
* 10\+ years of experience in product management of SAP S4H FICO, FSCM, TRM along with treasury operations like in house cash, cash management, forecasting, credits and collections, Capital market investments, Foreign Exchange, risk management etc.
* Proven experience directing all aspects of a product lifecycle, from development to launch and support
* Strong background in SAP S/4H, SAP ECC, Salesforce, MS\-Dynamics, Databricks, and other analytical systems
* Experience crafting and implementing General Ledger, Accounts payable and receivables, Treasury, Tax, RAR etc.
* Strong understanding of accounting standards and principles
* Ability to translate business requirements into functional specifications and partner with development teams to build product capabilities
* Hands\-on experience working with agile and scrum methodologies in software product development
* Strong analytical skills with the ability to bring to bear multiple data sources to support business decisions
* Proven ability to operate effectively in fast\-paced, time\-sensitive situations with minimal direction
* Experience in software product launches and working across multiple teams to drive product success
**Soft Skills:**
* Strong collaboration skills, with the ability to build credibility and trust across multiple teams
* Ability to present effectively at the executive level, communicating complex ideas with clarity
* Strong influencing and interpersonal skills, adept at managing relationships with senior leadership
* Must be a self\-starter, able to drive initiatives end to end with minimal mentorship
* A strategic problem solver who can work autonomously and thrive in ambiguity
* Outstanding verbal and written communication skills, comfortable working with technical and non\-technical audiences alike
* Passion for problem\-solving and innovation in financial applications</t>
        </is>
      </c>
    </row>
    <row r="223">
      <c r="A223" t="inlineStr">
        <is>
          <t>li-4371469744</t>
        </is>
      </c>
      <c r="B223" t="inlineStr">
        <is>
          <t>Program Manager, Enterprise Data Privacy Office</t>
        </is>
      </c>
      <c r="C223" t="inlineStr">
        <is>
          <t>FINRA</t>
        </is>
      </c>
      <c r="D223" t="inlineStr">
        <is>
          <t>linkedin</t>
        </is>
      </c>
      <c r="E223">
        <f>HYPERLINK("https://www.linkedin.com/jobs/view/4371469744", "https://www.linkedin.com/jobs/view/4371469744")</f>
        <v/>
      </c>
      <c r="F223">
        <f>HYPERLINK("https://finra.wd1.myworkdayjobs.com/FINRA/job/Tysons-VA-Job-Posting/Program-Manager\u002d\u002dEnterprise-Data-Privacy-Office_R-009726?source=Linked_API&amp;urlHash=-f6L", "https://finra.wd1.myworkdayjobs.com/FINRA/job/Tysons-VA-Job-Posting/Program-Manager\u002d\u002dEnterprise-Data-Privacy-Office_R-009726?source=Linked_API&amp;urlHash=-f6L")</f>
        <v/>
      </c>
      <c r="G223" t="inlineStr">
        <is>
          <t>Tysons Corner, VA</t>
        </is>
      </c>
      <c r="H223" t="inlineStr"/>
      <c r="I223" t="inlineStr">
        <is>
          <t>The Program Manager within the Enterprise Data Privacy Office (EDPO) is responsible for managing strategic initiatives, privacy program implementation, and enterprise\-wide education and awareness efforts. The Program Manager serves as a strategic partner and trusted resource, collaborating across all organizational levels to support effective execution of the organization's privacy objectives. This includes managing new initiative implementations, strategic goals and key results, privacy training and awareness programs, and providing guidance and support to stakeholders throughout the organization to ensure consistent application of privacy policies and practices.
**Essential Job Functions:**
* Manages EDPO program management activities including new initiatives, projects, strategic objectives, and ongoing program execution
* Manages the creation and implementation of the enterprise\-wide privacy training and awareness program for all employees and contractors
* Supports ongoing implementation and advancement of the Privacy Risk Management Framework across the organization
* Manages the enterprise\-wide Information Manager Program as directed by the Senior Director, including assistance with policy development, best practices, regular policy reviews, managing policy submissions and updates, and working with department stakeholders to support program adoption
* Assists in preparation of quarterly and bi\-weekly EDPO reporting to senior management and the FINRA Board
* Manages EDPO’s vendor relationships and contract management, including training and content providers, to ensure effective program delivery and budget compliance
* Assists Senior Director and Counsel, Privacy with workforce planning, budget, policy compliance, and acquisition initiatives, as needed
* Demonstrates FINRA's values
* Collaborates, both in\-person and virtually, in furtherance of FINRA's mission of investor protection and market integrity
**Education/Experience Requirements:**
* Bachelor's Degree with a minimum seven (7\) years of experience
* Minimum three (3\) years of experience working directly in privacy, compliance, or program management roles, preferably in a regulated industry
* Experience with program management, project management, or similar roles in a corporate setting
* Experience drafting, developing, and maintaining policies and procedures in a corporate or regulatory environment
* Experience preparing presentations, reports and metrics for senior management
* Excellent collaboration and communication skills, with the ability to present complex topics to diverse stakeholders in both written and oral forms
* Exceptional analytical and problem\-solving skills
* Proven ability to work independently with minimal supervision
* Familiarity with privacy regulations, standards, and best practices a plus
* CIPP/US preferred, but not required
**Working Conditions:**
* Hybrid work environment, with defined in\-person presence requirements
* Extended hours as needed
* Travel occasionally required
 For work that is performed in CO, FL, TX, IL, PA, MA, MD, VA, Washington, DC, NY and NJ, please refer to the chart below for the salary range for the corresponding location. FINRA complies with all state and local pay transparency laws and regulations requiring the disclosure of salary ranges for the position. In addition to location, actual compensation is based on various factors, including but not limited to, the candidate’s skill set, level of experience, education, and market considerations.
 CO/FL/TX: Minimum Salary $95,300, Maximum Salary $171,800
 IL/PA: Minimum Salary $104,900, Maximum Salary $189,400
 MA/MD/VA/Washington, DC: Minimum Salary $109,600 Maximum Salary $197,600
 NY/NJ: Minimum Salary $109,600, Maximum Salary $206,200
**To be considered for this position, please submit an application.** 
**Applications are accepted on an ongoing basis.**
*The information provided above has been designed to indicate the general nature and level of work of the position. It is not a comprehensive inventory of all duties, responsibilities and qualifications required.*
***Please note: If the “Apply Now” button on a job board posting does not take you directly to the FINRA Careers site, enter www.finra.org/careers into your browser to reach our site directly.***
 FINRA strives to make our career site accessible to all users. If you need a disability\-related accommodation for completing the application process, please contact FINRA's Employee Relations team at 240\.386\.4865 or by email at EmployeeRelations@finra.org. Please note that this process is exclusively for inquiries regarding application accommodations.
 Employees may be eligible for a discretionary bonus in addition to base pay. Non\-exempt employees are also eligible for overtime pay in accordance with federal, state, or local law. As part of its dedication to employee wellness, FINRA provides comprehensive health, dental and vision insurance. Additional insurance includes basic life, accidental death and dismemberment, supplemental life, spouse/domestic partner and dependent life, and spouse/domestic partner and dependent accidental death and dismemberment, short\- and long\-term disability, long\-term care, business travel accident, disability and legal. FINRA offers immediate participation and vesting in a 401(k) plan with company match and eligibility for participation in an additional FINRA\-funded retirement contribution, tuition reimbursement, commuter benefits, and other benefits that support employee wellness, such as adoption assistance, backup family care, surrogacy benefits, employee assistance, and wellness programs.
 Time Off and Paid Leave\*
 FINRA encourages its employees to focus on their health and wellness in many ways, including through a generous time\-off program of 15 days of paid time off, 5 personal days and 9 sick days, unless otherwise required by law (all pro\-rated in the first year). Additionally, we are proud to support our communities by providing two volunteer service days (based on full\-time schedule). Other paid leave includes military leave, jury duty leave, bereavement leave, voting and election official leave for federal, state or local primary and general elections, care of a family member leave (available after 90 days of employment); and childbirth and parental leave (available after 90 days of employment). Full\-time employees receive nine paid holidays.
* Based on full\-time schedule
**Important Information**
 FINRA’s Code of Conduct imposes restrictions on employees’ investments and requires financial disclosures that are uniquely related to our role as a securities regulator. FINRA employees are required to disclose to FINRA all brokerage accounts that they maintain, and those in which they control trading or have a financial interest (including any trust account of which they are a trustee or beneficiary and all accounts of a spouse, domestic partner or minor child who lives with the employee) and to authorize their broker\-dealers to provide FINRA with duplicate statements for all of those accounts.
 **All of those accounts are subject to the Code’s investment and securities account restrictions, and new employees must comply with those investment restrictions—including disposing of any security issued by a company on FINRA’s Prohibited Company List or obtaining a written waiver from their Executive Vice President—by the date they begin employment with FINRA. Employees may only maintain securities accounts that must be disclosed to FINRA at one or more securities firms that provide an electronic feed (e\-feed) of data to FINRA, and must move securities accounts from other securities firms to a firm that provides an e\-feed within three months of beginning employment.**
 You can read more about these restrictions here.
 As standard practice, employees must also execute FINRA’s Employee Confidentiality and Invention Assignment Agreement without qualification or modification and comply with the company’s policy on nepotism.
**Search Firm Representatives**
 Please be advised that FINRA is not seeking assistance or accepting unsolicited resumes from search firms for this employment opportunity. Regardless of past practice, a valid written agreement and task order must be in place before any resumes are submitted to FINRA. All resumes submitted by search firms to any employee at FINRA without a valid written agreement and task order in place will be deemed the sole property of FINRA and no fee will be paid in the event that person is hired by FINRA.
 FINRA strives to make our career site accessible to all users. If you need a disability\-related accommodation for completing the application process, please contact FINRA's Employee Relations team at 240\.386\.4865 or by email at EmployeeRelations@finra.org. Please note that this process is exclusively for inquiries regarding application accommodations.
 All qualified applicants will receive consideration for employment without regard to age, citizenship status, color, disability, marital status, national origin, race, religion, sex, veteran status or any other classification protected by federal, state, or local laws.
 FINRA abides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FINRA abides by the requirements of 41 CFR 60\-300\.5(a). This regulation prohibits discrimination against qualified protected veterans and requires affirmative action by covered prime contractors and subcontractors to employ and advance in employment qualified protected veterans.
 ©2025 FINRA. All rights reserved. FINRA is a registered trademark of the Financial Industry Regulatory Authority, Inc.</t>
        </is>
      </c>
    </row>
    <row r="224">
      <c r="A224" t="inlineStr">
        <is>
          <t>li-4362097006</t>
        </is>
      </c>
      <c r="B224" t="inlineStr">
        <is>
          <t>Technical Program Manager, Third Party Data-Centers, Front End Planning</t>
        </is>
      </c>
      <c r="C224" t="inlineStr">
        <is>
          <t>Google</t>
        </is>
      </c>
      <c r="D224" t="inlineStr">
        <is>
          <t>linkedin</t>
        </is>
      </c>
      <c r="E224">
        <f>HYPERLINK("https://www.linkedin.com/jobs/view/4362097006", "https://www.linkedin.com/jobs/view/4362097006")</f>
        <v/>
      </c>
      <c r="F224">
        <f>HYPERLINK("https://careers.google.com/jobs/results/135724509586956998-technical-program-manager/?src=Online/LinkedIn/linkedin_us&amp;utm_source=linkedin&amp;utm_medium=jobposting&amp;utm_campaign=contract&amp;urlHash=FHeL", "https://careers.google.com/jobs/results/135724509586956998-technical-program-manager/?src=Online/LinkedIn/linkedin_us&amp;utm_source=linkedin&amp;utm_medium=jobposting&amp;utm_campaign=contract&amp;urlHash=FHeL")</f>
        <v/>
      </c>
      <c r="G224" t="inlineStr">
        <is>
          <t>Sunnyvale, CA</t>
        </is>
      </c>
      <c r="H224" t="inlineStr"/>
      <c r="I224" t="inlineStr">
        <is>
          <t>Note: By applying to this position you will have an opportunity to share your preferred working location from the following:
 **Sunnyvale, CA, USA; Atlanta, GA, USA; Addison, TX, USA; New York, NY, USA; Reston, VA, USA; London, UK** 
 .
 **Minimum qualifications:**
* Bachelor's degree or equivalent practical experience.
* 8 years of experience in program or project management.
* Experience working with data center equipment/environments (e.g., switchgear, generators, chillers, cooling towers, air handling units, controls, security monitoring systems, fire safety systems).
* Experience managing vendor relationships.
**Preferred qualifications:**
* 8 years of experience managing cross\-functional or cross\-team projects.
* Experience in facility operations for facilities comprising electrical and mechanical systems.
* Understanding of startup/commissioning processes and standard practices in the design and construction industry.
* Excellent requirement gathering, resource organization, task prioritization, scheduling, and goal attainment skills.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a Technical Program Manager, you will provide leadership and management to ensure the successful delivery of our growing global fleet of Data Centers.
 In this role, you will work cross\-functionally to manage multiple projects through the various stages of evaluation, design, agreements, construction, and handover to operations. The portfolio will include projects at greenfield sites and within operational facilities for both our smaller scale data center infrastructure deployments as well as hyper\-scale data centers.
 You will be involved in every aspect of tactical implementation and will partner with negotiators, project managers and engineers, as well as our construction and operations teams, to develop creative and scalable solutions for the delivery of data centers that meet our operational requirements.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processes, standards, and procedures that ensure an effective transition of third\-party delivered data center facilities from construction to operations.
* Manage delivery validation process across a portfolio to ensure that construction quality standards are met and that critical closeout, commissioning, and operational documentation is collated in a timely manner.
* Establish process and controls to reduce operational risk of phased construction.
* Collaborate with cross\-functional teams to ensure alignment around expectations ahead of major milestones: Early Facility Access (EFA), Substantial Completion, and Final Release (FR), ensuring a clear understanding of contractual requirements and operational provisions is in place.
* Establish processes for clear, accurate, and timely communication with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5">
      <c r="A225" t="inlineStr">
        <is>
          <t>li-4363078015</t>
        </is>
      </c>
      <c r="B225" t="inlineStr">
        <is>
          <t>Treatment Program Manager</t>
        </is>
      </c>
      <c r="C225" t="inlineStr">
        <is>
          <t>State of Iowa - Executive Branch</t>
        </is>
      </c>
      <c r="D225" t="inlineStr">
        <is>
          <t>linkedin</t>
        </is>
      </c>
      <c r="E225">
        <f>HYPERLINK("https://www.linkedin.com/jobs/view/4363078015", "https://www.linkedin.com/jobs/view/4363078015")</f>
        <v/>
      </c>
      <c r="F225" t="inlineStr"/>
      <c r="G225" t="inlineStr">
        <is>
          <t>Woodward, IA</t>
        </is>
      </c>
      <c r="H225" t="inlineStr"/>
      <c r="I225" t="inlineStr">
        <is>
          <t>**Job Description**
 The Iowa Department of Health and Human Services (HHS), Division of State\-Operated Specialty Care, Bureau of Woodward Resource Center (WRC) is seeking a Treatment Program Manager to join our Habilitation Services team!
**What You'll Do**
 As a Treatment Program Manager, you'll play a vital role in ensuring our team is equipped with the knowledge and skills to deliver exceptional care and support. Your responsibilities will include:
* Leadership: Lead and direct an integrated, interdisciplinary team process to provide adequate, appropriate, and timely assessments, interventions, strategies and supports that effectively address an Individual’s needs, assisting that Individual to live in the most integrated setting.
* Monitoring and Reporting: Monitor implementation of services, supports, and interventions through direct observation, participation, and review of documentation. Report analysis of trends, corrective action needed/due and assure implementation of proactive and prevention interventions.
* Supervision: Supervise and evaluate the work of subordinate staff. Administer personnel and related policies and procedures. Oversee the work of Resident Treatment Supervisors to train them in the supervision of active treatment programs by assigning caseloads, advising on methods, reviewing written records, and providing feedback on work performed.
* Team Collaboration: Maintain close contact with employees to define, measure, and improve quality of services, implement quality initiatives in their respective area, and assess outcomes and the efficiency of quality efforts.
 Applicants will be required to complete a background check to be considered for this position and should possess a valid Iowa Driver’s License.
 WRC prepares and supports individuals to live in the community of their choice. This facility is a great place to develop or continue your healthcare career if you enjoy rewarding yet challenging work, supporting individuals by working as part of their interdisciplinary team, and helping to develop person\-centered Individual Support Plans to meet specific support needs, preferences, and goals. The facility provides a range of services that include being an Intermediate Care Facility for Individuals with an Intellectual Disability (ICF/IID), daily supported community living, consultations/training, behavioral health services, physical nutrition management, and community residential\-based guidance in learning prosocial behavior and personal accountability. For more info about WRC: https://hhs.iowa.gov/family\-community/specialty\-care\-facilities/woodward\-resource\-center
**Benefits Of Joining WRC**
 Working for the State of Iowa comes with its perks. In addition to a competitive salary, you'll enjoy a comprehensive benefits package designed to support your well\-being and professional growth.
* Health, Dental, and Vision Coverage: Health and dental insurance packages to keep you and your family healthy at a low cost with outstanding coverage!
* Paid Time Off: Take time to recharge with paid time off, including vacation (96 hours/year to begin, increasing with years of service), sick leave (144 hours/year), and paid holidays (9 days/year).
* Retirement Plans: Participate in retirement plans such as IPERS (employees contribute 6\.29% and the State of Iowa contributes 9\.44%) as well as our Retirement Investors Club (RIC), Employer Sponsored Retirement Plan (the State of Iowa matches dollar for dollar up to $75/month).
* Flexible Spending Accounts: Take advantage of flexible spending accounts for medical and dependent care expenses.
* Insurance Coverage: Benefit from life insurance and free long\-term disability insurance for added peace of mind.
* Employee Assistance Program: Access resources and support through our Employee Assistance Program for personal and professional challenges.
* Employee Discount Programs: Enjoy discounts on a variety of goods and services through our employee discount programs.
**Benefits**
 For additional information on benefits click here .
 Click here to see how we compare with other employers or offers by using our Total Compensation Calculator.
**Woodward Highlights**
 Woodward is a city of approximately 1,300 located in central Iowa. The High Trestle Trail begins here and boasts 25 miles of paved surface running through five towns and four counties in the heart of Iowa. The trail includes an iconic, 1/2\-mile, 13\-story high bridge across the Des Moines River valley, one of the largest trail bridges in the world. The Iowa Arboretum \&amp; Gardens is just a quick drive away offering more trails, scenic overlooks and other amazing natural features.
 Woodward is about 30 minutes away Ames, home of Iowa State University. Des Moines, Iowa’s capitol city, is also about the same distance away and home to Casey’s Center (host site of NCAA Basketball and premier concerts) and Lauridsen Skatepark, the nation’s largest skatepark. Additionally, Des Moines hosts one of the nation’s finest State Fairs and is home to professional sports teams the Iowa Cubs, Iowa Wolves, Iowa Barnstormers and Iowa Wild. Check out these 10 Reasons to Move to Iowa .
**The State of Iowa is an EEO/AA Employer**
 HHS values those with “lived experience” and encourages adults who were fostered as youth, foster parents, and/or parents who were in the HHS system to apply. Minorities, women, persons with disabilities and veterans are encouraged to apply (Hearing and Speech Impaired – Relay Iowa 1\-800\-735\-2942 TDD).
**E\-Verify and Right to Work**
 The State of Iowa participates in E\-Verify, a federal program that helps employers confirm the employment eligibility of all newly hired employees. Within the required timeframe, new hires will be verified through the E\-Verify system to ensure authorization to work in the United States. The State of Iowa also complies with the federal
 **Right to Work** 
 laws, which protect employees’ rights to work without being required to join a labor organization. For more information, please visit www.e\-verify.gov.
**Minimum Qualification Requirements**
 Graduation from an accredited college or university with a bachelor's or master's degree in a professional discipline related to provision of human care and treatment, a human service field, a field of study related to basic human care needs, human behavior, human skill development, humans and their cultural behavior, the human condition, or any other study related to basic human care needs and experience equal to one year of full time work with persons with intellectual disabilities or developmental disabilities;
 OR
 licensure as a doctor of medicine or osteopathy or as a registered nurse and experience equal to one year of full\-time work with persons with intellectual disabilities or developmental disabilities.
 For additional information, please click on this link to view the job description .
**Additional Qualification Requirements**
* Licensure or temporary licensure by the State of Iowa is required where applicable under state law (occupational therapy, physical therapy, audiology, speech pathology, doctor of medicine or osteopathy and registered nurse).
* Among the acceptable degrees: occupational therapy, physical therapy, speech pathology, audiology, sociology, education, rehabilitation counseling, social work, psychology, speech, communication, gerontology, counseling, human development, recreation, special education, anthropology, literature, art, dance, and music. Experience is applicable to work before or after the required degree.
* At the time of interview, applicants referred to Glenwood and Woodward State Hospital\-Schools will be assessed to determine if they meet federal employment requirements as published in the Federal Register, Section 20 CFR 483\.430\.
* Designated positions in this job class require applicants to obtain the required Commercial Drivers License and endorsements within a period of time as determined by the appointing authority at the time of hire.</t>
        </is>
      </c>
    </row>
    <row r="226">
      <c r="A226" t="inlineStr">
        <is>
          <t>li-4371197174</t>
        </is>
      </c>
      <c r="B226" t="inlineStr">
        <is>
          <t>Program Manager</t>
        </is>
      </c>
      <c r="C226" t="inlineStr">
        <is>
          <t>Jobs via Dice</t>
        </is>
      </c>
      <c r="D226" t="inlineStr">
        <is>
          <t>linkedin</t>
        </is>
      </c>
      <c r="E226">
        <f>HYPERLINK("https://www.linkedin.com/jobs/view/4371197174", "https://www.linkedin.com/jobs/view/4371197174")</f>
        <v/>
      </c>
      <c r="F226">
        <f>HYPERLINK("https://click.appcast.io/t/LwcjZ7Ccpy-AEXXBVsYrMHzhv54BA6uNfJfZJZr_b48=&amp;urlHash=aggb", "https://click.appcast.io/t/LwcjZ7Ccpy-AEXXBVsYrMHzhv54BA6uNfJfZJZr_b48=&amp;urlHash=aggb")</f>
        <v/>
      </c>
      <c r="G226" t="inlineStr">
        <is>
          <t>Sunnyvale, CA</t>
        </is>
      </c>
      <c r="H226" t="inlineStr"/>
      <c r="I226" t="inlineStr">
        <is>
          <t>Dice is the leading career destination for tech experts at every stage of their careers. Our client, Enexus Global, is seeking the following. Apply via Dice today!
 Role: Technical Program Manager
 Client: Walmart
 Location: Sunnyvale, CA \- Hybrid</t>
        </is>
      </c>
    </row>
    <row r="227">
      <c r="A227" t="inlineStr">
        <is>
          <t>li-4371482757</t>
        </is>
      </c>
      <c r="B227" t="inlineStr">
        <is>
          <t>Research Program Manager</t>
        </is>
      </c>
      <c r="C227" t="inlineStr">
        <is>
          <t>University of Wisconsin-Madison</t>
        </is>
      </c>
      <c r="D227" t="inlineStr">
        <is>
          <t>linkedin</t>
        </is>
      </c>
      <c r="E227">
        <f>HYPERLINK("https://www.linkedin.com/jobs/view/4371482757", "https://www.linkedin.com/jobs/view/4371482757")</f>
        <v/>
      </c>
      <c r="F227" t="inlineStr"/>
      <c r="G227" t="inlineStr">
        <is>
          <t>Madison, WI</t>
        </is>
      </c>
      <c r="H227" t="inlineStr"/>
      <c r="I227" t="inlineStr">
        <is>
          <t>***Current Employees: If you are currently employed at any of the Universities of Wisconsin, log in to Workday to apply through the internal application process.***
**Job Category:**
 Academic Staff
**Employment Type:**
 Regular
**Job Profile:**
 Research Program Manager
**Job Summary:**
 This position will serve as the Assistant Coordinator for the National Atmospheric Deposition Program (NADP) at the Wisconsin State Lab of Hygiene (WSLH)/University of Wisconsin Madison. The Assistant Coordinator will be responsible for managing the operational, administrative, and outreach activities that support NADP's mission to monitor and assess atmospheric deposition across North America. This position plays a critical role in ensuring smooth program operations, maintaining effective communication with monitoring sites and stakeholders, and facilitating scientific meetings and events.
 The Assistant Coordinator will work closely with the NADP Coordinator, Program Office (PO) staff, NADP Analytical Lab (NAL) staff, and NADP committees including the Executive Committee to coordinate site management, data dissemination, external communications, and staff supervision. The Assistant Coordinator will also serve as the primary backup to the NADP Coordinator for any NADP presentations, reports, and other project deliverables. This position requires strong organizational skills, attention to detail, and the ability to manage multiple priorities while maintaining positive relationships with federal, state, tribal, and academic partners.
 The employee in this position is expected to use the tools and principles of quality management in performing their daily work including the following: Demonstrate exceptional customer service by establishing and maintaining effective professional relationships with other managers, supervisors, coworkers, and all customers and colleagues. Provide constructive feedback for the purpose of continuous improvement in a manner that is supportive of the State Laboratory of Hygiene and its mission. Use effective team skills to contribute to the effective operation of the unit. Present ideas, carry out assignments, and provide information as required. Participate in continuous learning through professional development activities.
**Key Job Responsibilities**
**Directs day\-to\-day operational, PO, and NAL activities** 
 \- 20%
* Coordinate day\-to\-day operational, PO, and NAL administrative activities, such as equipment/protocol testing, building space management, and purchase of supplies and services
* Manage NADP site documentation and maintain accurate records in appropriate databases, including tracking site status, funding mechanism, and equipment type
* Coordinate NADP site management ensuring proper siting and equipment are installed at new sites, and that closing and mothballed sites follow appropriate procedures to ensure equipment is prepared for extended periods of no operator interaction
* Coordinate with PO and field personnel on quality assurance activities and site surveys
**Develop and implement processes and protocols to support research goals** 
 \- 20%
* Develop and maintain standard operating procedures for site management and communications, including the maintenance and expansion of NADP Google Sheet trackers
* Prepare and distribute site status reports to NADP’s Executive and Budget Committees including funding agency information, completeness criteria status, contact details, and problem descriptions
* Assist with program reviews and audits as needed and serve as primary NADP representative for key field operation partners, such as ECCC, EPA CASTNET, EEMS, WSP, and ARS
**Assist in development, coordination, and facilitation of meetings, trainings, and workshops for internal and external audiences** 
 \- 20%
* Coordinate NADP meeting planning, specifically the annual Spring Scientific Symposium, including develop meeting schedules and other requirements in partnership with the Vice Chair, configure online registration and obtain abstracts and biographies of presenters, coordinate proceedings booklet, and execute comprehensive meeting logistics
* Assist with spring and fall subcommittee business meeting logistics, ensuring any motions are properly voted upon and tracked
* Run internal NADP managers meetings
**Oversee digital communication and systems information** 
 \- 20%
* Administer all NADP listservs, including managing membership, moderating incoming emails, and maintaining group owners and managers
* Serve as primary DoIT contact for website operations and regularly update with any new information to disseminate to the broader NADP community, such as meeting dates and agendas, annual publication lists, and subcommittee and network updates
* Produce annual NADP calendar from concept through print, including solicitating site operator photos, coordinating the Chair’s Message, approving final layout, and managing printing logistics
* Track and coordinate long\-service operator awards for milestone years, collaborate with the Executive Committee on other NADP recognition awards, and oversee award wording, ordering, and procurement
* Maintain oversight of all NADP social media accounts, assign user permissions, manage content, and serve as primary contact to the Education and Outreach Subcommittee on social media initiatives
* Produce Annual Summary Report, including highlights from the year, and coordinate development of mapping and program graphics and plots for the report
**Exercises supervisory authority** 
 \- 20%
* Conduct performance reviews for NAL and PO staff
* Approve leave requests, manage staff schedules, and provide guidance and mentorship to support staff
* Ensure training of new NADP staff in coordination with the NADP Coordinator
**Key Job Responsibilities:**
* Plans, develops, and implements processes and protocols to support research aims \- 20%
* Assists in the development, coordination, and facilitation of trainings and workshops for internal and external audiences to disseminate research program developments and information \- 20%
**Oversee digital communication and systems information** 
 \- 20%
* Administer all NADP listservs, including managing membership, moderating incoming emails, and maintaining group owners and managers
* Serve as primary DoIT contact for website operations and regularly update with any new information to disseminate to the broader NADP community, such as meeting dates and agendas, annual publication lists, and subcommittee and network updates
* Produce annual NADP calendar from concept through print, including solicitating site operator photos, coordinating the Chair’s Message, approving final layout, and managing printing logistics
* Track and coordinate long\-service operator awards for milestone years, collaborate with the Executive Committee on other NADP recognition awards, and oversee award wording, ordering, and procurement
* Maintain oversight of all NADP social media accounts, assign user permissions, manage content, and serve as primary contact to the Education and Outreach Subcommittee on social media initiatives
* Produce Annual Summary Report, including highlights from the year, and coordinate development of mapping and program graphics and plots for the report
* Plans and directs the day\-to\-day operational activities of one or multiple research programs or units according to established research objectives in alignment with strategic plans and initiatives \- 20%
* Exercises supervisory authority, including hiring, transferring, suspending, promoting, managing conduct and performance, discharging, assigning, rewarding, disciplining, and/or approving hours worked of at least 2\.0 full\-time equivalent (FTE) employees \- 20%
**Department:**
 WSLH \- Environmental Health Division \- NADP
**Compensation:**
 $80,000/year minimum (Depending on qualifications)
**Required Qualifications:**
 Demonstrate exceptional customer service by establishing and maintaining effective professional relationships with other managers, supervisors, coworkers, and all customers and colleagues. Provide constructive feedback for the purpose of continuous improvement in a manner that is supportive of the State Laboratory of Hygiene and its mission. Use effective team skills to contribute to the effective operation of the unit. Present ideas, carry out assignments, and provide information as required. Participate in continuous learning through professional development activities.
**Preferred Qualifications:**
 See above
**Education:**
**Bachelor's Degree Preferred Minimum**
**How to Apply:**
 To begin the application process please click on the "Apply Now" button. You will be asked to
 **upload a current resume/CV AND cover letter** 
 briefly describing your qualifications relevant to the position.
***WSLH does not sponsor work visas at the time of hire or anytime during employment for this position. All persons hired will be required to verify identity and eligibility to work in the United States and complete the required Employment Eligibility Form I\-9\.***
 The selected applicant will be required to pass a criminal background check prior to an offer of employment.
**Contact Information:**
 Please reach out to Dan Makovec at hrstaff@slh.wisc.edu with any questions.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For more information regarding applicant and employee rights and to view federal and state required postings, visit the Human Resources Workplace Poster website.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228">
      <c r="A228" t="inlineStr">
        <is>
          <t>li-4354901739</t>
        </is>
      </c>
      <c r="B228" t="inlineStr">
        <is>
          <t>Program Manager, Community Education</t>
        </is>
      </c>
      <c r="C228" t="inlineStr">
        <is>
          <t>Southern Poverty Law Center</t>
        </is>
      </c>
      <c r="D228" t="inlineStr">
        <is>
          <t>linkedin</t>
        </is>
      </c>
      <c r="E228">
        <f>HYPERLINK("https://www.linkedin.com/jobs/view/4354901739", "https://www.linkedin.com/jobs/view/4354901739")</f>
        <v/>
      </c>
      <c r="F228" t="inlineStr"/>
      <c r="G228" t="inlineStr">
        <is>
          <t>Atlanta, GA</t>
        </is>
      </c>
      <c r="H228" t="inlineStr"/>
      <c r="I228" t="inlineStr">
        <is>
          <t>The SPLC is seeking a Program Manager of Community Education to join Learning For Justice!
 The Program Manager, Community Education, advances community\- centered learning and education by transforming LFJ's frameworks into localized, culturally grounded education across Community Justice Sites and SPLC's five\-state region.
 This role centers program design, localizing curriculum development, workshop writing, facilitation, and train\-the\-trainer leadership to ensure that communities are equipped with sustainable knowledge and skills for collective action. This role collaborates across SPLC departments to translate specialized expertise into accessible community learning opportunities. The Community Education Program Manager serves as a bridge between SPLC's internal knowledge and the lived realities of local communities, ensuring education fuels both advocacy and long\-term community power movement for liberation. This position will work 100% of the time in SPLC's five states, and is expected to live in one of SPLC's five states AL, FL, GA, LA, or MS.
 Who You Are
**Community\-centered** 
 Program Manager with experience educating, organizing, and working alongside local communities across SPLC's cover area.
**Empathetic** 
 , culturally responsive communicator skilled at building trust with diverse stakeholders, community leaders and partner organizations, and listens to understand community needs and meet them where they are.
**Strategic** 
 , visionary leader who can co\-create program plans with communities and take initiative to implement and manage those plans and turn them into workshops, trainings, and learning spaces designed to inform, empower, and mobilize communities.
**Strong** 
 creative writer and trainer, able to adapt organizational content and values into language that resonates with local communities and manage multiple programs and community partnerships simultaneously.
**Flexible** 
 , adaptable, and organized, able to prioritize effectively across multiple communities while responding to evolving community needs and realities.
 What You'll Do
**Design** 
 , write, and implement Community Justice Site workshops and curricula that localize LFJ frameworks into accessible, culturally grounded education.
**Lead** 
 and manage Community Justice Site programming across five SPLC states, ensuring alignment with LFJ frameworks and responsiveness to community needs.
**Facilitate** 
 and lead community dialogue sessions that promote honest history, identity, diversity, justice, and action. Develop and manage train\-the\-trainer programs that build sustainable capacity among local leaders and educators.
**Collaborate** 
 across SPLC departments (Policy, Legal, Intelligence Project, Development, and State Offices) to integrate specialized expertise into community learning.
**Build** 
 and maintain partnerships with community leaders, educators, organizations, and cultural institutions to sustain local autonomy.
**Provide** 
 program management oversight, including timelines, budgets, reporting, and multi\-state coordination. Document educational themes, participant insights, and emerging community priorities to inform LFJ's broader education and advocacy strategy.
**Represent** 
 SPLC and LFJ in external meetings, conferences, and convenings centered on education and community learning.
**Up** 
 to 80% travel is expected.
**Perform** 
 other duties as required or assigned which are reasonably within the scope of the duties in this job classification.
**Minimum Qualifications**
*We are committed to equitable hiring practices; therefore, you must meet the minimum qualifications to be considered for the role.*
* Minimum 5 years of community education, program management, facilitation, or related field; and
* High school diploma or GED.
**Compensation \&amp; Benefits**
 This is an exempt role, and the minimum starting salary is $64,202 annually. Salary will be commensurate with experience.
 Click here to view the benefits available to SPLC staff.
 Where \&amp; How You'll Work
 This role the following work designations options:
* Local Remote: Will work remotely but is expected to attend work\-related activities that occur at the SPLC offices or in the states in which the SPLC operates.
* Telework: Will work at an SPLC office at least three days per week and may work two days per week from an alternative work location.
* This position will report to the Deputy Director, Community Education.
 Other Special Considerations
 This job is performed under general office conditions and is not subject to any strenuous physical demands or dangerous conditions.
*This position will travel within the SPLC's five state footprint up to 80% of the time.*
*This position is represented by the Washington\-Baltimore News Guild.*
**Disclaimer:**
 The statements herein are intended to describe the general nature and level of work being performed by the employee in this position. These statements are not intended to be construed as an exhaustive list of all responsibilities, duties, and skills required of a person in this position.
**An Equal\-Opportunity Employer with a Commitment to Diversity**
*Southern Poverty Law Center (SPLC) is proud to be an equal opportunity employer, and as an organization committed to diversity and the perspective of all voices, we consider applicants equally without regard to age, caregiver status, color, disability, ethnicity, gender, gender expression, gender identity, marital status, national origin, on the basis of genetic information, political affiliation, pregnancy, or veteran status.*</t>
        </is>
      </c>
    </row>
    <row r="229">
      <c r="A229" t="inlineStr">
        <is>
          <t>li-4336744032</t>
        </is>
      </c>
      <c r="B229" t="inlineStr">
        <is>
          <t>PROGRAM MANAGER II</t>
        </is>
      </c>
      <c r="C229" t="inlineStr">
        <is>
          <t>Marvin Engineering Company</t>
        </is>
      </c>
      <c r="D229" t="inlineStr">
        <is>
          <t>linkedin</t>
        </is>
      </c>
      <c r="E229">
        <f>HYPERLINK("https://www.linkedin.com/jobs/view/4336744032", "https://www.linkedin.com/jobs/view/4336744032")</f>
        <v/>
      </c>
      <c r="F229" t="inlineStr"/>
      <c r="G229" t="inlineStr"/>
      <c r="H229" t="inlineStr"/>
      <c r="I229" t="inlineStr">
        <is>
          <t>Date: Jan 14, 2026
 Location:
 Inglewood, CA, US, 90302
 Company: Marvin Land Systems
 Req ID: 1378
 FLSA Status: Exempt
 Pay Range: $125,000 \- $160,000
**The Marvin Group is a Strategic Partner for Global Alternate** 
**Mission Equipment and Sustainment**
 The Marvin Group, a leading defense contractor, plays a crucial role in the development and manufacturing of various systems for military aerospace and vehicles. Based in Southern California near the Los Angeles International Airport, The Marvin Group consists of Marvin Engineering (MEC), Marvin Test Solutions (MTS) and Marvin Land Systems (MLS). Marvin Engineering designs and produces military Alternate Mission Equipment. Marvin Test Solutions designs and manufactures armament Test Equipment. Marvin Land Systems specializes in the design and build of power and thermal management systems. For over 60 years we have maintained “
 *A Tradition of Excellence* 
 ”, serving as a trusted source for our unwavering commitment to supporting all branches of the Department of Defense and our global allies. Our collaboration extends across a diverse array of programs and platforms, including major military prime contractors such as Lockheed Martin, Northrop Grumman, and Raytheon.
**SCOPE**
 Responsible for managing product development with emphasis on accelerating the development cycle and transition into production. Successfully deliver results to customers to achieve program delivery meeting performance requirements.
**Responsibilities**
* Plan project schedules including required resources and implement by deadline
* Communicate with internal/external customers and work with functional areas such as Engineering, Manufacturing and Quality to ensure customer needs are addressed and targets are met
* Facilitate the process of ensuring that all customer requests/questions are addressed in a timely manner
* Liaison with suppliers and sub\-contractors\-ensure delivery of material to meet compressed development cycle (negotiate and issue Purchase Orders on critical items)
* Create/Manage presentations (PDR, CDR, TRR), manage Customer Program deliverables, SDRLS, hardware, reports, etc.
* Manage the transition between Development to Production (Product release, drawings/route sheet release, supplier base, etc.)
**Skills / Requirements**
* Bachelor’s degree in Engineering or applicable equivalent experience
* 7\-12\+ years’ experience in defense, engineering/product development
* Proven history of Product Development from Proposal phase to Qualified Product
* Ability to read and interpret technical drawings, specifications
* Able to perform a variety of complex tasks with a degree of creativity and adaptability
* Proficient in Microsoft Word, Outlook, Excel, PowerPoint and Project
* Experience with MRP/ERP software
* Excellent written and verbal communication skills
* Team player, motivated to achieve program goals
* Able to multitask and work in a fast paced environment (50% time at desk)
* Familiar with manufacturing environment including project management, customer interaction, with a focus on continuous improvement
**PREFERRED QUALIFICATIONS:**
* Degree specifically in Mechanical or Manufacturing Engineering
* Experience with MRP/ERP software
* Ability to perform complex tasks with creativity and adaptability
 This position must meet export control compliance requirements. All applicants must be “U.S. persons” within the meaning of ITAR, as defined: a U.S. Citizen, a lawful permanent resident, political asylee, or refugee.
 Interested parties please apply online and submit resume to https://jobs.marvingroup.com/
 Visit us at https://http://marvingroup.com/
 The Marvin Group is an EEO/Disability/Vets Employer.
 Our company uses E\-Verify to confirm the employment eligibility of all newly hired employees. To learn more about E\-Verify, including your rights and responsibilities, please visit www.dhs.gov/E\-Verify.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People \&amp; Culture at 310\.674\.5030\.
**Nearest Major Market:** 
 Los Angeles</t>
        </is>
      </c>
    </row>
    <row r="230">
      <c r="A230" t="inlineStr">
        <is>
          <t>li-4371485970</t>
        </is>
      </c>
      <c r="B230" t="inlineStr">
        <is>
          <t>Principal. Tech Product Manager - Neuron Runtime and Cloud ML Infrastructure, Annapurna Labs</t>
        </is>
      </c>
      <c r="C230" t="inlineStr">
        <is>
          <t>Amazon Web Services (AWS)</t>
        </is>
      </c>
      <c r="D230" t="inlineStr">
        <is>
          <t>linkedin</t>
        </is>
      </c>
      <c r="E230">
        <f>HYPERLINK("https://www.linkedin.com/jobs/view/4371485970", "https://www.linkedin.com/jobs/view/4371485970")</f>
        <v/>
      </c>
      <c r="F230" t="inlineStr"/>
      <c r="G230" t="inlineStr">
        <is>
          <t>Seattle, WA</t>
        </is>
      </c>
      <c r="H230" t="inlineStr"/>
      <c r="I230" t="inlineStr">
        <is>
          <t>**Description**
 AWS Trainium is deployed at scale, with millions of chips in production, and has been used for training and inference of frontier models. AWS Neuron is the software stack for Trainium, enabling customers to run deep learning and generative AI workloads with optimal performance and cost efficiency.
 AWS Neuron is hiring a Technical Product Manager to work backward from Trainium customers and drive the developer experience for running high\-performance ML workloads at scale on AWS Trainium, from getting started with Neuron Deep Learning Containers, AMIs, and AWS services to operating at scale through orchestration, resiliency, and observability.
 You will drive the product strategy for how developers interact with Trainium through container ecosystems, resource management platforms, and AWS services. This includes Neuron integration with orchestration tools (SLURM, Kubernetes), AWS services (EKS, SageMaker), Neuron Deep Learning Containers and AMIs, and Linux distribution support. You will also drive the strategy for resiliency and observability tools that enable system diagnostics, performance monitoring, health monitoring, automated recovery, and telemetry, allowing customers to operate AI training and inference workloads with maximum uptime and efficiency, as well as how Neuron Runtime System interacts with ML frameworks to ensure scale and high performance execution of models.
 To be successful in this role, you will partner with engineering teams and PMs responsible for training, inference, and performance tools, Marketing, Business Development, and Solution Architects supporting customers, and develop deep knowledge and understanding of Trainium Architecture and Neuron Runtime System (including Neuron Runtime Library, Neuron Kernel Driver and Collective Communication Stack) to effectively define product strategy and make informed technical decisions.
 The Ideal Candidate
 The ideal candidate can balance competing customer priorities and drive alignment across engineering and business stakeholders in a fast\-moving, early\-stage product environment, with excellent written and verbal communication abilities.
**The Ideal Candidate Has Experience With**
* Technical product management for developer\-facing runtime and infrastructure products
* Developer tools (SDKs, libraries, APIs) with focus on developer experience
* Resource management and orchestration systems (SLURM, Kubernetes schedulers)
* ML monitoring, observability, and resilience
* Distributed systems and high\-performance computing (HPC) environments
* AWS cloud services and infrastructure
**About AWS Neuron**
 AWS Neuron is the software stack for running deep learning and generative AI workloads on AWS Trainium and AWS Inferentia. It includes a compiler, runtime, training and inference libraries, and developer tools for monitoring, profiling, and debugging. Built on an open source foundation, Neuron supports native PyTorch and JAX frameworks and popular ML libraries without code modification. Neuron enables rapid experimentation, distributed training across multiple chips and nodes, and cost\-optimized inference powered by optimized kernels. For performance optimization, Neuron provides the Neuron Kernel Interface (NKI) for direct hardware access and a suite of profiling and debugging tools.
 Key job responsibilities
 Product Strategy \&amp; Vision: Own product strategy and roadmap. Guide trade\-offs between performance, scalability, and developer experience. Write PRFAQs and PRDs.
 Customer Discovery: Understand deployment challenges, orchestration needs, and infrastructure pain points. Represent customer needs in executive prioritization.
 Technical Leadership: Drive alignment across Neuron components (Runtime, Kernel Driver, Collective Communication, container infrastructure) and AWS services. Partner with training, inference, and performance PMs. Write user stories and define success metrics.
 Impact: Enable customers (Anthropic, Databricks, AWS teams) to deploy, monitor, and operate ML workloads at scale through container orchestration, resource management, health monitoring, and observability.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**About Amazon Annapurna Labs**
 Amazon Annapurna Labs team (our organization within AWS UC) is responsible for building innovation in silicon and software for our AWS customers. We are at the forefront of innovation by combining cloud scale with the world's most talented engineers. Our team covers multiple disciplines including silicon engineering, hardware design, software and operations. Because of our teams breadth of talent, we have been able to improve AWS cloud infrastructure in high\-performance machine learning with AWS Neuron, Inferentia and Trainium ML chips, in networking and security with products such as AWS Nitro, Enhanced Network Adapter (ENA), and Elastic Fabric Adapter (EFA), and in computing with AWS Graviton and F1 EC2 instances.
**About AWS Utility Computing (UC)**
 AWS Utility Computing (UC) provides product innovations that continue to set AWS's services and features apart in the industry. As a member of the UC organization, you'll support the development and management of Compute, Database, Storage, Platform, and Productivity Apps services in AWS, including support for customers who require specialized security solutions for their cloud services. Additionally, this role may involve exposure to and experience with Amazon's growing suite of generative AI services and other cloud computing offerings across the AWS portfolio.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**Basic Qualifications**
* Bachelor's degree
* Experience owning/driving roadmap strategy and definition
* Experience with feature delivery and tradeoffs of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\- 206,900\.00 \- 279,900\.00 USD annually
 USA, WA, Seattle \- 179,900\.00 \- 243,400\.00 USD annually
**Company** 
 \- Annapurna Labs (U.S.) Inc.
 Job ID: A3178903</t>
        </is>
      </c>
    </row>
    <row r="231">
      <c r="A231" t="inlineStr">
        <is>
          <t>li-4371171494</t>
        </is>
      </c>
      <c r="B231" t="inlineStr">
        <is>
          <t>Server Technical Program Manager</t>
        </is>
      </c>
      <c r="C231" t="inlineStr">
        <is>
          <t>QUALCOMM TECHNOLOGIES INTERNATIONAL, LTD.</t>
        </is>
      </c>
      <c r="D231" t="inlineStr">
        <is>
          <t>linkedin</t>
        </is>
      </c>
      <c r="E231">
        <f>HYPERLINK("https://www.linkedin.com/jobs/view/4371171494", "https://www.linkedin.com/jobs/view/4371171494")</f>
        <v/>
      </c>
      <c r="F231" t="inlineStr"/>
      <c r="G231" t="inlineStr">
        <is>
          <t>Santa Clara, CA</t>
        </is>
      </c>
      <c r="H231" t="inlineStr"/>
      <c r="I231" t="inlineStr">
        <is>
          <t>**General Summary:**
 Qualcomm Data Center team is developing High performance, Energy efficient server solution for data center applications. We are looking for highly talented, innovative, teamwork\-oriented individuals for our cutting\-edge technology work!
**Additional Locations** 
 \- San Diego, California; Austin Texas
**Our Mission** 
 We are dedicated to transforming the industry by reimagining silicon and developing next\-generation computing platforms. By joining our team, you’ll collaborate with world\-class engineers to create innovative solutions that push the limits of performance, energy efficiency, and scalability. Our focus is on developing reference platforms based on Qualcomm's Snapdragon SoC, delivering a comprehensive solution that includes hardware, software, reference designs, user guides, SDKs, and more.
**Position: Server Technical Program Manager (TPM)** 
 As an experienced Server Technical Program Manager (individual contributor), you will partner on technical program management for the platform team, reporting to the TPM lead, collaborating with cross\-functional engineering teams, including SoC, software, firmware, SIPI, and packaging.
**Key Responsibilities** 
* Execute technical program management for next\-generation server platforms within a matrixed organization across multiple teams and global locations.
* Provide hands\-on program management across analysis, design, development, testing, implementation, and post\-implementation phases.
* Define and manage program requirements, scope, schedules, and deliverables with engineering teams, partners, and stakeholders.
* Conduct risk assessments, implement mitigation strategies, manage change, actively communicating with stakeholders to drive solutions.
* Oversee daily activities and quality assurance by establishing and tracking milestones, plans, and project tasks, managing feature requests, and balancing schedules with product value.
* Drive process improvements across teams and functions.
* Coordinate platforms’ supply and demand across teams within program constraints and priorities.
* Communicate regularly with project leads and internal teams, providing senior management with updates on milestones, budgets, metrics, risks, and mitigation plans.
- 
**Minimum Qualifications:**
 • Bachelor's degree in Engineering, Computer Science, or related field.
 • 4\+ years of Program Management or related work experience.
**Preferred Qualifications:**
* Master’s degree in Computer Science/Engineering, Electrical Engineering, or a related field.
* 8\+ years of experience in systems or hardware engineering, hardware project lifecycle management, and technical product/program management
* Experience with server hardware systems and interfaces.
* Proven experience working with technical teams to develop systems, solutions, and products.
* Strong ability to build working relationships across multidisciplinary teams and global time zones.
* Experience managing technical programs across cross\-functional teams, establishing processes, and coordinating release schedules, and working in large, matrixed organizations.
* Demonstrated excellence with MS Office apps, SharePoint, JIRA/Confluence \&amp; other bug tracking tools.
* Strong communication, organizational, coordination, multi\-tasking, and documentation skills.
* Expertise in enterprise servers and components (e.g., CPUs, FPGAs, memory) and data center architecture.
* Experience with server technologies, including board design, SIPI, thermal and mechanical aspects, BIOS, BMC, and networking.
* Familiarity with platform hardware architectures, server BOM’s \&amp; build configurations, test / debug workflows, SW stacks, product development life cycle \&amp; NPI milestones.
* Familiarity with Agile methods and practices.
* Experience working with CMs, OEMs, ODMs, and suppliers in product development.
* Strong cross\-functional communication skills, with experience managing complex program lifecycles, building sustainable processes, and coordinating release schedules.
* Project Management Professional (PMP) certification.</t>
        </is>
      </c>
    </row>
    <row r="232">
      <c r="A232" t="inlineStr">
        <is>
          <t>li-4371601226</t>
        </is>
      </c>
      <c r="B232" t="inlineStr">
        <is>
          <t>Senior Technical Program Manager - Legal Technologies, Legal Technology</t>
        </is>
      </c>
      <c r="C232" t="inlineStr">
        <is>
          <t>Amazon</t>
        </is>
      </c>
      <c r="D232" t="inlineStr">
        <is>
          <t>linkedin</t>
        </is>
      </c>
      <c r="E232">
        <f>HYPERLINK("https://www.linkedin.com/jobs/view/4371601226", "https://www.linkedin.com/jobs/view/4371601226")</f>
        <v/>
      </c>
      <c r="F232">
        <f>HYPERLINK("https://www.amazon.jobs/jobs/3179009/senior-technical-program-manager\u002d\u002dlegal-technologies-legal-technology?cmpid=SPLICX0248M&amp;utm_source=linkedin.com&amp;utm_campaign=cxro&amp;utm_medium=social_media&amp;utm_content=job_posting&amp;ss=paid&amp;urlHash=AFg_", "https://www.amazon.jobs/jobs/3179009/senior-technical-program-manager\u002d\u002dlegal-technologies-legal-technology?cmpid=SPLICX0248M&amp;utm_source=linkedin.com&amp;utm_campaign=cxro&amp;utm_medium=social_media&amp;utm_content=job_posting&amp;ss=paid&amp;urlHash=AFg_")</f>
        <v/>
      </c>
      <c r="G232" t="inlineStr">
        <is>
          <t>Seattle, WA</t>
        </is>
      </c>
      <c r="H232" t="inlineStr"/>
      <c r="I232" t="inlineStr">
        <is>
          <t>**Description**
 Are you interested in a challenge that will reward your unique blend of business and technical program management skills? Are you excited by the opportunity to be central in addressing significant business\-impacting processes? Do you enjoy the challenge and ownership that comes from delivering large, cross\-functional, technical projects? Are you flexible, hard\-working, organized and a good communicator? As a Senior Technical Program Manager (TPM) for Legal Technology, you will have the opportunity to play a pivotal role in the processes that deliver the software systems used by Amazon Legal and our business partners worldwide.
 In this role, you will own and drive Legal technology related programs and projects. You will be primarily responsible for helping gather business requirements, writing user stories, and validating that customer requirements are met. You will work with software development engineers to provide tools and services that will improve the productivity of users in our Legal department and the business teams they work with. You will collaborate with software development managers to plan and execute software projects from start to finish working with teams in the agile software model. This role allows for a high degree of organization, strong communication, ownership of the solutions you launch, and the ability to make positive change every day.
**Responsibilities**
* Builds internal customer \&amp; stakeholders relationships to manage expectations and agree on clear goals, objectives, and timelines
* Builds and track project portfolio, features, milestones, \&amp; dependencies
* Identifies risks and act on them to ensure the team and project are not derailed
* Provides frequent meaningful updates to stakeholders and management
* Works with Software Development Managers to translate department requirements into a clear software roadmap
* Works closely with peer engineering teams to remove blockers and resolve technical issues
* Coordinates and ensures timely support of our customers adopting our new solutions
**Basic Qualifications**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
**Company** 
 \- Amazon.com Services LLC
 Job ID: A3179009</t>
        </is>
      </c>
    </row>
    <row r="233">
      <c r="A233" t="inlineStr">
        <is>
          <t>li-4371145887</t>
        </is>
      </c>
      <c r="B233" t="inlineStr">
        <is>
          <t>Mental Health Program Manager (MHPD) * Up to $5000 sign on bonus *</t>
        </is>
      </c>
      <c r="C233" t="inlineStr">
        <is>
          <t>Dungarvin</t>
        </is>
      </c>
      <c r="D233" t="inlineStr">
        <is>
          <t>linkedin</t>
        </is>
      </c>
      <c r="E233">
        <f>HYPERLINK("https://www.linkedin.com/jobs/view/4371145887", "https://www.linkedin.com/jobs/view/4371145887")</f>
        <v/>
      </c>
      <c r="F233" t="inlineStr"/>
      <c r="G233" t="inlineStr">
        <is>
          <t>Prior Lake, MN</t>
        </is>
      </c>
      <c r="H233" t="inlineStr"/>
      <c r="I233" t="inlineStr">
        <is>
          <t>At Dungarvin, we are more than a provider of support services—we’re a mission\-driven team rooted in respect, response and choice. Since 1976, we’ve been dedicated to meeting people where they are, working alongside them to provide person centered supports that allow people to live independently as possible. You’ll work directly with people in need of assistance, and/or living with intellectual or developmental disabilities, or other complex medical needs.
 With services in 15 states, our team is united by a shared commitment to making a real difference—one person, one voice, one choice at a time. We encourage you to embrace this opportunity to impact someone’s life.
**Job Description**
 In this exciting role you are responsible for the coordination and supervising one to two residential programs that specialize in supporting individuals with challenging behavioral and mental health needs. As a Mental Health Program Director your two key priorities include supervising and training of mental health specialists and ensuring all aspects of the program are developed, implemented, coordinated, and monitored to the highest degree possible.
**Hours Worked:**
 Full\-time organizational position (may be part\-time within any given home). The MHPD's schedule must be flexible to accommodate various program, individuals, and staff needs.
 The MHPD is always on\-call, unless prior arrangements have been made for someone of comparable authority to receive emergency calls.
 MHPD’s are expected to ensure all direct service shifts in their programs are filled by staff who have met Dungarvin conditions of employment and have been adequately oriented and trained to perform their jobs. Occasionally, MHPD’s will find it necessary to work direct service shifts, but such work should normally not exceed 16 hours per week. If a MHPD finds it is necessary to work more than 16 hours of direct service in any work week, he/she must notify his/her supervisor in advance, in accordance with Dungarvin Policy A\-02: WAGE AND SALARY DETERMINATION. If notification cannot be made in advance the MHPD is expected to notify his/her supervisor as soon as possible.
 If schedule adjustment is necessary, arrangements should be made with the director.
 Starting Salary $65,000\.00 \- $66,787\.50 annually \*Listed salary range is based on experience level and may vary depending on an individuals skills and qualifications.
**Qualifications**
* 3 years of experience supervising programs that oversee services for people with behavioral and serious persistent mental health needs.
* A four\-year degree in behavioral science, or related field, preferred.
* Valid driver's license with acceptable driving record
* Current auto liability insurance with reliable transportation
* Valid driver license with an acceptable driving record
* Designated Manager status per 245D licensing
**Additional Information**
**You will receive:**
* **$5,000, retention bonus**
* Medical, Vision and Dental Insurance for full\-time employees
* Supplemental Insurance
* Flex Spending and HSA Accounts for full\-time employees
* Pet Insurance
* Life Insurance for full\-time employees
* 401 K plan with up to 3% employer match based on eligibility requirements
* PAID TIME OFF (PTO) for eligible employees
* PTO Donation
* Growth and Development Opportunities
* Employee Referral Program
* Employee Assistance Program
* National Brand Discounts
* Pay Active – access up to 50% of your pay before payday
* PAID training and orientation
 All your information will be kept confidential according to EEO guidelines.
 Equal Opportunity Employer
 \#DMNFLMJ
 2/11</t>
        </is>
      </c>
    </row>
    <row r="234">
      <c r="A234" t="inlineStr">
        <is>
          <t>li-4363435022</t>
        </is>
      </c>
      <c r="B234" t="inlineStr">
        <is>
          <t>Program Manager - Clinical Quality</t>
        </is>
      </c>
      <c r="C234" t="inlineStr">
        <is>
          <t>Lynn Community Health Center</t>
        </is>
      </c>
      <c r="D234" t="inlineStr">
        <is>
          <t>linkedin</t>
        </is>
      </c>
      <c r="E234">
        <f>HYPERLINK("https://www.linkedin.com/jobs/view/4363435022", "https://www.linkedin.com/jobs/view/4363435022")</f>
        <v/>
      </c>
      <c r="F234" t="inlineStr"/>
      <c r="G234" t="inlineStr">
        <is>
          <t>Lynn, MA</t>
        </is>
      </c>
      <c r="H234" t="inlineStr"/>
      <c r="I234" t="inlineStr">
        <is>
          <t>**Position Summary:** 
 The Program Manager \- Clinical Quality serves as a subject matter expert in clinical quality data and performance. This role bridges analytics and clinical leadership, providing interpretation and actionable insights from health data to inform organizational quality goals. The position resides within the Business Transformation division to ensure alignment with enterprise data strategy and integration with department resources. The PM works closely with the Chief Medical Officer (CMO), clinical leaders, and executive leadership to recommend targets, track accountability, and highlight opportunities for improvement. The CMO and clinical leadership maintain ownership of quality improvement initiatives, while this role enables informed action through reliable, objective, and equity\-focused data insights.
**Duties \&amp; Responsibilities**
* Data Analysis \&amp; Interpretation:
* Analyze, synthesize, and interpret clinical quality data across systems (Epic/OCHIN, DRVS, payer contracts, HRSA, etc.)
* Translate findings into actionable insights and recommendations based on industry standards for executive leadership, chiefs, and team medical directors
* Identify and report on disparities in outcomes, with attention to health equity
* Goal Setting \&amp; Transparency:
* Partner with CMO and clinical chiefs to recommend organizational quality targets
* Provide regular reporting on performance and document the status of recommendations for leadership awareness
* Highlight trends, progress, and barriers in a clear and objective manner to support leadership decision\-making
* Collaboration \&amp; Integration:
* Serve as a bridge between business transformation and clinical operations to ensure data\-informed decision\-making
* Provide data expertise and insight to the Clinical Standards Committee and related/other groups as needed
* Align reporting and analysis with external requirements (e.g., HRSA, payer contracts)
* Subject Matter Expertise:
* Maintain expertise in evidence\-based clinical quality measures, population health standards, and equity frameworks to strengthen data interpretation and support leadership awareness and decision\-making
* Stay current on regulatory and industry standards related to quality measurement and reporting
* Optimize existing and emerging data sources and external resources to maximize insights and advance organizational performance
* Advise on enhancements to internal and external reporting tools and identify opportunities to incorporate industry best practices
* Capacity\-Building \&amp; Communication:
* Develop tools, dashboards, and presentations that make data accessible to diverse audiences
* Mentor and support clinical and operational leaders in understanding and using data for improvement
* Champion a culture of data\-driven accountability and continuous improvement
* Build strong working relationships with executives and clinical leaders to foster trust and alignment around quality insights
**Basic Qualifications**
* Bachelor’s degree in public health, clinical, or related field
* 5\+ years of experience in healthcare quality, performance improvement, or health data analytics
* Experience working directly with clinical teams and interpreting clinical quality data to inform decisions
* Demonstrated ability to translate complex data into clear, actionable insights and manage/track multiple priorities and measures concurrently
* Experience working with diverse, multicultural patient populations and equity\-focused data
* Strong communication and facilitation skills, with ability to engage stakeholders across all levels
* Familiarity with electronic health record systems (Epic preferred) and quality reporting platforms (e.g., DRVS, Azara)
**Desired Qualifications**
* Master’s degree in public health, nursing, health administration, or related field
* Clinical training (RN, NP, PA, MD) or significant experience partnering directly with providers to interpret and apply quality data
* Experience with population health management and health equity\-focused data analysis
* Expertise in developing dashboards, scorecards, or other visualization tools to support decision\-making
* Prior experience supporting quality reporting for federally qualified health centers (FQHCs) or similar healthcare organizations
**Core Responsibilities**
* Respect and maintain patient confidentiality in all aspects of care including use of electronic information.
* Treat all patients in a welcoming and professional manner.
* Demonstrate professionalism by appropriate attire, attendance, attitude, and behavior within the clinical setting.
* Contribute to the team effort by supporting all team members and maintaining an open and positive attitude.
* Welcome new employees and students to the team by assisting with their orientation to the team and mentoring them, as requested.
* Comply with all health center policies and procedures.
**Customer Service**
* Demonstrates an understanding of customer service principles by successfully completing on\-line Customer Service training.
* Utilizes the principles of customer service when interacting with patients/clients, team members and staff from other departments.
* Appropriately handles or seeks support when customer service breakdowns occur.
**Cultural Competence**
* Demonstrates knowledge of culture by successfully completing the on\-line training on Cultural Competence.
* Utilizes an appreciation of and respect for diversity when interacting with patients/clients, team members and staff from other departments.
* Responds appropriately or seeks support when confronted with cultural biases or conflicts.</t>
        </is>
      </c>
    </row>
    <row r="235">
      <c r="A235" t="inlineStr">
        <is>
          <t>li-4371496599</t>
        </is>
      </c>
      <c r="B235" t="inlineStr">
        <is>
          <t>Senior Security Program Manager | Public Sector</t>
        </is>
      </c>
      <c r="C235" t="inlineStr">
        <is>
          <t>Ramp</t>
        </is>
      </c>
      <c r="D235" t="inlineStr">
        <is>
          <t>linkedin</t>
        </is>
      </c>
      <c r="E235">
        <f>HYPERLINK("https://www.linkedin.com/jobs/view/4371496599", "https://www.linkedin.com/jobs/view/4371496599")</f>
        <v/>
      </c>
      <c r="F235">
        <f>HYPERLINK("https://jobs.ashbyhq.com/ramp/8beb1735-ded2-4067-b982-fb0faed9038e?src=LinkedIn&amp;urlHash=E2hr", "https://jobs.ashbyhq.com/ramp/8beb1735-ded2-4067-b982-fb0faed9038e?src=LinkedIn&amp;urlHash=E2hr")</f>
        <v/>
      </c>
      <c r="G235" t="inlineStr">
        <is>
          <t>New York, United States</t>
        </is>
      </c>
      <c r="H235" t="inlineStr"/>
      <c r="I235"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We are seeking a skilled and detail\-oriented
 **Senior Security Program Manager, Public Sector** 
 to lead and enhance our organization’s adherence to U.S. government cybersecurity risk management frameworks, including but not limited to FedRAMP and GovRAMP. In this role, you will play a key part in guiding compliance strategies for our public sector initiatives, working cross\-functionally to ensure effective security practices and successful authorizations across jurisdictions.
**What You’ll Do**
* Lead all aspects of the compliance lifecycle across multiple public sector frameworks (e.g., FedRAMP, GovRAMP), including risk assessments, continuous monitoring, audits, and authorization management
* Drive complex cross\-functional program management efforts involving teams across security, legal, engineering, infrastructure, and product functions.
* Serve as a subject matter expert on risk management and regulatory compliance for federal, state, and local government environments.
* Develop and maintain comprehensive security documentation aligned with applicable frameworks, including System Security Plans (SSPs), Security Assessment Reports (SARs), POA\&amp;Ms, and data flow diagrams.
* Monitor compliance with control requirements (e.g., NIST 800\-53, GovRAMP Baselines) and coordinate the implementation of technical and procedural safeguards.
* Engage with third\-party assessors (3PAOs or independent assessors), government sponsors, and internal teams to support assessments and audits.
* Lead readiness assessments and support the prioritization of remediation activities across teams.
* Manage timely tracking and closure of vulnerabilities and findings; ensure reporting and documentation obligations are met.
* Provide risk\-informed compliance recommendations that influence infrastructure and product development decisions.
* Collaborate with legal and government affairs teams to ensure compliance with emerging federal and state regulatory requirements.
* Stay informed on evolving threats, compliance trends, and guidance updates across FedRAMP, GovRAMP, NIST, and other frameworks.
**What You Need**
* 5\+ years of experience in information security or compliance, with a focus on government and public sector regulatory frameworks (e.g., FedRAMP, GovRAMP, FISMA, NIST RMF).
* Knowledge of NIST SP 800\-53 and experience mapping controls across frameworks.
* Experience with cloud environments like AWS GovCloud or Azure Government, including implementation of compliant architectures.
* Proven ability to manage large\-scale compliance programs across diverse stakeholder groups.
* Demonstrated success developing and maintaining regulatory documentation and audit evidence.
* Experience leading engagements with internal teams, assessors, and government partners.
* Strong written and verbal communication skills, including translating between technical and executive audiences.
* Excellent organizational skills and the ability to manage multiple initiatives with competing priorities.
* Self\-starter with strong problem\-solving abilities in ambiguous, fast\-moving environments.
**Nice\-to\-Haves**
* Relevant certifications: CISSP, CISA, CRISC, CCAK, CGRC (formerly CAP).
* Experience with automation platforms for GRC and security monitoring (e.g., Wiz, Paramify).
* Familiarity with other public sector compliance programs (CJIS, IRS 1075, DoD IL5, etc.).
* Experience supporting product or infrastructure teams through ATO processes.
* Experience with FedRAMP 20x initiatives.
* Leadership experience or management of small security/GRC teams.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2026-02-11T21:20:13Z</dcterms:created>
  <dcterms:modified xsi:type="dcterms:W3CDTF">2026-02-11T21:20:13Z</dcterms:modified>
</cp:coreProperties>
</file>