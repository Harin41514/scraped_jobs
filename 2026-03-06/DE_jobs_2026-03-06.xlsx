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in-86c6005b2ff46f3a</t>
        </is>
      </c>
      <c r="B2" t="inlineStr">
        <is>
          <t>Senior Data Engineer</t>
        </is>
      </c>
      <c r="C2" t="inlineStr">
        <is>
          <t>RedSail Technologies</t>
        </is>
      </c>
      <c r="D2" t="inlineStr">
        <is>
          <t>indeed</t>
        </is>
      </c>
      <c r="E2">
        <f>HYPERLINK("https://www.indeed.com/viewjob?jk=86c6005b2ff46f3a", "https://www.indeed.com/viewjob?jk=86c6005b2ff46f3a")</f>
        <v/>
      </c>
      <c r="F2">
        <f>HYPERLINK("https://recruiting2.ultipro.com/SMI1009KONA/JobBoard/5ddac4cc-ec35-463e-ad66-e3fcb1135085/OpportunityDetail?opportunityId=66e5e89d-f215-4f95-9190-6263dfe6564c&amp;postingId=e4b44897-d3e9-4aab-9cfb-f3d020fd8bc6", "https://recruiting2.ultipro.com/SMI1009KONA/JobBoard/5ddac4cc-ec35-463e-ad66-e3fcb1135085/OpportunityDetail?opportunityId=66e5e89d-f215-4f95-9190-6263dfe6564c&amp;postingId=e4b44897-d3e9-4aab-9cfb-f3d020fd8bc6")</f>
        <v/>
      </c>
      <c r="G2" t="inlineStr">
        <is>
          <t>Irving, TX, US</t>
        </is>
      </c>
      <c r="H2" s="1" t="n">
        <v>46087</v>
      </c>
      <c r="I2" t="inlineStr">
        <is>
          <t>**Senior Data Engineer**
**Job Summary**
The Senior Data Engineer works collaboratively within their team to perform feature analysis, research, requirements gathering, defining product architecture, designing features, implementation/coding, testing, deployment, maintenance, and support of RedSail products. The Senior Data Engineer is a vital member of a Scrum team actively participating in all aspects of the Scrum workflow. The focus of a Senior Data Engineer will be on database design and architecture, ELT/ELT, data lake/warehouses, data security, development, troubleshooting, optimization, design/code reviews, product quality, working within the team, mentoring others, and assisting with product directions.
**Key Duties:**
* Primary focus of work will be across the entire data intake and usage process flow intimately knowing the entire depth and breadth of the flow and any respective schema. Will be able to step into most areas and become proficient within weeks. Will be able to create systems from scratch, optimize them, and assist with production.
* Will assist others in the gathering and creation of feature specifications, requirements, and database design documents.
* Performs designing, coding, optimizing, debugging, testing, and troubleshooting throughout the application development process utilizing appropriate principles and patterns for the given languages and application type.
* Collaborate cross\-functionally with product managers, analysts, quality assurance engineers and other team members to achieve elegant and appropriate solutions.
* Adheres to department and product development standards and best practices while working with others to do the same.
* Actively ensures a high level of quality across the product.
* Actively engages and works as a member of the Scrum team contributing to all Scrum ceremonies as needed.
* Builds and maintains effective working relationships with all members of the Scrum team, co\-workers, and those in other departments.
* Works directly with the Support department on an as needed basis.
* May provide consultation to other teams on complex projects. May act as a domain/technical expert for the team.
* Will work on advanced, complex technical projects or business issues requiring higher levels of technical and/or industry knowledge.
* Goals may be communicated as a solution or as the outcome of a project.
* Will utilize their experience with OLAP, OLTP, BPM, ETL/ELT and related tools when designing aspects of their current/future systems.
* Strong understanding of database and application performance characteristics, especially in a cloud and/or production environment.
* May act as a technical expert for the team for different subsystems. Participate in mentoring and coaching team members primarily during design and code reviews.
* Performs special projects and other related duties as assigned.
**Education/Training**
* Bachelor’s degree in Computer Science, an Engineering discipline or equivalent field, required.
* Ten (10\) or more years of experience actively developing and/or maintaining production database systems is required.
**Work Experience/Skills**
* Professional and effective written and verbal communication skills. Ability to follow oral and written instructions.
* Excellent organizational skills and attention to detail. Excellent analytical and problem\-solving skills. Customer obsessed, self\-motivated and a willingness to always learn something new and be curious. Ability to achieve goals in an innovative and fast\-paced environment.
* Demonstrated knowledge of database systems, software applications, and programming languages such as T/SQL.
* Demonstrated proficiency with software engineering tools and applications. Ability to operate independently and collaborate with remote teams.
* Extensive experience in database development for highly scalable, distributed and highly resilient relational and non\-relational database systems design, deployment and operations.
* Extensive experience of scalable computing systems, software architecture, data structures, and algorithms with a focus on databases.
* Experience with OLAP, OLTP, BPM, ETL/ELT and related tools encompassed within the broader data umbrella.
* Experience building enterprise\-class applications and/or distributed systems in the public cloud, hosted, or on\-site.
* Proven track record of leading delivery of large scale, distributed, high quality database systems. Experience in building and operating complex distributed data systems, data lakes, and data warehouse. Strong understanding of data security and compliance design principles such as data auditing, data privacy/encryption, retention policies, archiving strategies, etc.
**Discretionary Judgement**
* Can work autonomously requiring little to no oversight
**Physical Demands, Working Conditions, and General Employment Guidelines**
* Sitting and standing for most of the workday.
* Moderate levels of stress may be experienced in the performance of the job
* Position is performed in a general office environment, home office, or approved remote workspace
**Equipment**
* Moderate use of the telephone, computer, printer, and other routine office equipment
**Safety to Self and Others**
* Little responsibility for safety of others. Job is performed in an office setting where there are not hazardous materials or equipment.
**Salary Range**
* $170,000\-190,000
**Work Location**  
* RedSail Technologies Office\-Hybrid
*Benefits Include: PTO, 401k (5%) Match, Bonus Opportunities, Medical/Dental/Vision Insurance, Work\-life balance, Health Clinic, Fitness Bonus and Professional Development.*</t>
        </is>
      </c>
    </row>
    <row r="3">
      <c r="A3" t="inlineStr">
        <is>
          <t>in-8ed6a427af5e9cfc</t>
        </is>
      </c>
      <c r="B3" t="inlineStr">
        <is>
          <t>Senior BI Data Engineer</t>
        </is>
      </c>
      <c r="C3" t="inlineStr">
        <is>
          <t>Summit Financial, LLC</t>
        </is>
      </c>
      <c r="D3" t="inlineStr">
        <is>
          <t>indeed</t>
        </is>
      </c>
      <c r="E3">
        <f>HYPERLINK("https://www.indeed.com/viewjob?jk=8ed6a427af5e9cfc", "https://www.indeed.com/viewjob?jk=8ed6a427af5e9cfc")</f>
        <v/>
      </c>
      <c r="F3">
        <f>HYPERLINK("http://www.indeed.com/job/senior-bi-data-engineer-8ed6a427af5e9cfc", "http://www.indeed.com/job/senior-bi-data-engineer-8ed6a427af5e9cfc")</f>
        <v/>
      </c>
      <c r="G3" t="inlineStr">
        <is>
          <t>Parsippany-Troy Hills, NJ, US</t>
        </is>
      </c>
      <c r="H3" s="1" t="n">
        <v>46087</v>
      </c>
      <c r="I3" t="inlineStr">
        <is>
          <t>**Company Overview:**
Summit Financial LLC is a $26 billion Registered Investment Advisory (RIA) firm that has been providing comprehensive financial planning and wealth management services to high\-net\-worth individuals for over 40 years. Consistently recognized for our expertise, Summit currently ranks in the top 40 of all RIA firms by Barron’s \&amp; Forbes and is one of the fastest growing RIAs in the country with close to 200 advisors across 30 states and headquarters in Parsippany, New Jersey.
**Overview:**
Summit Financial is building a robust, centralized Data Warehouse to power enterprise reporting and analytics. We seek a hands\-on **Senior BI Data Engineer** with strong backend expertise to design and implement our data foundation from the ground up.
**Key Responsibilities:**
* Build, test, and deploy reliable ETL/ELT pipelines to ingest and transform data from various operational sources into a new Data Warehouse.
* Develop foundational Data Warehouse architecture from scratch using dimensional modeling (star schemas) optimized for BI and reporting performance.
* Write and optimize complex SQL queries, stored procedures, views, and transformations for data cleansing, integration, and business logic.
* Structure and prepare warehouse data to support seamless Power BI backend modeling and downstream analytics.
* Automate, monitor, and maintain pipelines to ensure data accuracy, timeliness, and reliability.
* Troubleshoot performance issues, data quality, and integration challenges.
Required  
**Qualifications**
* 5\+ years of hands\-on ETL/ELT development experience.
* Proven experience building Data Warehouses from scratch, including dimensional modeling and BI\-optimized schema design.
* Expert SQL skills (complex joins, window functions, stored procedures, performance tuning) in relational/on\-premises databases.
* Strong background in data integration from databases, files, and APIs, with focus on end\-to\-end pipeline reliability.
**Preferred**
* Experience with **Boomi**  (or similar ETL/integration tools like SSIS) for process building, mappings, and connectors.
* Power BI backend expertise: tabular data modeling, relationships, basic DAX for measures/columns, and dataset optimization for reporting (no visualization/dashboard authoring required).
* Familiarity with Microsoft on\-premises stack (SQL Server, etc.).
* Experience in the financial services industry (e.g., wealth management or investment advisory), with an understanding of financial data types, reporting requirements, and regulatory considerations.
* A proactive builder who translates architecture into scalable, production\-ready data infrastructure.
* Strong ownership of data quality, accuracy, and delivery.
* Collaborative team player excited to shape a growing internal data environment.
Pay: From $150,000\.00 per year
Benefits:
* 401(k)
* 401(k) matching
* Dental insurance
* Flexible schedule
* Health insurance
* Life insurance
* Paid time off
* Vision insurance
Work Location: Hybrid remote in Parsippany\-Troy Hills, NJ 07054</t>
        </is>
      </c>
    </row>
    <row r="4">
      <c r="A4" t="inlineStr">
        <is>
          <t>in-17031c86f33121a6</t>
        </is>
      </c>
      <c r="B4" t="inlineStr">
        <is>
          <t>Analytics Engineer, Media</t>
        </is>
      </c>
      <c r="C4" t="inlineStr">
        <is>
          <t>National Basketball Association</t>
        </is>
      </c>
      <c r="D4" t="inlineStr">
        <is>
          <t>indeed</t>
        </is>
      </c>
      <c r="E4">
        <f>HYPERLINK("https://www.indeed.com/viewjob?jk=17031c86f33121a6", "https://www.indeed.com/viewjob?jk=17031c86f33121a6")</f>
        <v/>
      </c>
      <c r="F4">
        <f>HYPERLINK("https://nba.wd108.myworkdayjobs.com/en-US/nbacareers/job/New-York-USA/Analytics-Engineer--Media_JR000457", "https://nba.wd108.myworkdayjobs.com/en-US/nbacareers/job/New-York-USA/Analytics-Engineer--Media_JR000457")</f>
        <v/>
      </c>
      <c r="G4" t="inlineStr">
        <is>
          <t>New York, NY, US</t>
        </is>
      </c>
      <c r="H4" s="1" t="n">
        <v>46086</v>
      </c>
      <c r="I4" t="inlineStr">
        <is>
          <t>WORK OPTION: The NBA currently provides eligible employees the option of working remotely one day per week.
\_\_\_\_\_\_\_\_\_\_\_\_\_\_\_\_\_
Position Summary:
The Analytics Engineer, Media will bridge the gap between raw media data received from first\- and third\-party sources and the Data Strategy and Analytics (“DSA”)\-managed Fan Data Platform, ensuring that all media data is transformed into a standardized format for advanced analytics, AI product development, and data enablement. This role, reporting to the Business Intelligence Platforms Lead, will be DSA’s expert in data received from Nielsen, our media partners (NBC / Peacock, Amazon Prime, and ESPN), and other managed data sources related to media and content consumption.  
Major Responsibilities:
* Oversee data modeling for all media and content related data at the NBA
* Lead the migration of historical viewership data from its current data repository to the NBA’s central Fan Data Platform
* Write business requirements for technical resources to follow to ensure data products meet the needs of stakeholders and the business
* Develop and manage the semantic layer for media and content data ensuring that end\-user analyst have a clean, readily available dataset to analyze and on top of which can be built data science models
* Establish documentation, in conjunction with internal tools like Alation and Confluence, to provide a comprehensive overview of media and content data and enhance the ease of understanding for stakeholders
* Lead QA efforts for all media\- and content\-related data, including developing tests to uncover potential issues, leveraging automation and internal tools to assist in ongoing anomaly detection and developing and executing processes to remediate errors
* Serve as the internal subject\-matter expert on media and content data, consulting with business stakeholders on current and future data needs from partners, shaping projects and expected outputs based on the data and technology we have and helping shape the communications and storytelling around the media and content business
* Work with DSA’s Data Science team on data modeling efforts for the purposes of advanced analytics and ML model building
* Develop proprietary forecast models for viewership at a game level with the ability to alter the forecast based on developments at the player level
* Work with external media partners and third\-party data providers to secure new data or new ways of analyzing media and content data
Required Skills/Knowledge:
* Demonstrated ability to develop in collaborative git projects in cloud\-based data infrastructure (e.g., Azure DevOps/GitHub, Snowflake/ BigQuery /Redshift, dbt Cloud)
* Advanced understanding of structuring data provided by first\-party media and content providers as well as third\-party syndicated providers
* Advanced knowledge of Nielsen software such as NNTV and NPower (or similar)
* Extensive knowledge of the analysis of content across linear, digital and SVOD/AVOD platforms
* Deep knowledge of audience estimates including the creation of forecasting methods or models
Experience/Education:
* Bachelor’s degree required with a technical or quantitative field preferred
* 5\+ years experience delivering insights from syndicated media measurement tools and first\-party data
* Experience in sports, media and entertainment preferred but not required
Employees currently are eligible to receive an annual discretionary performance bonus, awarded at the sole discretion of the Company and subject to any terms and conditions set by the Company. Employees and/or eligible dependents may be eligible to participate in the following Company\-sponsored employee benefit programs: medical; dental; vision; life/AD\&amp;D insurance; short\- and long\-term disability; fertility and family\-forming assistance; wellbeing allowance; educational assistance; mental health coaching/therapy; tax advantaged accounts such as HSA and healthcare/dependent care FSAs; a 401(k) retirement plan; and time off benefits that include vacation, sick time, and personal days.
Employees currently are eligible to receive an annual discretionary performance bonus, awarded at the sole discretion of the Company and subject to any terms and conditions set by the Company. Employees and/or eligible dependents may be eligible to participate in the following Company\-sponsored employee benefit programs: medical; dental; vision; life/AD\&amp;D insurance; short\- and long\-term disability; fertility and family\-forming assistance; wellbeing allowance; educational assistance; mental health coaching/therapy; tax advantaged accounts such as HSA and healthcare/dependent care FSAs; a 401(k) retirement plan; and time off benefits that include vacation, sick time, and personal days.
**Salary Range:**
$120,000 \- $145,000
**Job Posting Title:**
Manager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is>
      </c>
    </row>
    <row r="5">
      <c r="A5" t="inlineStr">
        <is>
          <t>in-73e61a163308157a</t>
        </is>
      </c>
      <c r="B5" t="inlineStr">
        <is>
          <t>TxDMV - Systems Analyst - Data Engineer (Remote in TX)</t>
        </is>
      </c>
      <c r="C5" t="inlineStr">
        <is>
          <t>Texas Comptroller of Public Accounts</t>
        </is>
      </c>
      <c r="D5" t="inlineStr">
        <is>
          <t>indeed</t>
        </is>
      </c>
      <c r="E5">
        <f>HYPERLINK("https://www.indeed.com/viewjob?jk=73e61a163308157a", "https://www.indeed.com/viewjob?jk=73e61a163308157a")</f>
        <v/>
      </c>
      <c r="F5">
        <f>HYPERLINK("https://capps.taleo.net/careersection/ex/jobdetail.ftl?job=00056224&amp;tz=GMT-06%3A00&amp;tzname=America%2FChicago", "https://capps.taleo.net/careersection/ex/jobdetail.ftl?job=00056224&amp;tz=GMT-06%3A00&amp;tzname=America%2FChicago")</f>
        <v/>
      </c>
      <c r="G5" t="inlineStr">
        <is>
          <t>TX, US</t>
        </is>
      </c>
      <c r="H5" s="1" t="n">
        <v>46086</v>
      </c>
      <c r="I5" t="inlineStr">
        <is>
          <t>**TxDMV \- Systems Analyst \- Data Engineer (Remote in TX)** **(****00056224****)**
**Organization****:** TEXAS DEPARTMENT OF MOTOR VEHICLES
**Primary Location****:** Texas  
**Job****:** Computer and Mathematical
**Employee Status****:** Regular
**Schedule****:** Full\-time
**Standard Hours Per Week****:** 40\.00
**Travel****:** Yes, 5 % of the Time
**State Job Code****:** 0256
**Salary Admin Plan****:** B
**Grade****:** 25
**Salary (Pay Basis)****:** 8,000\.00 \- 8,466\.00 (Monthly)
**Number of Openings****:** 2
**Overtime Status****:** Exempt
**Job Posting****:** Mar 6, 2026, 8:12:43 AM
**Closing Date**: Mar 20, 2026, 11:59:00 PM
**Description** **SUBMISSION OF APPLICATION**
To apply for this position, select the “Apply Online” button. Complete your on\-line applicant profile and the State of Texas Application for Employment. TxDMV does not accept paper applications.
**Effective January 23, 2026:**
* **You will be required to attach a resume to your application which will be used for screening purposes.**
* **Please ensure your résumé is detailed and specific, including a full employment history (full time or part time), education, licenses, and skills.**
* **Your résumé must include the month and year for start and end dates for each listed employer.**
* **Failure to fully complete the application requirements and pre\-screening questions may disqualify you for consideration for this position.**
Applicants who require accommodation for the interview process should contact Human Resources at 512\-465\-4043 when contacted to schedule an interview.
**State Classification Title: Systems Analyst V**
**NOTE: This position is currently eligible for telecommuting within the state of Texas. However, this is subject to change, and the position may transition to an in\-office assignment at a designated work location within the state based on space availability and agency needs. Must attend meetings/training at headquarters in Austin, TX as required by management.**
**GENERAL DESCRIPTION**
Our mission at the Texas Department of Motor Vehicles (TxDMV) is to serve, protect and advance the citizens and industries in the state with quality motor vehicle related services. We are a dynamic state agency dedicated to customer service, consumer protection and the success of motor vehicle\-related industries.
Performs advanced (senior\-level) development work in support of the TxDMV, Information Technology Services Division. Work involves designing, developing, implementing, and maintaining robust and scalable ETL and data pipeline solutions to ingest, transform, and load data from various sources into target data warehouse and reporting structures. Data Engineer will be responsible for ensuring system security, optimizing ETL solutions for performance and accuracy, and integrating modern and AI\-driven technologies.
The Data Engineer will manage both legacy and modern ETL solutions, ensuring compatibility and security while transitioning to more advanced solutions where applicable. The position requires a deep understanding of data integration workflows, data lineage, data transformations, database modeling, data warehousing, and relational databases. The Data Engineer will work closely with data/enterprise architects, data analysts, database administrators and infrastructure teams to ensure data quality, consistency, and accessibility for business users and analytics teams.
**ESSENTIAL DUTIES**
* **Design and Development**
o Design, develop, test, and deploy ETL pipelines using industry\-standard ETL tools and technologies.
o Translate business requirements into technical specifications and efficient ETL processes.
o Implement data quality checks and validation rules within ETL pipelines.
o Optimize ETL processes for performance, scalability, and reliability.
o Document ETL processes, data flows, and technical specifications.
* **Data Integration**
o Extract data from various sources, including databases, APIs, flat files, and cloud storage.
o Transform data into the required formats and structures for target systems.
o Load data into the data warehouse and data lake.
o Work with data source owners to understand data structures and ensure data accuracy.
* **Maintenance and Support**
o Monitor ETL pipeline performance and identify areas for improvement.
o Troubleshoot and resolve data integration issues.
o Maintain and update existing ETL processes to accommodate changing business needs.
* **Collaboration**
o Collaborate with data/enterprise architects, BI developers, and other stakeholders to understand their data requirements.
o Work closely with database administrators and infrastructure teams to ensure proper system performance.
o Participate in code reviews and knowledge sharing.
o May travel up to 5% of the time. Travels by car (may include flying). May include overnight travel. May require working extended hours and some evenings and weekends, as needed.
o Required to attend work regularly and adhere to approved work hours in accordance with department policies and procedures.
o Performs other duties as assigned.
**KNOWLEDGE, SKILLS, AND ABILITIES**
* Knowledge of master data, metadata, reference data, relational data modeling, data warehousing, and business intelligence principles and processes, including the technical architecture of enterprise information management processes and methodologies, relational database management systems, metadata management, business intelligence, and business analytics tools.
* Knowledge and hands\-on experience of the limitations and capabilities of computer systems, information technology equipment, applicable programming languages, computer hardware and software, and computer operating systems.
* Knowledge of Data Governance tools like Informatica Enterprise Data Catalog, Axon or similar tools from other Industry providers.
* Knowledge of new cloud technologies and the analytical services available from the major cloud services providers.
* Knowledge of cloud delivery models: PaaS, SaaS, IaaS.
* Knowledge of cloud\-based services for AWS, Microsoft Azure or GCP.
* Skills with data engineering, including acquisition/ETL tools such as Informatica PowerCenter, IDQ, and cloud technologies like MS Fabric, Azure Data Factory, Informatica IICS etc.
* Skills and experience acquiring data from multiple data sources/technologies for use by data visualization tools like Power BI and COGNOS. Examples of technologies include DB2 and others such as Oracle, SQL Server, Microsoft Excel, Postgres, MS SharePoint, sales force etc.
* Strong analytical and problem\-solving skills with experience as a technical lead for software development, data analytics, performance management system, or data warehousing project.
* Strong technical writing and diagraming skills, including proficiency with modeling and mapping tools (e.g., Visio, Erwin), the Microsoft Office Suite (Word, Excel, PowerPoint, and MS Project).
* Ability to apply analytical, trouble shooting, and problem\-solving skills in data related projects.
* An ability to effectively prioritize and manage multiple tasks and directional changes under short and firm deadlines.
* Ability to understand, follow and convey brief oral and/or written instructions.
* Ability to establish and maintain effective and cordial working relationships at all organizational levels, including agency management, direct supervisors, co\-workers, internal and external customers.
* Ability to communicate both verbally and in writing, in a clear and concise manner.
* Knowledge of cloud\-based services for AWS, Microsoft Azure or GCP.
* Ability to generate ETL Workflow pipelines to support Applications, Data Warehouse, and Reporting needs.
* Knowledge of AI technologies and experience implementing AI features.
* Ability to work independently and as part of a team, and to support and contribute to a cohesive team environment.
* Ability to work with limited supervision and to schedule workload to meet requirements and deadlines of the position.
* Ability to work under pressure and exacting schedules to complete assigned tasks.
* Proficiency in ETL tool(s) (e.g., Informatica Azure Data Factory, AWS Glue, Google Cloud Dataflow, Talend).
* Designing, coding, testing, and debugging complex ETL solutions.
* Ability to develop cloud\-based data warehouses.
* Ability to lead advanced\-level ETL development tasks with minimal supervision, exercising initiative and independent judgment.
* Ability to document processes, requirements, and code for clarity, maintainability, and handoff readiness
* Ability to remain flexible and innovative in problem\-solving while adhering to organizational standards and regulations.
**Qualifications** **MINIMUM REQUIREMENTS**
**Education and Experience**
* Bachelor's degree from an accredited college or university in the areas of data science, data management, computer information systems, management information systems, computer science, cybersecurity or information security, or in a field related to assignment or a related field, or equivalent experience.
* Two (2\) years of experience in a Data Engineer or Developer\-related role creating ETL pipelines with a focus on Enterprise Analytics projects.
* Five (5\) years of experience working with a variety of relational databases (e.g. DB2, SQL Server).
* Two (2\) years of experience in ETL development using industry\-standard ETL tools (e.g., Informatica, Azure Data Factory, Microsoft Fabric).
* Two (2\) years of experience in administration, configuration, development, and management of data storage, integration, and ETL solutions on cloud (AWS, Azure) and on premise.
* Experience in building data pipelines in AWS or Azure public clouds.
**NOTE: Experience may substitute for education. Education may not substitute for the experience requirement.**
**Experience \&amp; Training Preferred**
* Five (5\) years of experience with development following the Agile formal/structured methodology.
* Five (5\) years in implementing scalable and efficient data workflows, including data warehousing, data lakes, and data marts.
* Four (4\) years of experience in trouble shooting and performance tuning ETL Workflows and SQL.
* Four (4\) years of experience with batch processing in mainframe, DB2, or Oracle batch framework.
* Two (2\) years of experience with Data Governance and Data Catalog tools such as Informatica Data Catalog
* Proficient in scripting (SQL, R, Python, etc).
* Azure or AWS cloud certifications.
* AI Knowledge will be preferred.
**ADDITIONAL INFORMATION**
 **This position is eligible for remote work in the state of Texas (subject to change). Must attend meetings/training at headquarters in Austin, Texas as required by management.**
Remote work employees must meet these criteria for the remote work location:
* Adequate desk space in a dedicated, contained area that is secured and protected at all times.
* Remote work location is in a quiet environment free of background people and noise during business hours.
**BENEFITS**
The State of Texas offers a variety of benefits for you and your family that are comprehensive and, on average, make up about one\-third of total compensation. Benefits include:
ü Retirement Plan
ü Paid Group Health \&amp; Life Insurance for employees
ü Paid Holidays
ü Paid Vacation Leave
ü Paid Sick Leave
ü Longevity Pay
ü Dental
ü Vision
ü Dependent Optional Life Insurance
ü Voluntary AD\&amp;D Insurance
ü Dependent Health \&amp; Life Insurance
ü Health \&amp; Dependent care flexible spending accounts
ü Tuition Assistance Program
 **QUALIFIED EMPLOYER:** In addition, the Texas Department of Motor Vehicles is considered a qualified employer for the Department of Education’s **Public Student Loan Forgiveness (PSLF) program****.**
**REGISTRATION, CERTIFICATION AND/OR LICENSURE**
A valid Class "C" driver's license is required. If not currently a Texas resident, must obtain a Texas Driver's License within ninety (90\) days after entering Texas as a new resident. A satisfactory driving record is required for operating state or personal vehicles to conduct department business.
**JOB OFFERS AND CONTINUATION OF EMPLOYMENT IS CONTINGENT UPON:**
* Proof of education and experience listed on the application
* Eligibility to work in the United States
* Satisfactory results from a pre\-employment criminal history background check and driver’s record check
* Compliance with Selective Service registration for males ages 18\-25
* Required to attend work regularly and observe approved work hours in accordance with department policies and procedures.
**MILITARY**
If selected for the position the following must be provided for proof of military employment preference:
* Veteran must provide form DD 214
* Surviving Spouse or Orphan must provide DD 1300 or DD 214\.
Military Occupational Specialty (MOS) codes that may correspond to the state classification title for this position are listed on the State Auditor’s Office Job Descriptions; click on the occupational category for the position. Additional MOS can be found at the State Auditor’s Office Military Crosswalk Guide.
The Texas Veterans Commission provides helpful employment information.
**SUBMISSION OF APPLICATION**
Your application must be complete, accurate and reflect all experience and education. Omission of data can be the basis for disqualification. "See Resume" is not accepted in lieu of a completed online State of Texas application but attached resumes may be considered as additional supplemental information.
***AN EQUAL OPPORTUNITY/AFFIRMATIVE ACTION EMPLOYER***
The Texas Department of Motor Vehicles is an equal opportunity employer and does not discriminate on the basis of race, color, religion, sex, national origin, pregnancy, disability, military status, age, or any other characteristic protected by federal or state law. The TxDMV provides accommodations for persons with disabilities in accordance with the American with Disabilities Act. If you need help with the employment process or require other accommodation, please contact the Human Resources office for assistance on 512\-465\-4043\.</t>
        </is>
      </c>
    </row>
    <row r="6">
      <c r="A6" t="inlineStr">
        <is>
          <t>in-934456836d756b7d</t>
        </is>
      </c>
      <c r="B6" t="inlineStr">
        <is>
          <t>TxDMV - Systems Analyst - Data Engineer (Remote in TX)</t>
        </is>
      </c>
      <c r="C6" t="inlineStr">
        <is>
          <t>Texas Department of Motor Vehicles</t>
        </is>
      </c>
      <c r="D6" t="inlineStr">
        <is>
          <t>indeed</t>
        </is>
      </c>
      <c r="E6">
        <f>HYPERLINK("https://www.indeed.com/viewjob?jk=934456836d756b7d", "https://www.indeed.com/viewjob?jk=934456836d756b7d")</f>
        <v/>
      </c>
      <c r="F6">
        <f>HYPERLINK("https://capps.taleo.net/careersection/ex/jobdetail.ftl?job=00056224&amp;tz=GMT-06%3A00&amp;tzname=America%2FChicago", "https://capps.taleo.net/careersection/ex/jobdetail.ftl?job=00056224&amp;tz=GMT-06%3A00&amp;tzname=America%2FChicago")</f>
        <v/>
      </c>
      <c r="G6" t="inlineStr">
        <is>
          <t>TX, US</t>
        </is>
      </c>
      <c r="H6" s="1" t="n">
        <v>46086</v>
      </c>
      <c r="I6" t="inlineStr">
        <is>
          <t>**TxDMV \- Systems Analyst \- Data Engineer (Remote in TX)** **(****00056224****)**
**Organization****:** TEXAS DEPARTMENT OF MOTOR VEHICLES
**Primary Location****:** Texas  
**Job****:** Computer and Mathematical
**Employee Status****:** Regular
**Schedule****:** Full\-time
**Standard Hours Per Week****:** 40\.00
**Travel****:** Yes, 5 % of the Time
**State Job Code****:** 0256
**Salary Admin Plan****:** B
**Grade****:** 25
**Salary (Pay Basis)****:** 8,000\.00 \- 8,466\.00 (Monthly)
**Number of Openings****:** 2
**Overtime Status****:** Exempt
**Job Posting****:** Mar 6, 2026, 8:12:43 AM
**Closing Date**: Mar 20, 2026, 11:59:00 PM
**Description** **SUBMISSION OF APPLICATION**
To apply for this position, select the “Apply Online” button. Complete your on\-line applicant profile and the State of Texas Application for Employment. TxDMV does not accept paper applications.
**Effective January 23, 2026:**
* **You will be required to attach a resume to your application which will be used for screening purposes.**
* **Please ensure your résumé is detailed and specific, including a full employment history (full time or part time), education, licenses, and skills.**
* **Your résumé must include the month and year for start and end dates for each listed employer.**
* **Failure to fully complete the application requirements and pre\-screening questions may disqualify you for consideration for this position.**
Applicants who require accommodation for the interview process should contact Human Resources at 512\-465\-4043 when contacted to schedule an interview.
**State Classification Title: Systems Analyst V**
**NOTE: This position is currently eligible for telecommuting within the state of Texas. However, this is subject to change, and the position may transition to an in\-office assignment at a designated work location within the state based on space availability and agency needs. Must attend meetings/training at headquarters in Austin, TX as required by management.**
**GENERAL DESCRIPTION**
Our mission at the Texas Department of Motor Vehicles (TxDMV) is to serve, protect and advance the citizens and industries in the state with quality motor vehicle related services. We are a dynamic state agency dedicated to customer service, consumer protection and the success of motor vehicle\-related industries.
Performs advanced (senior\-level) development work in support of the TxDMV, Information Technology Services Division. Work involves designing, developing, implementing, and maintaining robust and scalable ETL and data pipeline solutions to ingest, transform, and load data from various sources into target data warehouse and reporting structures. Data Engineer will be responsible for ensuring system security, optimizing ETL solutions for performance and accuracy, and integrating modern and AI\-driven technologies.
The Data Engineer will manage both legacy and modern ETL solutions, ensuring compatibility and security while transitioning to more advanced solutions where applicable. The position requires a deep understanding of data integration workflows, data lineage, data transformations, database modeling, data warehousing, and relational databases. The Data Engineer will work closely with data/enterprise architects, data analysts, database administrators and infrastructure teams to ensure data quality, consistency, and accessibility for business users and analytics teams.
**ESSENTIAL DUTIES**
* **Design and Development**
o Design, develop, test, and deploy ETL pipelines using industry\-standard ETL tools and technologies.
o Translate business requirements into technical specifications and efficient ETL processes.
o Implement data quality checks and validation rules within ETL pipelines.
o Optimize ETL processes for performance, scalability, and reliability.
o Document ETL processes, data flows, and technical specifications.
* **Data Integration**
o Extract data from various sources, including databases, APIs, flat files, and cloud storage.
o Transform data into the required formats and structures for target systems.
o Load data into the data warehouse and data lake.
o Work with data source owners to understand data structures and ensure data accuracy.
* **Maintenance and Support**
o Monitor ETL pipeline performance and identify areas for improvement.
o Troubleshoot and resolve data integration issues.
o Maintain and update existing ETL processes to accommodate changing business needs.
* **Collaboration**
o Collaborate with data/enterprise architects, BI developers, and other stakeholders to understand their data requirements.
o Work closely with database administrators and infrastructure teams to ensure proper system performance.
o Participate in code reviews and knowledge sharing.
o May travel up to 5% of the time. Travels by car (may include flying). May include overnight travel. May require working extended hours and some evenings and weekends, as needed.
o Required to attend work regularly and adhere to approved work hours in accordance with department policies and procedures.
o Performs other duties as assigned.
**KNOWLEDGE, SKILLS, AND ABILITIES**
* Knowledge of master data, metadata, reference data, relational data modeling, data warehousing, and business intelligence principles and processes, including the technical architecture of enterprise information management processes and methodologies, relational database management systems, metadata management, business intelligence, and business analytics tools.
* Knowledge and hands\-on experience of the limitations and capabilities of computer systems, information technology equipment, applicable programming languages, computer hardware and software, and computer operating systems.
* Knowledge of Data Governance tools like Informatica Enterprise Data Catalog, Axon or similar tools from other Industry providers.
* Knowledge of new cloud technologies and the analytical services available from the major cloud services providers.
* Knowledge of cloud delivery models: PaaS, SaaS, IaaS.
* Knowledge of cloud\-based services for AWS, Microsoft Azure or GCP.
* Skills with data engineering, including acquisition/ETL tools such as Informatica PowerCenter, IDQ, and cloud technologies like MS Fabric, Azure Data Factory, Informatica IICS etc.
* Skills and experience acquiring data from multiple data sources/technologies for use by data visualization tools like Power BI and COGNOS. Examples of technologies include DB2 and others such as Oracle, SQL Server, Microsoft Excel, Postgres, MS SharePoint, sales force etc.
* Strong analytical and problem\-solving skills with experience as a technical lead for software development, data analytics, performance management system, or data warehousing project.
* Strong technical writing and diagraming skills, including proficiency with modeling and mapping tools (e.g., Visio, Erwin), the Microsoft Office Suite (Word, Excel, PowerPoint, and MS Project).
* Ability to apply analytical, trouble shooting, and problem\-solving skills in data related projects.
* An ability to effectively prioritize and manage multiple tasks and directional changes under short and firm deadlines.
* Ability to understand, follow and convey brief oral and/or written instructions.
* Ability to establish and maintain effective and cordial working relationships at all organizational levels, including agency management, direct supervisors, co\-workers, internal and external customers.
* Ability to communicate both verbally and in writing, in a clear and concise manner.
* Knowledge of cloud\-based services for AWS, Microsoft Azure or GCP.
* Ability to generate ETL Workflow pipelines to support Applications, Data Warehouse, and Reporting needs.
* Knowledge of AI technologies and experience implementing AI features.
* Ability to work independently and as part of a team, and to support and contribute to a cohesive team environment.
* Ability to work with limited supervision and to schedule workload to meet requirements and deadlines of the position.
* Ability to work under pressure and exacting schedules to complete assigned tasks.
* Proficiency in ETL tool(s) (e.g., Informatica Azure Data Factory, AWS Glue, Google Cloud Dataflow, Talend).
* Designing, coding, testing, and debugging complex ETL solutions.
* Ability to develop cloud\-based data warehouses.
* Ability to lead advanced\-level ETL development tasks with minimal supervision, exercising initiative and independent judgment.
* Ability to document processes, requirements, and code for clarity, maintainability, and handoff readiness
* Ability to remain flexible and innovative in problem\-solving while adhering to organizational standards and regulations.
**Qualifications** **MINIMUM REQUIREMENTS**
**Education and Experience**
* Bachelor's degree from an accredited college or university in the areas of data science, data management, computer information systems, management information systems, computer science, cybersecurity or information security, or in a field related to assignment or a related field, or equivalent experience.
* Two (2\) years of experience in a Data Engineer or Developer\-related role creating ETL pipelines with a focus on Enterprise Analytics projects.
* Five (5\) years of experience working with a variety of relational databases (e.g. DB2, SQL Server).
* Two (2\) years of experience in ETL development using industry\-standard ETL tools (e.g., Informatica, Azure Data Factory, Microsoft Fabric).
* Two (2\) years of experience in administration, configuration, development, and management of data storage, integration, and ETL solutions on cloud (AWS, Azure) and on premise.
* Experience in building data pipelines in AWS or Azure public clouds.
**NOTE: Experience may substitute for education. Education may not substitute for the experience requirement.**
**Experience \&amp; Training Preferred**
* Five (5\) years of experience with development following the Agile formal/structured methodology.
* Five (5\) years in implementing scalable and efficient data workflows, including data warehousing, data lakes, and data marts.
* Four (4\) years of experience in trouble shooting and performance tuning ETL Workflows and SQL.
* Four (4\) years of experience with batch processing in mainframe, DB2, or Oracle batch framework.
* Two (2\) years of experience with Data Governance and Data Catalog tools such as Informatica Data Catalog
* Proficient in scripting (SQL, R, Python, etc).
* Azure or AWS cloud certifications.
* AI Knowledge will be preferred.
**ADDITIONAL INFORMATION**
 **This position is eligible for remote work in the state of Texas (subject to change). Must attend meetings/training at headquarters in Austin, Texas as required by management.**
Remote work employees must meet these criteria for the remote work location:
* Adequate desk space in a dedicated, contained area that is secured and protected at all times.
* Remote work location is in a quiet environment free of background people and noise during business hours.
**BENEFITS**
The State of Texas offers a variety of benefits for you and your family that are comprehensive and, on average, make up about one\-third of total compensation. Benefits include:
ü Retirement Plan
ü Paid Group Health \&amp; Life Insurance for employees
ü Paid Holidays
ü Paid Vacation Leave
ü Paid Sick Leave
ü Longevity Pay
ü Dental
ü Vision
ü Dependent Optional Life Insurance
ü Voluntary AD\&amp;D Insurance
ü Dependent Health \&amp; Life Insurance
ü Health \&amp; Dependent care flexible spending accounts
ü Tuition Assistance Program
 **QUALIFIED EMPLOYER:** In addition, the Texas Department of Motor Vehicles is considered a qualified employer for the Department of Education’s **Public Student Loan Forgiveness (PSLF) program****.**
**REGISTRATION, CERTIFICATION AND/OR LICENSURE**
A valid Class "C" driver's license is required. If not currently a Texas resident, must obtain a Texas Driver's License within ninety (90\) days after entering Texas as a new resident. A satisfactory driving record is required for operating state or personal vehicles to conduct department business.
**JOB OFFERS AND CONTINUATION OF EMPLOYMENT IS CONTINGENT UPON:**
* Proof of education and experience listed on the application
* Eligibility to work in the United States
* Satisfactory results from a pre\-employment criminal history background check and driver’s record check
* Compliance with Selective Service registration for males ages 18\-25
* Required to attend work regularly and observe approved work hours in accordance with department policies and procedures.
**MILITARY**
If selected for the position the following must be provided for proof of military employment preference:
* Veteran must provide form DD 214
* Surviving Spouse or Orphan must provide DD 1300 or DD 214\.
Military Occupational Specialty (MOS) codes that may correspond to the state classification title for this position are listed on the State Auditor’s Office Job Descriptions; click on the occupational category for the position. Additional MOS can be found at the State Auditor’s Office Military Crosswalk Guide.
The Texas Veterans Commission provides helpful employment information.
**SUBMISSION OF APPLICATION**
Your application must be complete, accurate and reflect all experience and education. Omission of data can be the basis for disqualification. "See Resume" is not accepted in lieu of a completed online State of Texas application but attached resumes may be considered as additional supplemental information.
***AN EQUAL OPPORTUNITY/AFFIRMATIVE ACTION EMPLOYER***
The Texas Department of Motor Vehicles is an equal opportunity employer and does not discriminate on the basis of race, color, religion, sex, national origin, pregnancy, disability, military status, age, or any other characteristic protected by federal or state law. The TxDMV provides accommodations for persons with disabilities in accordance with the American with Disabilities Act. If you need help with the employment process or require other accommodation, please contact the Human Resources office for assistance on 512\-465\-4043\.</t>
        </is>
      </c>
    </row>
    <row r="7">
      <c r="A7" t="inlineStr">
        <is>
          <t>in-59f97860142550fe</t>
        </is>
      </c>
      <c r="B7" t="inlineStr">
        <is>
          <t>Senior Data Engineer (Python, PySpark, Lambda)</t>
        </is>
      </c>
      <c r="C7" t="inlineStr">
        <is>
          <t>Capital One</t>
        </is>
      </c>
      <c r="D7" t="inlineStr">
        <is>
          <t>indeed</t>
        </is>
      </c>
      <c r="E7">
        <f>HYPERLINK("https://www.indeed.com/viewjob?jk=59f97860142550fe", "https://www.indeed.com/viewjob?jk=59f97860142550fe")</f>
        <v/>
      </c>
      <c r="F7">
        <f>HYPERLINK("https://www.capitalonecareers.com/job/-/-/1732/92433900464", "https://www.capitalonecareers.com/job/-/-/1732/92433900464")</f>
        <v/>
      </c>
      <c r="G7" t="inlineStr">
        <is>
          <t>Richmond, VA, US</t>
        </is>
      </c>
      <c r="H7" s="1" t="n">
        <v>46085</v>
      </c>
      <c r="I7" t="inlineStr">
        <is>
          <t>Senior Data Engineer (Python, PySpark, Lambda)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in-aba56c5767fd0980</t>
        </is>
      </c>
      <c r="B8" t="inlineStr">
        <is>
          <t>Lead Data Engineer (Python, Spark, AWS)</t>
        </is>
      </c>
      <c r="C8" t="inlineStr">
        <is>
          <t>Capital One</t>
        </is>
      </c>
      <c r="D8" t="inlineStr">
        <is>
          <t>indeed</t>
        </is>
      </c>
      <c r="E8">
        <f>HYPERLINK("https://www.indeed.com/viewjob?jk=aba56c5767fd0980", "https://www.indeed.com/viewjob?jk=aba56c5767fd0980")</f>
        <v/>
      </c>
      <c r="F8">
        <f>HYPERLINK("https://www.capitalonecareers.com/job/-/-/1732/92423459152", "https://www.capitalonecareers.com/job/-/-/1732/92423459152")</f>
        <v/>
      </c>
      <c r="G8" t="inlineStr">
        <is>
          <t>New York, NY, US</t>
        </is>
      </c>
      <c r="H8" s="1" t="n">
        <v>46085</v>
      </c>
      <c r="I8" t="inlineStr">
        <is>
          <t>Lead Data Engineer (Python, Spark,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$215,200 \- $245,600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in-bac9e3177a7c184b</t>
        </is>
      </c>
      <c r="B9" t="inlineStr">
        <is>
          <t>Senior Data Engineer (Python, Spark, AWS)</t>
        </is>
      </c>
      <c r="C9" t="inlineStr">
        <is>
          <t>Capital One</t>
        </is>
      </c>
      <c r="D9" t="inlineStr">
        <is>
          <t>indeed</t>
        </is>
      </c>
      <c r="E9">
        <f>HYPERLINK("https://www.indeed.com/viewjob?jk=bac9e3177a7c184b", "https://www.indeed.com/viewjob?jk=bac9e3177a7c184b")</f>
        <v/>
      </c>
      <c r="F9">
        <f>HYPERLINK("https://www.capitalonecareers.com/job/-/-/1732/92423459136", "https://www.capitalonecareers.com/job/-/-/1732/92423459136")</f>
        <v/>
      </c>
      <c r="G9" t="inlineStr">
        <is>
          <t>New York, NY, US</t>
        </is>
      </c>
      <c r="H9" s="1" t="n">
        <v>46085</v>
      </c>
      <c r="I9" t="inlineStr">
        <is>
          <t>Senior Data Engineer (Python, Spark,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in-72f18d450d1d99d9</t>
        </is>
      </c>
      <c r="B10" t="inlineStr">
        <is>
          <t>Senior Data Engineer</t>
        </is>
      </c>
      <c r="C10" t="inlineStr">
        <is>
          <t>Capital One</t>
        </is>
      </c>
      <c r="D10" t="inlineStr">
        <is>
          <t>indeed</t>
        </is>
      </c>
      <c r="E10">
        <f>HYPERLINK("https://www.indeed.com/viewjob?jk=72f18d450d1d99d9", "https://www.indeed.com/viewjob?jk=72f18d450d1d99d9")</f>
        <v/>
      </c>
      <c r="F10">
        <f>HYPERLINK("https://www.capitalonecareers.com/job/-/-/1732/92415310832", "https://www.capitalonecareers.com/job/-/-/1732/92415310832")</f>
        <v/>
      </c>
      <c r="G10" t="inlineStr">
        <is>
          <t>McLean, VA, US</t>
        </is>
      </c>
      <c r="H10" s="1" t="n">
        <v>46085</v>
      </c>
      <c r="I10"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in-b45360d720d413c7</t>
        </is>
      </c>
      <c r="B11" t="inlineStr">
        <is>
          <t>Senior Data Engineer (AWS, Spark, Python, SQL)</t>
        </is>
      </c>
      <c r="C11" t="inlineStr">
        <is>
          <t>Capital One</t>
        </is>
      </c>
      <c r="D11" t="inlineStr">
        <is>
          <t>indeed</t>
        </is>
      </c>
      <c r="E11">
        <f>HYPERLINK("https://www.indeed.com/viewjob?jk=b45360d720d413c7", "https://www.indeed.com/viewjob?jk=b45360d720d413c7")</f>
        <v/>
      </c>
      <c r="F11">
        <f>HYPERLINK("https://www.capitalonecareers.com/job/-/-/1732/92423458688", "https://www.capitalonecareers.com/job/-/-/1732/92423458688")</f>
        <v/>
      </c>
      <c r="G11" t="inlineStr">
        <is>
          <t>New York, NY, US</t>
        </is>
      </c>
      <c r="H11" s="1" t="n">
        <v>46085</v>
      </c>
      <c r="I11" t="inlineStr">
        <is>
          <t>Senior Data Engineer (AWS, Spark, Python, SQL)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in-13be3ed122061bb0</t>
        </is>
      </c>
      <c r="B12" t="inlineStr">
        <is>
          <t>Data Engineer II, AWS Commerce Platform-ADC</t>
        </is>
      </c>
      <c r="C12" t="inlineStr">
        <is>
          <t>Amazon Web Services</t>
        </is>
      </c>
      <c r="D12" t="inlineStr">
        <is>
          <t>indeed</t>
        </is>
      </c>
      <c r="E12">
        <f>HYPERLINK("https://www.indeed.com/viewjob?jk=13be3ed122061bb0", "https://www.indeed.com/viewjob?jk=13be3ed122061bb0")</f>
        <v/>
      </c>
      <c r="F12">
        <f>HYPERLINK("https://www.amazon.jobs/jobs/3191228/data-engineer-ii-aws-commerce-platformadc?cmpid=DA_INAD200785B", "https://www.amazon.jobs/jobs/3191228/data-engineer-ii-aws-commerce-platformadc?cmpid=DA_INAD200785B")</f>
        <v/>
      </c>
      <c r="G12" t="inlineStr">
        <is>
          <t>Arlington, VA, US</t>
        </is>
      </c>
      <c r="H12" s="1" t="n">
        <v>46078</v>
      </c>
      <c r="I12"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3">
      <c r="A13" t="inlineStr">
        <is>
          <t>in-a99616e88bd1de21</t>
        </is>
      </c>
      <c r="B13" t="inlineStr">
        <is>
          <t>Data Engineer II, AWS Commerce Platform-ADC</t>
        </is>
      </c>
      <c r="C13" t="inlineStr">
        <is>
          <t>Amazon Web Services</t>
        </is>
      </c>
      <c r="D13" t="inlineStr">
        <is>
          <t>indeed</t>
        </is>
      </c>
      <c r="E13">
        <f>HYPERLINK("https://www.indeed.com/viewjob?jk=a99616e88bd1de21", "https://www.indeed.com/viewjob?jk=a99616e88bd1de21")</f>
        <v/>
      </c>
      <c r="F13">
        <f>HYPERLINK("https://www.amazon.jobs/jobs/3191228/data-engineer-ii-aws-commerce-platformadc?cmpid=DA_INAD200785B", "https://www.amazon.jobs/jobs/3191228/data-engineer-ii-aws-commerce-platformadc?cmpid=DA_INAD200785B")</f>
        <v/>
      </c>
      <c r="G13" t="inlineStr">
        <is>
          <t>Denver, CO, US</t>
        </is>
      </c>
      <c r="H13" s="1" t="n">
        <v>46078</v>
      </c>
      <c r="I13"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4">
      <c r="A14" t="inlineStr">
        <is>
          <t>in-3c70cf3291b735d8</t>
        </is>
      </c>
      <c r="B14" t="inlineStr">
        <is>
          <t>Data Engineer II, AWS Commerce Platform-ADC</t>
        </is>
      </c>
      <c r="C14" t="inlineStr">
        <is>
          <t>Amazon Web Services</t>
        </is>
      </c>
      <c r="D14" t="inlineStr">
        <is>
          <t>indeed</t>
        </is>
      </c>
      <c r="E14">
        <f>HYPERLINK("https://www.indeed.com/viewjob?jk=3c70cf3291b735d8", "https://www.indeed.com/viewjob?jk=3c70cf3291b735d8")</f>
        <v/>
      </c>
      <c r="F14">
        <f>HYPERLINK("https://www.amazon.jobs/jobs/3191228/data-engineer-ii-aws-commerce-platformadc?cmpid=DA_INAD200785B", "https://www.amazon.jobs/jobs/3191228/data-engineer-ii-aws-commerce-platformadc?cmpid=DA_INAD200785B")</f>
        <v/>
      </c>
      <c r="G14" t="inlineStr">
        <is>
          <t>Herndon, VA, US</t>
        </is>
      </c>
      <c r="H14" s="1" t="n">
        <v>46078</v>
      </c>
      <c r="I14"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5">
      <c r="A15" t="inlineStr">
        <is>
          <t>in-a32c99392e5078de</t>
        </is>
      </c>
      <c r="B15" t="inlineStr">
        <is>
          <t>Data Engineer II, AWS Commerce Platform-ADC</t>
        </is>
      </c>
      <c r="C15" t="inlineStr">
        <is>
          <t>Amazon Web Services</t>
        </is>
      </c>
      <c r="D15" t="inlineStr">
        <is>
          <t>indeed</t>
        </is>
      </c>
      <c r="E15">
        <f>HYPERLINK("https://www.indeed.com/viewjob?jk=a32c99392e5078de", "https://www.indeed.com/viewjob?jk=a32c99392e5078de")</f>
        <v/>
      </c>
      <c r="F15">
        <f>HYPERLINK("https://www.amazon.jobs/jobs/3191228/data-engineer-ii-aws-commerce-platformadc?cmpid=DA_INAD200785B", "https://www.amazon.jobs/jobs/3191228/data-engineer-ii-aws-commerce-platformadc?cmpid=DA_INAD200785B")</f>
        <v/>
      </c>
      <c r="G15" t="inlineStr">
        <is>
          <t>Seattle, WA, US</t>
        </is>
      </c>
      <c r="H15" s="1" t="n">
        <v>46078</v>
      </c>
      <c r="I15"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6">
      <c r="A16" t="inlineStr">
        <is>
          <t>in-341b1c3256de3288</t>
        </is>
      </c>
      <c r="B16" t="inlineStr">
        <is>
          <t>Data Engineer II, AWS Commerce Platform-ADC</t>
        </is>
      </c>
      <c r="C16" t="inlineStr">
        <is>
          <t>Amazon Web Services</t>
        </is>
      </c>
      <c r="D16" t="inlineStr">
        <is>
          <t>indeed</t>
        </is>
      </c>
      <c r="E16">
        <f>HYPERLINK("https://www.indeed.com/viewjob?jk=341b1c3256de3288", "https://www.indeed.com/viewjob?jk=341b1c3256de3288")</f>
        <v/>
      </c>
      <c r="F16">
        <f>HYPERLINK("https://www.amazon.jobs/jobs/3191228/data-engineer-ii-aws-commerce-platformadc?cmpid=DA_INAD200785B", "https://www.amazon.jobs/jobs/3191228/data-engineer-ii-aws-commerce-platformadc?cmpid=DA_INAD200785B")</f>
        <v/>
      </c>
      <c r="G16" t="inlineStr">
        <is>
          <t>Jessup, MD, US</t>
        </is>
      </c>
      <c r="H16" s="1" t="n">
        <v>46078</v>
      </c>
      <c r="I16"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7">
      <c r="A17" t="inlineStr">
        <is>
          <t>in-e974310945a052af</t>
        </is>
      </c>
      <c r="B17" t="inlineStr">
        <is>
          <t>Data Engineer II , UTR PLanning Tech</t>
        </is>
      </c>
      <c r="C17" t="inlineStr">
        <is>
          <t>Amazon.com</t>
        </is>
      </c>
      <c r="D17" t="inlineStr">
        <is>
          <t>indeed</t>
        </is>
      </c>
      <c r="E17">
        <f>HYPERLINK("https://www.indeed.com/viewjob?jk=e974310945a052af", "https://www.indeed.com/viewjob?jk=e974310945a052af")</f>
        <v/>
      </c>
      <c r="F17">
        <f>HYPERLINK("https://www.amazon.jobs/jobs/3186425/data-engineer-ii--utr-planning-tech?cmpid=DA_INAD200785B", "https://www.amazon.jobs/jobs/3186425/data-engineer-ii--utr-planning-tech?cmpid=DA_INAD200785B")</f>
        <v/>
      </c>
      <c r="G17" t="inlineStr">
        <is>
          <t>Nashville, TN, US</t>
        </is>
      </c>
      <c r="H17" s="1" t="n">
        <v>46070</v>
      </c>
      <c r="I1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8">
      <c r="A18" t="inlineStr">
        <is>
          <t>in-74c252e8bc3eff14</t>
        </is>
      </c>
      <c r="B18" t="inlineStr">
        <is>
          <t>Data Engineer II , UTR PLanning Tech</t>
        </is>
      </c>
      <c r="C18" t="inlineStr">
        <is>
          <t>Amazon.com</t>
        </is>
      </c>
      <c r="D18" t="inlineStr">
        <is>
          <t>indeed</t>
        </is>
      </c>
      <c r="E18">
        <f>HYPERLINK("https://www.indeed.com/viewjob?jk=74c252e8bc3eff14", "https://www.indeed.com/viewjob?jk=74c252e8bc3eff14")</f>
        <v/>
      </c>
      <c r="F18">
        <f>HYPERLINK("https://www.amazon.jobs/jobs/3186425/data-engineer-ii--utr-planning-tech?cmpid=DA_INAD200785B", "https://www.amazon.jobs/jobs/3186425/data-engineer-ii--utr-planning-tech?cmpid=DA_INAD200785B")</f>
        <v/>
      </c>
      <c r="G18" t="inlineStr">
        <is>
          <t>Bellevue, WA, US</t>
        </is>
      </c>
      <c r="H18" s="1" t="n">
        <v>46070</v>
      </c>
      <c r="I1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9">
      <c r="A19" t="inlineStr">
        <is>
          <t>in-f47980254c41c5d4</t>
        </is>
      </c>
      <c r="B19" t="inlineStr">
        <is>
          <t>Data Engineer II , UTR PLanning Tech</t>
        </is>
      </c>
      <c r="C19" t="inlineStr">
        <is>
          <t>Amazon.com</t>
        </is>
      </c>
      <c r="D19" t="inlineStr">
        <is>
          <t>indeed</t>
        </is>
      </c>
      <c r="E19">
        <f>HYPERLINK("https://www.indeed.com/viewjob?jk=f47980254c41c5d4", "https://www.indeed.com/viewjob?jk=f47980254c41c5d4")</f>
        <v/>
      </c>
      <c r="F19">
        <f>HYPERLINK("https://www.amazon.jobs/jobs/3186425/data-engineer-ii--utr-planning-tech?cmpid=DA_INAD200785B", "https://www.amazon.jobs/jobs/3186425/data-engineer-ii--utr-planning-tech?cmpid=DA_INAD200785B")</f>
        <v/>
      </c>
      <c r="G19" t="inlineStr">
        <is>
          <t>Austin, TX, US</t>
        </is>
      </c>
      <c r="H19" s="1" t="n">
        <v>46070</v>
      </c>
      <c r="I1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0">
      <c r="A20" t="inlineStr">
        <is>
          <t>in-dcbf47f8a6fedbfa</t>
        </is>
      </c>
      <c r="B20" t="inlineStr">
        <is>
          <t>Data Engineer II, UTR PLanning Tech</t>
        </is>
      </c>
      <c r="C20" t="inlineStr">
        <is>
          <t>Amazon.com</t>
        </is>
      </c>
      <c r="D20" t="inlineStr">
        <is>
          <t>indeed</t>
        </is>
      </c>
      <c r="E20">
        <f>HYPERLINK("https://www.indeed.com/viewjob?jk=dcbf47f8a6fedbfa", "https://www.indeed.com/viewjob?jk=dcbf47f8a6fedbfa")</f>
        <v/>
      </c>
      <c r="F20">
        <f>HYPERLINK("https://www.amazon.jobs/jobs/3190311/data-engineer-ii-utr-planning-tech?cmpid=DA_INAD200785B", "https://www.amazon.jobs/jobs/3190311/data-engineer-ii-utr-planning-tech?cmpid=DA_INAD200785B")</f>
        <v/>
      </c>
      <c r="G20" t="inlineStr">
        <is>
          <t>Austin, TX, US</t>
        </is>
      </c>
      <c r="H20" s="1" t="n">
        <v>46065</v>
      </c>
      <c r="I2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1">
      <c r="A21" t="inlineStr">
        <is>
          <t>in-8feb24053d0f9f70</t>
        </is>
      </c>
      <c r="B21" t="inlineStr">
        <is>
          <t>Data Engineer II, UTR PLanning Tech</t>
        </is>
      </c>
      <c r="C21" t="inlineStr">
        <is>
          <t>Amazon.com</t>
        </is>
      </c>
      <c r="D21" t="inlineStr">
        <is>
          <t>indeed</t>
        </is>
      </c>
      <c r="E21">
        <f>HYPERLINK("https://www.indeed.com/viewjob?jk=8feb24053d0f9f70", "https://www.indeed.com/viewjob?jk=8feb24053d0f9f70")</f>
        <v/>
      </c>
      <c r="F21">
        <f>HYPERLINK("https://www.amazon.jobs/jobs/3190311/data-engineer-ii-utr-planning-tech?cmpid=DA_INAD200785B", "https://www.amazon.jobs/jobs/3190311/data-engineer-ii-utr-planning-tech?cmpid=DA_INAD200785B")</f>
        <v/>
      </c>
      <c r="G21" t="inlineStr">
        <is>
          <t>Bellevue, WA, US</t>
        </is>
      </c>
      <c r="H21" s="1" t="n">
        <v>46065</v>
      </c>
      <c r="I2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2">
      <c r="A22" t="inlineStr">
        <is>
          <t>in-87e2a370e66cb633</t>
        </is>
      </c>
      <c r="B22" t="inlineStr">
        <is>
          <t>Data Engineer II, UTR PLanning Tech</t>
        </is>
      </c>
      <c r="C22" t="inlineStr">
        <is>
          <t>Amazon.com</t>
        </is>
      </c>
      <c r="D22" t="inlineStr">
        <is>
          <t>indeed</t>
        </is>
      </c>
      <c r="E22">
        <f>HYPERLINK("https://www.indeed.com/viewjob?jk=87e2a370e66cb633", "https://www.indeed.com/viewjob?jk=87e2a370e66cb633")</f>
        <v/>
      </c>
      <c r="F22">
        <f>HYPERLINK("https://www.amazon.jobs/jobs/3190311/data-engineer-ii-utr-planning-tech?cmpid=DA_INAD200785B", "https://www.amazon.jobs/jobs/3190311/data-engineer-ii-utr-planning-tech?cmpid=DA_INAD200785B")</f>
        <v/>
      </c>
      <c r="G22" t="inlineStr">
        <is>
          <t>Nashville, TN, US</t>
        </is>
      </c>
      <c r="H22" s="1" t="n">
        <v>46065</v>
      </c>
      <c r="I2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3">
      <c r="A23" t="inlineStr">
        <is>
          <t>in-2ba3c9eb5dd0e416</t>
        </is>
      </c>
      <c r="B23" t="inlineStr">
        <is>
          <t>Senior Big Data Engineer, IDEAS - D&amp;A - Revenue</t>
        </is>
      </c>
      <c r="C23" t="inlineStr">
        <is>
          <t>Amazon Web Services</t>
        </is>
      </c>
      <c r="D23" t="inlineStr">
        <is>
          <t>indeed</t>
        </is>
      </c>
      <c r="E23">
        <f>HYPERLINK("https://www.indeed.com/viewjob?jk=2ba3c9eb5dd0e416", "https://www.indeed.com/viewjob?jk=2ba3c9eb5dd0e416")</f>
        <v/>
      </c>
      <c r="F23">
        <f>HYPERLINK("https://www.amazon.jobs/jobs/3188105/senior-big-data-engineer-ideas--da--revenue?cmpid=DA_INAD200785B", "https://www.amazon.jobs/jobs/3188105/senior-big-data-engineer-ideas--da--revenue?cmpid=DA_INAD200785B")</f>
        <v/>
      </c>
      <c r="G23" t="inlineStr">
        <is>
          <t>Dallas, TX, US</t>
        </is>
      </c>
      <c r="H23" s="1" t="n">
        <v>46064</v>
      </c>
      <c r="I23"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24">
      <c r="A24" t="inlineStr">
        <is>
          <t>in-dedb02552524efc0</t>
        </is>
      </c>
      <c r="B24" t="inlineStr">
        <is>
          <t>Senior Big Data Engineer, IDEAS - D&amp;A - Revenue</t>
        </is>
      </c>
      <c r="C24" t="inlineStr">
        <is>
          <t>Amazon Web Services</t>
        </is>
      </c>
      <c r="D24" t="inlineStr">
        <is>
          <t>indeed</t>
        </is>
      </c>
      <c r="E24">
        <f>HYPERLINK("https://www.indeed.com/viewjob?jk=dedb02552524efc0", "https://www.indeed.com/viewjob?jk=dedb02552524efc0")</f>
        <v/>
      </c>
      <c r="F24">
        <f>HYPERLINK("https://www.amazon.jobs/jobs/3188105/senior-big-data-engineer-ideas--da--revenue?cmpid=DA_INAD200785B", "https://www.amazon.jobs/jobs/3188105/senior-big-data-engineer-ideas--da--revenue?cmpid=DA_INAD200785B")</f>
        <v/>
      </c>
      <c r="G24" t="inlineStr">
        <is>
          <t>Seattle, WA, US</t>
        </is>
      </c>
      <c r="H24" s="1" t="n">
        <v>46064</v>
      </c>
      <c r="I24" t="inlineStr">
        <is>
          <t>**DESCRIPTION**
---------------
The AWS Sales Marketing Global Services Ops (SMGS Ops) Revenue team publishes mission\-critical Sales Revenue data product including, Unified Estimated Revenue, GAAP Sales Revenue, Quota Sales Retirement, and Planning Revenue that power strategic decision\-making across AWS Finance, Accounting, Sales Operations, Segmentation Planning \&amp; Policy (S\&amp;P), Global Sales Compensation, Field Experience, and Data \&amp; Analytics teams.  
Our platform processes billions of metered usage and billing transactions daily, integrating data from 20\+ sources including Salesforce.com to deliver accurate, timely revenue insights that drive quota setting, sales goal management, forecasting, compensation, and business intelligence. We leverage BigData technologies including Elastic Map Reduce (EMR), Spark, Redshift, and Glue and other AWS services to handle massive data volumes at scale.  
The Opportunity  
We're seeking a passionate Senior Data Engineer to architect and extend our processing framework for next\-generation revenue data products. In this high\-impact role, you'll:  
* Build scalable data pipelines that seamlessly handle exponential data growth and enable rapid development of new revenue products
* Lead AI\-driven automation initiatives to transform revenue processing—from data acquisition and validation to publishing and insights generation—into intelligent, systematic workflows
* Architect solutions that enhance data quality, reduce processing latency, and deliver actionable insights to stakeholders across the organization
This role places you at the forefront of innovation, combining big data engineering with AI/ML to revolutionize how AWS processes and reports revenue at global scale.  
Key job responsibilities  
* Drive technical excellence and organizational growth: Evolve the Revenue technology stack to support AWS's rapid expansion while maintaining compliance with security policies, architectural standards, and operational best practices
* Deliver high\-impact data solutions: Design and build end\-to\-end pipelines that transform raw data from diverse upstream sources into actionable business insights powering quota management, forecasting, and compensation decisions
* Innovate through automation: Develop frameworks, tools, and AI\-driven solutions that eliminate manual processes, reduce operational overhead, and accelerate time\-to\-insight for Revenue customers
* Design scalable data models: Create and maintain dimensional models and data structures that enable self\-service analytics and support evolving reporting requirements across Finance, Sales Operations, and Analytics teams
* Lead and mentor engineering talent: Build and guide a high\-performing team of Data Engineers to deliver cross\-functional solutions, foster technical growth, and establish engineering excellence standards
* Architect and optimize Revenue data infrastructure: Ensure enterprise\-grade security, cost efficiency, and scalability while processing billions of daily transactions across 20\+ data sources
* Partner across the organization: Collaborate with product managers, stakeholders, and customers to translate business requirements into technical solutions and influence the Revenue product roadmap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**PREFERRED QUALIFICATIONS**
----------------------------
* Experience with big data technologies such as: Hadoop, Hive, Spark, EMR
* Experience operating large data warehouses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\- 154,600\.00 \- 209,100\.00 USD annually</t>
        </is>
      </c>
    </row>
    <row r="25">
      <c r="A25" t="inlineStr">
        <is>
          <t>in-d4b3c97910480221</t>
        </is>
      </c>
      <c r="B25" t="inlineStr">
        <is>
          <t>Software Development Manager, Amazon Security Data Engineering</t>
        </is>
      </c>
      <c r="C25" t="inlineStr">
        <is>
          <t>Amazon.com</t>
        </is>
      </c>
      <c r="D25" t="inlineStr">
        <is>
          <t>indeed</t>
        </is>
      </c>
      <c r="E25">
        <f>HYPERLINK("https://www.indeed.com/viewjob?jk=d4b3c97910480221", "https://www.indeed.com/viewjob?jk=d4b3c97910480221")</f>
        <v/>
      </c>
      <c r="F25">
        <f>HYPERLINK("https://www.amazon.jobs/jobs/3188767/software-development-manager-amazon-security-data-engineering?cmpid=DA_INAD200785B", "https://www.amazon.jobs/jobs/3188767/software-development-manager-amazon-security-data-engineering?cmpid=DA_INAD200785B")</f>
        <v/>
      </c>
      <c r="G25" t="inlineStr">
        <is>
          <t>Herndon, VA, US</t>
        </is>
      </c>
      <c r="H25" s="1" t="n">
        <v>46063</v>
      </c>
      <c r="I25"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6">
      <c r="A26" t="inlineStr">
        <is>
          <t>in-3a43e8a1198c02d2</t>
        </is>
      </c>
      <c r="B26" t="inlineStr">
        <is>
          <t>Software Development Manager, Amazon Security Data Engineering</t>
        </is>
      </c>
      <c r="C26" t="inlineStr">
        <is>
          <t>Amazon.com</t>
        </is>
      </c>
      <c r="D26" t="inlineStr">
        <is>
          <t>indeed</t>
        </is>
      </c>
      <c r="E26">
        <f>HYPERLINK("https://www.indeed.com/viewjob?jk=3a43e8a1198c02d2", "https://www.indeed.com/viewjob?jk=3a43e8a1198c02d2")</f>
        <v/>
      </c>
      <c r="F26">
        <f>HYPERLINK("https://www.amazon.jobs/jobs/3188767/software-development-manager-amazon-security-data-engineering?cmpid=DA_INAD200785B", "https://www.amazon.jobs/jobs/3188767/software-development-manager-amazon-security-data-engineering?cmpid=DA_INAD200785B")</f>
        <v/>
      </c>
      <c r="G26" t="inlineStr">
        <is>
          <t>San Diego, CA, US</t>
        </is>
      </c>
      <c r="H26" s="1" t="n">
        <v>46063</v>
      </c>
      <c r="I26"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7">
      <c r="A27" t="inlineStr">
        <is>
          <t>in-bce504d4e5e6c847</t>
        </is>
      </c>
      <c r="B27" t="inlineStr">
        <is>
          <t>Data Engineer, AMZL Orbit Data Engineering</t>
        </is>
      </c>
      <c r="C27" t="inlineStr">
        <is>
          <t>Amazon.com</t>
        </is>
      </c>
      <c r="D27" t="inlineStr">
        <is>
          <t>indeed</t>
        </is>
      </c>
      <c r="E27">
        <f>HYPERLINK("https://www.indeed.com/viewjob?jk=bce504d4e5e6c847", "https://www.indeed.com/viewjob?jk=bce504d4e5e6c847")</f>
        <v/>
      </c>
      <c r="F27">
        <f>HYPERLINK("https://www.amazon.jobs/jobs/3184381/data-engineer-amzl-orbit-data-engineering?cmpid=DA_INAD200785B", "https://www.amazon.jobs/jobs/3184381/data-engineer-amzl-orbit-data-engineering?cmpid=DA_INAD200785B")</f>
        <v/>
      </c>
      <c r="G27" t="inlineStr">
        <is>
          <t>Bellevue, WA, US</t>
        </is>
      </c>
      <c r="H27" s="1" t="n">
        <v>46054</v>
      </c>
      <c r="I2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8">
      <c r="A28" t="inlineStr">
        <is>
          <t>in-787b0a49a09a77cb</t>
        </is>
      </c>
      <c r="B28" t="inlineStr">
        <is>
          <t>Data Engineer, AMZL Orbit Data Engineering</t>
        </is>
      </c>
      <c r="C28" t="inlineStr">
        <is>
          <t>Amazon.com</t>
        </is>
      </c>
      <c r="D28" t="inlineStr">
        <is>
          <t>indeed</t>
        </is>
      </c>
      <c r="E28">
        <f>HYPERLINK("https://www.indeed.com/viewjob?jk=787b0a49a09a77cb", "https://www.indeed.com/viewjob?jk=787b0a49a09a77cb")</f>
        <v/>
      </c>
      <c r="F28">
        <f>HYPERLINK("https://www.amazon.jobs/jobs/3184381/data-engineer-amzl-orbit-data-engineering?cmpid=DA_INAD200785B", "https://www.amazon.jobs/jobs/3184381/data-engineer-amzl-orbit-data-engineering?cmpid=DA_INAD200785B")</f>
        <v/>
      </c>
      <c r="G28" t="inlineStr">
        <is>
          <t>Austin, TX, US</t>
        </is>
      </c>
      <c r="H28" s="1" t="n">
        <v>46054</v>
      </c>
      <c r="I28"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9">
      <c r="A29" t="inlineStr">
        <is>
          <t>in-74c6a95bb63f41ce</t>
        </is>
      </c>
      <c r="B29" t="inlineStr">
        <is>
          <t>Data Engineer, AMZL Orbit Data Engineering</t>
        </is>
      </c>
      <c r="C29" t="inlineStr">
        <is>
          <t>Amazon.com</t>
        </is>
      </c>
      <c r="D29" t="inlineStr">
        <is>
          <t>indeed</t>
        </is>
      </c>
      <c r="E29">
        <f>HYPERLINK("https://www.indeed.com/viewjob?jk=74c6a95bb63f41ce", "https://www.indeed.com/viewjob?jk=74c6a95bb63f41ce")</f>
        <v/>
      </c>
      <c r="F29">
        <f>HYPERLINK("https://www.amazon.jobs/jobs/3184381/data-engineer-amzl-orbit-data-engineering?cmpid=DA_INAD200785B", "https://www.amazon.jobs/jobs/3184381/data-engineer-amzl-orbit-data-engineering?cmpid=DA_INAD200785B")</f>
        <v/>
      </c>
      <c r="G29" t="inlineStr">
        <is>
          <t>Nashville, TN, US</t>
        </is>
      </c>
      <c r="H29" s="1" t="n">
        <v>46054</v>
      </c>
      <c r="I2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0">
      <c r="A30" t="inlineStr">
        <is>
          <t>in-1f4af70d067d36be</t>
        </is>
      </c>
      <c r="B30" t="inlineStr">
        <is>
          <t>Data Engineer, Denied Party Screening, AWS Compliance &amp; Security Assurance</t>
        </is>
      </c>
      <c r="C30" t="inlineStr">
        <is>
          <t>Amazon.com</t>
        </is>
      </c>
      <c r="D30" t="inlineStr">
        <is>
          <t>indeed</t>
        </is>
      </c>
      <c r="E30">
        <f>HYPERLINK("https://www.indeed.com/viewjob?jk=1f4af70d067d36be", "https://www.indeed.com/viewjob?jk=1f4af70d067d36be")</f>
        <v/>
      </c>
      <c r="F30">
        <f>HYPERLINK("https://www.amazon.jobs/jobs/3160403/data-engineer-denied-party-screening-aws-compliance--security-assurance?cmpid=DA_INAD200785B", "https://www.amazon.jobs/jobs/3160403/data-engineer-denied-party-screening-aws-compliance--security-assurance?cmpid=DA_INAD200785B")</f>
        <v/>
      </c>
      <c r="G30" t="inlineStr">
        <is>
          <t>Seattle, WA, US</t>
        </is>
      </c>
      <c r="H30" s="1" t="n">
        <v>46029</v>
      </c>
      <c r="I3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1">
      <c r="A31" t="inlineStr">
        <is>
          <t>in-47ca2bf04b7c4813</t>
        </is>
      </c>
      <c r="B31" t="inlineStr">
        <is>
          <t>Data Engineer, Denied Party Screening, AWS Compliance &amp; Security Assurance</t>
        </is>
      </c>
      <c r="C31" t="inlineStr">
        <is>
          <t>Amazon.com</t>
        </is>
      </c>
      <c r="D31" t="inlineStr">
        <is>
          <t>indeed</t>
        </is>
      </c>
      <c r="E31">
        <f>HYPERLINK("https://www.indeed.com/viewjob?jk=47ca2bf04b7c4813", "https://www.indeed.com/viewjob?jk=47ca2bf04b7c4813")</f>
        <v/>
      </c>
      <c r="F31">
        <f>HYPERLINK("https://www.amazon.jobs/jobs/3160403/data-engineer-denied-party-screening-aws-compliance--security-assurance?cmpid=DA_INAD200785B", "https://www.amazon.jobs/jobs/3160403/data-engineer-denied-party-screening-aws-compliance--security-assurance?cmpid=DA_INAD200785B")</f>
        <v/>
      </c>
      <c r="G31" t="inlineStr">
        <is>
          <t>Dallas, TX, US</t>
        </is>
      </c>
      <c r="H31" s="1" t="n">
        <v>46029</v>
      </c>
      <c r="I3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2">
      <c r="A32" t="inlineStr">
        <is>
          <t>in-40b2b848824ce2b9</t>
        </is>
      </c>
      <c r="B32" t="inlineStr">
        <is>
          <t>Data Platform Engineer</t>
        </is>
      </c>
      <c r="C32" t="inlineStr">
        <is>
          <t>Treeswift</t>
        </is>
      </c>
      <c r="D32" t="inlineStr">
        <is>
          <t>indeed</t>
        </is>
      </c>
      <c r="E32">
        <f>HYPERLINK("https://www.indeed.com/viewjob?jk=40b2b848824ce2b9", "https://www.indeed.com/viewjob?jk=40b2b848824ce2b9")</f>
        <v/>
      </c>
      <c r="F32">
        <f>HYPERLINK("https://jobs.ashbyhq.com/treeswift/12f0df75-2829-462e-a458-d6a156524f85?utm_source=l38pA3XYEJ", "https://jobs.ashbyhq.com/treeswift/12f0df75-2829-462e-a458-d6a156524f85?utm_source=l38pA3XYEJ")</f>
        <v/>
      </c>
      <c r="G32" t="inlineStr">
        <is>
          <t>New York, NY, US</t>
        </is>
      </c>
      <c r="H32" s="1" t="n">
        <v>46086</v>
      </c>
      <c r="I32" t="inlineStr">
        <is>
          <t>In the face of rising threats like severe storms and wildfires, increasing pressure on affordability, and unprecedented demands for system expansion, Treeswift empowers energy companies to modernize their field work to meet the unprecedented growth and challenges ahead.
To accomplish our mission we deploy our sensors into our customers' field operations, typically on backpacks or vehicles. The resulting trove of LiDAR and imagery data is processed through our AI models to deliver actionable analytics through our web platform. To date, our technology has enabled utilities to reduce wildfire, regulatory and outage risk from vegetation, avoid delays and cost overruns in new construction, and accelerate recovery from severe storms.
Since our first utility pilot in June 2024, we have rapidly expanded to now be working with three of the five largest utilities in the United States and are rapidly expanding across new customers and use cases.
To tackle this challenge we are bringing together a team of mission\-driven experts with deep industry experience in robotics (Penn, Caltech, CMU) and enterprise software development (Palantir, Stripe, Oracle, MongoDB). We have raised funding from leading investors including Penny Pritzker’s Inspired Capital.
Treeswift is a distributed team, and is headquartered in lower Manhattan, and maintains a satellite office in Philadelphia, as well as having some staff members closer to customer sites.
We hope you’ll join us on this journey.
**About the role**
You are a skilled and motivated Data Platform Engineer. You will:
* **Design, build, and maintain data pipelines at scale.** We run Apache Airflow 3 on Astronomer with pipelines that process terabytes of real\-world physical data across many file types—imagery, audio, point clouds, and more. You will develop and evolve DAGs that orchestrate complex, multi\-step workflows: dozens of tasks, fan out/in in pipelines, Python and Kubernetes operators split across generalized and specialized node pools, and dynamic DAG generation. You will work closely with our in\-house ML team (feature pipelines and model deployment live in these DAGs) and coordinate with our hardware team on ingestion and formats. Scope is a mix of pipeline development and platform ownership and we are happy to adjust the scope and balance of responsibilities based on your interests and strengths.
* **Help us scale and harden our data platform.** We have one dedicated data engineer today; you will be the second. The broader engineering team is highly collaborative and you will work with members of the full\-stack and machine learning teams. We are looking for someone to improve DAG design and execution, resource and cost tuning, reliability and observability, and contribute to how we run Airflow and Kubernetes in the cloud. If you enjoy writing pipelines and improving the platform that runs them, this role has room for both.
* **Stay curious, collaborative, and cross\-functional.** We are a small team where many people wear multiple hats. You will work alongside ML engineers, hardware engineers, and software engineers. Turning a technically complex set of requirements from a critical industry into a rich data set is at the center of what we do. We take pride in managing complexity and providing high\-fidelity data that our customers can use to make better\-informed decisions.
* **Be an owner at Treeswift; make the company better in whatever form that takes.** We value the full picture you bring—whether that’s deep expertise in orchestration, a knack for debugging at scale, or hidden talents outside work. We launched our platform last fall and have only scratched the surface of what’s possible in terms of finding ways to add value for our customer. You will partner closely with some of the largest utilities in the country and contribute to efforts to develop new workflows in work planning, construction and disaster response.
This is a full\-time, hybrid role based out of our Lower Manhattan, NYC office (2 days per week in person, currently pinned to Tuesdays and Wednesdays).
**Required skills**
* Bachelor’s degree in Computer Science, Computer Engineering, Math, or a related field (or equivalent experience).
* 4\+ years of data engineering or backend engineering experience with a focus on pipelines, orchestration, or platform.
* Hands\-on experience building and maintaining production data pipelines (e.g. Airflow, Prefect, Luigi, or similar). We use Python for our pipeline environment, machine learning, and developer tooling; we don’t require Python expertise and are happy for you to learn on the job.
* Experience with cloud object storage and data\-at\-scale (we use AWS and S3; cloud experience is required, but prior AWS experience is not).
* Comfort with Kubernetes and container\-based deployments in practice: running workloads on K8s, resource and volume configuration, and debugging pod/worker issues.
* Ability to own work end\-to\-end: design, implement, test, and operate pipelines and related tooling. You are comfortable picking up new parts of the stack when needed.
* Strong collaboration and communication; you work well with ML, hardware, and product stakeholders and can explain tradeoffs clearly.
**Nice\-to\-haves**
* Experience in early\-stage or fast\-moving environments where scope and ownership evolve.
* Experience with Apache Airflow (especially 3\.x) and/or Astronomer.
* Experience with geospatial data, imagery, lidar, or point clouds.
* Interest in utilities, forestry, or field operations and how data pipelines support those domains.
**Salary**
The estimated salary range for this position is 160,000 \- 200,000 USD. Total compensation for this position is determined by skills, qualifications, relevant work experience, location, and other factors. This salary estimate excludes the value of any potential bonuses; the value of any benefits offered; and the potential future value of any long\-term incentives. This information is provided per the New York City Human Rights Law. Please note that the range provided is applicable only to New York City\-based applicants. Base compensation may vary if the work location is outside of New York City.
Treeswift is proud to be an equal opportunity employer. We provide employment opportunities without regard to age, race, color, ancestry, national origin, religion, disability, sex, gender identity or expression, sexual orientation, veteran status, or any other protected status in accordance with applicable law.
If you require any accommodations during the recruitment process, whether it be alternate forms of material, accessible meeting rooms, etc., please let us know and we will work with you to meet your needs.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li-4355247055</t>
        </is>
      </c>
      <c r="B2" t="inlineStr">
        <is>
          <t>Analytics Engineer (Hybrid)</t>
        </is>
      </c>
      <c r="C2" t="inlineStr">
        <is>
          <t>Weedmaps</t>
        </is>
      </c>
      <c r="D2" t="inlineStr">
        <is>
          <t>linkedin</t>
        </is>
      </c>
      <c r="E2">
        <f>HYPERLINK("https://www.linkedin.com/jobs/view/4355247055", "https://www.linkedin.com/jobs/view/4355247055")</f>
        <v/>
      </c>
      <c r="F2">
        <f>HYPERLINK("https://job-boards.greenhouse.io/weedmaps77/jobs/8382384002?gh_src=0cb2d2f52&amp;urlHash=CsGu", "https://job-boards.greenhouse.io/weedmaps77/jobs/8382384002?gh_src=0cb2d2f52&amp;urlHash=CsGu")</f>
        <v/>
      </c>
      <c r="G2" t="inlineStr">
        <is>
          <t>New York, NY</t>
        </is>
      </c>
      <c r="H2" t="inlineStr"/>
      <c r="I2" t="inlineStr">
        <is>
          <t>**Overview**
 The
 **Analytics Engineer** 
 at Weedmaps will be a key technical contributor within our Data organization, supporting various aspects of the business. In this role, you will build and maintain data pipelines and analytics frameworks to answer business questions and enable root cause problem solving. You will collaborate extensively with business, engineering, product, and data science teams to drive data\-informed decision making across our customer acquisition and retention strategies. The ideal candidate combines strong technical skills with e\-commerce domain knowledge and can translate business requirements into scalable data solutions that deliver measurable impact on our growth metrics.
 As part of our Data organization, you will develop robust analytics systems that address unique challenges in our marketplace, including user journey exploration, customer and product analytics. The explosive growth of the cannabis industry requires increasingly sophisticated analytics solutions that can scale with our business and comply with complex regulatory requirements.
**The Impact You'll Make**
* Design fault\-tolerant dbt models to synthesize data from multiple sources into mart tables
* Design and implement Sigma dashboards and Streamplit apps to provide clear insights into performance
* Automate regular reporting workflows to reduce manual effort and increase data consistency
* Create self\-service tools that empower business teams to access insights independently
* Analyze experiment results to identify opportunities for improving ROI
* Develop and maintain data pipelines using SQL within modern data stack tools (Snowflake, DBT, Metaplane)
* Create and document data models that transform raw data into reliable, business\-ready datasets with accompanying dictionaries and testing
* Implement data quality checks and testing frameworks to ensure the accuracy and reliability of analytics
**What You've Accomplished**
* 4\+ years of experience in data engineering, or similar technical role
* 2\+ years of experience in analytics engineering
* Experience with modern data warehouse platforms, preferably Snowflake
* Expertise in SQL and data modeling with dbt
* Proficiency in Python
**Bonus Points**
* Experience with business intelligence tools, preferably Sigma
* E\-commerce or marketplace business experience preferred
* Regulated industry experience \- nice to have
*The base pay range for this position is $170,000\- $193,363 per year*
**2026 US Benefits For Full Time, Regular Employees**
* Physical Health (Medical, Dental \&amp; Vision)
+ 100% employer\-paid premium for employees
+ Up to 80% coverage for dependents
+ Company HSA contribution with the High Deductible Health Plan
* 401(k) Retirement Plan (employer will match contribution up to 3\.5% of employee contribution)
* Basic Life, Voluntary Life and AD\&amp;D Insurance options
* Supplemental, voluntary benefits
+ Student Loan Repayment/529 Education Savings with a monthly company contribution
+ FSA (Medical, Dependent, Transit and Parking)
+ Voluntary Life and AD\&amp;D Insurance
+ Critical Illness Insurance
+ Accident Insurance
+ Short\- and Long\-term Disability Insurance
+ Pet Insurance
+ Identity theft protection
+ Legal access to a network of attorneys
* PTO, paid sick leave, and company holidays (including a 2026 holiday shutdown)
* Paid parental leave
**Why Work at Weedmaps?**
 Life at Weedmaps means innovation and heart. Come join us if you care about the plant, the people who love it, and are ready to let your talent shine. We foster a bustling and collaborative culture that revolves around an environment that focuses on the benefits of weed, and the community that supports it.
 You too can have a hand in shaping the industry’s future; ready to roll with us?
 See how we’ve grown—our journey, leadership team, and what’s next at Weedmaps.com/corporate
**About Weedmaps**
 Founded in 2008, we’ve grown from a small startup to a global leader in the cannabis industry. Our dedication to transparency, education, and community has set us apart, and today, we proudly serve cannabis to consumers and businesses in the U.S. and worldwide.
 “Freedom to choose. Freedom to access. Freedom to enjoy.”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t>
        </is>
      </c>
    </row>
    <row r="3">
      <c r="A3" t="inlineStr">
        <is>
          <t>li-4372167280</t>
        </is>
      </c>
      <c r="B3" t="inlineStr">
        <is>
          <t>Analytics Engineer II</t>
        </is>
      </c>
      <c r="C3" t="inlineStr">
        <is>
          <t>Alma</t>
        </is>
      </c>
      <c r="D3" t="inlineStr">
        <is>
          <t>linkedin</t>
        </is>
      </c>
      <c r="E3">
        <f>HYPERLINK("https://www.linkedin.com/jobs/view/4372167280", "https://www.linkedin.com/jobs/view/4372167280")</f>
        <v/>
      </c>
      <c r="F3" t="inlineStr"/>
      <c r="G3" t="inlineStr"/>
      <c r="H3" t="inlineStr"/>
      <c r="I3" t="inlineStr">
        <is>
          <t>Alma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20,000 therapists in our growing network. Anyone looking for a therapist can browse Alma’s free directory. Alma has raised $220\.5M in funding from Insight Partners, Optum Ventures, Tusk Venture Partners, Primary Venture Partners, First Round Capital, Sound Ventures, BoxGroup, Cigna Ventures, and Rainfall Ventures. Alma was also named one of Inc’s Best Workplaces in 2022 and 2023\.
 Website
 Job Board
 Values
 Candidate Interview Guide
 Analytics Engineer II
 Alma is seeking a mission\-oriented Analytics Engineer to join our team. This person will work to build out and maintain Alma’s information systems that collect, manage and convert raw data standardized models for use by analysts and stakeholders across the company. This person will play an integral role in making data accessible to the organization so it can evaluate and operate effectively and successfully.
**What you’ll do:**
* Build models and queries to transform data into standardized formats that power our business analytics.
* Maintain and develop Alma’s data pipeline architecture
* Proactively identify, diagnose, and resolve data quality, reliability, and performance issues across the data lifecycle.
* Collaborate with stakeholders to define requirements and implement robust processes for ingesting data from diverse internal and external sources.
* Implement data governance best practices and ensure compliance with data policies.
* Work with the data team and cross\-team stakeholders to evaluate the priorities and needs of the company.
**Who you are:**
* You have 3\+ years of progressive experience in data engineering or analytics engineering, with a strong emphasis on building and optimizing data pipelines and data warehouses.
* You possess advanced SQL skills, with proven experience in writing complex, performant queries and optimizing them in a data warehouse environment like Redshift.
* You have a strong understanding of data warehousing and business intelligence tools.
* Experience with dbt is highly desirable; familiarity with BI tools (e.g., Looker, Metabase) is a plus.
* You enjoy exploring data sets and have technical expertise in data transformation and data modeling.
* You have some experience with Python
* You feel a passion for Alma's mission – to improve the experience of therapy for providers and their clients and simplify access to care.
*Tech Stack: Python, SQL, Redshift, dbt, Singer.io; (Familiarity with: Stitch, Lightdash, Metabase)*
**Benefits:**
* We’re a remote\-first company
* Health insurance plans through Aetna (medical and dental) and MetLife (vision), including FSA and HSA plans
* 401K plan (ADP)
* Lifestyle Spending Account for health, wellness, and family care
* Monthly co\-working space membership stipend
* Monthly work\-from\-home stipend
* Financial wellness benefits through Northstar
* Pet discount program through United Pet Care
* Financial perks and rewards through PerkSpot
* EAP access through Aetna
* One\-time home office stipend to set up your home office
* Inclusive family and medical leave plans
* 12 paid holidays and 1 Alma Give Back Day
* Flexible PTO
 Salary Band: $124,600\- $160,000
 Alma’s compensation philosophy is driven by our company value of building equity. To best ensure pay equity, we typically bring in new hires near the middle of our listed salary bands and we do not negotiate our compensation (i.e. all people hired at the same level \&amp; role are brought in at the same salary, equity, and benefits). The recruiter you work with can provide more details on our philosophy.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
 Learn more about how Alma handles applicant data by reading Alma's Applicant Privacy Notice.</t>
        </is>
      </c>
    </row>
    <row r="4">
      <c r="A4" t="inlineStr">
        <is>
          <t>li-4380662460</t>
        </is>
      </c>
      <c r="B4" t="inlineStr">
        <is>
          <t>Senior/Principal Analytics Engineer</t>
        </is>
      </c>
      <c r="C4" t="inlineStr">
        <is>
          <t>Bellota Labs</t>
        </is>
      </c>
      <c r="D4" t="inlineStr">
        <is>
          <t>linkedin</t>
        </is>
      </c>
      <c r="E4">
        <f>HYPERLINK("https://www.linkedin.com/jobs/view/4380662460", "https://www.linkedin.com/jobs/view/4380662460")</f>
        <v/>
      </c>
      <c r="F4" t="inlineStr"/>
      <c r="G4" t="inlineStr">
        <is>
          <t>Redwood City, CA</t>
        </is>
      </c>
      <c r="H4" t="inlineStr"/>
      <c r="I4" t="inlineStr">
        <is>
          <t>At Bellota Labs, we are a fast\-paced, hypergrowth startup poised to revolutionize the gaming world with ClubWPT Gold, a groundbreaking product from the World Poker Tour. Driven by innovation, game integrity, and exceptional customer experiences, we are on a mission to set new standards in online gaming. We are now looking for a Senior/Principal Analytics Engineer to join our dynamic team. This key role will own the end\-to\-end data and analytics infrastructure that powers business decisions across Finance, Marketing, Product, and Operations. Join us and be part of something big as we redefine the gaming landscape!
**Key Responsibilities:** 
* Design, build, and maintain production ETL pipelines and data models on Databricks, supporting daily and hourly business\-critical workflows
* Own the analytics data layer from raw ingestion through dimensional modeling to BI tool\-ready outputs while ensuring data quality, freshness, and reliability
* Build and maintain integrations with third\-party platforms, including mobile attribution, CRM, payment processors, and ad platforms
* Develop and maintain regulatory compliance data systems
* Partner directly with Finance, Marketing, Product, and CustOps stakeholders to translate business questions into data solutions from ad\-hoc analyses to automated reporting
* Build financial reconciliation pipelines with 99%\+ accuracy to support revenue tracking, cost allocation, and executive reporting
* Monitor production job health, triage failures, and maintain SLAs across 20\+ scheduled pipelines
* Drive data architecture decisions, establish conventions, and document systems for long\-term maintainability
**Experience:** 
* 5\+ years of experience in data engineering, analytics engineering, or a hybrid data role, delivering production\-grade pipelines and business\-facing analytics
* Advanced SQL skills, including window functions, MERGE patterns, incremental loads, and complex multi\-table joins
* Strong Python proficiency for ETL workflows, API integrations, and data transformations
* Experience owning a full data stack as the primary data professional in a fast\-moving environment
* Proven ability to work cross\-functionally, translating requests from non\-technical stakeholders into reliable data products
* Demonstrated experience handling PII, financial data, and compliance\-sensitive workflows with a focus on security and accuracy
* Exceptional communication skills, with the ability to explain data findings clearly to stakeholders
**Preferred Technologies (Nice to Have):** 
* Hands\-on experience with Databricks (Unity Catalog, Delta Lake, Dashboards, Genie)
* Tableau (datasource creation, extract management, dashboard development)
* REST API integration experience (marketing platforms, CRM systems, payment providers)
* Familiarity with BigQuery or cross\-cloud data workflows
* Claude Code expertise with an understanding of its capabilities and limitations
* Experience with statistical modeling or marketing analytics
* Git/GitHub\-based analytics development workflow
* Experience in gaming, fintech, or regulated industries
 Lead High\-Impact Projects – Play a key role in delivering innovative gaming experiences to a global audience
 Collaborate Across Borders – Work with talented teams across Asia and the US
 Fast\-Paced Growth – Be part of a hypergrowth startup with ambitious goals
 Competitive Benefits – Enjoy a top\-tier compensation package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li-4381014740</t>
        </is>
      </c>
      <c r="B5" t="inlineStr">
        <is>
          <t>Data Engineer</t>
        </is>
      </c>
      <c r="C5" t="inlineStr">
        <is>
          <t>AARATECH</t>
        </is>
      </c>
      <c r="D5" t="inlineStr">
        <is>
          <t>linkedin</t>
        </is>
      </c>
      <c r="E5">
        <f>HYPERLINK("https://www.linkedin.com/jobs/view/4381014740", "https://www.linkedin.com/jobs/view/4381014740")</f>
        <v/>
      </c>
      <c r="F5" t="inlineStr"/>
      <c r="G5" t="inlineStr"/>
      <c r="H5" t="inlineStr"/>
      <c r="I5"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6">
      <c r="A6" t="inlineStr">
        <is>
          <t>li-4381013701</t>
        </is>
      </c>
      <c r="B6" t="inlineStr">
        <is>
          <t>Data Engineer</t>
        </is>
      </c>
      <c r="C6" t="inlineStr">
        <is>
          <t>AARATECH</t>
        </is>
      </c>
      <c r="D6" t="inlineStr">
        <is>
          <t>linkedin</t>
        </is>
      </c>
      <c r="E6">
        <f>HYPERLINK("https://www.linkedin.com/jobs/view/4381013701", "https://www.linkedin.com/jobs/view/4381013701")</f>
        <v/>
      </c>
      <c r="F6" t="inlineStr"/>
      <c r="G6" t="inlineStr"/>
      <c r="H6" t="inlineStr"/>
      <c r="I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7">
      <c r="A7" t="inlineStr">
        <is>
          <t>li-4381007829</t>
        </is>
      </c>
      <c r="B7" t="inlineStr">
        <is>
          <t>Data Engineer</t>
        </is>
      </c>
      <c r="C7" t="inlineStr">
        <is>
          <t>AARATECH</t>
        </is>
      </c>
      <c r="D7" t="inlineStr">
        <is>
          <t>linkedin</t>
        </is>
      </c>
      <c r="E7">
        <f>HYPERLINK("https://www.linkedin.com/jobs/view/4381007829", "https://www.linkedin.com/jobs/view/4381007829")</f>
        <v/>
      </c>
      <c r="F7" t="inlineStr"/>
      <c r="G7" t="inlineStr"/>
      <c r="H7" t="inlineStr"/>
      <c r="I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8">
      <c r="A8" t="inlineStr">
        <is>
          <t>li-4382107734</t>
        </is>
      </c>
      <c r="B8" t="inlineStr">
        <is>
          <t>Data Engineer</t>
        </is>
      </c>
      <c r="C8" t="inlineStr">
        <is>
          <t>Pentangle Tech Services | P5 Group</t>
        </is>
      </c>
      <c r="D8" t="inlineStr">
        <is>
          <t>linkedin</t>
        </is>
      </c>
      <c r="E8">
        <f>HYPERLINK("https://www.linkedin.com/jobs/view/4382107734", "https://www.linkedin.com/jobs/view/4382107734")</f>
        <v/>
      </c>
      <c r="F8" t="inlineStr"/>
      <c r="G8" t="inlineStr">
        <is>
          <t>Massachusetts, United States</t>
        </is>
      </c>
      <c r="H8" t="inlineStr"/>
      <c r="I8" t="inlineStr">
        <is>
          <t>**Job Title:** 
 Cloud Developer
**Location:** 
 Boston , MA
**Duration:** 
 Long Term
**Job Description:** 
 We are seeking an AWS\-focused engineer to build and operate a cloud analytics and dashboard layer for device and fleet data. Data lands in S3 and is queried primarily through Amazon Athena. You will own the end\-to\-end delivery of reliable datasets, SQL queries, and visualization dashboards used by engineering and operations teams. This role requires strong execution in a fast\-paced, ambiguous environment, with a high bar for quality, operational excellence, and written communication.
**Responsibilities:** 
* Own dashboard and analytics deliverables end\-to\-end (design → build → test → release → operate).
* Build and maintain Amazon Athena SQL queries, views, and datasets that support filtering, drill\-down analysis, and repeatable reporting.
* Develop and enhance dashboards using Quick Sight and/or CloudWatch dashboards (or equivalent AWS\-native visualization tooling).
* Define metrics/KPIs with stakeholders and translate requirements into clear, actionable visualizations.
* Improve cost and performance of analytics workflows (partition strategies, query optimization, efficient formats, and operational guardrails).
* Drive data quality and correctness: detect schema changes, missing partitions, late data, and regressions; write RCAs and implement durable fixes.
* Implement mechanisms that scale (dashboards as mechanisms, SLIs/SLOs where applicable, alarms, runbooks, and automated checks).
* Collaborate cross\-functionally with teams responsible for ingestion/ETL; contribute to ETL as a plus (Lambda, Step Functions, scheduling).
**Essential Skills:** 
* 4\+ years of relevant experience delivering dashboards and analytics solutions in AWS.
* Strong SQL proficiency with experience building maintainable, production\-grade query logic.
* Hands\-on experience with Amazon Athena and S3\-based analytics workflows.
* Experience with Quick Sight and/or CloudWatch dashboards (or comparable visualization tools integrated with AWS).
* Proficiency in TypeScript (expected usage mix approximately 60% TypeScript / 40% other technologies).
* Strong SDLC discipline: Git, code reviews, automated testing, and CI/CD.
* Strong troubleshooting and root\-cause analysis skills; ability to drive issues to closure.
* Strong written communication (design notes, operational runbooks, incident summaries).
* Experience with AWS CDK (TypeScript) and Infrastructure as Code practices.
**Additional Skills \&amp; Qualifications:** 
* Experience building or supporting ETL pipelines using AWS Lambda, Step Functions, Glue, and/or Event Bridge.
* Familiarity with IoT/telemetry data flows (device\-to\-cloud) and schema evolution patterns.
* Experience with observability (logs/metrics/alerts), operational excellence practices, and on\-call readiness.</t>
        </is>
      </c>
    </row>
    <row r="9">
      <c r="A9" t="inlineStr">
        <is>
          <t>li-4381994704</t>
        </is>
      </c>
      <c r="B9" t="inlineStr">
        <is>
          <t>Data Engineer</t>
        </is>
      </c>
      <c r="C9" t="inlineStr">
        <is>
          <t>Gravity IT Resources</t>
        </is>
      </c>
      <c r="D9" t="inlineStr">
        <is>
          <t>linkedin</t>
        </is>
      </c>
      <c r="E9">
        <f>HYPERLINK("https://www.linkedin.com/jobs/view/4381994704", "https://www.linkedin.com/jobs/view/4381994704")</f>
        <v/>
      </c>
      <c r="F9" t="inlineStr"/>
      <c r="G9" t="inlineStr"/>
      <c r="H9" t="inlineStr"/>
      <c r="I9" t="inlineStr">
        <is>
          <t>We are looking for a hands\-on Senior Data Engineer with expertise in developing data ingestion pipelines. This role is crucial in designing, building, and maintaining our data infrastructure, focusing on creating scalable pipelines, ensuring data integrity, and optimizing performance. Must have at least 10 years of experience.
 Key skills include strong Snowflake expertise, advanced SQL proficiency, data extraction from APIs using Python and AWS Lambda, and experience with ETL/ELT processes. Workflow automation using AWS Airflow is essential, and experience with Fivetran and DBT is a plus.
**Job Responsibilities** 
1. Design, build, test, and implement scalable data pipelines using Python and SQL.
2. Maintain and optimize our Snowflake data warehouse’s performance, including data ingestion and query optimization.
3. Extract data from APIs using Python and AWS Lambda and automate workflows with AWS Airflow.
4. Perform analysis and critical thinking to troubleshoot data\-related issues and implement checks/scripts to enhance data quality.
5. Collaborate with other data engineers and architect to develop new pipelines and/or optimize existing ones.
6. Maintain code via CI/CD processes as defined in our Azure DevOps platform.
**Job Qualifications** 
1. 10\+ years of experience in Data Engineering roles, with a focus on building and implementing scalable data pipelines for data ingestion.
2. Expertise in Snowflake, including data ingestion and performance optimization.
3. Strong SQL skills for writing efficient queries and optimizing existing ones.
4. Proficiency in Python for data extraction from APIs using AWS Lambda, Glue, etc.
5. Experience with AWS services such as Lambda, Airflow, Glue, S3, SNS, etc.
6. Highly self\-motivated and detail\-oriented with strong communication skills.
7. Familiarity with ETL/ELT processes.
8. Experience with Fivetran and DBT is a plus.</t>
        </is>
      </c>
    </row>
    <row r="10">
      <c r="A10" t="inlineStr">
        <is>
          <t>li-4382102679</t>
        </is>
      </c>
      <c r="B10" t="inlineStr">
        <is>
          <t>Lead Data Engineer</t>
        </is>
      </c>
      <c r="C10" t="inlineStr">
        <is>
          <t>Sigmoid</t>
        </is>
      </c>
      <c r="D10" t="inlineStr">
        <is>
          <t>linkedin</t>
        </is>
      </c>
      <c r="E10">
        <f>HYPERLINK("https://www.linkedin.com/jobs/view/4382102679", "https://www.linkedin.com/jobs/view/4382102679")</f>
        <v/>
      </c>
      <c r="F10" t="inlineStr"/>
      <c r="G10" t="inlineStr">
        <is>
          <t>Omaha, TX</t>
        </is>
      </c>
      <c r="H10" t="inlineStr"/>
      <c r="I10" t="inlineStr">
        <is>
          <t>**Role Overview**
 We are looking for a skilled Data Engineer with strong expertise in cloud\-based data platforms, data engineering frameworks, and modern programming languages. The ideal candidate will have hands\-on experience with Azure, Databricks, and large\-scale data processing using Python and PySpark. This role requires strong collaboration with stakeholders and the ability to manage programs and deliver scalable data solutions.
**Key Responsibilities**
* Design, develop, and maintain scalable data pipelines using Python, PySpark, and SQL.
* Build and optimize data workflows on Azure Cloud using Databricks.
* Develop and implement efficient data models to support analytics and reporting requirements.
* Write optimized SQL queries for data transformation, integration, and analysis.
* Collaborate with cross\-functional teams to gather data requirements and translate them into technical solutions.
* Work closely with stakeholders to ensure data solutions align with business objectives.
* Develop and maintain components using TypeScript where required for data platform integrations.
* Ensure data quality, reliability, and performance across the data ecosystem.
* Lead or support program management activities, including planning, execution, and delivery of data initiatives.
**Required Skills**
* Strong programming skills in Python, PySpark, and SQL.
* Hands\-on experience with Azure Cloud Platform.
* Experience working with Azure Databricks for large\-scale data processing.
* Solid understanding of data modeling concepts and data architecture.
* Proficiency in SQL programming and query optimization.
* Experience with TypeScript development.
* Strong stakeholder management and communication skills.
* Experience in program management or managing complex data initiatives.
**Preferred Qualifications**
* Experience working with large\-scale data platforms and modern data architectures.
* Familiarity with data warehousing and analytics solutions.
* Ability to work in a fast\-paced, collaborative environment.</t>
        </is>
      </c>
    </row>
    <row r="11">
      <c r="A11" t="inlineStr">
        <is>
          <t>li-4381015598</t>
        </is>
      </c>
      <c r="B11" t="inlineStr">
        <is>
          <t>Data Engineer</t>
        </is>
      </c>
      <c r="C11" t="inlineStr">
        <is>
          <t>AARATECH</t>
        </is>
      </c>
      <c r="D11" t="inlineStr">
        <is>
          <t>linkedin</t>
        </is>
      </c>
      <c r="E11">
        <f>HYPERLINK("https://www.linkedin.com/jobs/view/4381015598", "https://www.linkedin.com/jobs/view/4381015598")</f>
        <v/>
      </c>
      <c r="F11" t="inlineStr"/>
      <c r="G11" t="inlineStr"/>
      <c r="H11" t="inlineStr"/>
      <c r="I11"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2">
      <c r="A12" t="inlineStr">
        <is>
          <t>li-4381012662</t>
        </is>
      </c>
      <c r="B12" t="inlineStr">
        <is>
          <t>Data Engineer</t>
        </is>
      </c>
      <c r="C12" t="inlineStr">
        <is>
          <t>AARATECH</t>
        </is>
      </c>
      <c r="D12" t="inlineStr">
        <is>
          <t>linkedin</t>
        </is>
      </c>
      <c r="E12">
        <f>HYPERLINK("https://www.linkedin.com/jobs/view/4381012662", "https://www.linkedin.com/jobs/view/4381012662")</f>
        <v/>
      </c>
      <c r="F12" t="inlineStr"/>
      <c r="G12" t="inlineStr"/>
      <c r="H12" t="inlineStr"/>
      <c r="I12"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3">
      <c r="A13" t="inlineStr">
        <is>
          <t>li-4354166851</t>
        </is>
      </c>
      <c r="B13" t="inlineStr">
        <is>
          <t>Senior AI Data Engineer</t>
        </is>
      </c>
      <c r="C13" t="inlineStr">
        <is>
          <t>VideoAmp</t>
        </is>
      </c>
      <c r="D13" t="inlineStr">
        <is>
          <t>linkedin</t>
        </is>
      </c>
      <c r="E13">
        <f>HYPERLINK("https://www.linkedin.com/jobs/view/4354166851", "https://www.linkedin.com/jobs/view/4354166851")</f>
        <v/>
      </c>
      <c r="F13" t="inlineStr"/>
      <c r="G13" t="inlineStr">
        <is>
          <t>New York, NY</t>
        </is>
      </c>
      <c r="H13" t="inlineStr"/>
      <c r="I13" t="inlineStr">
        <is>
          <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“I’ll find a way” instead of saying “it can’t be done.”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
**Role \&amp; Responsibilities**
 VideoAmp is seeking a Senior AI Data Engineer to join our Linear Data Processing (LDP) team. This role focuses on building production\-grade AI and LLM\-powered systems directly into large\-scale data pipelines that support audience measurement, currency, identity, and metadata workflows across linear and digital media.
 You will apply LLMs and classical ML to real\-world linear TV problems: network\-specific schedules, hourly viewership logs, program metadata, and commercial schedules that vary widely by partner, format, and quality.
* Design and operate AI\- and LLM\-enabled data pipelines processing billions of linear and digital records
* Build and productionize LLM\-driven systems for concrete LDP problems, including: Network \&amp; Program Schedules
+ Normalize network\-specific program schedules with inconsistent naming, time boundaries, and formatting
+ Infer program identity, episode, and season from sparse or ambiguous schedule metadata
+ Detect and reconcile schedule discrepancies across multiple upstream providers
* Hourly Viewership Logs
+ Interpret and normalize hourly (and sub\-hourly) viewership logs with varying schemas and aggregation rules
+ Use LLMs to assist with schema inference, validation, and semantic consistency checks
+ Generate structured explanations for anomalous spikes, drops, or gaps in viewership data
* Commercial \&amp; Ad Spot Metadata
+ Enrich and classify commercial schedules and ad spot metadata, including creative names, durations, and placements
+ Resolve inconsistencies between planned schedules and aired spots
+ Support automated deduplication and alignment of ad spots across networks and feeds
* Combine LLMs with rules, heuristics, and ML models to ensure deterministic, auditable outcomes
* Own the end\-to\-end AI lifecycle, including:
+ Prompt design and evaluation
+ Feature engineering and training pipelines
+ Deployment, monitoring, drift detection, and retraining
* Integrate LLMs responsibly into batch and event\-driven LDP workflows, balancing accuracy, latency, and cost
* Build human\-in\-the\-loop workflows for high\-impact or low\-confidence cases
* Collaborate closely with Measurement, Identity, Library, and Product teams to translate ambiguous data issues into scalable AI solutions
* Provide technical leadership through design reviews, mentorship, and architectural guidance
**What We’re Looking For**
* 4\+ years of experience in AI/ML engineering, applied ML systems, or data engineering
* Demonstrated experience shipping LLM\-powered systems into production
* Strong understanding of:
+ Prompt engineering and evaluation frameworks
+ Embeddings and similarity search on structured and semi\-structured data
+ Hybrid AI systems that combine LLMs with deterministic logic
* Proficiency in Python and SQL; strong software engineering fundamentals
* Experience working with large\-scale data platforms and distributed systems
* Ability to design AI systems that meet measurement\-grade reliability, explainability, and auditability requirements
**Strong Plus**
* Experience working with TV schedules, viewership logs, or advertising metadata
* Familiarity with linear TV measurement or media data pipelines
* Experience applying AI in compliance\-sensitive or customer\-facing measurement systems
* Knowledge of MLOps / LLMOps best practices
**What Success Looks Like At VideoAmp**
* LLM\-powered systems materially reduce manual curation of schedules and metadata
* Data quality issues are detected earlier and explained more clearly
* Measurement pipelines become more adaptive to partner\-specific formats
* AI systems are trusted, observable, and operationally stable
**What We Offer**
 This position pays between
 **$150,000 \- $170,000 \+ Equity \+ Benefits.** 
 The actual compensation offer will be determined by a number of factors, including, but not limited to, applicant's qualifications, skills, and experience.
* Discretionary and flexible paid time off
* In addition to standard US holidays off, VideoAmp employees also partake in Spring, Summer and Winter breaks
* Comprehensive medical, dental, and vision benefits for you and your dependents—including multiple options fully covered by VideoAmp
* Unlimited financial wellness sessions with Origin financial advisors
* 401k Plan with matching
* HSA \&amp; FSA
* Commuter Benefits
* Cell Phone Reimbursement
* Paid Maternity and Parental Leave for All Family Additions
 We are on a collective mission to bring equity and transparency into media measurement, and that begins with an honest, inclusive culture. At VideoAmp, we empower our team to thrive through collaboration, mentorship, and innovation. If you’re passionate about technical revenue accounting, SaaS transformation, and AdTech innovation, we’d love to hear from you.
 Above all, if you’re eager to influence and support the revolutionary goals of a dynamic, cross\-functional team—join us and make an impact!</t>
        </is>
      </c>
    </row>
    <row r="14">
      <c r="A14" t="inlineStr">
        <is>
          <t>li-4362645594</t>
        </is>
      </c>
      <c r="B14" t="inlineStr">
        <is>
          <t>Senior Data Engineer</t>
        </is>
      </c>
      <c r="C14" t="inlineStr">
        <is>
          <t>Rockstar Games</t>
        </is>
      </c>
      <c r="D14" t="inlineStr">
        <is>
          <t>linkedin</t>
        </is>
      </c>
      <c r="E14">
        <f>HYPERLINK("https://www.linkedin.com/jobs/view/4362645594", "https://www.linkedin.com/jobs/view/4362645594")</f>
        <v/>
      </c>
      <c r="F14">
        <f>HYPERLINK("https://job-boards.greenhouse.io/rockstargames/jobs/7564354003&amp;urlHash=xXej", "https://job-boards.greenhouse.io/rockstargames/jobs/7564354003&amp;urlHash=xXej")</f>
        <v/>
      </c>
      <c r="G14" t="inlineStr">
        <is>
          <t>Manhattan, NY</t>
        </is>
      </c>
      <c r="H14" t="inlineStr"/>
      <c r="I14"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seeking a Senior Data Engineer to join a team building a cutting\-edge game analytics platform and tools to better understand our players and enhance their experience across our titles.
 The ideal candidate will be skilled in developing complex ingestions and transformation processes with an emphasis on reliability and performance. In collaboration with other Data Engineers, Machine Learning Engineers, and Software Engineers, the candidate will empower the team of Analysts and Data Scientists to deliver data driven insights and applications across the company.
 This is a full\-time, in\-office position based out of Rockstar’s NYC headquarters in Downtown Manhattan.
**What We Do**
* The Rockstar Data Engineering team provides insights and actionable results to a wide variety of teams across the organization in support of their decision making.
* We work with petabyte\-scale data in Azure and Databricks, building both real\-time and batch pipelines that power analytics, machine learning, and player experience improvements.
**Responsibilities**
* Design, build, and own real\-time and batch data pipelines in Azure Databricks using Spark, Airflow, and modern orchestration and build tools.
* Drive engineering excellence by implementing robust testing practices (unit, integration), code review standards, and CI/CD automation.
* Architect Data Models for massive\-scale MPP engines (Databricks/Spark, SQL, Snowflake) that balance performance, maintainability, and analytical flexibility.
* Collaborate with Data Scientists, Analysts, and ML Engineers to gather requirements, understand use cases, and deliver reliable data products.
* Identify and implement improvements to our data platform, pipelines, and development processes with autonomy to POC new approaches and technologies.
* Mentor, elevate, and learn with the team by sharing insights, maintaining documentation, and establishing engineering best practices.
* Own projects end\-to\-end, from gathering requirements and technical design through implementation, testing, and production support.
**Requirements**
* 5\+ years of work experience with designing and development of modern data pipelines.
* 4\+ years of experience with Python for data engineering (building maintainable, testable code) and Spark for large\-scale data processing.
* Strong software engineering fundamentals – design patterns, testing strategies (unit, integration) code review practices, system design thinking.
* Expert\-level SQL and deep understanding of query optimization, data structures, and performance tuning.
* Track record of building and optimizing terabyte or petabyte\-scale data warehouses.
* Ability to work independently on loosely\-defined projects – gathering requirements, making architectural decisions, and following through completion.
* Experience building Real\-Time and/or Near\-Real\-Time data pipelines.
* Outstanding communication and interpersonal skills, including the ability to tailor communication style to technical and non\-technical audiences.
**PLUSES**
 Please note that these are desirable skills and are not required to apply for the position.
* Databricks platform experience (Delta Lake, Unity Catalog, Workflows).
* Experience with Data warehouses (such as data modeling and technical architectures) and infrastructure components.
* Containerization and orchestration (Docker, Kubernetes).
* Experience with Java or Scala.
* Experience with CI/CD (TeamCity, Octopus).
* RESTful API design, usage, and consumption.
* Gaming industry experience or passion for games.
* Experience in Machine Learning pipelines and popular libraries.
**Additional Information**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$121,400—$161,800 USD</t>
        </is>
      </c>
    </row>
    <row r="15">
      <c r="A15" t="inlineStr">
        <is>
          <t>li-4332904993</t>
        </is>
      </c>
      <c r="B15" t="inlineStr">
        <is>
          <t>Sr. Data Engineer</t>
        </is>
      </c>
      <c r="C15" t="inlineStr">
        <is>
          <t>SS&amp;C Technologies</t>
        </is>
      </c>
      <c r="D15" t="inlineStr">
        <is>
          <t>linkedin</t>
        </is>
      </c>
      <c r="E15">
        <f>HYPERLINK("https://www.linkedin.com/jobs/view/4332904993", "https://www.linkedin.com/jobs/view/4332904993")</f>
        <v/>
      </c>
      <c r="F15" t="inlineStr"/>
      <c r="G15" t="inlineStr">
        <is>
          <t>New York, NY</t>
        </is>
      </c>
      <c r="H15" t="inlineStr"/>
      <c r="I15"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6">
      <c r="A16" t="inlineStr">
        <is>
          <t>li-4332875236</t>
        </is>
      </c>
      <c r="B16" t="inlineStr">
        <is>
          <t>Sr. Data Engineer</t>
        </is>
      </c>
      <c r="C16" t="inlineStr">
        <is>
          <t>SS&amp;C Technologies</t>
        </is>
      </c>
      <c r="D16" t="inlineStr">
        <is>
          <t>linkedin</t>
        </is>
      </c>
      <c r="E16">
        <f>HYPERLINK("https://www.linkedin.com/jobs/view/4332875236", "https://www.linkedin.com/jobs/view/4332875236")</f>
        <v/>
      </c>
      <c r="F16" t="inlineStr"/>
      <c r="G16" t="inlineStr">
        <is>
          <t>San Francisco, CA</t>
        </is>
      </c>
      <c r="H16" t="inlineStr"/>
      <c r="I1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7">
      <c r="A17" t="inlineStr">
        <is>
          <t>li-4381958601</t>
        </is>
      </c>
      <c r="B17" t="inlineStr">
        <is>
          <t>Data Engineer, Sr.</t>
        </is>
      </c>
      <c r="C17" t="inlineStr">
        <is>
          <t>Wiraa</t>
        </is>
      </c>
      <c r="D17" t="inlineStr">
        <is>
          <t>linkedin</t>
        </is>
      </c>
      <c r="E17">
        <f>HYPERLINK("https://www.linkedin.com/jobs/view/4381958601", "https://www.linkedin.com/jobs/view/4381958601")</f>
        <v/>
      </c>
      <c r="F17" t="inlineStr"/>
      <c r="G17" t="inlineStr"/>
      <c r="H17" t="inlineStr"/>
      <c r="I17" t="inlineStr">
        <is>
          <t>**About The Company**
 Centene Corporation is a diversified, national organization dedicated to transforming the health of our communities through innovative healthcare solutions. Serving over 28 million members across the United States, Centene is committed to providing accessible, high\-quality healthcare services to underserved populations. With a focus on leveraging technology to improve health outcomes, Centene offers a dynamic work environment where professionals can make a meaningful impact. The organization prides itself on fostering a culture of diversity, inclusion, and continuous improvement, supported by competitive benefits and flexible work arrangements.
**About The Role**
 We are seeking a highly skilled Data Engineer to join our team and play a pivotal role in developing and operationalizing data pipelines that support business intelligence and advanced analytics initiatives. The successful candidate will be responsible for designing, building, and maintaining scalable data architectures, ensuring the integrity and quality of data as it moves across various environments. This role involves collaborating with DevSecOps engineers to facilitate continuous integration and deployment processes, optimizing data workflows, and automating data management tasks. The Data Engineer will also provide guidance to team members on data management best practices, troubleshoot system issues, and contribute to the development of real\-time processing applications. The position offers an exciting opportunity to work with cutting\-edge technologies and contribute to impactful healthcare solutions that benefit millions of members nationwide.
**Qualifications**
* Bachelor’s degree in statistics, mathematics, engineering, computer science, or a related quantitative or business field
* 4 to 6 years of relevant experience in data engineering or a comparable role
* Proficiency in programming languages such as Python, Java, C\#, or SQL
* Experience with Big Data processing and data pipeline development
* Knowledge of cloud infrastructure and data management in production environments
* Understanding of data validation, quality assurance, and troubleshooting system issues
* Familiarity with data manipulation, data mining, and real\-time data processing applications
* Strong analytical, project management, and problem\-solving skills
* Ability to work independently and demonstrate high accuracy in a fast\-paced environment
**Responsibilities**
* Develop and operationalize scalable data pipelines for ingestion, transformation, validation, and consumption of data for reports and analytics
* Design, build, and maintain high\-performance, large\-scale data structures supporting business intelligence initiatives
* Collaborate with DevSecOps engineers to integrate continuous deployment and automation processes
* Guide the team in implementing complex data management procedures including data staging, ingestion, and destruction
* Ensure the quality, reliability, and security of data as it moves across various environments
* Develop real\-time processing applications and data pipelines to support immediate analytics needs
* Identify opportunities for automation to improve data efficiency and quality
* Perform troubleshooting, system issue diagnosis, and perform data validation and testing
* Contribute to the development of data architectures using advanced programming tools and languages
* Stay informed on evolving data processing technologies and recommend viable solutions to management
* Ensure compliance with organizational policies and data governance standards
**Benefits**
* Competitive salary package within the range of $87,000 to $161,300 annually
* Comprehensive health insurance coverage
* Retirement plans including 401K and stock purchase options
* Tuition reimbursement programs to support continuous learning
* Paid time off and holidays to promote work\-life balance
* Flexible work arrangements including remote, hybrid, field, or office\-based schedules
* Opportunities for professional growth and development within a supportive environment
 Equal Opportunity
 Centene Corporation is an equal opportunity employer committed to fostering a diverse and inclusive workplace. We value the unique perspectives and experiences of all applicants and employees. All qualified candidates will receive consideration for employment regardless of race, color, religion, sex, sexual orientation, gender identity, national origin, disability, veteran status, or any other characteristic protected by law. We also consider qualified applicants with arrest or conviction records in accordance with applicable laws, including the LA County Ordinance and the California Fair Chance Act.</t>
        </is>
      </c>
    </row>
    <row r="18">
      <c r="A18" t="inlineStr">
        <is>
          <t>li-4381965679</t>
        </is>
      </c>
      <c r="B18" t="inlineStr">
        <is>
          <t>Data Engineer</t>
        </is>
      </c>
      <c r="C18" t="inlineStr">
        <is>
          <t>Calyptus</t>
        </is>
      </c>
      <c r="D18" t="inlineStr">
        <is>
          <t>linkedin</t>
        </is>
      </c>
      <c r="E18">
        <f>HYPERLINK("https://www.linkedin.com/jobs/view/4381965679", "https://www.linkedin.com/jobs/view/4381965679")</f>
        <v/>
      </c>
      <c r="F18" t="inlineStr"/>
      <c r="G18" t="inlineStr">
        <is>
          <t>New York, United States</t>
        </is>
      </c>
      <c r="H18" t="inlineStr"/>
      <c r="I1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9">
      <c r="A19" t="inlineStr">
        <is>
          <t>li-4380280420</t>
        </is>
      </c>
      <c r="B19" t="inlineStr">
        <is>
          <t>Senior Data Engineer</t>
        </is>
      </c>
      <c r="C19" t="inlineStr">
        <is>
          <t>cpp.ai</t>
        </is>
      </c>
      <c r="D19" t="inlineStr">
        <is>
          <t>linkedin</t>
        </is>
      </c>
      <c r="E19">
        <f>HYPERLINK("https://www.linkedin.com/jobs/view/4380280420", "https://www.linkedin.com/jobs/view/4380280420")</f>
        <v/>
      </c>
      <c r="F19" t="inlineStr"/>
      <c r="G19" t="inlineStr"/>
      <c r="H19" t="inlineStr"/>
      <c r="I19" t="inlineStr">
        <is>
          <t>**Senior Data Engineer – Robotics \&amp; Automation** 
 We are building advanced automated production systems that combine
 **robotics, data, and intelligent automation** 
 to transform how fresh food is produced at scale. Our engineering team develops cutting\-edge technology that generates large volumes of operational and robotic data, enabling real\-time insights and continuous system optimization.
 We are seeking a
 **Senior Data Engineer** 
 to design, build, and maintain the data platform that powers analytics and operational insights across the organization. This role will focus on
 **building scalable data pipelines, managing high\-volume robotics data, and developing tools that turn complex data into actionable insights.** 
**Responsibilities** 
* Design, build, and maintain
 **production\-grade data ingestion pipelines** 
 for high\-volume robotics and operational data
* Develop and optimize
 **ETL workflows** 
 to support real\-time and batch data processing
* Maintain and improve
 **data pipelines, DAGs, and databases** 
 supporting analytics and operational systems
* Implement
 **monitoring, alerting, and debugging tools** 
 to ensure reliability of data infrastructure
* Build
 **analytics dashboards and internal tools** 
 to visualize system performance and operational metrics
* Aggregate and model data from multiple sources into a
 **centralized data warehouse**
* Establish and maintain
 **data quality standards, governance, and lifecycle management practices**
* Partner cross\-functionally with engineering, operations, and business teams to deliver
 **data\-driven solutions**
**Qualifications** 
* **6\+ years of experience building and operating scalable data platforms**
* Strong programming skills in
 **Python and SQL**
* Experience designing and maintaining
 **ETL pipelines and data workflows**
* Hands\-on experience with
 **AWS data infrastructure** 
 (S3, EC2, RDS, Redshift or similar)
* Experience with
 **workflow orchestration tools** 
 such as Airflow
* Experience working with
 **large\-scale datasets or log/event\-driven data**
* Strong understanding of
 **data modeling and data warehouse architecture**
* Experience building
 **dashboards, analytics tools, or internal data applications**
* Familiarity with
 **Docker and Linux\-based development environments**
**Nice to Have** 
* Experience working with
 **robotics, IoT, or automation\-generated data**
* Experience with
 **modern cloud data warehouses**
* Startup or high\-growth environment experience
 Location
 Remote or hybrid, with preference for candidates near
 **New Jersey or Denver** 
 .</t>
        </is>
      </c>
    </row>
    <row r="20">
      <c r="A20" t="inlineStr">
        <is>
          <t>li-4381971104</t>
        </is>
      </c>
      <c r="B20" t="inlineStr">
        <is>
          <t>Data Engineer</t>
        </is>
      </c>
      <c r="C20" t="inlineStr">
        <is>
          <t>Wiraa</t>
        </is>
      </c>
      <c r="D20" t="inlineStr">
        <is>
          <t>linkedin</t>
        </is>
      </c>
      <c r="E20">
        <f>HYPERLINK("https://www.linkedin.com/jobs/view/4381971104", "https://www.linkedin.com/jobs/view/4381971104")</f>
        <v/>
      </c>
      <c r="F20" t="inlineStr"/>
      <c r="G20" t="inlineStr"/>
      <c r="H20" t="inlineStr"/>
      <c r="I20" t="inlineStr">
        <is>
          <t>**About The Company**
 Oceanbluecorp is a forward\-thinking organization dedicated to leveraging data\-driven insights to drive innovation and business growth. We operate at the forefront of technology, providing solutions that empower clients across various industries. Our team comprises talented professionals committed to excellence, collaboration, and continuous learning. As part of our growth strategy, we are investing in expanding our data capabilities to enhance decision\-making processes and deliver exceptional value to our stakeholders.
**About The Role**
 We are seeking a highly skilled and motivated Data Engineer to join our innovative team. In this role, you will be responsible for designing, building, and maintaining scalable data pipelines and infrastructure that support our data\-driven initiatives. You will work closely with cross\-functional teams, including data scientists, analysts, and platform engineers, to ensure the availability, reliability, and performance of our data systems. Your expertise will be critical in developing robust data solutions that enable advanced analytics, reporting, and operational efficiencies.
**Qualifications**
* Bachelor’s or master’s degree in computer science, Information Systems, or related fields
* Proven experience in data engineering, software development, or related roles
* Proficiency in programming languages commonly used in data engineering (e.g., Python, PySpark, Java, Scala)
* Strong knowledge of database systems, data modeling techniques, and SQL proficiency (e.g., Snowflake, MS Fabric, SQL Server, Oracle, Azure SQL)
* Experience with ETL tools such as Informatica, Databricks, Azure Data Factory
* Experience with dashboard and reporting tools like Tableau, Power BI, Looker
* Hands\-on experience with big data technologies and frameworks (Hadoop, Spark, Kafka)
* Familiarity with cloud platforms and services including AWS, Azure, Google Cloud Platform
* Excellent problem\-solving skills and attention to detail
* Effective communication and collaboration skills in a team\-oriented environment
* Ability to adapt to evolving technologies and business requirements
**Responsibilities**
* Design, implement, and optimize end\-to\-end data pipelines for ingesting, processing, and transforming large volumes of structured and unstructured data
* Develop robust ETL processes to integrate data from diverse sources into our data ecosystem
* Implement data validation and quality checks to ensure data accuracy and consistency
* Design and maintain data models, schemas, and database structures to support analytical and operational use cases
* Optimize data storage and retrieval mechanisms for performance and scalability, evaluating solutions such as relational databases, NoSQL databases, data lakes, and cloud storage
* Build and maintain integrations with internal and external data sources and APIs, including RESTful services and web applications
* Configure and manage data infrastructure components including databases, data warehouses, data lakes, and distributed computing frameworks
* Monitor system performance, troubleshoot issues, and implement optimizations to enhance reliability and efficiency
* Implement data security controls and access management policies to safeguard sensitive information
* Collaborate with data scientists, analysts, and stakeholders to understand data requirements and deliver tailored solutions
* Document technical designs, workflows, and best practices to facilitate knowledge sharing and system maintenance
* Provide technical guidance and support to team members and stakeholders, participating in reviews, sprints, POCs, and reusable frameworks
**Benefits**
* Competitive salary and performance\-based incentives
* Comprehensive health, dental, and vision insurance plans
* Flexible work hours and remote work options
* Opportunities for professional development and continuous learning
* Inclusive and collaborative work environment
* Paid time off and holidays
* Access to cutting\-edge tools and technologies
 Equal Opportunity Employer
 Oceanbluecorp is an equal opportunity employer and value diversity at our company. We do not discriminate based on race, color, religion, sex, sexual orientation, gender identity, national origin, age, genetic information, disability, protected veteran status, or any other legally protected group. We are committed to creating an inclusive environment for all employees and applicants.</t>
        </is>
      </c>
    </row>
    <row r="21">
      <c r="A21" t="inlineStr">
        <is>
          <t>li-4354207057</t>
        </is>
      </c>
      <c r="B21" t="inlineStr">
        <is>
          <t>Staff Data Engineer</t>
        </is>
      </c>
      <c r="C21" t="inlineStr">
        <is>
          <t>Sony Interactive Entertainment</t>
        </is>
      </c>
      <c r="D21" t="inlineStr">
        <is>
          <t>linkedin</t>
        </is>
      </c>
      <c r="E21">
        <f>HYPERLINK("https://www.linkedin.com/jobs/view/4354207057", "https://www.linkedin.com/jobs/view/4354207057")</f>
        <v/>
      </c>
      <c r="F21">
        <f>HYPERLINK("https://job-boards.greenhouse.io/sonyinteractiveentertainmentglobal/jobs/5767962004?gh_src=sgp49gfz4us&amp;urlHash=216j", "https://job-boards.greenhouse.io/sonyinteractiveentertainmentglobal/jobs/5767962004?gh_src=sgp49gfz4us&amp;urlHash=216j")</f>
        <v/>
      </c>
      <c r="G21" t="inlineStr">
        <is>
          <t>San Mateo, CA</t>
        </is>
      </c>
      <c r="H21" t="inlineStr"/>
      <c r="I2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Engineer (ICDS)**
**San Mateo, CA**
 PlayStation® is for The Players.
 With over 150 million customers in 109 countries, Sony Interactive Entertainment (SIE) is committed to using data to understand The Players: our customers, better than anyone else. Using the amazing networked power of PlayStation®5 and our other PlayStation systems, we learn how they use them for gaming, and also how they use the networked services like streamed games, music, video, and how they pay, and how we can improve their customer experience. We work with game developers, marketing, R\&amp;D, PlayStation®Store, and many other parts of Sony to constantly improve our customer experience and maximize our business potential.
 The ICDS DE team has grown rapidly over recent years in response to an increasing need for the business to leverage data to inform and shape key decisions, and to identify new opportunities. Currently, there are approximately 170 staff within the ICDS DE team, split between London and California, made up of high\-quality data professionals covering architecture and platform support, data processing, and technical program management
 Due to team expansion, ICDS DE is looking to recruit talented, highly driven individuals who have excelled in previous roles and are looking for a new challenge in a dynamic and rewarding environment.
 ICDS delivers data that powers Analytics, Data sciences, Marketing, ML, and multiple other teams across the companies and offices that make up the PlayStation business: high quality, valuable to the user, accessible, and continuously improving.
**ICDS Staff Data Engineer**
 We are looking for a Staff Data Engineer to join the ICDS Player DE team within the Sony PlayStation environment.
 A Staff Data Engineer is required to own and evolve large\-scale streaming and batch data platforms, providing technical leadership and architectural direction across the data ecosystem.
 Based in our San Mateo offices, the team provides data services for various global business units associated with Sony PlayStation.
**Responsibilities**
**Technical Leadership \&amp; Architecture**
* Lead the design and evolution of large\-scale batch and real\-time data platforms using Apache Spark, Flink, and Databricks
* Define streaming and event\-driven architectures (low\-latency, exactly\-once, high\-throughput) using Flink and Scala
* Set architectural standards for data reliability, scalability, observability, and cost efficiency
* Own end\-to\-end system design for mission\-critical data products, from ingestion to consumption
**Data Pipeline Development**
* Build and maintain high\-performance data pipelines in Scala and Python for both batch and streaming workloads
* Develop real\-time processing jobs (windowing, stateful processing, joins) using Flink
* Optimize Spark jobs for performance, cost, and data correctness on Databricks
* Implement robust data quality checks, schema evolution, and fault tolerance
**Platform \&amp; Operations Excellence**
* Drive best practices for CI/CD, automated testing, and deployment of data pipelines
* Establish monitoring, alerting, and SLAs for data systems
* Lead efforts in capacity planning, performance tuning, and cost optimization
* Partner with SRE / Platform teams on reliability, scaling, and incident response
* Ensure code is fully scalable, maintainable, and performant
**Cross\-Functional Collaboration**
* Work closely with product managers, analytics, ML, and backend teams to translate business requirements into scalable data solutions
* Enable downstream use cases including analytics, reporting, experimentation, and machine learning
* Influence data modeling and contract design to ensure long\-term platform sustainability
* Work proactively to address project requirements, and articulate issues and challenges with enough lead time to address project delivery risk
* Requires the ability to work in a global and multi\-cultural environment. Team members are in multiple geographies, resulting in time constraints due to time zones differences and a requirement for occasional travel
**Mentorship \&amp; Influence**
* Mentor senior and mid\-level data engineers; raise the technical bar across the organization
* Lead technical reviews, design discussions, and post\-incident analyses
* Influence data engineering strategy across multiple teams or domains
* Act as a go\-to expert for streaming systems, Spark optimization, and distributed data processing
**Governance, Security \&amp; Compliance**
* Ensure data platforms adhere to security, privacy, and compliance requirements
* Define best practices for data access control, lineage, and auditing
* Drive standardization around data formats, schemas, and lifecycle management
**Experience**
* BS Degree in Engineering or Masters, Computer Science or equivalent experience
* 3\-5\+ years in a technical leadership or staff\-level role (design ownership, mentoring, architecture decisions)
* 10\-12\+ years of hands\-on experience building and operating large\-scale data pipelines and platforms
* 10\-12\+ years of relevant industry experience, including ownership of complex, high\-impact data systems used at scale
* 10\-12\+ years of experience in database development, programming (Scala,Python) design, and analysis
* 10\-12\+ years of experience with distributed framework like Spark, Flink
* 5\-7\+ years of experience with streaming services – Flink, Kafka
* 10\-12\+ years of experience with data and ETL programming (Databricks, Ab Initio)
* 7\-10\+ years of experience with AWS services (EKS, S3, EC2, Kinesis, DynamoDB, Glue, Deequ, etc)
* 7\-10\+ years of experience in SQL and a variety of database technologies – Snowflake, Teradata and Oracle.
* Experience in designing and architecting medium to complex systems, well versed with design standards \&amp; framework
* Expertise in data modeling for analytics and operational use cases
* Experience with data lakes / lakehouse architectures (e.g., Delta Lake)
* Strong understanding of schema evolution, data versioning, and data governance
* Experience with automation, configuration management, orchestration, enterprise schedulers
**Skills Required (essential):**
* Recognized as a technical authority in data engineering within one or more domains (batch, streaming, lakehouse, analytics platforms)
* Deep hands\-on expertise with Scala, Python, Spark, Flink, and Databricks, applied to production systems at SIE scale
* Strong understanding of distributed systems design, trade\-offs, and failure modes
* Ability to independently design complex, ambiguous systems with long\-term sustainability in mind
* Demonstrates end\-to\-end ownership of critical data platforms or services, from design through production operations
* Drives engineering best practices for reliability, performance, cost efficiency, and data correctness
* Anticipates risks and proactively addresses scalability, operational, and data quality concerns
* Holds a high operational bar, ensuring systems meet SLAs and business expectations
* Leads or significantly influences architecture and design decisions across teams or programs
* Sets technical direction and standards for data platforms, pipelines, and tooling
* Evaluates and introduces new technologies when they provide clear business or platform value
* Ensures architectural decisions align with SIE platform, security, and compliance standards
* Works effectively across multiple teams, disciplines, and organizations (product, analytics, ML, platform, finance)
* Translates business and product strategy into scalable data solutions that enable revenue, engagement, and operational insights
* Acts as a trusted technical partner for stakeholders beyond the immediate team
* Mentors’ senior and mid\-level engineers; raises the overall technical bar
* Leads design reviews, technical forums, and incident postmortems
* Influences outcomes through technical credibility, data\-driven decision\-making, and clear communication
* Models SIE engineering values and best practices
* Establishes standards for monitoring, alerting, observability, and on\-call readiness
* Drives improvements in CI/CD, automation, and developer productivity for data engineering
* Champions cost\-awareness and efficiency across data platforms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$216,200—$324,400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2">
      <c r="A22" t="inlineStr">
        <is>
          <t>li-4363310218</t>
        </is>
      </c>
      <c r="B22" t="inlineStr">
        <is>
          <t>Senior Data Engineer, Ads</t>
        </is>
      </c>
      <c r="C22" t="inlineStr">
        <is>
          <t>Roblox</t>
        </is>
      </c>
      <c r="D22" t="inlineStr">
        <is>
          <t>linkedin</t>
        </is>
      </c>
      <c r="E22">
        <f>HYPERLINK("https://www.linkedin.com/jobs/view/4363310218", "https://www.linkedin.com/jobs/view/4363310218")</f>
        <v/>
      </c>
      <c r="F22">
        <f>HYPERLINK("https://careers.roblox.com/jobs/7554514?gh_jid=7554514&amp;gh_src=da92d0c91&amp;urlHash=ISSW", "https://careers.roblox.com/jobs/7554514?gh_jid=7554514&amp;gh_src=da92d0c91&amp;urlHash=ISSW")</f>
        <v/>
      </c>
      <c r="G22" t="inlineStr">
        <is>
          <t>San Mateo, CA</t>
        </is>
      </c>
      <c r="H22" t="inlineStr"/>
      <c r="I2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With Roblox’s daily active users growing at a record pace, we are seeking a senior data engineer to help build the next generation of Ad Data and ML feature infrastructure. Our team sits at the core of advertising systems at Roblox, powering high\-scale, high\-throughput data systems that shape ads personalization, ranking, and measurement. As a Senior Data Engineer, you will architect and build foundational data pipelines, real\-time streaming systems, and scalable feature computation frameworks. Your work will enable rapid experimentation, empower ranking models, and support personalized ad delivery at massive scale. You will collaborate closely with engineers across ML, backend, and analytics to shape the future of ads data infrastructure at Roblox. This role is a great fit for you if you are proficient in managing large scale systems and data\-driven applications and have a zeal for developing inspiring, easily maintainable, and reusable code. Join our highly skilled and rapidly growing team and make a significant impact at Roblox.
**You Will**
* Build high\-performance data pipelines and real\-time streaming systems that support both online and offline ML features, training data and statistical computation at scale.
* Design and scale robust data infrastructure for powering retrieval and ranking of various ads systems across Roblox
* Ensure data systems are reliable, observable, privacy\-compliant, and performant under heavy concurrency and high throughput.
* Partner with ML and backend engineers to define scalable interfaces and enable rapid iteration for model development and experimentation.
* Partner with our Data Platform and Data Infra teams to build our high quality data processing workflows.
* Contribute to internal platforms and tools that abstract complexity, improve developer productivity, and accelerate innovation.
* Be a tech lead and mentor junior engineers
* Self\-organize and take ownership of projects throughout their full lifecycle.
**You Have**
* 7\+ years of work experience building production\-grade, scalable, and reliable data systems
* Solid programming skills in languages such as Python and strong knowledge of SQL
* Strong expertise in developing large\-scale data pipelines (batch and streaming) and big\-data processing technologies such as Spark, Apache Druid, Flink, Ray, Kubeflow, etc
* Excellent cross\-functional collaboration skills; enjoy building systems that enable and accelerate team productivity
* Data\-driven focus for quality metrics and monitoring
* Approach data as a product—prioritizing quality, discoverability, and reusability
* B.S. equivalent in CS or sufficient experience.
**Nice To Have**
* Knowledge about advertising and the technology which powers it is preferred
* Experience building data pipelines at TB\+ scale.
* Experience leveraging AI tooling to build simplified, human\-centric experiences for internal customers.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3">
      <c r="A23" t="inlineStr">
        <is>
          <t>li-4256858482</t>
        </is>
      </c>
      <c r="B23" t="inlineStr">
        <is>
          <t>Senior Data Engineer</t>
        </is>
      </c>
      <c r="C23" t="inlineStr">
        <is>
          <t>Flex</t>
        </is>
      </c>
      <c r="D23" t="inlineStr">
        <is>
          <t>linkedin</t>
        </is>
      </c>
      <c r="E23">
        <f>HYPERLINK("https://www.linkedin.com/jobs/view/4256858482", "https://www.linkedin.com/jobs/view/4256858482")</f>
        <v/>
      </c>
      <c r="F23" t="inlineStr"/>
      <c r="G23" t="inlineStr"/>
      <c r="H23" t="inlineStr"/>
      <c r="I23" t="inlineStr">
        <is>
          <t>Flex is a growth\-stage, NYC headquartered FinTech company that is creating the best rent payment experience. It’s hard to believe that it’s 2026 and paying rent on time is expensive, inflexible, and difficult. We’re here to change that! Flex enables our users to pay rent throughout the month on a schedule that better fits their finances and budget. Our mission is to empower as many renters as possible with flexibility over their most significant recurring expense. After deliberately keeping a stealth profile as we built up unprecedented investor support and an enthusiastic user base, we are looking for motivated individuals to help us keep our mission growing. Will you be a part of the team?
 Flex Engineering is seeking senior data engineers to join our dynamic team and play a pivotal role in accelerating our growth trajectory. In this role. you will be instrumental in developing and scaling the data platform that empower our users and partners, unlocking our next phase of 10x growth.
**What You’ll Do**
* Design, implement, and maintain high\-quality data pipeline services, including but not limited to Data Lake, Kafka, Amazon Kinesis, and data access layers.
* Develop robust and efficient DBT models and jobs to support analytics reporting and machine learning modeling.
* Closely collaborating with the Analytics team for data modeling, reporting, and data ingestion.
* Closely collaborate with the Data science team to build the data set for the ML model.
* Create scalable real\-time streaming pipelines and offline ETL pipelines.
* Design, implement, and manage a data warehouse that provides secure access to large datasets.
* Continuously improve data operations by automating manual processes, optimizing data delivery, and redesigning infrastructure for greater scalability.
* Create engineering documentation for design, runbooks, and best practices.
**What We’re Looking For**
* A minimum of 6 years of industry experience in the data infrastructure/data engineering domain.
* A minimum of 6 years of experience with Python and SQL. Java experience is a plus.
* A minimum of 3 years of industry experience using DBT.
* A minimum of 3 years of industry experience using Snowflake and its basic features.
* Familiarity with AWS services, with industry experience using Lambda, Step Functions, Glue, RDS, EKS, DMS, EMR, etc.
* Industry experience with different big data platforms and tools such as Snowflake, Kafka, Hadoop, Hive, Spark, Cassandra, Airflow, etc.
* Industry experience working with relational and NoSQL databases in a production environment.
* Strong fundamentals in data structures, algorithms, and design patterns.
**Core competencies:**
* Prior experience working on cross\-functional teams.
* Have the experience to build and improve user onboarding funnel and design the comprehensive experiment to drive metric improvements.
* Industry experience in using Infrastructure as Code tools, specifically CDK and Terraform.
* Experience with CI/CD to improve code stability and code quality.
* Motivated to help other engineers succeed and be effective.
* Excited to work in an ambiguous, fast\-paced, and high\-growth dynamic environment.
* Strong written and verbal communication skills.
 Flex takes a market\-based approach to pay, and compensation may vary depending on your primary work location. Work locations are categorized into one of three tiers based on a cost of labor index for that geographic area. The successful candidate’s starting pay will be commensurate with their experience, qualifications, and Flex’s internal leveling guidelines and benchmarks.
* Tier A (NYC/SF): $148,000—$185,000 USD
* Tier B: $133,000—$166,500 USD
* Tier C: $125,800 \- 157,250 USD
 Life at Flex:
 We understand that it takes a diverse team of highly intelligent, curious, determined, empathetic, and self aware people to grow a successful company. Our HQ is located in New York City, but we have employees located throughout the US, Australia, Canada and South America. We are growing quickly, but deliberately, with a focus on building an inclusive culture. Our dynamic team has incredible perspectives to share, just as we know you do, and we take great pride in being an equal opportunity workplace.
 We offer many employee benefits \&amp; perks. For full\-time U.S based positions we offer:
* Competitive medical, dental, and vision available from Day 1
* Company equity
* 401(k) plan with company match (our company match kicks off at the beginning of 2026\)
* Unlimited paid time off \+ 13 company paid holidays
* Parental leave
* Flex Cares Program
* Free Flex subscription
 For full time non\-US employees, we offer
* Competitive compensation \+ company equity
* Unlimited PTO</t>
        </is>
      </c>
    </row>
    <row r="24">
      <c r="A24" t="inlineStr">
        <is>
          <t>li-4362189209</t>
        </is>
      </c>
      <c r="B24" t="inlineStr">
        <is>
          <t>Senior Data Engineer</t>
        </is>
      </c>
      <c r="C24" t="inlineStr">
        <is>
          <t>Rockstar Games</t>
        </is>
      </c>
      <c r="D24" t="inlineStr">
        <is>
          <t>linkedin</t>
        </is>
      </c>
      <c r="E24">
        <f>HYPERLINK("https://www.linkedin.com/jobs/view/4362189209", "https://www.linkedin.com/jobs/view/4362189209")</f>
        <v/>
      </c>
      <c r="F24" t="inlineStr"/>
      <c r="G24" t="inlineStr">
        <is>
          <t>Andover, MA</t>
        </is>
      </c>
      <c r="H24" t="inlineStr"/>
      <c r="I24"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seeking a Senior Data Engineer to join a team building a cutting\-edge game analytics platform and tools to better understand our players and enhance their experience across our titles.
 The ideal candidate will be skilled in developing complex ingestions and transformation processes with an emphasis on reliability and performance. In collaboration with other Data Engineers, Machine Learning Engineers, and Software Engineers, the candidate will empower the team of Analysts and Data Scientists to deliver data driven insights and applications across the company.
 This is a full\-time, in\-office position based out of Rockstar’s newly renovated game development studio in Andover, MA.
**What We Do**
* The Rockstar Data Engineering team provides insights and actionable results to a wide variety of teams across the organization in support of their decision making.
* We work with petabyte\-scale data in Azure and Databricks, building both real\-time and batch pipelines that power analytics, machine learning, and player experience improvements.
**Responsibilities**
* Design, build, and own real\-time and batch data pipelines in Azure Databricks using Spark, Airflow, and modern orchestration and build tools.
* Drive engineering excellence by implementing robust testing practices (unit, integration), code review standards, and CI/CD automation.
* Architect Data Models for massive\-scale MPP engines (Databricks/Spark, SQL, Snowflake) that balance performance, maintainability, and analytical flexibility.
* Collaborate with Data Scientists, Analysts, and ML Engineers to gather requirements, understand use cases, and deliver reliable data products.
* Identify and implement improvements to our data platform, pipelines, and development processes with autonomy to POC new approaches and technologies.
* Mentor, elevate, and learn with the team by sharing insights, maintaining documentation, and establishing engineering best practices.
* Own projects end\-to\-end, from gathering requirements and technical design through implementation, testing, and production support.
**Requirements**
* 5\+ years of work experience with designing and development of modern data pipelines.
* 4\+ years of experience with Python for data engineering (building maintainable, testable code) and Spark for large\-scale data processing.
* Strong software engineering fundamentals – design patterns, testing strategies (unit, integration) code review practices, system design thinking.
* Expert\-level SQL and deep understanding of query optimization, data structures, and performance tuning.
* Track record of building and optimizing terabyte or petabyte\-scale data warehouses.
* Ability to work independently on loosely\-defined projects – gathering requirements, making architectural decisions, and following through completion.
* Experience building Real\-Time and/or Near\-Real\-Time data pipelines.
* Outstanding communication and interpersonal skills, including the ability to tailor communication style to technical and non\-technical audiences.
**PLUSES**
 Please note that these are desirable skills and are not required to apply for the position.
* Databricks platform experience (Delta Lake, Unity Catalog, Workflows).
* Experience with Data warehouses (such as data modeling and technical architectures) and infrastructure components.
* Containerization and orchestration (Docker, Kubernetes).
* Experience with Java or Scala.
* Experience with CI/CD (TeamCity, Octopus).
* RESTful API design, usage, and consumption.
* Gaming industry experience or passion for games.
* Experience in Machine Learning pipelines and popular libraries.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Andover, Massachusetts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NE Base Pay Range
 $130,000—$150,000 USD</t>
        </is>
      </c>
    </row>
    <row r="25">
      <c r="A25" t="inlineStr">
        <is>
          <t>li-4381981627</t>
        </is>
      </c>
      <c r="B25" t="inlineStr">
        <is>
          <t>Senior Data Engineer</t>
        </is>
      </c>
      <c r="C25" t="inlineStr">
        <is>
          <t>Robert Half</t>
        </is>
      </c>
      <c r="D25" t="inlineStr">
        <is>
          <t>linkedin</t>
        </is>
      </c>
      <c r="E25">
        <f>HYPERLINK("https://www.linkedin.com/jobs/view/4381981627", "https://www.linkedin.com/jobs/view/4381981627")</f>
        <v/>
      </c>
      <c r="F25" t="inlineStr"/>
      <c r="G25" t="inlineStr">
        <is>
          <t>Boston, MA</t>
        </is>
      </c>
      <c r="H25" t="inlineStr"/>
      <c r="I25" t="inlineStr">
        <is>
          <t>We are looking for an experienced Senior Data Engineer to join our team in Boston, Massachusetts. In this role, you will be responsible for designing and building a robust data platform from the ground up, playing a pivotal part in shaping the data strategy and supporting AI\-driven initiatives. This is a unique opportunity to contribute to the creation of a new data engineering function within a dynamic financial services environment. This role is hybrid, onsite in Boston 3 days a week.
 Responsibilities:
 • Design, develop, and implement a scalable data platform using Microsoft Fabric and other technologies within the Microsoft ecosystem.
 • Collaborate with stakeholders to define the data strategy and implement solutions that align with business goals.
 • Oversee and manage external consultants assisting with the development of the data platform.
 • Support AI enablement initiatives by ensuring the data architecture meets analytical and operational needs.
 • Create and maintain ETL processes to ensure efficient data extraction, transformation, and loading.
 • Optimize database performance across SQL, NoSQL, and other database systems.
 • Utilize Python for data engineering tasks, including scripting and automation.
 • Work closely with IT and analytics teams to ensure seamless integration of the data platform into existing systems.
 • Provide technical leadership and guidance while exploring future opportunities to build and expand the data engineering function.
 • Ensure compliance with industry standards and best practices in data security and management.
 • 5\-7 years of experience in data engineering or a related field.
 • Proven expertise in building data platforms, with hands\-on experience using Microsoft Fabric.
 • Strong knowledge of database systems, including SQL, NoSQL, Azure SQL Database, MySQL, and PostgreSQL.
 • Proficiency in Python and its application in data engineering processes.
 • Experience with data architecture and ETL processes.
 • Familiarity with Azure tools such as Data Factory, Data Lake, and Databricks.
 • Background in financial services is preferred, though not required.
 • Excellent communication skills and ability to work collaboratively in a hybrid environment.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26">
      <c r="A26" t="inlineStr">
        <is>
          <t>li-4332855362</t>
        </is>
      </c>
      <c r="B26" t="inlineStr">
        <is>
          <t>Sr. Data Engineer</t>
        </is>
      </c>
      <c r="C26" t="inlineStr">
        <is>
          <t>SS&amp;C Technologies</t>
        </is>
      </c>
      <c r="D26" t="inlineStr">
        <is>
          <t>linkedin</t>
        </is>
      </c>
      <c r="E26">
        <f>HYPERLINK("https://www.linkedin.com/jobs/view/4332855362", "https://www.linkedin.com/jobs/view/4332855362")</f>
        <v/>
      </c>
      <c r="F26" t="inlineStr"/>
      <c r="G26" t="inlineStr">
        <is>
          <t>Jacksonville, FL</t>
        </is>
      </c>
      <c r="H26" t="inlineStr"/>
      <c r="I2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27">
      <c r="A27" t="inlineStr">
        <is>
          <t>li-4382113507</t>
        </is>
      </c>
      <c r="B27" t="inlineStr">
        <is>
          <t>Data Engineer</t>
        </is>
      </c>
      <c r="C27" t="inlineStr">
        <is>
          <t>Elity Global</t>
        </is>
      </c>
      <c r="D27" t="inlineStr">
        <is>
          <t>linkedin</t>
        </is>
      </c>
      <c r="E27">
        <f>HYPERLINK("https://www.linkedin.com/jobs/view/4382113507", "https://www.linkedin.com/jobs/view/4382113507")</f>
        <v/>
      </c>
      <c r="F27" t="inlineStr"/>
      <c r="G27" t="inlineStr">
        <is>
          <t>Chicago, IL</t>
        </is>
      </c>
      <c r="H27" t="inlineStr"/>
      <c r="I27" t="inlineStr">
        <is>
          <t>A leading quantitative trading firm is hiring a Data Engineer to build the datasets and data infrastructure that power options and delta\-one trading.
 This team sits close to the desks and research groups, delivering trusted point\-in\-time history and fast access to high\-volume market and trading data used directly in strategy development and live decision\-making.
 This is a strongly engineering\-led role: you’ll build production\-grade ingestion pipelines, data quality controls and observability across critical data systems. The work is high\-impact, the feedback loops are tight, and the bar for correctness and reliability is extremely high \- because the data you ship is the data people trade on.
**Responsibilities:** 
* Build and own core trading datasets (time\-series \+ point\-in\-time history) used by traders and researchers.
* Design and operate ingestion pipelines for internal and external/vendor data sources.
* Implement data quality and control processes to detect gaps, inconsistencies, and silent failures.
* Develop monitoring, observability, and alerting for pipelines and data products.
* Partner with research and trading teams to improve historical datasets and enable faster iteration.
* Create AI\-ready dataset annotations/metadata to support modern research and automation workflows.
**Your Profile:** 
* 3\+ years of experience designing and implementing data ingestion pipelines in production.
* Strong Python skills and familiarity with the Python data ecosystem.
* Solid understanding of time\-series and point\-in\-time data (and why it matters).
* Experience building data quality frameworks and reliability guardrails.
* Comfortable working in a fast\-paced environment with shifting priorities and high expectations.
**Nice to have:** 
* Familiarity with derivatives markets (options/futures) and their data requirements.
* Experience with financial data vendors and common market data products.
* Strong observability practices (metrics, logging, alerting, on\-call hygiene).
* Experience designing APIs or ergonomic data access layers for internal users.
**Other Important Information:** 
**Chicago (On\-site) \| Full\-time \| $150K–$200K base \+ bonus** 
 Are you looking for your next challenge in 2026? Check out our other vacancies on our website: https://elityglobal.com/careers</t>
        </is>
      </c>
    </row>
    <row r="28">
      <c r="A28" t="inlineStr">
        <is>
          <t>li-4381996962</t>
        </is>
      </c>
      <c r="B28" t="inlineStr">
        <is>
          <t>Data Engineer</t>
        </is>
      </c>
      <c r="C28" t="inlineStr">
        <is>
          <t>VySystems</t>
        </is>
      </c>
      <c r="D28" t="inlineStr">
        <is>
          <t>linkedin</t>
        </is>
      </c>
      <c r="E28">
        <f>HYPERLINK("https://www.linkedin.com/jobs/view/4381996962", "https://www.linkedin.com/jobs/view/4381996962")</f>
        <v/>
      </c>
      <c r="F28" t="inlineStr"/>
      <c r="G28" t="inlineStr">
        <is>
          <t>Columbus, OH</t>
        </is>
      </c>
      <c r="H28" t="inlineStr"/>
      <c r="I28" t="inlineStr">
        <is>
          <t>Required Skills \&amp; Qualifications:
 • Strong proficiency in Python for data processing and pipeline development
 • Hands\-on experience with Apache Spark (PySpark preferred)
 • Solid experience with AWS services such as S3, Glue, EMR, Redshift, Athena, Lambda
 • Experience with SQL and relational/non\-relational databases
 • Knowledge of data modeling, data warehousing concepts, and ETL frameworks
 • Experience working with large\-scale, distributed data systems
 • Familiarity with CI/CD pipelines and version control tools (Git)
 • Strong problem\-solving and communication skills
 Preferred / Nice to Have:
 • Experience with Airflow or other workflow orchestration tools
 • Knowledge of Kafka, Kinesis, or streaming data platforms
 • Experience with Docker/Kubernetes
 • Exposure to Delta Lake, Iceberg, or HuD.</t>
        </is>
      </c>
    </row>
    <row r="29">
      <c r="A29" t="inlineStr">
        <is>
          <t>li-4381011739</t>
        </is>
      </c>
      <c r="B29" t="inlineStr">
        <is>
          <t>Data Engineer</t>
        </is>
      </c>
      <c r="C29" t="inlineStr">
        <is>
          <t>hackajob</t>
        </is>
      </c>
      <c r="D29" t="inlineStr">
        <is>
          <t>linkedin</t>
        </is>
      </c>
      <c r="E29">
        <f>HYPERLINK("https://www.linkedin.com/jobs/view/4381011739", "https://www.linkedin.com/jobs/view/4381011739")</f>
        <v/>
      </c>
      <c r="F29" t="inlineStr"/>
      <c r="G29" t="inlineStr">
        <is>
          <t>Chantilly, VA</t>
        </is>
      </c>
      <c r="H29" t="inlineStr"/>
      <c r="I29" t="inlineStr">
        <is>
          <t>***hackajob** 
 is collaborating with
 **MANTECH** 
 to connect them with exceptional professionals for this role.*
 MANTECH seeks a security\-focused
 **Data Engineer** 
 to implement and manage data solutions on Oracle Cloud Infrastructure (OCI). This position requires full\-time on\-site presence in
 **Chantilly and/or Herndon, VA.** 
 This role will work closely with cross\-functional teams to optimize data pipelines, secure sensitive information, and ensure governance across the organization's cloud data ecosystem on a modern domain driven autonomous data warehouse.
**Responsibilities Include But Are Not Limited To**
* Architect and implement secure and scalable data pipelines for data transformation enablement utilizing cloud\-based services.
* Collaborate with security, compliance, and governance teams to implement and maintain data protection strategies in line with corporate and regulatory requirements.
* Experience with data design and data modeling.
* Design and deliver solutions that ensure data confidentiality, integrity, and availability throughout data ingestion, processing, and storage lifecycles.
* Build and manage metadata and cataloging frameworks to ensure data discoverability, lineage, and governance.
* Prepare, transform, and analyze large datasets for modeling and analytics to enhance data transformations.
* Build and maintain logical data models. Experience designing, building, and securing data on cloud platforms.
**Minimum Qualifications**
* Must possess a Bachelor’s degree in Engineering, Computer Science, Business or a related field and at least 6 years of experience in data engineering, ETL development, or database management and at least 3 years of consulting experience.
* Experience designing, building, and securing data pipelines and platforms.
* Strong foundation in data security principles, compliance frameworks, and best practices.
* Experience automating data workflows and ETL processes in a secure, cloud\-based environment.
* Familiarity with scripting languages (Python, SQL, Shell) and Agile delivery methodologies.
* Excellent problem\-solving, collaboration, and communication skills.
**Preferred Qualifications**
* Oracle Cloud certifications (e.g., Oracle Cloud Data Management, Oracle Cloud Security)
* Experience with additional security and monitoring tools (e.g., Oracle SIEM, Oracle Cloud Guard)
* Familiarity with regulated environments
* Deep experience with data warehouse design
* Experience working with large datasets and designing solutions for data quality and governance.
**Clearance Requirements**
* Must possess a TS/SCI security clearance with Polygraph
**Physical Requirements**
* The person in this position must be able to remain in a stationary position 50% of the time.
* Occasionally move about inside the office to access file cabinets, office machinery, or to communicate with co\-workers, management, and customers, via email, phone, and or virtual communication, which may involve delivering presentations.</t>
        </is>
      </c>
    </row>
    <row r="30">
      <c r="A30" t="inlineStr">
        <is>
          <t>li-4323390602</t>
        </is>
      </c>
      <c r="B30" t="inlineStr">
        <is>
          <t>Ads Data Engineer - HTS Media Services</t>
        </is>
      </c>
      <c r="C30" t="inlineStr">
        <is>
          <t>Hopper</t>
        </is>
      </c>
      <c r="D30" t="inlineStr">
        <is>
          <t>linkedin</t>
        </is>
      </c>
      <c r="E30">
        <f>HYPERLINK("https://www.linkedin.com/jobs/view/4323390602", "https://www.linkedin.com/jobs/view/4323390602")</f>
        <v/>
      </c>
      <c r="F30" t="inlineStr"/>
      <c r="G30" t="inlineStr">
        <is>
          <t>Boston, MA</t>
        </is>
      </c>
      <c r="H30" t="inlineStr"/>
      <c r="I30" t="inlineStr">
        <is>
          <t>**About HTS Media**
 HTS Media is Hopper’s advertising and media division, built to help travel brands, destinations, and suppliers connect with travelers at scale. We power advertising placements across Hopper’s app and through our B2B partner network, which includes global brands like Capital One Travel and TripAdvisor. Our mission is to build the travel industry’s leading retail media network, turning advertising into a major driver of profitability for Hopper and our partners, much like Instacart, Uber, and Amazon have done in their sectors.
 We’re still in the early stages of our roadmap, yet HTS Media has already become one of Hopper’s fastest\-growing and most profitable business units. The engineering team plays a pivotal role in scaling the platform, ensuring our ad tech products deliver measurable impact for advertisers and seamless experiences for travelers.
**About The Role**
 As the foundational Data Engineer for HTS Media, you will own the data infrastructure that powers our entire advertising business. Our platform generates a massive volume of data, from ad impressions and clicks to audience segments and conversion events, that is critical to our advertisers, partners, and internal teams. Your mission is to build a robust, scalable data foundation from the ground up that transforms this raw data into the trusted, high\-quality datasets that power our advertiser\-facing reporting and enable our future ML models.
 You will be responsible for the full lifecycle of data, from building real\-time data pipelines to modeling data in our warehouse for analytics and reporting. You will partner closely with backend, full\-stack, and product teams to power fast, accurate, and reliable reporting that will build advertiser trust. You will lay the groundwork for our ML optimization engine
 **,** 
 which will drive ad\-serving predictions (like CTR and conversion rates) to make our platform smarter and more performant—mirroring the successful data\-driven ad platforms at companies like Amazon and Instacart. Your work will be the foundation of our platform's intelligence and a key factor in our ability to deliver measurable results.
**Responsibilities**
* Own the Data Architecture: Design, build, and maintain scalable and reliable ETL/ELT pipelines to process high\-volume advertising data.
* Build the Foundation: Develop and manage our analytical data warehouse, establishing it as the single source of truth for all reporting and analytics.
* Enable Insights: Create clean, reliable, and performant data models that power our advertiser reporting dashboards, internal analytics, and billing systems.
* Ensure Data Integrity: Implement robust data quality checks, monitoring, and alerting to ensure the accuracy and trustworthiness of our data.
* Collaborate and Empower: Work closely with the engineering and product teams to define data requirements and deliver the necessary data infrastructure to support new ad products and features.
* Prepare for the Future: Build the foundational data systems that will enable future ML\-driven optimizations for audience targeting and performance prediction.
**Experience**
* 4\+ years of data engineering experience, with a demonstrated track record of building and maintaining data infrastructure at scale.
* Expert\-level proficiency in SQL and a programming language like Python or Scala for data processing.
* Hands\-on experience with cloud\-based data warehousing solutions (e.g., BigQuery, Snowflake, Redshift).
* Proven success building and operationalizing data pipelines using orchestration tools (e.g., SQLMesh, Airflow, dbt).
* Experience with real\-time data streaming technologies (e.g., Google Pub/Sub, Kafka, Kinesis).
* Strong understanding of data modeling concepts and experience designing schemas for analytical workloads.
* Experience with ad tech, retail media, or large\-scale data systems is strongly preferred.
* Excellent communication skills and an ability to collaborate effectively with both technical and business stakeholders.
* A strong sense of ownership and the ability to operate with a high degree of autonomy in a fast\-paced, entrepreneurial culture.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31">
      <c r="A31" t="inlineStr">
        <is>
          <t>li-4380289322</t>
        </is>
      </c>
      <c r="B31" t="inlineStr">
        <is>
          <t>Data Engineer</t>
        </is>
      </c>
      <c r="C31" t="inlineStr">
        <is>
          <t>Thermo Fisher Scientific</t>
        </is>
      </c>
      <c r="D31" t="inlineStr">
        <is>
          <t>linkedin</t>
        </is>
      </c>
      <c r="E31">
        <f>HYPERLINK("https://www.linkedin.com/jobs/view/4380289322", "https://www.linkedin.com/jobs/view/4380289322")</f>
        <v/>
      </c>
      <c r="F31">
        <f>HYPERLINK("https://jsv3.recruitics.com/redirect?rx_cid=3436&amp;rx_jobId=R-01342596&amp;rx_url=https%3A%2F%2Fjobs.thermofisher.com%2Fglobal%2Fen%2Fjob%2FR-01342596%2FData-Engineer%3Frx_ch%3Djobpost%26rx_id%3Dcaec25a5-1914-11f1-aadd-f35203fcc1f0%26rx_job%3DR-01342596%26rx_medium%3Dpost%26rx_paid%3D0%26rx_r%3Dnone%26rx_source%3Dlinkedin%26rx_ts%3D20260306T144003Z%26rx_vp%3Dlinkedindirectindex%26utm_medium%3Dpost%26utm_source%3Drecruitics_linkedindirectindex&amp;refId=34jd24&amp;urlHash=SiN9", "https://jsv3.recruitics.com/redirect?rx_cid=3436&amp;rx_jobId=R-01342596&amp;rx_url=https%3A%2F%2Fjobs.thermofisher.com%2Fglobal%2Fen%2Fjob%2FR-01342596%2FData-Engineer%3Frx_ch%3Djobpost%26rx_id%3Dcaec25a5-1914-11f1-aadd-f35203fcc1f0%26rx_job%3DR-01342596%26rx_medium%3Dpost%26rx_paid%3D0%26rx_r%3Dnone%26rx_source%3Dlinkedin%26rx_ts%3D20260306T144003Z%26rx_vp%3Dlinkedindirectindex%26utm_medium%3Dpost%26utm_source%3Drecruitics_linkedindirectindex&amp;refId=34jd24&amp;urlHash=SiN9")</f>
        <v/>
      </c>
      <c r="G31" t="inlineStr">
        <is>
          <t>Massachusetts, United States</t>
        </is>
      </c>
      <c r="H31" t="inlineStr"/>
      <c r="I31" t="inlineStr">
        <is>
          <t>**Work Schedule**
 Standard Office Hours (40/wk)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Digital transformation is a cornerstone of the continued development and expansion of Thermo Fisher’s global network of drug substance manufacturing sites. Our aim is to integrate best\-in\-class real\-time data collection, visualization, and analytics into standard manufacturing workflows in each facility.
 This role will take on responsibility for building, validating, and maintaining GxP data acquisition, analytics, and visualization solutions for use cases across the Biologics (BIO) business unit (BU). You will liaise with process SMEs in Manufacturing Sciences and Technology (MSAT) to define specific product and user requirements, build SQL queries and parameter logic within Discoverant, and work with IT and CSV to validate changes per a formal Software Development Lifecycle (SDLC) business process to deliver software solutions for efficient execution of Continued Process Verification (CPV) and routine process monitoring activities. You will also be able to take initiative to investigate feasibility of new tools and platforms to further streamline and enhance data analytics use cases across the network.
 As part of the global Biologics Strategy and PMO group you will have the opportunity to work with various departments at all the manufacturing and development sites in the network. As such, the successful candidate will be a highly motivated self\-starter who is able to work independently, remotely, and outside normal business hours with internal and external customers across multiple time zones in the US, Europe, and Asia\-Pacific regions.
**Key Responsibilities:**
* Drive the execution and adoption of the process data analytics (PA) technologies and capabilities for the Biologics (BIO) business unit (BU).
* Build and maintain Discoverant product hierarchies for global BIO programs according to standard best practices for manufacturing process modelling and nomenclature under a formal SDLC change control process.
* Partner with global and site MSAT to build and deliver user requirements and streamline the execution of Continued Process Verification (CPV), routine process monitoring, and external data sharing activities through usage of Discoverant.
* Develop and integrate data visualization solutions into existing MSAT workflows including manufacturing process and material genealogy use cases.
* Work collaboratively to engage site leadership and technical SMEs to advance programs related to global process analytics.
* Liaise with Global IT, Computerized Systems Validation (CSV), and Data Engineering and Process Analytics (DEPA) to adhere to Discoverant platform\-level best practices and procedures and provide input for future system enhancements and upgrades.
* Investigate the applicability of advanced analytical tools such as real\-time multivariate process modelling or process knowledge management for improving development and manufacturing.
* Support or lead projects related to Pharma 4\.0, AI/ML, and other digital transformation initiatives for the BIO BU.
**Minimum Requirements/Qualifications:**
**Key Skills / Experience:**
* Experience building and configuring process analytics data management systems such as Skyland PIMS, BIOVIA Discoverant, or TIBCO Statistica.
* Experience with systems integration, building SQL queries against relational databases for applications commonly used in pharmaceutical manufacturing facilities such as laboratory information management systems (LIMS), enterprise resource planning (ERP) systems, manufacturing execution systems (MES), distributed control systems (DCS), process data historian systems (AVEVA PI).
* Experience working with statistical analytics platforms (JMP/Minitab/R), data visualization applications (Power BI, Tableau, Spotfire) or programming languages (Python, Visual Basic, HTML/CSS) is a plus.
* Strong working knowledge of Statistical Process Control (SPC), Continued Process Verification (CPV), and basic statistics tools and methodologies is a plus.
* Working knowledge of the overall Biologics development and manufacturing process.
* Experience working in a cGMP Software Development Lifecycle (SDLC) environment.
* Ability to work in a matrix management system and influence and negotiate collaboratively with others without direct authority.
* Strong project management skills with proven ability to independently manage multiple milestones flexibly in an environment where priorities may change at short notice.
* Experienced with writing quality\-controlled computerized systems design documents, policy documents and SOPs.
* Experienced in participating and leading process improvement and PPI Kaizen projects including the application of Lean/Six Sigma methodologies.
* Ability to work independently with minimal daily supervision.
* Ability to work outside normal business hours on a semi\-regular basis to connect with colleagues in U.S., Europe, and Asia\-Pacific time zones.
**Qualifications \&amp; Experience :**
* Bachelor’s Degree in Computer Science, Chemical Engineering, or STEM related discipline
* 3\+ years of Computerized Systems Engineering, Data Engineering, or Data Analytics experience in a biopharmaceutical GMP manufacturing environment.
**Compensation And Benefits**
 The salary range estimated for this position based in Massachusetts is $66,000\.00–$99,000\.00\.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32">
      <c r="A32" t="inlineStr">
        <is>
          <t>li-4321591452</t>
        </is>
      </c>
      <c r="B32" t="inlineStr">
        <is>
          <t>Agentic AI - Data Engineer</t>
        </is>
      </c>
      <c r="C32" t="inlineStr">
        <is>
          <t>Kyndryl</t>
        </is>
      </c>
      <c r="D32" t="inlineStr">
        <is>
          <t>linkedin</t>
        </is>
      </c>
      <c r="E32">
        <f>HYPERLINK("https://www.linkedin.com/jobs/view/4321591452", "https://www.linkedin.com/jobs/view/4321591452")</f>
        <v/>
      </c>
      <c r="F32">
        <f>HYPERLINK("https://kyndryl.wd5.myworkdayjobs.com/KyndrylProfessionalCareers/job/CIO-KPop-Dallas-US152527/Agentic-AI\u002d\u002d-Data-Engineer_R-52271?source=REC_APPLICANT_SOURCE_LinkedIn&amp;urlHash=2yOm", "https://kyndryl.wd5.myworkdayjobs.com/KyndrylProfessionalCareers/job/CIO-KPop-Dallas-US152527/Agentic-AI\u002d\u002d-Data-Engineer_R-52271?source=REC_APPLICANT_SOURCE_LinkedIn&amp;urlHash=2yOm")</f>
        <v/>
      </c>
      <c r="G32" t="inlineStr">
        <is>
          <t>Dallas, TX</t>
        </is>
      </c>
      <c r="H32" t="inlineStr"/>
      <c r="I32"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As an Agentic AI Data Engineer at Kyndryl, you’ll design and implement scalable, high\-performance data platforms and pipelines that power enterprise AI and analytics capabilities. This role combines deep technical expertise with hands\-on development, enabling seamless data flow for Agentic AI frameworks and next\-generation automation.
 You’ll work in a true builder’s environment, collaborating with architects, software engineers, and data scientists to deliver robust, governed, and actionable data solutions. Expect rapid innovation cycles, autonomy, and the opportunity to shape data infrastructure for cutting\-edge AI systems.
 What You’ll Do
* Design and optimize ETL/ELT pipelines and data models for structured and unstructured data.
* Build scalable architectures supporting batch and real\-time processing across cloud and on\-prem environments.
* Implement data quality frameworks, governance policies, and validation rules.
* Develop API endpoints and integrations for AI agents to access structured information.
* Manage vector databases and semantic layers for AI\-driven search and contextual grounding.
* Collaborate with cross\-functional teams to deliver data solutions aligned with business and AI needs.
* Mentor junior engineers and champion best practices in DataOps and pipeline orchestration.
 \#AgenticAI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Strong programming skills in SQL, Python, and experience with ETL/ELT tools (Airflow, dbt, Kafka).
* Expertise in data modeling, distributed systems, and cloud\-native platforms (AWS, Azure, GCP).
* Familiarity with data governance, lineage, and observability tools (DataHub, Great Expectations).
* Experience with vector databases and feature store design for AI/ML workflows.
* Ability to troubleshoot complex data issues and optimize performance.
**Preferred Skills And Experience**
* Background in regulated industries or environments with stringent compliance requirements.
* Knowledge of containerization and orchestration (Docker, Kubernetes).
* Familiarity with semantic modelling, metadata management, and emerging AI/ML data integration patterns.
* Experience with CI/CD for data workflows, version control, and Agile methodologies.
 Why Join Us
* Work on the next frontier: build data infrastructure for Agentic AI, a transformative technology.
* Startup energy and enterprise scale: agile innovation backed by global resources.
* Direct impact: your work enables AI\-native transformation at enterprise scale.
* Career Growth: Opportunity to lead and innovate in data engineering for AI systems.
 The compensation range for the position in the U.S. is $110,880 to $210,600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$122,040 to $252,840
 Colorado: $110,880 to $210,600
 New York City: $133,080 to $252,840
 Washington: $122,040 to $231,720
 Washington DC: $122,040 to $231,720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33">
      <c r="A33" t="inlineStr">
        <is>
          <t>li-4371715531</t>
        </is>
      </c>
      <c r="B33" t="inlineStr">
        <is>
          <t>(USA) Principal, Data Engineer</t>
        </is>
      </c>
      <c r="C33" t="inlineStr">
        <is>
          <t>Sam's Club</t>
        </is>
      </c>
      <c r="D33" t="inlineStr">
        <is>
          <t>linkedin</t>
        </is>
      </c>
      <c r="E33">
        <f>HYPERLINK("https://www.linkedin.com/jobs/view/4371715531", "https://www.linkedin.com/jobs/view/4371715531")</f>
        <v/>
      </c>
      <c r="F33" t="inlineStr"/>
      <c r="G33" t="inlineStr">
        <is>
          <t>Sunnyvale, CA</t>
        </is>
      </c>
      <c r="H33" t="inlineStr"/>
      <c r="I33" t="inlineStr">
        <is>
          <t>Position Summary...
 What you'll do...Principal Data Engineer – Agentic Data Platforms
 The Mission
 As a Principal Data Engineer, you are the enterprise\-scale technical authority responsible for shaping and evolving Sam’s Club’s data platform architecture to power intelligent, autonomous systems at scale.
 Your mission is to architect and steward the foundational data systems that enable AI agents, copilots, and large\-scale analytics to operate with reliability, semantic clarity, and enterprise\-grade trust.
 You do not simply build systems—you define how the organization builds systems.
**About The Team**
 Sam’s Club is a membership warehouse club serving millions of members with high\-quality products and services at unmatched value. From Scan \&amp; Go and Club Pickup to Pharmacy, Travel, and Business Services, Sam’s operates at enterprise scale across digital and physical channels.
 The Data organization powers this ecosystem through scalable platforms that enable real\-time decision\-making, personalization, automation, and agentic AI innovation.
 What You’ll Do
 Define Enterprise Data Architecture
* Architect and evolve the core data platform strategy across batch, streaming, and hybrid systems to support both traditional analytics and AI\-native workloads.
* Establish and steward architectural standards that unify structured, semi\-structured, and unstructured data across domains.
 Lead Agentic Data Enablement
* Define enterprise patterns for agent\-ready data, ensuring systems are discoverable, semantically rich, and optimized for LLMs, copilots, and multi\-agent workflows.
* Shape reference architectures for RAG, real\-time feature pipelines, vector indexing, and graph\-augmented reasoning.
 Drive Cross\-Domain Platform Strategy
* Partner with Engineering, AI/ML, Product, and Platform leaders to align roadmaps with long\-term autonomous decision\-making goals.
* Influence and guide multiple teams in adopting scalable patterns without direct authority.
 Architect for Trust, Reliability, and Scale
* Define standards for observability, telemetry, lineage, governance, and AI auditability across enterprise data systems.
* Design resilient, fault\-tolerant systems that support millions of users and mission\-critical retail operations.
 Modernize Legacy Systems
* Lead modernization initiatives that transform traditional data lake systems into composable, event\-driven, and agent\-aware platforms.
* Balance short\-term delivery with long\-term scalability and maintainability.
 Elevate Technical Excellence
* Mentor and guide Staff Engineers and Senior Engineers.
* Lead design reviews and steward architectural decisions across high\-risk, high\-impact initiatives.
* Raise the technical bar for the organization through principled engineering standards.
 What You’ll Bring
 Enterprise\-Scale Experience
* 10–15\+ years building and evolving large\-scale distributed data platforms.
* Proven track record of shaping architecture across multiple domains or organizations.
 Deep Data Platform Expertise
* Strong experience in cloud\-native ecosystems (GCP or Azure preferred), including BigQuery, Dataflow, Pub/Sub, or equivalent.
* Expertise across batch and streaming systems (Kafka, Spark Structured Streaming, Flink, Druid, etc.).
* Experience designing hybrid real\-time \+ analytical architectures.
 Agentic \&amp; AI\-Ready Systems Knowledge
* Strong understanding of semantic modeling, embeddings, knowledge graphs, and vector search.
* Experience designing data systems that support RAG, context enrichment, and agent orchestration.
* Ability to reason about schema, latency, storage format, and their impact on AI reasoning quality.
 Governance \&amp; Observability Leadership
* Advanced knowledge of data quality frameworks, access control, lineage, compliance, and auditability.
* Experience defining trust and safety standards for AI\-enabled systems.
 Strong Engineering Foundation
* Fluency in Python, Java, or Scala.
* Deep experience with Spark/PySpark and SQL optimization at scale.
* Strong systems thinking and performance optimization skills.
 Influence Without Authority
* Demonstrated ability to align diverse stakeholders and drive architectural adoption across teams.
* Clear, executive\-level communication and the ability to translate technical strategy into business value.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Regional Pay Zone (RPZ) (based on location).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**Additional Compensation Includes Annual Or Quarterly Performance Bonuses.**
 Additional compensation for certain positions may also include Regional Pay Zone (RPZ) (based on location).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and 5 years' experience in software engineering or related field. Option 2: 7 years’ experience in software engineering or related field. Option 3: Master's degree in Computer Science and 3 years' experience in software engineering or related field.
 4 years' experience in data engineering, database engineering, business intelligence, or business analytics.
**Preferred Qualifications...**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5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4">
      <c r="A34" t="inlineStr">
        <is>
          <t>li-4381023300</t>
        </is>
      </c>
      <c r="B34" t="inlineStr">
        <is>
          <t>Data Engineer</t>
        </is>
      </c>
      <c r="C34" t="inlineStr">
        <is>
          <t>FastTek Global</t>
        </is>
      </c>
      <c r="D34" t="inlineStr">
        <is>
          <t>linkedin</t>
        </is>
      </c>
      <c r="E34">
        <f>HYPERLINK("https://www.linkedin.com/jobs/view/4381023300", "https://www.linkedin.com/jobs/view/4381023300")</f>
        <v/>
      </c>
      <c r="F34">
        <f>HYPERLINK("https://www.fasttek.com/hr_job?adId=428454&amp;src=LinkedIn&amp;urlHash=q-PE", "https://www.fasttek.com/hr_job?adId=428454&amp;src=LinkedIn&amp;urlHash=q-PE")</f>
        <v/>
      </c>
      <c r="G34" t="inlineStr">
        <is>
          <t>Dearborn, MI</t>
        </is>
      </c>
      <c r="H34" t="inlineStr"/>
      <c r="I34" t="inlineStr">
        <is>
          <t>* Data Pipeline Architect \&amp; Builder: Spearhead the design, development, and maintenance of scalable data ingestion and curation pipelines from diverse sources. Ensure data is standardized, high\-quality, and optimized for analytical use. Leverage cutting\-edge tools and technologies, including Python, SQL, and DBT/Dataform, to build robust and efficient data pipelines.
* End\-to\-End Integration Expert: Utilize your full\-stack skills to contribute to seamless end\-to\-end development, ensuring smooth and reliable data flow from source to insight. GCP Data Solutions Leader: Leverage your deep expertise in GCP services (BigQuery, Dataflow, Pub/Sub, Cloud Functions, etc.) to build and manage data platforms that not only meet but exceed business needs and expectations.
* Data Governance \&amp; Security Champion: Implement and manage robust data governance policies, access controls, and security best practices, fully utilizing GCP's native security features to protect sensitive data.
* Data Workflow Orchestrator: Employ Astronomer and Terraform for efficient data workflow management and cloud infrastructure provisioning, championing best practices in Infrastructure as Code (IaC).
* Performance Optimization Driver: Continuously monitor and improve the performance, scalability, and efficiency of data pipelines and storage solutions, ensuring optimal resource utilization and cost\-effectiveness.
* Collaborative Innovator: Collaborate effectively with data architects, application architects, service owners, and cross\-functional teams to define and promote best practices, design patterns, and frameworks for cloud data engineering.
* Automation \&amp; Reliability Advocate: Proactively automate data platform processes to enhance reliability, improve data quality, minimize manual intervention, and drive operational efficiency.
* Effective Communicator: Clearly and transparently communicate complex technical decisions to both technical and non\-technical stakeholders, fostering understanding and alignment.
* Continuous Learner: Stay ahead of the curve by continuously learning about industry trends and emerging technologies, proactively identifying opportunities to improve our data platform and enhance our capabilities.
* Business Impact Translator: Translate complex business requirements into optimized data asset designs and efficient code, ensuring that our data solutions directly contribute to business goals.
* Documentation \&amp; Knowledge Sharer: Develop comprehensive documentation for data engineering processes, promoting knowledge sharing, facilitating collaboration, and ensuring long\-term system maintainability.
**Skills Required**
* GCP
* Cloud Architecture
* Python
**Experience Required**
* Bachelor's degree in Computer Science, Information Technology, Information Systems, Data Analytics, or a related field (or equivalent combination of education and experience).
* 5\-7 years of experience in Data Engineering or Software Engineering, with at least 2 years of hands\-on experience building and deploying cloud\-based data platforms (GCP preferred).
* \-Strong proficiency in SQL, Java, and Python, with practical experience in designing and deploying cloud\-based data pipelines using GCP services like BigQuery, Dataflow, and DataProc.
* Solid understanding of Service\-Oriented Architecture (SOA) and microservices, and their application within a cloud data platform.
* Experience with relational databases (e.g., PostgreSQL, MySQL), NoSQL databases, and columnar databases (e.g., BigQuery).
* Knowledge of data governance frameworks, data encryption, and data masking techniques in cloud environments.
* Familiarity with CI/CD pipelines, Infrastructure as Code (IaC) tools like Terraform and Tekton, and other automation frameworks.
* Excellent analytical and problem\-solving skills, with the ability to troubleshoot complex data platform and microservices issues.
* Experience in monitoring and optimizing cost and compute resources for processes in GCP technologies (e.g., BigQuery, Dataflow, Cloud Run, DataProc).
**Education Required**
* Bachelor's Degree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 Medical and Dental (FastTek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**AI \&amp; Hiring Disclosure**
 We use AI tools to support parts of our hiring process, such as reviewing applications and identifying potential matches. These tools are designed to promote efficiency, consistency, and fairness, and they are always used under human oversight.
 All personal data collected is used solely for recruitment purposes, and you have the right to know, access, or request deletion of your data at any time, subject to legal limits.
 If AI will be used in a video interview, you'll be informed in advance and asked for your consent, with the option to opt out.
 Our tools are regularly reviewed to detect potential bias and to ensure compliance with all applicable laws and our commitment to inclusive hiring.
 To learn more or exercise your rights, please contact us at info@fasttek.com.</t>
        </is>
      </c>
    </row>
    <row r="35">
      <c r="A35" t="inlineStr">
        <is>
          <t>li-4323280826</t>
        </is>
      </c>
      <c r="B35" t="inlineStr">
        <is>
          <t>Ads Data Engineer - HTS Media Services</t>
        </is>
      </c>
      <c r="C35" t="inlineStr">
        <is>
          <t>Hopper</t>
        </is>
      </c>
      <c r="D35" t="inlineStr">
        <is>
          <t>linkedin</t>
        </is>
      </c>
      <c r="E35">
        <f>HYPERLINK("https://www.linkedin.com/jobs/view/4323280826", "https://www.linkedin.com/jobs/view/4323280826")</f>
        <v/>
      </c>
      <c r="F35" t="inlineStr"/>
      <c r="G35" t="inlineStr">
        <is>
          <t>Miami, FL</t>
        </is>
      </c>
      <c r="H35" t="inlineStr"/>
      <c r="I35" t="inlineStr">
        <is>
          <t>**About HTS Media**
 HTS Media is Hopper’s advertising and media division, built to help travel brands, destinations, and suppliers connect with travelers at scale. We power advertising placements across Hopper’s app and through our B2B partner network, which includes global brands like Capital One Travel and TripAdvisor. Our mission is to build the travel industry’s leading retail media network, turning advertising into a major driver of profitability for Hopper and our partners, much like Instacart, Uber, and Amazon have done in their sectors.
 We’re still in the early stages of our roadmap, yet HTS Media has already become one of Hopper’s fastest\-growing and most profitable business units. The engineering team plays a pivotal role in scaling the platform, ensuring our ad tech products deliver measurable impact for advertisers and seamless experiences for travelers.
**About The Role**
 As the foundational Data Engineer for HTS Media, you will own the data infrastructure that powers our entire advertising business. Our platform generates a massive volume of data, from ad impressions and clicks to audience segments and conversion events, that is critical to our advertisers, partners, and internal teams. Your mission is to build a robust, scalable data foundation from the ground up that transforms this raw data into the trusted, high\-quality datasets that power our advertiser\-facing reporting and enable our future ML models.
 You will be responsible for the full lifecycle of data, from building real\-time data pipelines to modeling data in our warehouse for analytics and reporting. You will partner closely with backend, full\-stack, and product teams to power fast, accurate, and reliable reporting that will build advertiser trust. You will lay the groundwork for our ML optimization engine
 **,** 
 which will drive ad\-serving predictions (like CTR and conversion rates) to make our platform smarter and more performant—mirroring the successful data\-driven ad platforms at companies like Amazon and Instacart. Your work will be the foundation of our platform's intelligence and a key factor in our ability to deliver measurable results.
**Responsibilities**
* Own the Data Architecture: Design, build, and maintain scalable and reliable ETL/ELT pipelines to process high\-volume advertising data.
* Build the Foundation: Develop and manage our analytical data warehouse, establishing it as the single source of truth for all reporting and analytics.
* Enable Insights: Create clean, reliable, and performant data models that power our advertiser reporting dashboards, internal analytics, and billing systems.
* Ensure Data Integrity: Implement robust data quality checks, monitoring, and alerting to ensure the accuracy and trustworthiness of our data.
* Collaborate and Empower: Work closely with the engineering and product teams to define data requirements and deliver the necessary data infrastructure to support new ad products and features.
* Prepare for the Future: Build the foundational data systems that will enable future ML\-driven optimizations for audience targeting and performance prediction.
**Experience**
* 4\+ years of data engineering experience, with a demonstrated track record of building and maintaining data infrastructure at scale.
* Expert\-level proficiency in SQL and a programming language like Python or Scala for data processing.
* Hands\-on experience with cloud\-based data warehousing solutions (e.g., BigQuery, Snowflake, Redshift).
* Proven success building and operationalizing data pipelines using orchestration tools (e.g., SQLMesh, Airflow, dbt).
* Experience with real\-time data streaming technologies (e.g., Google Pub/Sub, Kafka, Kinesis).
* Strong understanding of data modeling concepts and experience designing schemas for analytical workloads.
* Experience with ad tech, retail media, or large\-scale data systems is strongly preferred.
* Excellent communication skills and an ability to collaborate effectively with both technical and business stakeholders.
* A strong sense of ownership and the ability to operate with a high degree of autonomy in a fast\-paced, entrepreneurial culture.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36">
      <c r="A36" t="inlineStr">
        <is>
          <t>li-4381009860</t>
        </is>
      </c>
      <c r="B36" t="inlineStr">
        <is>
          <t>AWS Data Engineer</t>
        </is>
      </c>
      <c r="C36" t="inlineStr">
        <is>
          <t>Smart IT Frame LLC</t>
        </is>
      </c>
      <c r="D36" t="inlineStr">
        <is>
          <t>linkedin</t>
        </is>
      </c>
      <c r="E36">
        <f>HYPERLINK("https://www.linkedin.com/jobs/view/4381009860", "https://www.linkedin.com/jobs/view/4381009860")</f>
        <v/>
      </c>
      <c r="F36" t="inlineStr"/>
      <c r="G36" t="inlineStr">
        <is>
          <t>Reston, VA</t>
        </is>
      </c>
      <c r="H36" t="inlineStr"/>
      <c r="I36" t="inlineStr">
        <is>
          <t>**Role: AWS Data Engineer** 
**Location\- Reston, VA \- Onsite** 
**Mode of Interview: In\-person in Herndon, VA** 
**Type: Full Time** 
**About Smart IT Frame:** 
 At Smart IT Frame, we connect top talent with leading organizations across the USA. With over a decade of staffing excellence, we specialize in IT, healthcare, and professional roles, empowering both clients and candidates to grow together.
**JD:** 
 Seeking an AWS Data Engineer to design, build, and maintain scalable data pipelines and ETL solutions using Python/Pyspark and AWS managed services to support analytics and data product needs.
**Key Responsibilities** 
* Build and maintain ETL pipelines using
 **Python** 
 and
 ***PySpark***
 on AWS Glue and other compute platforms
* Orchestrate workflows with AWS Step Functions and serverless components (
 **Lambda** 
 )
* Implement messaging and event\-driven patterns using AWS
 **SNS** 
 and
 **SQS**
* Design and optimize data storage and querying in Amazon
 **Redshift**
* Write performant
 **SQL** 
 for data transformations, validation, and reporting
* Ensure data quality, monitoring, error handling and operational support for pipelines
* Collaborate with data consumers, engineers, and stakeholders to translate requirements into solutions
* Contribute to
 **CI/CD** 
 , infrastructure\-as\-code, and documentation for reproducible deployments
**Required Skills** 
* Strong experience with Python and Pyspark for large\-scale data processing
* Proven hands\-on experience with AWS services: Lambda, SNS, SQS, Glue, Redshift, Step Functions
* Solid SQL
 *SQL* 
 skills and familiarity with data modeling and query optimization
* Experience with ETL best practices, data quality checks, and monitoring/alerting
* Familiarity with version control (Git) and basic DevOps/CI\-CD workflows
**Apply today or share profiles at mario.i@smartitframe.com**</t>
        </is>
      </c>
    </row>
    <row r="37">
      <c r="A37" t="inlineStr">
        <is>
          <t>li-4372109071</t>
        </is>
      </c>
      <c r="B37" t="inlineStr">
        <is>
          <t>Staff Data Engineer, Fintech</t>
        </is>
      </c>
      <c r="C37" t="inlineStr">
        <is>
          <t>Intuit</t>
        </is>
      </c>
      <c r="D37" t="inlineStr">
        <is>
          <t>linkedin</t>
        </is>
      </c>
      <c r="E37">
        <f>HYPERLINK("https://www.linkedin.com/jobs/view/4372109071", "https://www.linkedin.com/jobs/view/4372109071")</f>
        <v/>
      </c>
      <c r="F37" t="inlineStr"/>
      <c r="G37" t="inlineStr">
        <is>
          <t>Mountain View, CA</t>
        </is>
      </c>
      <c r="H37" t="inlineStr"/>
      <c r="I37" t="inlineStr">
        <is>
          <t>**Overview**
 Come join the Data Solutions Engineering Team as a Staff Software Engineer. We are leveraging big data technologies to gain new insights into our Fintech Data Engineering function using data frameworks, ingestion pipelines and tools. Some of the technologies we are leveraging include Hadoop, Hive and AWS Big Data Systems (EMR, Redshift, S3\).
**Responsibilities**
* Drive projects in the Fintech Data Engineering by working cross\-functionally with BI teams, Analysts, Data scientists, Product Managers etc
* Customer empathy and delight will be the main drivers for success
* 70\-85% hands\-on development in all phases of the software life cycle.
* Designing end to end data pipeline given business and ops requirements (ingestion, processing and storage).
* Conduct design and code reviews
* Identify dependencies, estimate work, sequence tasks as inputs to building project plans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to $252,000</t>
        </is>
      </c>
    </row>
    <row r="38">
      <c r="A38" t="inlineStr">
        <is>
          <t>li-4337023788</t>
        </is>
      </c>
      <c r="B38" t="inlineStr">
        <is>
          <t>Staff Analytics Engineer</t>
        </is>
      </c>
      <c r="C38" t="inlineStr">
        <is>
          <t>Amplify</t>
        </is>
      </c>
      <c r="D38" t="inlineStr">
        <is>
          <t>linkedin</t>
        </is>
      </c>
      <c r="E38">
        <f>HYPERLINK("https://www.linkedin.com/jobs/view/4337023788", "https://www.linkedin.com/jobs/view/4337023788")</f>
        <v/>
      </c>
      <c r="F38" t="inlineStr"/>
      <c r="G38" t="inlineStr"/>
      <c r="H38" t="inlineStr"/>
      <c r="I38"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Our data analytics teams transform, model, and aggregate the data that empowers our customers to make sense of and tell stories with their data. You’ll be working with data scientists, data analysts, data engineers, and software engineers to provide clean, accurate, reliable models and metrics for our products.
* Help school administrators build great schools by:
+ Respecting privacy and ensuring security while offering valuable insights
+ Making inquisitive choices in tech stack, database design, masking policies, and encryption
+ Building analytical models to fuel reporting we offer to administrators
* Helping school principals understand how teachers are teaching and how students are learning by
+ Architecting data warehouse schemas and SQL transforms with just the right CTEs, window functions, and pivots
+ Creating data solutions using tools like Snowflake, Airflow, DBT, SQL, Python, Cube.dev.
* Learn every day by:
+ Immersing yourself in agile rituals and leveraging our infrastructure
+ Leading collaboration, pull request\-ing, CI/CD processes, and mentoring on a cross\-functional team
+ participating in cross\-team share\-outs, brownbags, and workshop series
+ Becoming an expert in the data models and standards within Amplify to deliver quality and consistent solutions
**Example Projects You Might Work On**
* Build well\-tested and documented ELT data pipelines for full and incremental dbt models to funnel into Cube Sematic Layer models.
* Engineer novel datasets that express a student's progress and performance through an adaptive learning experience that allows for flexible comparison across students and deep analysis of individual students.
* Craft slowly changing dimensional models that take into account the nuances of K\-12 education such as School Year changes and students moving schools or classes.
* Improving our pipeline deployments and tests
**Required Qualifications**
* BS in Computer Science, Data Science, or equivalent experience.
* 8\+ years of professional software development or data engineering experience
* 5\+ years experience in computer, data, and analytics engineering.
* Expertise in computer, data, and analytics engineering.
* Expertise in SQL and its use in code\-based ETL frameworks, preferably dbt, focusing on reuse and efficiency.
* Expertise in ETL/ELT pipelines, analytical data modeling, aggregations, and metrics
* Expertise in dbt and git preferably with automation skills.
* Expertise in analytical modeling architectures, including the Kimball design
* Strong communication skills in writing and conversation, including writing engineering training documentation.
**Preferred Qualifications**
* Fluency in a development language such as Python
* Familiarity with metadata management tools such as Atlan
* 3\+ years Experience building dashboards, reports, and models in business intelligence tools such as Tableau or Looker
* Expertise with tools we use every day:
* Storage: Snowflake, AWS Storage Services (S3, RDS, Glacier, DynamoDB) and Postgres
* ETL/ELT: Airflow, dbt, Matillion, Fivetran
* BI: Cube.dev, Looker, Tableau
* Experience with tools we don’t use, but should
* Proven passion and talent for teaching fellow engineers and non\-engineers
* Proven passion for building and learning: open source contributions, pet projects, self\-education, Stack Overflow
* Proven technical leadership in project delivery.
* Experience in education or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$145,000 \- $155,000\.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39">
      <c r="A39" t="inlineStr">
        <is>
          <t>li-4372155753</t>
        </is>
      </c>
      <c r="B39" t="inlineStr">
        <is>
          <t>Senior Data Engineer</t>
        </is>
      </c>
      <c r="C39" t="inlineStr">
        <is>
          <t>Commence</t>
        </is>
      </c>
      <c r="D39" t="inlineStr">
        <is>
          <t>linkedin</t>
        </is>
      </c>
      <c r="E39">
        <f>HYPERLINK("https://www.linkedin.com/jobs/view/4372155753", "https://www.linkedin.com/jobs/view/4372155753")</f>
        <v/>
      </c>
      <c r="F39">
        <f>HYPERLINK("https://recruiting.paylocity.com/Recruiting/Jobs/Details/3916138?src=LinkedIn+Auto&amp;urlHash=EbLJ", "https://recruiting.paylocity.com/Recruiting/Jobs/Details/3916138?src=LinkedIn+Auto&amp;urlHash=EbLJ")</f>
        <v/>
      </c>
      <c r="G39" t="inlineStr"/>
      <c r="H39" t="inlineStr"/>
      <c r="I39"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As a Sr. Data Engineer you will be responsible for designing, building, and maintaining efficient, scalable, and fully automated data pipelines and architectures that support various business needs ranging from operational reporting to sophisticated AI/ML analytics. The ideal candidate will have a strong background in data engineering, cloud technologies, and data management practices at scale using modern data platforms and tools.
* Design, develop, and maintain scalable data pipelines to collect, process, and transform data from various sources.
* Integrate data from multiple sources, ensuring data quality and consistency across the organization.
* Build and maintain data storage solutions, including data warehouses and data lakes, ensuring optimal performance and reliability.
* Implement data transformation and enrichment processes to prepare data for analytics and reporting.
* Leverage cloud technologies, particularly AWS, to optimize and manage data infrastructure.
* Work closely with data scientists, analysts, and other stakeholders to understand data requirements and deliver high\-quality data solutions.
* Create and maintain comprehensive documentation for data pipelines, data models, and related processes.
* Mentors and guides junior data engineers/ analysts on data engineering best practices and industry standards.
* Other duties as assigned.
**Essential Knowledge**
* Minimum of 4 years of experience in data engineering or a related field.
* Strong experience with data pipeline/ orchestration and ETL development using tools such as Apache Airflow, Kubernetes, Databricks Workflows or similar.
* Demonstrated experience in designing highly efficient programs capable of processing terabytes of data.
* Strong Proficiency in SQL and experience with relational databases (e.g., SQLServer, PostgreSQL) and NoSQL databases (e.g., MongoDB, OpenSearch).
* Experience with cloud technologies, particularly AWS (e.g., S3, Redshift, Glue, Lambda, Athena).
* Proficient in writing data programs in R, Python, Scala, or similar language.
* Familiarity with big data technologies such as Apache Spark, Databricks, or similar.
* Familiarity with data visualization tools and data migration methods.
* Excellent problem\-solving skills and attention to detail.
* Strong communication and interpersonal skills, with the ability to work effectively with diverse teams and stakeholders.
**Essential Education**
* Bachelor’s degree in computer science, Information Technology, or a related field.
**Essential Skills**
* Familiarity with data governance and data quality best practices is a plus.
* Familiarity with healthcare data standards i.e. (FHIR, HL7\)
* Familiarity working with unstructured data i.e. pdfs, free\-text, etc.
* Databricks Data Engineering certifications.
* Data Visualization/ Reporting skills (i.e. PowerBI, Tableau, or Quicksight)
*Commence.AI is committed to* 
*providing* 
*equal employment opportunities to all applicants, including individuals with disabilities. If you require a reasonable accommodation to* 
*participate* 
*in the application process due to a disability, please contact Human Resources at (757\) 306\-4920 or* 
*hr@commence.ai.* 
***Please***
***note that unless you are requesting accommodation, all applications must be***
***submitted***
***through our online application system.***
 Salary Description
 $100,000\-$130,000</t>
        </is>
      </c>
    </row>
    <row r="40">
      <c r="A40" t="inlineStr">
        <is>
          <t>li-4381980760</t>
        </is>
      </c>
      <c r="B40" t="inlineStr">
        <is>
          <t>Data Engineer</t>
        </is>
      </c>
      <c r="C40" t="inlineStr">
        <is>
          <t>Actalent</t>
        </is>
      </c>
      <c r="D40" t="inlineStr">
        <is>
          <t>linkedin</t>
        </is>
      </c>
      <c r="E40">
        <f>HYPERLINK("https://www.linkedin.com/jobs/view/4381980760", "https://www.linkedin.com/jobs/view/4381980760")</f>
        <v/>
      </c>
      <c r="F40" t="inlineStr"/>
      <c r="G40" t="inlineStr">
        <is>
          <t>Louisville, KY</t>
        </is>
      </c>
      <c r="H40" t="inlineStr"/>
      <c r="I40" t="inlineStr">
        <is>
          <t>**Hiring Sr. Data Engineer \- On\-site in Louisville, KY and or Franklin, TN!**
**Job Description**
 As a Data Engineer, you will be responsible for designing, developing, and engineering data lakes by identifying data sources, extracting data, modeling data, and designing data stores. You will also govern the data architecture, develop data flows to manage structured and unstructured data, and build refined data assets for business intelligence and AI enablement. Additionally, you will implement efficient patterns for data storage and enable automation capabilities for data privacy, protection, and security.
**Responsibilities**
* Design and develop data lakes with a focus on data source identification, extraction, and modeling.
* Develop data flows to ingest and transform both structured and unstructured data using warehousing and big data methodologies.
* Implement efficient data storage, partitioning, and metadata structures to facilitate data consumption.
* Enable automation for governance features related to data privacy, inventory, cataloging, and security.
* Enhance observability, cost management, and reporting for data engineering operations.
* Build integration testing and quality assurance capabilities, ensuring compliance with architectural standards.
* Perform assessments and proofs of concept for new tools and technologies.
* Lead, mentor, and support Data Delivery teams with methodologies, tools, and technical knowledge.
**Essential Skills**
* Minimum 6 years of experience in technical roles focusing on data engineering.
* At least 3 years of hands\-on experience with AWS services such as S3, KMS, Lambda, Glue (or Spark), SQS, EventBridge, and AWS Step Functions.
* Experience in writing clean, modular, testable, and maintainable code using functional or OOP principles.
* Strong understanding of AWS networking concepts, including VPC, subnets, routing, NAT gateways, and security groups.
* Proficiency in IAM concepts such as roles, policies, assume\-role, and cross\-account access.
* Strong SQL skills, including complex joins, window functions, and aggregations.
* Experience with Redshift and/or Athena or other distributed compute engines.
* Experience in writing and maintaining Terraform scripts.
**Additional Skills \&amp; Qualifications**
* Proficiency in at least one programming language such as Python, Scala, etc.
* Understanding of Spark architecture, execution plans, and performance tuning.
* Familiarity with Git, GitHub workflows, and CI/CD tools like Jenkins.
* Hands\-on experience with data governance, cataloging, and discovery tools such as AWS Glue and Lake Formation.
* Exposure to data lake architectures and data governance practices.
* Experience with the implementation of monitoring and logging.
* Advanced knowledge of cloud and on\-premises NoSQL database structures, including AWS DynamoDB and MongoDB.
* Knowledge of Data Management, Integration, and Data Quality tools using no\-code, low\-code, and code\-first methodologies.
**Work Environment**
 The role involves working with advanced technologies and tools in a dynamic environment. You will collaborate with cross\-functional teams, utilizing AWS services and other modern data engineering tools. The position demands strong problem\-solving skills and the ability to work both independently and as part of a team.
**APPLY TODAY** 
 !
 Connect with Taylor Brantley Sr. Recruiter for more details! https://www.linkedin.com/in/taylor\-brantley\-973a47111/
**Job Type \&amp; Location**
 This is a Permanent position based out of Louisville, KY.
**Pay And Benefits**
 The pay range for this position is $115000\.00 \- $170000\.00/yr.
 Schneider Electric also offers a comprehensive benefits package to support our employees, inclusive of medical (with member reward points), dental, vision, and basic life insurance, Benefit Bucks (credits to apply towards your benefits) flexible work arrangements, paid family leaves, 401(k) \+ match, well\-being and recognition (including service anniversary) programs, 12 holidays per year, 15 days of paid time off per year (pro\-rated in the first year of employment based on start date), opportunity to purchase company stock (eligibility depends on start date), and military leave benefits.
**Workplace Type**
 This is a fully onsite position in Louisville,KY.
**Application Deadline**
 This position is anticipated to close on Mar 11,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41">
      <c r="A41" t="inlineStr">
        <is>
          <t>li-4354256559</t>
        </is>
      </c>
      <c r="B41" t="inlineStr">
        <is>
          <t>Senior Data Engineer</t>
        </is>
      </c>
      <c r="C41" t="inlineStr">
        <is>
          <t>DTN</t>
        </is>
      </c>
      <c r="D41" t="inlineStr">
        <is>
          <t>linkedin</t>
        </is>
      </c>
      <c r="E41">
        <f>HYPERLINK("https://www.linkedin.com/jobs/view/4354256559", "https://www.linkedin.com/jobs/view/4354256559")</f>
        <v/>
      </c>
      <c r="F41">
        <f>HYPERLINK("https://dtn.wd1.myworkdayjobs.com/en-US/DTN_Careers/job/Austin-TX/Senior-Data-Engineer_R-002987?source=LinkedIn&amp;urlHash=kMi3", "https://dtn.wd1.myworkdayjobs.com/en-US/DTN_Careers/job/Austin-TX/Senior-Data-Engineer_R-002987?source=LinkedIn&amp;urlHash=kMi3")</f>
        <v/>
      </c>
      <c r="G41" t="inlineStr">
        <is>
          <t>Austin, TX</t>
        </is>
      </c>
      <c r="H41" t="inlineStr"/>
      <c r="I41" t="inlineStr">
        <is>
          <t>For decades, DTN has been the silent force behind some of the world’s most critical industries—helping businesses navigate complexity, uncertainty, and risk with smarter, faster decisions. From agriculture to energy to weather intelligence, our proprietary Operational Decisioning Platform transforms raw data into decision\-grade insights—enabling companies to optimize supply chains, ensure market stability, and safeguard infrastructure against disruption. We don’t follow trends—we set the standard for precision, trust, and operational impact.
 DTN is at an exciting inflection point. Building off a foundation of financial strength, profitability, and industry trust, we’re accelerating growth and expanding our global footprint. Our purpose\-built solutions—powered by AI and honed by decades of vertical expertise—are helping some of the world’s most significant enterprises thrive amid operational constraints and uncover new opportunities in a fast\-changing world.
**J** 
**ob Description:**
**Position Summary**
 DTN is seeking a Senior Data Engineer to lead the design and delivery of trusted, scalable data solutions that power DTN’s products and customer outcomes. This role is responsible for architecting modern data pipelines and cloud\-native analytics platforms while ensuring the integrity, reliability, and governance of enterprise data assets. The ideal candidate combines deep AWS expertise with strong leadership skills and a passion for building high\-quality, production\-ready data systems in a fast\-paced environment.
**What You Will Be Responsible For:**
* Architect and deliver trusted data sets and services from complex data sources to support DTN partners and customers.
* Design and implement modern data and analytics architectures, establishing best practices for data ingestion, integration, and pipeline development.
* Lead initiatives to enhance data governance, security, quality, and reliability across the organization.
* Drive continuous improvement of data engineering standards, patterns, and documentation to enable enterprise\-wide consistency.
* Provide expert\-level support to internal teams and customers, resolving complex data infrastructure challenges.
* Mentor junior data engineers and provide technical leadership across cross\-functional teams.
* Identify opportunities to modernize and optimize internal processes through automation and innovative data solutions.
**What You Will Bring to the Position:**
* 7\+ years of experience in data engineering, including pipelines, ingestion, and ETL/ELT processes.
* 5\+ years of experience designing and deploying solutions within AWS cloud environments.
* Strong expertise in modern data tooling, including Apache Airflow (or similar workflow tools), PySpark, EMR, and lakehouse architectures leveraging S3, Lake Formation, and Apache Iceberg.
* Experience with containerization and infrastructure\-as\-code tools such as Docker, Kubernetes, Terraform, and CI/CD pipelines.
* Advanced SQL and database expertise, including relational (Postgres, Oracle) and non\-relational database technologies.
* Proficiency in Python for data engineering, API integration (REST and GraphQL), and automation.
* Experience implementing data quality frameworks and governance practices.
* Strong communication skills with the ability to influence stakeholders and lead technical discussions.
**What Will Make You Stand Out:**
* Experience with geospatial data processing tools such as PostGIS or Apache Sedona.
* Deep expertise in deploying and managing large\-scale datasets efficiently.
* Proven track record implementing enterprise data engineering best practices.
* Strong customer focus and understanding of downstream data consumption and business value creation.
**What You Can Expect from DTN:**
* Competitive Salary
* Unlimited PTO
* Flexible working hours
* Remote work model (position dependent)
* Competitive Medical, Dental and Vision Insurance Plans
* 6% 401K matching
* Unlimited access to 13k\+ courses via learning platform to support employee career advancement
* Employee Assistance Program (EAP)
*The targeted hiring base pay range for this position is between
 **$109,500 and $145,800** 
 . DTN is a pay\-for\-performance organization, which means there is the opportunity to advance your compensation with performance over time. The actual base pay offered for this position will be dependent upon many factors, including but not limited to: prior work experience, training/education, transferable skills, business needs, internal equity and applicable laws. The targeted hiring base pay range is subject to change and may be modified in the future. This role may also be eligible for market competitive variable pay and benefits.*
**About DTN:**
 DTN is a global data and technology company helping operational leaders in energy, agriculture, and weather\-driven industries make faster, smarter decisions. Our Operational Decisioning Platform turns complex data into decision\-grade insights—empowering customers to expand their margins, accelerate growth, and outpace risk. With more than 1,200 employees globally, DTN serves the companies that feed, fuel, and protect the world.
 At DTN, we value
 **clarity,** 
**trust** 
 , and
 **action** 
 . We’re a team of problem\-solvers, outcome\-drivers, and industry nerds who believe that precision matters – and that mission is at the core of what we do.
* Trust Built: We earn it. We keep it. We protect it. Our neutrality, precision, and integrity are non\-negotiable.
* Confidence\-Driven: We help customers move with clarity and conviction. We bring the data and operational knowledge leaders need to act.
* Built for Industry: We speak operations because we come from operations. Our expertise is forged in fuel terminals, fields, flight paths, and forecasts.
* Future\-Forward: We see what’s coming\- and we’re ready. We help customers lead through change with smarter decisioning.
**Recruitment Fraud Notice:**
 DTN is aware of incidents where external parties have impersonated our organization, issuing fraudulent communications and/or job offers. Please be advised that all legitimate communication from DTN will come from an official @dtn.com email address or through our Paradox AI automated scheduling platform (Talent IQ). Any offers are extended directly by our Talent Acquisition team following a formal interview process.
 If you receive a suspicious message or offer claiming to be from DTN, please do not engage. Contact our Talent Acquisition team at Careers@dtn.com to verify the legitimacy of any communication. Report any fraudulent messaging as phishing or spam.
**DTN is an Equal Opportunity Employer.** 
 We welcome and encourage applicants of all backgrounds, including minorities, women, veterans, and individuals with disabilities.</t>
        </is>
      </c>
    </row>
    <row r="42">
      <c r="A42" t="inlineStr">
        <is>
          <t>li-4322660717</t>
        </is>
      </c>
      <c r="B42" t="inlineStr">
        <is>
          <t>Lead Data Engineer</t>
        </is>
      </c>
      <c r="C42" t="inlineStr">
        <is>
          <t>Universal Orlando Resort</t>
        </is>
      </c>
      <c r="D42" t="inlineStr">
        <is>
          <t>linkedin</t>
        </is>
      </c>
      <c r="E42">
        <f>HYPERLINK("https://www.linkedin.com/jobs/view/4322660717", "https://www.linkedin.com/jobs/view/4322660717")</f>
        <v/>
      </c>
      <c r="F42">
        <f>HYPERLINK("https://careers.pageuppeople.com/851/cw/en-us/job/652530/lead-data-engineer&amp;urlHash=5VGB", "https://careers.pageuppeople.com/851/cw/en-us/job/652530/lead-data-engineer&amp;urlHash=5VGB")</f>
        <v/>
      </c>
      <c r="G42" t="inlineStr">
        <is>
          <t>Orlando, FL</t>
        </is>
      </c>
      <c r="H42" t="inlineStr"/>
      <c r="I42" t="inlineStr">
        <is>
          <t>****JOB SUMMARY:****
 Responsible for technical design, writing, support and operations of efficient, scalable, and extensible data integrations and ingestions. Implement effective solutions from the ground up and investigate anomalies in a mature running data platform and environment. Work with business, developers, analysts, architecture and product owners to develop data integration and ingestion solutions that are critical to the enterprise analytics, reporting and application environments leveraged by all areas of the business. Perform all data platform related configuration, software and server installations, upgrades and patching partnering with the necessary Infrastructure, IT Security and other teams as needed.
****MAJOR RESPONSIBILITIES:****
* Implement enhancements for prioritized data integration and ingestions work efforts partnering with the business to ensure they meet the specified requirements.
* Implement critical and non\-critical system data integration and ingestion fixes for the data platform and environment. Ensuring root cause resolution to identified problems. Monitor and support the campaign management environment and processes in order to meet the daily SLA.
* Recommend and code efficient and effective data integration and ingestion solutions for challenging problems for medium to large work efforts of medium to high complexity. Translate business requirements, data mappings into data integrations and ingestions code solutions.
* Support Release and Change Management processes along with other UPT Compliance initiatives. Work effectively with Technology Operations/Infrastructure teams to ensure continued operations and maintenance of the data integrations and ingestions as well as the data platform and environment.
* Understands and actively participates in Environmental, Health \&amp; Safety responsibilities by following established UO policy, procedures, training and team member involvement activities.
* Performs other duties as assigned.
****EDUCATION:****
* Technical degree, Bachelor’s degree;
* or highly relevant equivalent experience is required.
****EXPERIENCE:****
* 7\+ years of demonstrated experience working as part of large Information Technology teams and/or consulting organizations partnering with clients/business groups in a role developing and supporting a complex data environment; or equivalent combination of education and experience. Strong understanding of software development lifecycle
* Experience in a transaction\-based environment is a MUST
* Proficient with scripting languages, data ingestion tools and corresponding tools, preferably Python, Pip, Pipenv, Bash, Scala, Spark, PySpark ScalaSpark, NIFI, and Java Script, and one object\-oriented language like Java/C\#
* Able to work in and with Cloud and non\-cloud technologies like AWS, Azure, Hadoop etc.
* Experience with one or more relational databases/data technologies like DB2, SQL Server, Snowflake. Able to write and ready complex SQL, stored procedures and leverage backend databases. Should be able to triage database performance issues with SQL being sent to the database. Able to read and explain plans, and understand the complexity.
* Experience working with scheduling, automation, file transfer, monitoring, alerting, notification and logging tools like Airflow, RunDeck, SFTP etc.
* Experience working in Linux environment
* Experience with source control management such as Git and/or SVN
* Strong problem solving skills, and the ability to communicate complex concepts clearly and accurately
* Familiarity with no\-SQL databases like Couch, MongoDB, Hbase or Cassandra
* Knowledge of Data Science, Analytics and Business Intelligence/Reporting practices and tools as it pertains to data platforms and environments (R\-Studio, Jupyter, Zeppelin, Tableau or DsX)
* Experience interacting with Kafka and API/Service programming and transactional databases
* Experience with principles of data governance and quality as well as tools used (i.e. Ranger, Atlas)
* Understanding of containers, resource management or YARN is desirable
* Able to perform software and server installations, patching and upgrades.
* Participate in an on\-call rotation and available to work off\-hours, holidays and weekends.
* Must be able to partner with other teams and developers effectively.
* Strong knowledge of systems development and project management Agile methodologies/processes.
* Demonstrated ability to produce high quality technical documentation.
* Able to quickly meet changing business requirements.
* Able to complete work items, validate the results and present deliverable to the business for review with minimal to no defects.
* Able to understand and interpret Entity\-Relationship, logical and physical data models.
* Work with change management processes to ensure smooth migration between dev, QA and production environments.
* Monitor and maintain all the system processes.
* Ensure system issues are resolved in a timely manner.
* Strong interpersonal skills, with a demonstrated ability to make effective decisions while working through complex system issues.
* Must be able to utilize and effectively communicate functional and technical components of an initiative to applicable parties both verbally and through documentation.
* Coordinate the necessary operations documentation and standards required for compliance and identified best practices.
* Problem and Change Management ITIL ServiceNow toolset in tracking and providing status on support work activities.
* Attention to detail, good analytical and problem solving skills and critical thinking.
* Self\-starter/motivator with a proactive, agile and strategic mindset. Able to work independently.
* Provide work estimates on break\-fixes and enhancements.
* Facilitate and lead meetings with end users to discuss issues and open work items.
* Keeps management, team members and business stakeholders informed of critical issues, status, changes, etc.
* Willingness to learn new technologies, tools, and approaches to problem\-solving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2025 Universal Studios. All rights reserved. EOE</t>
        </is>
      </c>
    </row>
    <row r="43">
      <c r="A43" t="inlineStr">
        <is>
          <t>li-4371534436</t>
        </is>
      </c>
      <c r="B43" t="inlineStr">
        <is>
          <t>Senior Data Engineer</t>
        </is>
      </c>
      <c r="C43" t="inlineStr">
        <is>
          <t>Uline</t>
        </is>
      </c>
      <c r="D43" t="inlineStr">
        <is>
          <t>linkedin</t>
        </is>
      </c>
      <c r="E43">
        <f>HYPERLINK("https://www.linkedin.com/jobs/view/4371534436", "https://www.linkedin.com/jobs/view/4371534436")</f>
        <v/>
      </c>
      <c r="F43">
        <f>HYPERLINK("https://www.uline.jobs/JobDetails?source=1-LI&amp;jobid=R261321&amp;urlHash=WBT4", "https://www.uline.jobs/JobDetails?source=1-LI&amp;jobid=R261321&amp;urlHash=WBT4")</f>
        <v/>
      </c>
      <c r="G43" t="inlineStr">
        <is>
          <t>Pleasant Prairie, WI</t>
        </is>
      </c>
      <c r="H43" t="inlineStr"/>
      <c r="I43" t="inlineStr">
        <is>
          <t>**Pay from $96,000 to $148,000 per year**
**2200 S. Lakeside Drive, Waukegan, IL 60085**
 Fuel the future of data engineering and analytics for our growing North American company! As a Senior Data Engineer at Uline, you’ll play a pivotal role in constructing and maintaining our new, cutting\-edge data collection systems and analytics platform.
**Careers Packed with Potential.** 
 Backed by 45\+ years of success, Uline offers opportunities to grow your career with stability you can count on.
**Position Responsibilities**
* Partner with business users to design and build BI and data warehouse solutions.
* Engage with project leads, analysts and business users to implement and test data warehouse applications.
* Build complex data engineering processes to support business analytics and reporting.
* Perform unit, performance and regression testing on ETL mappings.
* Follow coding standards, review code and enhance quality practices.
* Oversee production deployments and coordinate with other teams to execute.
**Minimum Requirements**
* Bachelor's degree in information technology or related field.
* 8\+ years in data engineering.
* 5\+ years of hands\-on experience developing ETL using Informatica PowerCenter.
* Proven experience writing complex T\-SQL and DB performance tuning.
* Strong troubleshooting skills to resolve data issues.
* Knowledge of SSIS, Python, Azure, Snowflake or Databricks is a plus.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\#CORP
 (\#IN\-PPITL1\)
 \#ZR\-HQIT
 Our employees make the difference and we are committed to offering exceptional benefits and perks! Explore https://www.uline.jobs/\#working\-here\_blankUline.jobs to learn more!</t>
        </is>
      </c>
    </row>
    <row r="44">
      <c r="A44" t="inlineStr">
        <is>
          <t>li-4380692926</t>
        </is>
      </c>
      <c r="B44" t="inlineStr">
        <is>
          <t>Senior Data Engineer (Python, Spark, AWS)</t>
        </is>
      </c>
      <c r="C44" t="inlineStr">
        <is>
          <t>Capital One</t>
        </is>
      </c>
      <c r="D44" t="inlineStr">
        <is>
          <t>linkedin</t>
        </is>
      </c>
      <c r="E44">
        <f>HYPERLINK("https://www.linkedin.com/jobs/view/4380692926", "https://www.linkedin.com/jobs/view/4380692926")</f>
        <v/>
      </c>
      <c r="F44" t="inlineStr"/>
      <c r="G44" t="inlineStr">
        <is>
          <t>New York, NY</t>
        </is>
      </c>
      <c r="H44" t="inlineStr"/>
      <c r="I4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li-4380698681</t>
        </is>
      </c>
      <c r="B45" t="inlineStr">
        <is>
          <t>Senior Data Engineer (Python, PySpark, Lambda)</t>
        </is>
      </c>
      <c r="C45" t="inlineStr">
        <is>
          <t>Capital One</t>
        </is>
      </c>
      <c r="D45" t="inlineStr">
        <is>
          <t>linkedin</t>
        </is>
      </c>
      <c r="E45">
        <f>HYPERLINK("https://www.linkedin.com/jobs/view/4380698681", "https://www.linkedin.com/jobs/view/4380698681")</f>
        <v/>
      </c>
      <c r="F45">
        <f>HYPERLINK("https://dsp.prng.co/SB7nBGb&amp;urlHash=62kf", "https://dsp.prng.co/SB7nBGb&amp;urlHash=62kf")</f>
        <v/>
      </c>
      <c r="G45" t="inlineStr">
        <is>
          <t>Cambridge, MA</t>
        </is>
      </c>
      <c r="H45" t="inlineStr"/>
      <c r="I4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li-4381013032</t>
        </is>
      </c>
      <c r="B46" t="inlineStr">
        <is>
          <t>Senior Data Engineer (Java, Spark, Python, SQL, CI/CD Pipeline)</t>
        </is>
      </c>
      <c r="C46" t="inlineStr">
        <is>
          <t>Capital One</t>
        </is>
      </c>
      <c r="D46" t="inlineStr">
        <is>
          <t>linkedin</t>
        </is>
      </c>
      <c r="E46">
        <f>HYPERLINK("https://www.linkedin.com/jobs/view/4381013032", "https://www.linkedin.com/jobs/view/4381013032")</f>
        <v/>
      </c>
      <c r="F46">
        <f>HYPERLINK("https://dsp.prng.co/Z6gjPpb&amp;urlHash=NCSC", "https://dsp.prng.co/Z6gjPpb&amp;urlHash=NCSC")</f>
        <v/>
      </c>
      <c r="G46" t="inlineStr">
        <is>
          <t>McLean, VA</t>
        </is>
      </c>
      <c r="H46" t="inlineStr"/>
      <c r="I4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7">
      <c r="A47" t="inlineStr">
        <is>
          <t>li-4381011041</t>
        </is>
      </c>
      <c r="B47" t="inlineStr">
        <is>
          <t>Senior Data Engineer (Python, PySpark, Lambda)</t>
        </is>
      </c>
      <c r="C47" t="inlineStr">
        <is>
          <t>Capital One</t>
        </is>
      </c>
      <c r="D47" t="inlineStr">
        <is>
          <t>linkedin</t>
        </is>
      </c>
      <c r="E47">
        <f>HYPERLINK("https://www.linkedin.com/jobs/view/4381011041", "https://www.linkedin.com/jobs/view/4381011041")</f>
        <v/>
      </c>
      <c r="F47">
        <f>HYPERLINK("https://dsp.prng.co/IrT5mFb&amp;urlHash=hlew", "https://dsp.prng.co/IrT5mFb&amp;urlHash=hlew")</f>
        <v/>
      </c>
      <c r="G47" t="inlineStr">
        <is>
          <t>McLean, VA</t>
        </is>
      </c>
      <c r="H47" t="inlineStr"/>
      <c r="I4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Data Engineer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
      <c r="A48" t="inlineStr">
        <is>
          <t>li-4343038185</t>
        </is>
      </c>
      <c r="B48" t="inlineStr">
        <is>
          <t>Sr. Cloud Data Engineer</t>
        </is>
      </c>
      <c r="C48" t="inlineStr">
        <is>
          <t>Accenture Federal Services</t>
        </is>
      </c>
      <c r="D48" t="inlineStr">
        <is>
          <t>linkedin</t>
        </is>
      </c>
      <c r="E48">
        <f>HYPERLINK("https://www.linkedin.com/jobs/view/4343038185", "https://www.linkedin.com/jobs/view/4343038185")</f>
        <v/>
      </c>
      <c r="F48">
        <f>HYPERLINK("https://boards.greenhouse.io/accenturefederalservices/jobs/4623820006?gh_jid=4623820006&amp;gh_src=17d6aa496us&amp;source=LinkedIn&amp;urlHash=Ml9b", "https://boards.greenhouse.io/accenturefederalservices/jobs/4623820006?gh_jid=4623820006&amp;gh_src=17d6aa496us&amp;source=LinkedIn&amp;urlHash=Ml9b")</f>
        <v/>
      </c>
      <c r="G48" t="inlineStr">
        <is>
          <t>Virginia, United States</t>
        </is>
      </c>
      <c r="H48" t="inlineStr"/>
      <c r="I4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As a Sr. Cloud Data Engineer, you’ll work with team members to build, deploy, and operate data pipelines and data engineering components to enable data brokering and exchange capabilities across a diverse range of producers and consumers.
**Responsibilities:**
 In this role, you will be responsible for building robust, scalable data pipelines while working collaboratively with cross\-functional teams to ensure seamless integration, optimized performance, and efficient delivery of solutions.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**Nice to have:**
* Experience implementing data pipelines in the Cloudera Data Platform environment is highly preferred.
* Strong communication skills, with the ability to clearly convey complex technical concepts
 Clearance:
* An active TS/SCI with polygraph is required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$137,300—$165,100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49">
      <c r="A49" t="inlineStr">
        <is>
          <t>li-4343063837</t>
        </is>
      </c>
      <c r="B49" t="inlineStr">
        <is>
          <t>Data Engineer Manager</t>
        </is>
      </c>
      <c r="C49" t="inlineStr">
        <is>
          <t>Envista Holdings Corporation</t>
        </is>
      </c>
      <c r="D49" t="inlineStr">
        <is>
          <t>linkedin</t>
        </is>
      </c>
      <c r="E49">
        <f>HYPERLINK("https://www.linkedin.com/jobs/view/4343063837", "https://www.linkedin.com/jobs/view/4343063837")</f>
        <v/>
      </c>
      <c r="F49">
        <f>HYPERLINK("https://envista.wd1.myworkdayjobs.com/envistacareers/job/United-States-of-America\u002d\u002dCalifornia\u002d\u002dBrea/Data-Engineer-Manager_R5024671?source=LinkedIn&amp;urlHash=YbfI", "https://envista.wd1.myworkdayjobs.com/envistacareers/job/United-States-of-America\u002d\u002dCalifornia\u002d\u002dBrea/Data-Engineer-Manager_R5024671?source=LinkedIn&amp;urlHash=YbfI")</f>
        <v/>
      </c>
      <c r="G49" t="inlineStr">
        <is>
          <t>Brea, CA</t>
        </is>
      </c>
      <c r="H49" t="inlineStr"/>
      <c r="I49" t="inlineStr">
        <is>
          <t>**Job Description**
 Develops or modifies program logic for new applications or software which may include coding, testing, debugging, documenting, implementing and maintaining software applications. Analyzes requirements, and maintains, tests and integrates application components. Programmer Analyst roles should be assigned to this job family.
**Accountabilities**
* Design and implement scalable data pipelines for structured and unstructured data.
* Develop and maintain data models, integration frameworks, and storage solutions (cloud/on\-prem/hybrid).
* Create scalable and reliable ETL/ELT processes to extract, transform, and load data from various sources into data warehouses or data lakes.
* Ensure adherence to data governance, security, and compliance standards (GDPR, HIPAA, SOX).
* Implement best practices for data quality, lineage, and metadata management.
* Define and maintain the overall data solution architecture, including integration patterns, data models, and governance frameworks.
* Collaborate with business stakeholders to translate requirements into technical designs that meet performance, security, and compliance standards.
* Oversee implementation of data platforms (e.g., cloud, on\-premise, hybrid) ensuring scalability and interoperability.
* Establish and enforce architecture principles, standards, and best practices across development teams.
* Provide technical leadership during project lifecycle: design reviews, solution validation, and deployment strategies.
* Partner with IT security and compliance teams to embed security controls and regulatory adherence into all solutions.
* Evaluate emerging technologies and recommend adoption strategies aligned with enterprise goals.
* Clean, transform, and organize raw data from multiple sources into usable formats.
* Implement and enforce data quality, security, and governance policies, and ensure data is backed up and accessible.
* Work with data scientists, analysts, and stakeholders to understand business needs and provide data for analytics and decision\-making.
* Evaluate and optimize existing data systems for improved performance, reliability, and speed.
* Create analytical tools and programs to help with data analysis and reporting.
* Partner with IT, BI, and business teams to translate requirements into technical solutions.
* Support advanced analytics initiatives by enabling reliable and accessible data infrastructure.
**Job Requirements**
**Knowledge, Skills, and Experience**
* Bachelor’s or Master’s degree in Computer Science, Information Systems, or related field.
* 5\+ years of experience in data engineering.
* Proven experience with ETL tools, cloud platforms (such as Azure, AWS, GCP), and big data technologies.
* Strong understanding of enterprise data architecture, data modeling, and integration frameworks.
* Knowledge of cloud platforms (e.g., Azure, AWS, GCP) and data services (e.g., Snowflake, Databricks).
* Familiarity with compliance standards (GDPR, HIPAA, SOX) and security best practices.
**Critical Skills / Technical Know\-How**
* Expertise in designing scalable data solutions using modern architectures (microservices, event\-driven, API\-first).
* Proficiency in ETL/ELT tools, data warehousing, and big data technologies.
* Proficiency in programming languages such as SQL and Python, experience with database systems, and familiarity with big data technologies.
* Ability to lead architecture reviews and communicate complex technical concepts to non\-technical stakeholders.
* Strong problem\-solving and analytical skills with experience in performance tuning and optimization.
* Ability to communicate requirements and results with both technical and non\-technical team members.
**Competencies**
* Strategic Thinking – Aligns architecture decisions with long\-term business objectives.
* Technical Expertise – Demonstrates mastery of data architecture and emerging technologies.
* Collaboration \&amp; Influence – Builds strong relationships across IT and business teams.
* Decision Making – Makes informed, timely decisions under uncertainty.
* Innovation – Identifies and applies innovative solutions to complex problems.
* Change Agility – Adapts quickly to evolving technologies and business needs.
**Critical Success Factors \&amp; Key Challenges**
* Delivering robust, secure, and scalable data solutions that meet business needs.
* Driving standardization and governance across diverse systems and teams.
* Maintaining strong stakeholder engagement and clear communication throughout projects.
**Key Challenges**
* Balancing innovation with compliance and security requirements.
* Managing complexity in multi\-cloud and hybrid environments.
* Ensuring interoperability and data quality across global systems.
 IND123
**Target Market Salary Range**
 Actual compensation packages take into account a wide range of factors that are unique to each candidate, including but not limited to geographic location; skill sets; relevant education and certifications; depth of experience; performance; and other business and organizational needs. The disclosed reasonable estimate has not been adjusted for the applicable geographic differential associated with the location at which the position may be filled. At Envista, it is not typical for an individual to be hired at or near the top of the range for their role and compensation decisions are dependent on the facts and circumstances of each case. The total compensation package for this position may also include an annual performance bonus, medical/dental/vision benefits, 401K match, and/or other applicable compensation plans.
 $107,400 \- $153,400
**Operating Company**
 Corporate
 Envista is a global family of more than 30 trusted dental brands, united by a shared purpose: to partner with professionals to improve lives. Envista helps its partners deliver the best possible patient care through industry\-leading products, solutions, and technology. Our comprehensive portfolio, including dental implants and treatment options, orthodontics, and digital imaging technologies, covers an estimated 90% of dentists’ clinical needs for diagnosing, treating, and preventing dental conditions as well as improving the aesthetics of the human smile.
 Envista and all Envista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at: http://www.dol.gov/ofccp/regs/ compliance/posters/pdf/eeopost.pdf.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t>
        </is>
      </c>
    </row>
    <row r="50">
      <c r="A50" t="inlineStr">
        <is>
          <t>li-4372143961</t>
        </is>
      </c>
      <c r="B50" t="inlineStr">
        <is>
          <t>Infrastructure Capacity Analytics Engineer</t>
        </is>
      </c>
      <c r="C50" t="inlineStr">
        <is>
          <t>Vultr</t>
        </is>
      </c>
      <c r="D50" t="inlineStr">
        <is>
          <t>linkedin</t>
        </is>
      </c>
      <c r="E50">
        <f>HYPERLINK("https://www.linkedin.com/jobs/view/4372143961", "https://www.linkedin.com/jobs/view/4372143961")</f>
        <v/>
      </c>
      <c r="F50">
        <f>HYPERLINK("https://www.vultr.com/company/careers/?ashby_jid=4abcfd8c-db9f-4e93-a777-d6a1871f7359&amp;utm_source=nMNKlo6LA9&amp;src=linkedin&amp;urlHash=4TyA", "https://www.vultr.com/company/careers/?ashby_jid=4abcfd8c-db9f-4e93-a777-d6a1871f7359&amp;utm_source=nMNKlo6LA9&amp;src=linkedin&amp;urlHash=4TyA")</f>
        <v/>
      </c>
      <c r="G50" t="inlineStr"/>
      <c r="H50" t="inlineStr"/>
      <c r="I50" t="inlineStr">
        <is>
          <t>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**Vultr Cares**
* 100% company\-paid insurance premiums for employee medical, dental and vision plans.
* 401(k) plan that matches 100% up to 4%, with immediate vesting
* Professional Development Reimbursement of $2,500 each year
* 11 Holidays \+ Paid Time Off Accrual \+ Rollover Plan
* Commitment matters to Vultr! Increased PTO at 3 year and 10 year anniversary \+ 1 month paid sabbatical every 5 years \+ Anniversary Bonus each year
* $500 stipend for remote office setup in first year \+ $400 each following year
* Internet reimbursement up to $75 per month
* Gym membership reimbursement up to $50 per month
* Company paid Wellable subscription
**Join Vultr**
 Vultr is seeking a highly skilled and experienced Infrastructure Capacity Analytics Engineer to We’re looking for a forward‑thinking infrastructure capacity engineer who can turn massive streams of global telemetry into powerful, predictive insights. In this role, you’ll design advanced forecasting models, build scalable Python data pipelines, and create executive‑ready dashboards that directly influence engineering, operations, and financial strategy. You’ll partner across the business to anticipate growth, optimize infrastructure, and shape the future of our global compute, storage, and network footprint—driving reliability, efficiency, and innovation at scale. This is a highly visible role in a high\-growth technology company, which will require a strong candidate who can build predictive capacity models, develop scalable data pipelines, create insightful dashboards, and partner cross‑functionally to ensure our global infrastructure remains efficient, reliable, and ready for growth.
 This is your opportunity to join our fast growing team and leave your mark on Vultr and the future of Cloud Infrastructure.
**Key Responsibilities**
* Develop and maintain capacity models for compute, storage, and network infrastructure across global environments.
* Build and productionize advanced time‑series forecasts (e.g., ARIMA/ETS, Prophet, XGBoost/LightGBM) to predict demand, saturation points, and runway.
* Conduct scenario modeling (“what‑if”) on deployment plans, workload changes, demand spikes, and hardware refresh strategies.
* Analyze historical utilization to identify emerging risks, inefficiencies, and optimization opportunities.
* Design, build, and maintain Python‑based data pipelines for ingesting, transforming, and validating large‑scale infrastructure telemetry.
* Create ETL/ELT workflows to support analytics, modeling, and reporting.
* Integrate data from observability platforms (e.g., Prometheus/Grafana), CMDB/asset systems, and internal services.
* Develop APIs/services to expose forecast results and capacity signals to dashboards and tooling.
* Build executive‑ready dashboards in Power BI (DAX, Power Query, custom visuals) and integrate real‑time forecasting outputs.
* Deliver clear, compelling insights to engineering, operations, and finance leaders to support both strategic and tactical decision‑making.
* Automate reporting workflows and ensure up‑to‑date visibility into runway, utilization, and risk posture.
* Partner with engineering, operations, and finance teams to align capacity plans with growth, reliability, and cost objectives.
* Establish standards for model governance, documentation, and data quality.
* Drive continuous improvement of capacity planning systems, tooling, and analytics frameworks.
**Required Qualifications**
* Bachelor's degree in Computer Science, Engineering, or related discipline.
* 6\+ years of professional experience in Python development and data engineering.
* 4\+ years in infrastructure capacity planning, performance analysis, or related fields.
* Strong expertise in time‑series forecasting, statistical modeling, and Python libraries (pandas, NumPy, scikit‑learn, statsmodels, XGBoost).
* Proficiency with SQL scripting and column\-based SQL databases (I.e. ClickHouse); experience designing scalable ETL/ELT pipelines.
* Advanced proficiency in Grafana, Tableau, or Power BI (DAX, Power Query, modeling, custom visuals).
* Experience working with infrastructure telemetry and systems (servers, storage, networking).
* Prior experience managing capacity at a cloud service provider or large‑scale distributed environment.
* Excellent communication and executive‑level presentation skills.
**Preferred Qualifications**
* Experience with cloud‑native data platforms (Azure Data Lake/Synapse, AWS Redshift, Google BigQuery).
* Familiarity with containerized environments (Docker) and CI/CD pipelines.
* Knowledge of RESTful APIs and microservices architecture.
* Experience with version control (Git) and agile engineering practices.
* Exposure to machine learning, anomaly detection, or ensemble forecasting methods.
* Strong spreadsheet skills (advanced formulas, modeling workflows).
**Success Indicators**
* High forecast accuracy with clear tracking (MAPE, bias).
* Improved utilization, infrastructure cost efficiency, and runway predictability.
* Reliable, scalable data pipelines with strong data quality SLAs.
* Effective stakeholder alignment and measurable impact on infrastructure planning decisions.
* Increased automation and reduction in manual reporting cycles.
**Compensation**
 $75,000 \- $90,000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t>
        </is>
      </c>
    </row>
    <row r="51">
      <c r="A51" t="inlineStr">
        <is>
          <t>li-4381028947</t>
        </is>
      </c>
      <c r="B51" t="inlineStr">
        <is>
          <t>AI Engineer – Data Engineering &amp; Experimentation (Mid/Senior Level)</t>
        </is>
      </c>
      <c r="C51" t="inlineStr">
        <is>
          <t>Jobright.ai</t>
        </is>
      </c>
      <c r="D51" t="inlineStr">
        <is>
          <t>linkedin</t>
        </is>
      </c>
      <c r="E51">
        <f>HYPERLINK("https://www.linkedin.com/jobs/view/4381028947", "https://www.linkedin.com/jobs/view/4381028947")</f>
        <v/>
      </c>
      <c r="F51" t="inlineStr"/>
      <c r="G51" t="inlineStr"/>
      <c r="H51" t="inlineStr"/>
      <c r="I51"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TOKADREAM
 One\-liner: TokaDream is a technology\-driven company focused on leveraging artificial intelligence and machine learning to deliver cutting\-edge products and services.
 Salary: $5,000/mo \- $12,000/mo
 Why Join Us:
 Role Responsibilities
 • Build and maintain scalable, automated ETL pipelines to support LLM\-based systems and broader AI products
 • Design and implement A/B testing frameworks to evaluate model, feature, and agent performance
 • Collaborate with product managers, engineers, and data scientists in agile teams to define requirements and deliver features
 • Participate in agile ceremonies including daily standups, sprint planning, and retrospectives
 • Instrument production systems for performance monitoring, user behavior tracking, and system health
 • Partner with analytics teams to ensure data quality, consistency, and accessibility across the organization
 • Work closely with infrastructure teams to deploy and monitor model endpoints and workflows in production
 • Contribute to documentation, code reviews, and team knowledge sharing to drive engineering excellence
 Qualifications
 Required
 • Bachelor's or Master's degree in Computer Science, Engineering, Data Science, or a related field
 • 3\+ years of professional experience in software engineering, data engineering, or AI/ML\-focused roles
 • Experience designing and maintaining robust ETL processes using tools like Airflow, Spark, dbt, or custom data pipelines
 • Familiarity with A/B testing tools, statistical evaluation metrics, and experimentation platforms
 • Solid understanding of Agile principles and experience working in Scrum or Kanban development teams
 • Strong proficiency in Python and SQL; experience with unit testing, Git, and CI/CD workflows
 • Solid understanding of cloud platforms (AWS, GCP, or Azure) and experience with data lakes, warehousing, and storage systems
 Preferred
 • Background in building or integrating AI/LLM models into production applications
 • Experience working with modern ML infrastructure (e.g., MLFlow, SageMaker, Vertex AI)
 • Exposure to analytics tools (Looker, Tableau, or similar)
 • Knowledge of data privacy and compliance concerns related to AI and user data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2026-03-06T17:05:46Z</dcterms:created>
  <dcterms:modified xsi:type="dcterms:W3CDTF">2026-03-06T17:05:46Z</dcterms:modified>
</cp:coreProperties>
</file>