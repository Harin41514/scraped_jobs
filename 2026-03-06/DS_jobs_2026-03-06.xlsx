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in-8a3cfa5fdb4d6d96</t>
        </is>
      </c>
      <c r="B2" t="inlineStr">
        <is>
          <t>Sr. Applied Scientist, Amazon Ads</t>
        </is>
      </c>
      <c r="C2" t="inlineStr">
        <is>
          <t>Amazon.com</t>
        </is>
      </c>
      <c r="D2" t="inlineStr">
        <is>
          <t>indeed</t>
        </is>
      </c>
      <c r="E2">
        <f>HYPERLINK("https://www.indeed.com/viewjob?jk=8a3cfa5fdb4d6d96", "https://www.indeed.com/viewjob?jk=8a3cfa5fdb4d6d96")</f>
        <v/>
      </c>
      <c r="F2">
        <f>HYPERLINK("https://www.amazon.jobs/jobs/3139328/sr-applied-scientist-amazon-ads?cmpid=DA_INAD200785B", "https://www.amazon.jobs/jobs/3139328/sr-applied-scientist-amazon-ads?cmpid=DA_INAD200785B")</f>
        <v/>
      </c>
      <c r="G2" t="inlineStr">
        <is>
          <t>Boulder, CO, US</t>
        </is>
      </c>
      <c r="H2" s="1"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in-39888234391c7fe2</t>
        </is>
      </c>
      <c r="B3" t="inlineStr">
        <is>
          <t>Sr. Applied Scientist, Amazon Ads</t>
        </is>
      </c>
      <c r="C3" t="inlineStr">
        <is>
          <t>Amazon.com</t>
        </is>
      </c>
      <c r="D3" t="inlineStr">
        <is>
          <t>indeed</t>
        </is>
      </c>
      <c r="E3">
        <f>HYPERLINK("https://www.indeed.com/viewjob?jk=39888234391c7fe2", "https://www.indeed.com/viewjob?jk=39888234391c7fe2")</f>
        <v/>
      </c>
      <c r="F3">
        <f>HYPERLINK("https://www.amazon.jobs/jobs/3139328/sr-applied-scientist-amazon-ads?cmpid=DA_INAD200785B", "https://www.amazon.jobs/jobs/3139328/sr-applied-scientist-amazon-ads?cmpid=DA_INAD200785B")</f>
        <v/>
      </c>
      <c r="G3" t="inlineStr">
        <is>
          <t>Tukwila, WA, US</t>
        </is>
      </c>
      <c r="H3" s="1"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in-fc104c756a119a4e</t>
        </is>
      </c>
      <c r="B4" t="inlineStr">
        <is>
          <t>Sr. Applied Scientist, Amazon Ads</t>
        </is>
      </c>
      <c r="C4" t="inlineStr">
        <is>
          <t>Amazon.com</t>
        </is>
      </c>
      <c r="D4" t="inlineStr">
        <is>
          <t>indeed</t>
        </is>
      </c>
      <c r="E4">
        <f>HYPERLINK("https://www.indeed.com/viewjob?jk=fc104c756a119a4e", "https://www.indeed.com/viewjob?jk=fc104c756a119a4e")</f>
        <v/>
      </c>
      <c r="F4">
        <f>HYPERLINK("https://www.amazon.jobs/jobs/3139328/sr-applied-scientist-amazon-ads?cmpid=DA_INAD200785B", "https://www.amazon.jobs/jobs/3139328/sr-applied-scientist-amazon-ads?cmpid=DA_INAD200785B")</f>
        <v/>
      </c>
      <c r="G4" t="inlineStr">
        <is>
          <t>Brooklyn, NY, US</t>
        </is>
      </c>
      <c r="H4" s="1"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in-c598a2de55d0460c</t>
        </is>
      </c>
      <c r="B5" t="inlineStr">
        <is>
          <t>Sr. Applied Scientist, Amazon Ads</t>
        </is>
      </c>
      <c r="C5" t="inlineStr">
        <is>
          <t>Amazon.com</t>
        </is>
      </c>
      <c r="D5" t="inlineStr">
        <is>
          <t>indeed</t>
        </is>
      </c>
      <c r="E5">
        <f>HYPERLINK("https://www.indeed.com/viewjob?jk=c598a2de55d0460c", "https://www.indeed.com/viewjob?jk=c598a2de55d0460c")</f>
        <v/>
      </c>
      <c r="F5">
        <f>HYPERLINK("https://www.amazon.jobs/jobs/3139328/sr-applied-scientist-amazon-ads?cmpid=DA_INAD200785B", "https://www.amazon.jobs/jobs/3139328/sr-applied-scientist-amazon-ads?cmpid=DA_INAD200785B")</f>
        <v/>
      </c>
      <c r="G5" t="inlineStr">
        <is>
          <t>Palo Alto, CA, US</t>
        </is>
      </c>
      <c r="H5" s="1"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in-33b159930034318b</t>
        </is>
      </c>
      <c r="B6" t="inlineStr">
        <is>
          <t>Sr. Applied Scientist, Amazon Ads</t>
        </is>
      </c>
      <c r="C6" t="inlineStr">
        <is>
          <t>Amazon.com</t>
        </is>
      </c>
      <c r="D6" t="inlineStr">
        <is>
          <t>indeed</t>
        </is>
      </c>
      <c r="E6">
        <f>HYPERLINK("https://www.indeed.com/viewjob?jk=33b159930034318b", "https://www.indeed.com/viewjob?jk=33b159930034318b")</f>
        <v/>
      </c>
      <c r="F6">
        <f>HYPERLINK("https://www.amazon.jobs/jobs/3139328/sr-applied-scientist-amazon-ads?cmpid=DA_INAD200785B", "https://www.amazon.jobs/jobs/3139328/sr-applied-scientist-amazon-ads?cmpid=DA_INAD200785B")</f>
        <v/>
      </c>
      <c r="G6" t="inlineStr">
        <is>
          <t>New York, NY, US</t>
        </is>
      </c>
      <c r="H6" s="1"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in-33c78ee3e07ce093</t>
        </is>
      </c>
      <c r="B7" t="inlineStr">
        <is>
          <t>Sr. Applied Scientist, Amazon Ads</t>
        </is>
      </c>
      <c r="C7" t="inlineStr">
        <is>
          <t>Amazon.com</t>
        </is>
      </c>
      <c r="D7" t="inlineStr">
        <is>
          <t>indeed</t>
        </is>
      </c>
      <c r="E7">
        <f>HYPERLINK("https://www.indeed.com/viewjob?jk=33c78ee3e07ce093", "https://www.indeed.com/viewjob?jk=33c78ee3e07ce093")</f>
        <v/>
      </c>
      <c r="F7">
        <f>HYPERLINK("https://www.amazon.jobs/jobs/3139328/sr-applied-scientist-amazon-ads?cmpid=DA_INAD200785B", "https://www.amazon.jobs/jobs/3139328/sr-applied-scientist-amazon-ads?cmpid=DA_INAD200785B")</f>
        <v/>
      </c>
      <c r="G7" t="inlineStr">
        <is>
          <t>Boston, MA, US</t>
        </is>
      </c>
      <c r="H7" s="1"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in-68b42616b36bc4e4</t>
        </is>
      </c>
      <c r="B8" t="inlineStr">
        <is>
          <t>Sr. Applied Scientist, Amazon Ads</t>
        </is>
      </c>
      <c r="C8" t="inlineStr">
        <is>
          <t>Amazon.com</t>
        </is>
      </c>
      <c r="D8" t="inlineStr">
        <is>
          <t>indeed</t>
        </is>
      </c>
      <c r="E8">
        <f>HYPERLINK("https://www.indeed.com/viewjob?jk=68b42616b36bc4e4", "https://www.indeed.com/viewjob?jk=68b42616b36bc4e4")</f>
        <v/>
      </c>
      <c r="F8">
        <f>HYPERLINK("https://www.amazon.jobs/jobs/3139328/sr-applied-scientist-amazon-ads?cmpid=DA_INAD200785B", "https://www.amazon.jobs/jobs/3139328/sr-applied-scientist-amazon-ads?cmpid=DA_INAD200785B")</f>
        <v/>
      </c>
      <c r="G8" t="inlineStr">
        <is>
          <t>Santa Monica, CA, US</t>
        </is>
      </c>
      <c r="H8" s="1"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in-bcbb3f9ec67f3b82</t>
        </is>
      </c>
      <c r="B9" t="inlineStr">
        <is>
          <t>Sr. Applied Scientist, Amazon Ads</t>
        </is>
      </c>
      <c r="C9" t="inlineStr">
        <is>
          <t>Amazon.com</t>
        </is>
      </c>
      <c r="D9" t="inlineStr">
        <is>
          <t>indeed</t>
        </is>
      </c>
      <c r="E9">
        <f>HYPERLINK("https://www.indeed.com/viewjob?jk=bcbb3f9ec67f3b82", "https://www.indeed.com/viewjob?jk=bcbb3f9ec67f3b82")</f>
        <v/>
      </c>
      <c r="F9">
        <f>HYPERLINK("https://www.amazon.jobs/jobs/3139328/sr-applied-scientist-amazon-ads?cmpid=DA_INAD200785B", "https://www.amazon.jobs/jobs/3139328/sr-applied-scientist-amazon-ads?cmpid=DA_INAD200785B")</f>
        <v/>
      </c>
      <c r="G9" t="inlineStr">
        <is>
          <t>Corvallis, OR, US</t>
        </is>
      </c>
      <c r="H9" s="1"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in-c6f4b331e3fa057e</t>
        </is>
      </c>
      <c r="B10" t="inlineStr">
        <is>
          <t>Sr. Applied Scientist, Amazon Ads</t>
        </is>
      </c>
      <c r="C10" t="inlineStr">
        <is>
          <t>Amazon.com</t>
        </is>
      </c>
      <c r="D10" t="inlineStr">
        <is>
          <t>indeed</t>
        </is>
      </c>
      <c r="E10">
        <f>HYPERLINK("https://www.indeed.com/viewjob?jk=c6f4b331e3fa057e", "https://www.indeed.com/viewjob?jk=c6f4b331e3fa057e")</f>
        <v/>
      </c>
      <c r="F10">
        <f>HYPERLINK("https://www.amazon.jobs/jobs/3139328/sr-applied-scientist-amazon-ads?cmpid=DA_INAD200785B", "https://www.amazon.jobs/jobs/3139328/sr-applied-scientist-amazon-ads?cmpid=DA_INAD200785B")</f>
        <v/>
      </c>
      <c r="G10" t="inlineStr">
        <is>
          <t>Seattle, WA, US</t>
        </is>
      </c>
      <c r="H10" s="1"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in-d16cbfbb41d7beba</t>
        </is>
      </c>
      <c r="B11" t="inlineStr">
        <is>
          <t>Sr. Applied Scientist, Amazon Ads</t>
        </is>
      </c>
      <c r="C11" t="inlineStr">
        <is>
          <t>Amazon.com</t>
        </is>
      </c>
      <c r="D11" t="inlineStr">
        <is>
          <t>indeed</t>
        </is>
      </c>
      <c r="E11">
        <f>HYPERLINK("https://www.indeed.com/viewjob?jk=d16cbfbb41d7beba", "https://www.indeed.com/viewjob?jk=d16cbfbb41d7beba")</f>
        <v/>
      </c>
      <c r="F11">
        <f>HYPERLINK("https://www.amazon.jobs/jobs/3139328/sr-applied-scientist-amazon-ads?cmpid=DA_INAD200785B", "https://www.amazon.jobs/jobs/3139328/sr-applied-scientist-amazon-ads?cmpid=DA_INAD200785B")</f>
        <v/>
      </c>
      <c r="G11" t="inlineStr">
        <is>
          <t>Sunnyvale, CA, US</t>
        </is>
      </c>
      <c r="H11" s="1"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in-77d01266f8f1c60a</t>
        </is>
      </c>
      <c r="B12" t="inlineStr">
        <is>
          <t>Senior Applied Scientist, Sponsored Products and Brands</t>
        </is>
      </c>
      <c r="C12" t="inlineStr">
        <is>
          <t>Amazon.com</t>
        </is>
      </c>
      <c r="D12" t="inlineStr">
        <is>
          <t>indeed</t>
        </is>
      </c>
      <c r="E12">
        <f>HYPERLINK("https://www.indeed.com/viewjob?jk=77d01266f8f1c60a", "https://www.indeed.com/viewjob?jk=77d01266f8f1c60a")</f>
        <v/>
      </c>
      <c r="F12">
        <f>HYPERLINK("https://www.amazon.jobs/jobs/3130062/senior-applied-scientist-sponsored-products-and-brands?cmpid=DA_INAD200785B", "https://www.amazon.jobs/jobs/3130062/senior-applied-scientist-sponsored-products-and-brands?cmpid=DA_INAD200785B")</f>
        <v/>
      </c>
      <c r="G12" t="inlineStr">
        <is>
          <t>New York, NY, US</t>
        </is>
      </c>
      <c r="H12" s="1" t="n">
        <v>45979</v>
      </c>
      <c r="I1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3">
      <c r="A13" t="inlineStr">
        <is>
          <t>in-e17eaca63bf8bf3f</t>
        </is>
      </c>
      <c r="B13" t="inlineStr">
        <is>
          <t>Applied Scientist II, Prime Video - Personalization and Discovery Science, Personalization and Discovery Science</t>
        </is>
      </c>
      <c r="C13" t="inlineStr">
        <is>
          <t>Amazon.com</t>
        </is>
      </c>
      <c r="D13" t="inlineStr">
        <is>
          <t>indeed</t>
        </is>
      </c>
      <c r="E13">
        <f>HYPERLINK("https://www.indeed.com/viewjob?jk=e17eaca63bf8bf3f", "https://www.indeed.com/viewjob?jk=e17eaca63bf8bf3f")</f>
        <v/>
      </c>
      <c r="F1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3" t="inlineStr">
        <is>
          <t>New York, NY, US</t>
        </is>
      </c>
      <c r="H13" s="1" t="n">
        <v>45930</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in-139a7101253f2249</t>
        </is>
      </c>
      <c r="B14" t="inlineStr">
        <is>
          <t>Applied Scientist II, Prime Video - Personalization and Discovery Science, Personalization and Discovery Science</t>
        </is>
      </c>
      <c r="C14" t="inlineStr">
        <is>
          <t>Amazon.com</t>
        </is>
      </c>
      <c r="D14" t="inlineStr">
        <is>
          <t>indeed</t>
        </is>
      </c>
      <c r="E14">
        <f>HYPERLINK("https://www.indeed.com/viewjob?jk=139a7101253f2249", "https://www.indeed.com/viewjob?jk=139a7101253f2249")</f>
        <v/>
      </c>
      <c r="F1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4" t="inlineStr">
        <is>
          <t>Seattle, WA, US</t>
        </is>
      </c>
      <c r="H14" s="1" t="n">
        <v>45930</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in-7e76871974483f98</t>
        </is>
      </c>
      <c r="B15" t="inlineStr">
        <is>
          <t>Applied Scientist II, Prime Video - Personalization and Discovery Science, Personalization and Discovery Science</t>
        </is>
      </c>
      <c r="C15" t="inlineStr">
        <is>
          <t>Amazon.com</t>
        </is>
      </c>
      <c r="D15" t="inlineStr">
        <is>
          <t>indeed</t>
        </is>
      </c>
      <c r="E15">
        <f>HYPERLINK("https://www.indeed.com/viewjob?jk=7e76871974483f98", "https://www.indeed.com/viewjob?jk=7e76871974483f98")</f>
        <v/>
      </c>
      <c r="F15">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5" t="inlineStr">
        <is>
          <t>Sunnyvale, CA, US</t>
        </is>
      </c>
      <c r="H15" s="1" t="n">
        <v>45930</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in-e8e9602f1064bd68</t>
        </is>
      </c>
      <c r="B16" t="inlineStr">
        <is>
          <t>Applied Scientist II, Prime Video - Personalization and Discovery Science</t>
        </is>
      </c>
      <c r="C16" t="inlineStr">
        <is>
          <t>Amazon.com</t>
        </is>
      </c>
      <c r="D16" t="inlineStr">
        <is>
          <t>indeed</t>
        </is>
      </c>
      <c r="E16">
        <f>HYPERLINK("https://www.indeed.com/viewjob?jk=e8e9602f1064bd68", "https://www.indeed.com/viewjob?jk=e8e9602f1064bd68")</f>
        <v/>
      </c>
      <c r="F16">
        <f>HYPERLINK("https://www.amazon.jobs/jobs/3059253/applied-scientist-ii-prime-video--personalization-and-discovery-science?cmpid=DA_INAD200785B", "https://www.amazon.jobs/jobs/3059253/applied-scientist-ii-prime-video--personalization-and-discovery-science?cmpid=DA_INAD200785B")</f>
        <v/>
      </c>
      <c r="G16" t="inlineStr">
        <is>
          <t>New York, NY, US</t>
        </is>
      </c>
      <c r="H16" s="1" t="n">
        <v>45881</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in-c718a02e48890485</t>
        </is>
      </c>
      <c r="B17" t="inlineStr">
        <is>
          <t>Sr. Applied Scientist, Prime Video - Personalization and Discovery Science</t>
        </is>
      </c>
      <c r="C17" t="inlineStr">
        <is>
          <t>Amazon.com</t>
        </is>
      </c>
      <c r="D17" t="inlineStr">
        <is>
          <t>indeed</t>
        </is>
      </c>
      <c r="E17">
        <f>HYPERLINK("https://www.indeed.com/viewjob?jk=c718a02e48890485", "https://www.indeed.com/viewjob?jk=c718a02e48890485")</f>
        <v/>
      </c>
      <c r="F17">
        <f>HYPERLINK("https://www.amazon.jobs/jobs/3059256/sr-applied-scientist-prime-video--personalization-and-discovery-science?cmpid=DA_INAD200785B", "https://www.amazon.jobs/jobs/3059256/sr-applied-scientist-prime-video--personalization-and-discovery-science?cmpid=DA_INAD200785B")</f>
        <v/>
      </c>
      <c r="G17" t="inlineStr">
        <is>
          <t>Sunnyvale, CA, US</t>
        </is>
      </c>
      <c r="H17" s="1"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in-45322ba10e12c1fd</t>
        </is>
      </c>
      <c r="B18" t="inlineStr">
        <is>
          <t>Sr. Applied Scientist, Prime Video - Personalization and Discovery Science</t>
        </is>
      </c>
      <c r="C18" t="inlineStr">
        <is>
          <t>Amazon.com</t>
        </is>
      </c>
      <c r="D18" t="inlineStr">
        <is>
          <t>indeed</t>
        </is>
      </c>
      <c r="E18">
        <f>HYPERLINK("https://www.indeed.com/viewjob?jk=45322ba10e12c1fd", "https://www.indeed.com/viewjob?jk=45322ba10e12c1fd")</f>
        <v/>
      </c>
      <c r="F18">
        <f>HYPERLINK("https://www.amazon.jobs/jobs/3059256/sr-applied-scientist-prime-video--personalization-and-discovery-science?cmpid=DA_INAD200785B", "https://www.amazon.jobs/jobs/3059256/sr-applied-scientist-prime-video--personalization-and-discovery-science?cmpid=DA_INAD200785B")</f>
        <v/>
      </c>
      <c r="G18" t="inlineStr">
        <is>
          <t>New York, NY, US</t>
        </is>
      </c>
      <c r="H18" s="1"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in-77c904a820175c19</t>
        </is>
      </c>
      <c r="B19" t="inlineStr">
        <is>
          <t>Applied Scientist II, Prime Video - Personalization and Discovery Science</t>
        </is>
      </c>
      <c r="C19" t="inlineStr">
        <is>
          <t>Amazon.com</t>
        </is>
      </c>
      <c r="D19" t="inlineStr">
        <is>
          <t>indeed</t>
        </is>
      </c>
      <c r="E19">
        <f>HYPERLINK("https://www.indeed.com/viewjob?jk=77c904a820175c19", "https://www.indeed.com/viewjob?jk=77c904a820175c19")</f>
        <v/>
      </c>
      <c r="F19">
        <f>HYPERLINK("https://www.amazon.jobs/jobs/3059253/applied-scientist-ii-prime-video--personalization-and-discovery-science?cmpid=DA_INAD200785B", "https://www.amazon.jobs/jobs/3059253/applied-scientist-ii-prime-video--personalization-and-discovery-science?cmpid=DA_INAD200785B")</f>
        <v/>
      </c>
      <c r="G19" t="inlineStr">
        <is>
          <t>Sunnyvale, CA, US</t>
        </is>
      </c>
      <c r="H19" s="1"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in-5111fb23a3625f7d</t>
        </is>
      </c>
      <c r="B20" t="inlineStr">
        <is>
          <t>Applied Scientist II, Prime Video - Personalization and Discovery Science</t>
        </is>
      </c>
      <c r="C20" t="inlineStr">
        <is>
          <t>Amazon.com</t>
        </is>
      </c>
      <c r="D20" t="inlineStr">
        <is>
          <t>indeed</t>
        </is>
      </c>
      <c r="E20">
        <f>HYPERLINK("https://www.indeed.com/viewjob?jk=5111fb23a3625f7d", "https://www.indeed.com/viewjob?jk=5111fb23a3625f7d")</f>
        <v/>
      </c>
      <c r="F20">
        <f>HYPERLINK("https://www.amazon.jobs/jobs/3059253/applied-scientist-ii-prime-video--personalization-and-discovery-science?cmpid=DA_INAD200785B", "https://www.amazon.jobs/jobs/3059253/applied-scientist-ii-prime-video--personalization-and-discovery-science?cmpid=DA_INAD200785B")</f>
        <v/>
      </c>
      <c r="G20" t="inlineStr">
        <is>
          <t>Seattle, WA, US</t>
        </is>
      </c>
      <c r="H20" s="1"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in-eb1faa68c243f4a6</t>
        </is>
      </c>
      <c r="B21" t="inlineStr">
        <is>
          <t>Sr. Applied Scientist, Prime Video - Personalization and Discovery Science</t>
        </is>
      </c>
      <c r="C21" t="inlineStr">
        <is>
          <t>Amazon.com</t>
        </is>
      </c>
      <c r="D21" t="inlineStr">
        <is>
          <t>indeed</t>
        </is>
      </c>
      <c r="E21">
        <f>HYPERLINK("https://www.indeed.com/viewjob?jk=eb1faa68c243f4a6", "https://www.indeed.com/viewjob?jk=eb1faa68c243f4a6")</f>
        <v/>
      </c>
      <c r="F21">
        <f>HYPERLINK("https://www.amazon.jobs/jobs/3059256/sr-applied-scientist-prime-video--personalization-and-discovery-science?cmpid=DA_INAD200785B", "https://www.amazon.jobs/jobs/3059256/sr-applied-scientist-prime-video--personalization-and-discovery-science?cmpid=DA_INAD200785B")</f>
        <v/>
      </c>
      <c r="G21" t="inlineStr">
        <is>
          <t>Seattle, WA, US</t>
        </is>
      </c>
      <c r="H21" s="1" t="n">
        <v>45881</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in-28823e3e1d10ac4f</t>
        </is>
      </c>
      <c r="B22" t="inlineStr">
        <is>
          <t>Data Scientist, Rapid &amp; Rural Logistics (R2L)</t>
        </is>
      </c>
      <c r="C22" t="inlineStr">
        <is>
          <t>Amazon.com</t>
        </is>
      </c>
      <c r="D22" t="inlineStr">
        <is>
          <t>indeed</t>
        </is>
      </c>
      <c r="E22">
        <f>HYPERLINK("https://www.indeed.com/viewjob?jk=28823e3e1d10ac4f", "https://www.indeed.com/viewjob?jk=28823e3e1d10ac4f")</f>
        <v/>
      </c>
      <c r="F22">
        <f>HYPERLINK("https://www.amazon.jobs/jobs/3187361/data-scientist-rapid--rural-logistics-rl?cmpid=DA_INAD200785B", "https://www.amazon.jobs/jobs/3187361/data-scientist-rapid--rural-logistics-rl?cmpid=DA_INAD200785B")</f>
        <v/>
      </c>
      <c r="G22" t="inlineStr">
        <is>
          <t>Bellevue, WA, US</t>
        </is>
      </c>
      <c r="H22" s="1" t="n">
        <v>46056</v>
      </c>
      <c r="I22"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23">
      <c r="A23" t="inlineStr">
        <is>
          <t>in-ed4f0e9e7be6841e</t>
        </is>
      </c>
      <c r="B23" t="inlineStr">
        <is>
          <t>Data Scientist, Rapid &amp; Rural Logistics (R2L)</t>
        </is>
      </c>
      <c r="C23" t="inlineStr">
        <is>
          <t>Amazon.com</t>
        </is>
      </c>
      <c r="D23" t="inlineStr">
        <is>
          <t>indeed</t>
        </is>
      </c>
      <c r="E23">
        <f>HYPERLINK("https://www.indeed.com/viewjob?jk=ed4f0e9e7be6841e", "https://www.indeed.com/viewjob?jk=ed4f0e9e7be6841e")</f>
        <v/>
      </c>
      <c r="F23">
        <f>HYPERLINK("https://www.amazon.jobs/jobs/3187361/data-scientist-rapid--rural-logistics-rl?cmpid=DA_INAD200785B", "https://www.amazon.jobs/jobs/3187361/data-scientist-rapid--rural-logistics-rl?cmpid=DA_INAD200785B")</f>
        <v/>
      </c>
      <c r="G23" t="inlineStr">
        <is>
          <t>New York, NY, US</t>
        </is>
      </c>
      <c r="H23" s="1" t="n">
        <v>46056</v>
      </c>
      <c r="I23"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24">
      <c r="A24" t="inlineStr">
        <is>
          <t>in-6b74303451d9c308</t>
        </is>
      </c>
      <c r="B24" t="inlineStr">
        <is>
          <t>DATA SCIENTIST (SME)</t>
        </is>
      </c>
      <c r="C24" t="inlineStr">
        <is>
          <t>Peraton</t>
        </is>
      </c>
      <c r="D24" t="inlineStr">
        <is>
          <t>indeed</t>
        </is>
      </c>
      <c r="E24">
        <f>HYPERLINK("https://www.indeed.com/viewjob?jk=6b74303451d9c308", "https://www.indeed.com/viewjob?jk=6b74303451d9c308")</f>
        <v/>
      </c>
      <c r="F24">
        <f>HYPERLINK("https://www.careers.peraton.com/jobs/data-scientist-sme-ashburn-virginia-164239-jobs--cms-scientific-research-analysis--", "https://www.careers.peraton.com/jobs/data-scientist-sme-ashburn-virginia-164239-jobs--cms-scientific-research-analysis--")</f>
        <v/>
      </c>
      <c r="G24" t="inlineStr">
        <is>
          <t>Ashburn, VA, US</t>
        </is>
      </c>
      <c r="H24" s="1" t="n">
        <v>46086</v>
      </c>
      <c r="I24" t="inlineStr">
        <is>
          <t>##### **ABOUT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 **ABOUT THE ROLE**
Peraton is seeking a Data Scientist (SME) to lead the design, development, and operationalization of advanced analytics and machine learning solutions supporting national security and law enforcement missions in support of the CBP analytics and intelligence programs.  
This role requires deep analytical thinking, machine learning expertise, security awareness, and strong communication skills to translate complex data into mission\-impacting intelligence capabilities. The Data Scientist (SME) will operate in a secure, high\-assurance environment and collaborate across mission, engineering, and leadership stakeholders to deliver scalable, governed, and operational analytics solutions.  
Support will be provided across multiple mission locations:* Ashburn, VA
* Sterling, VA
* Washington, D.C.
**Key Responsibilities**
Mission Analytics \&amp; Modeling* Lead analysis of large transactional and intelligence datasets to develop predictive, classification, clustering, anomaly detection, and entity resolution models.
* Translate mission challenges into scalable analytic and machine learning solutions.
* Evaluate model performance using statistical validation and performance metrics.
Data Exploration \&amp; Engineering Collaboration* Extract, clean, and transform structured and unstructured data for analysis.
* Perform exploratory data analysis (EDA) to identify trends, anomalies, and risk indicators.
* Partner with data engineering teams to support scalable data pipelines and distributed processing environments.
Model Development \&amp; Deployment* Design, build, and validate machine learning and statistical models.
* Collaborate with engineering and MLOps teams to deploy, monitor, and refine models in production.
* Utilize big data and distributed frameworks such as Spark and Hadoop.
Visualization \&amp; Mission Communication* Develop dashboards and visual analytics to communicate insights clearly.
* Present technical findings and mission impacts to technical teams and senior stakeholders.
* Translate analytical outputs into actionable operational insights.
Governance \&amp; Responsible AI* Ensure compliance with federal data governance, privacy, and security requirements.
* Document methodologies, validation results, and model limitations.
* Apply ethical AI and bias mitigation practices in model development**.**
**\*\*Position is contingent upon contract award\*\***##### **QUALIFICATIONS**
**Required Qualifications*** Minimum of 8 years with BS/BA. 12 years of experience with a HS diploma/equivalent can be considered lieu of a degree.
* 7\+ years of experience in data science or advanced analytics roles.
* Experience supporting CBP or federal law enforcement/intelligence environments.
* Expertise in predictive modeling and advanced analytics.
* Strong proficiency in Python, R, Scala, or Java.
* Advanced SQL skills.
* Experience with big data tools (Spark, Hadoop ecosystem).
* Demonstrated ability to present complex analytics to executive stakeholders.
**Clearance Requirements*** Ability to obtain and maintain required CBP BI suitability.
* U.S. Citizenship required.
**Preferred Qualifications*** Bachelors Degree in Data Science, Computer Science, Statistics, Mathematics, Statistics, Engineering or related field (advanced degree preferred).
* Experience deploying ML models into operational environments.
* Experience with NLP, deep learning, or generative AI.
* Familiarity with MLOps tools (MLflow, Kubeflow).
* Relevant analytics or cloud certifications.
##### **DETAILS**
**Target Salary Range:** $112,000 \- $179,000\.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25">
      <c r="A25" t="inlineStr">
        <is>
          <t>in-2a290cc927ff3150</t>
        </is>
      </c>
      <c r="B25" t="inlineStr">
        <is>
          <t>DATA SCIENTIST (SME)</t>
        </is>
      </c>
      <c r="C25" t="inlineStr">
        <is>
          <t>Peraton</t>
        </is>
      </c>
      <c r="D25" t="inlineStr">
        <is>
          <t>indeed</t>
        </is>
      </c>
      <c r="E25">
        <f>HYPERLINK("https://www.indeed.com/viewjob?jk=2a290cc927ff3150", "https://www.indeed.com/viewjob?jk=2a290cc927ff3150")</f>
        <v/>
      </c>
      <c r="F25">
        <f>HYPERLINK("https://www.careers.peraton.com/jobs/data-scientist-sme-ashburn-virginia-164237-jobs--cms-scientific-research-analysis--", "https://www.careers.peraton.com/jobs/data-scientist-sme-ashburn-virginia-164237-jobs--cms-scientific-research-analysis--")</f>
        <v/>
      </c>
      <c r="G25" t="inlineStr">
        <is>
          <t>Ashburn, VA, US</t>
        </is>
      </c>
      <c r="H25" s="1" t="n">
        <v>46086</v>
      </c>
      <c r="I25" t="inlineStr">
        <is>
          <t>##### **ABOUT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 **ABOUT THE ROLE**
Peraton is seeking a Data Scientist (SME) to lead the design, development, and operationalization of advanced analytics and machine learning solutions supporting national security and law enforcement missions in support of the CBP analytics and intelligence programs.  
This role requires deep analytical thinking, machine learning expertise, security awareness, and strong communication skills to translate complex data into mission\-impacting intelligence capabilities. The Data Scientist (SME) will operate in a secure, high\-assurance environment and collaborate across mission, engineering, and leadership stakeholders to deliver scalable, governed, and operational analytics solutions.  
Support will be provided across multiple mission locations:* Ashburn, VA
* Sterling, VA
* Washington, D.C.
**Key Responsibilities**
Mission Analytics \&amp; Modeling* Lead analysis of large transactional and intelligence datasets to develop predictive, classification, clustering, anomaly detection, and entity resolution models.
* Translate mission challenges into scalable analytic and machine learning solutions.
* Evaluate model performance using statistical validation and performance metrics.
Data Exploration \&amp; Engineering Collaboration* Extract, clean, and transform structured and unstructured data for analysis.
* Perform exploratory data analysis (EDA) to identify trends, anomalies, and risk indicators.
* Partner with data engineering teams to support scalable data pipelines and distributed processing environments.
Model Development \&amp; Deployment* Design, build, and validate machine learning and statistical models.
* Collaborate with engineering and MLOps teams to deploy, monitor, and refine models in production.
* Utilize big data and distributed frameworks such as Spark and Hadoop.
Visualization \&amp; Mission Communication* Develop dashboards and visual analytics to communicate insights clearly.
* Present technical findings and mission impacts to technical teams and senior stakeholders.
* Translate analytical outputs into actionable operational insights.
Governance \&amp; Responsible AI* Ensure compliance with federal data governance, privacy, and security requirements.
* Document methodologies, validation results, and model limitations.
* Apply ethical AI and bias mitigation practices in model development**.**
**\*\*Position is contingent upon contract award\*\***##### **QUALIFICATIONS**
**Required Qualifications*** Minimum of 8 years with BS/BA. 12 years of experience with a HS diploma/equivalent can be considered lieu of a degree.
* 7\+ years of experience in data science or advanced analytics roles.
* Experience supporting CBP or federal law enforcement/intelligence environments.
* Expertise in predictive modeling and advanced analytics.
* Strong proficiency in Python, R, Scala, or Java.
* Advanced SQL skills.
* Experience with big data tools (Spark, Hadoop ecosystem).
* Demonstrated ability to present complex analytics to executive stakeholders.
**Clearance Requirements*** Current and active Top Secret Clearance
* Ability to obtain and maintain required CBP BI suitability.
* U.S. Citizenship required.
**Preferred Qualifications*** Bachelors Degree in Data Science, Computer Science, Statistics, Mathematics, Statistics, Engineering or related field (advanced degree preferred).
* Experience deploying ML models into operational environments.
* Experience with NLP, deep learning, or generative AI.
* Familiarity with MLOps tools (MLflow, Kubeflow).
* Relevant analytics or cloud certifications.
##### **DETAILS**
**Target Salary Range:** $112,000 \- $179,000\.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26">
      <c r="A26" t="inlineStr">
        <is>
          <t>in-c4870cd3c0ecb187</t>
        </is>
      </c>
      <c r="B26" t="inlineStr">
        <is>
          <t>Data Scientist II</t>
        </is>
      </c>
      <c r="C26" t="inlineStr">
        <is>
          <t>Lennox International</t>
        </is>
      </c>
      <c r="D26" t="inlineStr">
        <is>
          <t>indeed</t>
        </is>
      </c>
      <c r="E26">
        <f>HYPERLINK("https://www.indeed.com/viewjob?jk=c4870cd3c0ecb187", "https://www.indeed.com/viewjob?jk=c4870cd3c0ecb187")</f>
        <v/>
      </c>
      <c r="F26">
        <f>HYPERLINK("https://uscareers-lennox.icims.com/jobs/51848/job", "https://uscareers-lennox.icims.com/jobs/51848/job")</f>
        <v/>
      </c>
      <c r="G26" t="inlineStr">
        <is>
          <t>Richardson, TX, US</t>
        </is>
      </c>
      <c r="H26" s="1" t="n">
        <v>46084</v>
      </c>
      <c r="I26" t="inlineStr">
        <is>
          <t>**Lennox (NYSE: LII)** Driven by 130 years of legacy, HVAC and refrigeration success, Lennox provides our residential and commercial customers with industry\-leading climate\-control solutions. At Lennox, we win as a team, aiming for excellence and delivering innovative, sustainable products and services. Our culture guides us and creates a workplace where all employees feel heard and welcomed. Lennox is a global community that values each team member’s contributions and offers a supportive environment for career development. Come, stay, and grow with us.  
General duties of this position will entail the following:* Organizes, analyzes and extracts meaningful information from large amounts of data to build a learning machine which helps in streamlining business processes.
* Assists on machine learning projects that use and promote data\-exploration techniques to discover new or previously unasked questions.
* Builds custom data\-fueled models and algorithms, uses machine learning tools and statistical techniques to improve decision making capabilities, produce solutions to problems and improve ROI.
* Builds custom data models and algorithms to complex data sets Works on a broad range of Data Science problems across varied business groups.
* Develops expertise in various businesses and help translate that into increasingly high value added advisory solutions to stakeholders.
* Works with others to develop, refine and scale data management and analytics procedures, systems, workflows, best practices and other issues to contribute to the company’s machine learning practice.
Requires a bachelor's degree in a related field (Business, Computer Science, Information Science, Analytics) or an equivalent combination of education and experience. Requires at least 1 year related experience.  
Working knowledge of statistical computer languages, such as R, Python, SQL, and PySpark, to manipulate data and interpret insights from large data sets. Good understanding of machine learning techniques such as clustering, decision trees, Random Forest, logistic regression, linear regression, gradient boosted trees, and Naive Bayes classifier. Good knowledge of visual analytics, with preferable experience of Qlik, Tableau or PowerBI. Good understanding of big data architecture and how distributed computing works. Working knowledge of database concepts and ability to handle large complex data sets. Ability to communicate results and gain consensus with non\-technical audience. Some experience with SparkMlib combined with strong programming background. Working knowledge about analyzing unstructured information.</t>
        </is>
      </c>
    </row>
    <row r="27">
      <c r="A27" t="inlineStr">
        <is>
          <t>in-787ecc1f14e39924</t>
        </is>
      </c>
      <c r="B27" t="inlineStr">
        <is>
          <t>Applied Scientist , Prime Video - Personalization and Discovery Science</t>
        </is>
      </c>
      <c r="C27" t="inlineStr">
        <is>
          <t>Amazon.com</t>
        </is>
      </c>
      <c r="D27" t="inlineStr">
        <is>
          <t>indeed</t>
        </is>
      </c>
      <c r="E27">
        <f>HYPERLINK("https://www.indeed.com/viewjob?jk=787ecc1f14e39924", "https://www.indeed.com/viewjob?jk=787ecc1f14e39924")</f>
        <v/>
      </c>
      <c r="F27">
        <f>HYPERLINK("https://www.amazon.jobs/jobs/3183547/applied-scientist--prime-video--personalization-and-discovery-science?cmpid=DA_INAD200785B", "https://www.amazon.jobs/jobs/3183547/applied-scientist--prime-video--personalization-and-discovery-science?cmpid=DA_INAD200785B")</f>
        <v/>
      </c>
      <c r="G27" t="inlineStr">
        <is>
          <t>Seattle, WA, US</t>
        </is>
      </c>
      <c r="H27" s="1" t="n">
        <v>46069</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personalized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**PREFERRED QUALIFICATIONS**
----------------------------
* PhD in computer science, machine learning, engineering, or related fields
* Experience with Machine Learning and Large Language Model fundamentals, including architecture, training/inference lifecycles, and optimization of model execution, or experience in machine learning, data mining, information retrieval, statistics or natural language processing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8">
      <c r="A28" t="inlineStr">
        <is>
          <t>in-ffea81e72bfd8114</t>
        </is>
      </c>
      <c r="B28" t="inlineStr">
        <is>
          <t>Applied Scientist , Prime Video - Personalization and Discovery Science</t>
        </is>
      </c>
      <c r="C28" t="inlineStr">
        <is>
          <t>Amazon.com</t>
        </is>
      </c>
      <c r="D28" t="inlineStr">
        <is>
          <t>indeed</t>
        </is>
      </c>
      <c r="E28">
        <f>HYPERLINK("https://www.indeed.com/viewjob?jk=ffea81e72bfd8114", "https://www.indeed.com/viewjob?jk=ffea81e72bfd8114")</f>
        <v/>
      </c>
      <c r="F28">
        <f>HYPERLINK("https://www.amazon.jobs/jobs/3183547/applied-scientist--prime-video--personalization-and-discovery-science?cmpid=DA_INAD200785B", "https://www.amazon.jobs/jobs/3183547/applied-scientist--prime-video--personalization-and-discovery-science?cmpid=DA_INAD200785B")</f>
        <v/>
      </c>
      <c r="G28" t="inlineStr">
        <is>
          <t>Sunnyvale, CA, US</t>
        </is>
      </c>
      <c r="H28" s="1" t="n">
        <v>46069</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personalized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**PREFERRED QUALIFICATIONS**
----------------------------
* PhD in computer science, machine learning, engineering, or related fields
* Experience with Machine Learning and Large Language Model fundamentals, including architecture, training/inference lifecycles, and optimization of model execution, or experience in machine learning, data mining, information retrieval, statistics or natural language processing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9">
      <c r="A29" t="inlineStr">
        <is>
          <t>in-ea6dd9d7a9e05ad5</t>
        </is>
      </c>
      <c r="B29" t="inlineStr">
        <is>
          <t>Principal Applied Scientist, AWS Marketplace &amp; Partner Services</t>
        </is>
      </c>
      <c r="C29" t="inlineStr">
        <is>
          <t>Amazon Web Services</t>
        </is>
      </c>
      <c r="D29" t="inlineStr">
        <is>
          <t>indeed</t>
        </is>
      </c>
      <c r="E29">
        <f>HYPERLINK("https://www.indeed.com/viewjob?jk=ea6dd9d7a9e05ad5", "https://www.indeed.com/viewjob?jk=ea6dd9d7a9e05ad5")</f>
        <v/>
      </c>
      <c r="F29">
        <f>HYPERLINK("https://www.amazon.jobs/jobs/3177084/principal-applied-scientist-aws-marketplace--partner-services?cmpid=DA_INAD200785B", "https://www.amazon.jobs/jobs/3177084/principal-applied-scientist-aws-marketplace--partner-services?cmpid=DA_INAD200785B")</f>
        <v/>
      </c>
      <c r="G29" t="inlineStr">
        <is>
          <t>Austin, TX, US</t>
        </is>
      </c>
      <c r="H29" s="1" t="n">
        <v>46056</v>
      </c>
      <c r="I29"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0">
      <c r="A30" t="inlineStr">
        <is>
          <t>in-f6a2294147f4a7cd</t>
        </is>
      </c>
      <c r="B30" t="inlineStr">
        <is>
          <t>Principal Applied Scientist, AWS Marketplace &amp; Partner Services</t>
        </is>
      </c>
      <c r="C30" t="inlineStr">
        <is>
          <t>Amazon Web Services</t>
        </is>
      </c>
      <c r="D30" t="inlineStr">
        <is>
          <t>indeed</t>
        </is>
      </c>
      <c r="E30">
        <f>HYPERLINK("https://www.indeed.com/viewjob?jk=f6a2294147f4a7cd", "https://www.indeed.com/viewjob?jk=f6a2294147f4a7cd")</f>
        <v/>
      </c>
      <c r="F30">
        <f>HYPERLINK("https://www.amazon.jobs/jobs/3177084/principal-applied-scientist-aws-marketplace--partner-services?cmpid=DA_INAD200785B", "https://www.amazon.jobs/jobs/3177084/principal-applied-scientist-aws-marketplace--partner-services?cmpid=DA_INAD200785B")</f>
        <v/>
      </c>
      <c r="G30" t="inlineStr">
        <is>
          <t>New York, NY, US</t>
        </is>
      </c>
      <c r="H30" s="1" t="n">
        <v>46056</v>
      </c>
      <c r="I30"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1">
      <c r="A31" t="inlineStr">
        <is>
          <t>in-d7dac115e79dcb34</t>
        </is>
      </c>
      <c r="B31" t="inlineStr">
        <is>
          <t>Principal Applied Scientist, AWS Marketplace &amp; Partner Services</t>
        </is>
      </c>
      <c r="C31" t="inlineStr">
        <is>
          <t>Amazon Web Services</t>
        </is>
      </c>
      <c r="D31" t="inlineStr">
        <is>
          <t>indeed</t>
        </is>
      </c>
      <c r="E31">
        <f>HYPERLINK("https://www.indeed.com/viewjob?jk=d7dac115e79dcb34", "https://www.indeed.com/viewjob?jk=d7dac115e79dcb34")</f>
        <v/>
      </c>
      <c r="F31">
        <f>HYPERLINK("https://www.amazon.jobs/jobs/3177084/principal-applied-scientist-aws-marketplace--partner-services?cmpid=DA_INAD200785B", "https://www.amazon.jobs/jobs/3177084/principal-applied-scientist-aws-marketplace--partner-services?cmpid=DA_INAD200785B")</f>
        <v/>
      </c>
      <c r="G31" t="inlineStr">
        <is>
          <t>Seattle, WA, US</t>
        </is>
      </c>
      <c r="H31" s="1" t="n">
        <v>46056</v>
      </c>
      <c r="I31"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2">
      <c r="A32" t="inlineStr">
        <is>
          <t>in-dbd9a73e6bd8d218</t>
        </is>
      </c>
      <c r="B32" t="inlineStr">
        <is>
          <t>Principal Applied Scientist, AWS Marketplace &amp; Partner Services</t>
        </is>
      </c>
      <c r="C32" t="inlineStr">
        <is>
          <t>Amazon Web Services</t>
        </is>
      </c>
      <c r="D32" t="inlineStr">
        <is>
          <t>indeed</t>
        </is>
      </c>
      <c r="E32">
        <f>HYPERLINK("https://www.indeed.com/viewjob?jk=dbd9a73e6bd8d218", "https://www.indeed.com/viewjob?jk=dbd9a73e6bd8d218")</f>
        <v/>
      </c>
      <c r="F32">
        <f>HYPERLINK("https://www.amazon.jobs/jobs/3177084/principal-applied-scientist-aws-marketplace--partner-services?cmpid=DA_INAD200785B", "https://www.amazon.jobs/jobs/3177084/principal-applied-scientist-aws-marketplace--partner-services?cmpid=DA_INAD200785B")</f>
        <v/>
      </c>
      <c r="G32" t="inlineStr">
        <is>
          <t>San Diego, CA, US</t>
        </is>
      </c>
      <c r="H32" s="1" t="n">
        <v>46056</v>
      </c>
      <c r="I32"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3">
      <c r="A33" t="inlineStr">
        <is>
          <t>in-3025cc427f4e586f</t>
        </is>
      </c>
      <c r="B33" t="inlineStr">
        <is>
          <t>Sr. Applied Scientist, AWS Healthcare-AI</t>
        </is>
      </c>
      <c r="C33" t="inlineStr">
        <is>
          <t>Amazon.com</t>
        </is>
      </c>
      <c r="D33" t="inlineStr">
        <is>
          <t>indeed</t>
        </is>
      </c>
      <c r="E33">
        <f>HYPERLINK("https://www.indeed.com/viewjob?jk=3025cc427f4e586f", "https://www.indeed.com/viewjob?jk=3025cc427f4e586f")</f>
        <v/>
      </c>
      <c r="F33">
        <f>HYPERLINK("https://www.amazon.jobs/jobs/3179064/sr-applied-scientist-aws-healthcareai?cmpid=DA_INAD200785B", "https://www.amazon.jobs/jobs/3179064/sr-applied-scientist-aws-healthcareai?cmpid=DA_INAD200785B")</f>
        <v/>
      </c>
      <c r="G33" t="inlineStr">
        <is>
          <t>Mountain View, CA, US</t>
        </is>
      </c>
      <c r="H33" s="1" t="n">
        <v>46055</v>
      </c>
      <c r="I33"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34">
      <c r="A34" t="inlineStr">
        <is>
          <t>in-bb82333a1f4013a7</t>
        </is>
      </c>
      <c r="B34" t="inlineStr">
        <is>
          <t>Sr. Applied Scientist, AWS Healthcare-AI</t>
        </is>
      </c>
      <c r="C34" t="inlineStr">
        <is>
          <t>Amazon.com</t>
        </is>
      </c>
      <c r="D34" t="inlineStr">
        <is>
          <t>indeed</t>
        </is>
      </c>
      <c r="E34">
        <f>HYPERLINK("https://www.indeed.com/viewjob?jk=bb82333a1f4013a7", "https://www.indeed.com/viewjob?jk=bb82333a1f4013a7")</f>
        <v/>
      </c>
      <c r="F34">
        <f>HYPERLINK("https://www.amazon.jobs/jobs/3179064/sr-applied-scientist-aws-healthcareai?cmpid=DA_INAD200785B", "https://www.amazon.jobs/jobs/3179064/sr-applied-scientist-aws-healthcareai?cmpid=DA_INAD200785B")</f>
        <v/>
      </c>
      <c r="G34" t="inlineStr">
        <is>
          <t>Seattle, WA, US</t>
        </is>
      </c>
      <c r="H34" s="1" t="n">
        <v>46055</v>
      </c>
      <c r="I34"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35">
      <c r="A35" t="inlineStr">
        <is>
          <t>in-2d1c430326cb7a1e</t>
        </is>
      </c>
      <c r="B35" t="inlineStr">
        <is>
          <t>Applied Scientist (Contract), Artificial General Intelligence</t>
        </is>
      </c>
      <c r="C35" t="inlineStr">
        <is>
          <t>Amazon.com</t>
        </is>
      </c>
      <c r="D35" t="inlineStr">
        <is>
          <t>indeed</t>
        </is>
      </c>
      <c r="E35">
        <f>HYPERLINK("https://www.indeed.com/viewjob?jk=2d1c430326cb7a1e", "https://www.indeed.com/viewjob?jk=2d1c430326cb7a1e")</f>
        <v/>
      </c>
      <c r="F35">
        <f>HYPERLINK("https://www.amazon.jobs/jobs/3179168/applied-scientist-contract-artificial-general-intelligence?cmpid=DA_INAD200785B", "https://www.amazon.jobs/jobs/3179168/applied-scientist-contract-artificial-general-intelligence?cmpid=DA_INAD200785B")</f>
        <v/>
      </c>
      <c r="G35" t="inlineStr">
        <is>
          <t>Boston, MA, US</t>
        </is>
      </c>
      <c r="H35" s="1" t="n">
        <v>46055</v>
      </c>
      <c r="I35"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6">
      <c r="A36" t="inlineStr">
        <is>
          <t>in-630f5c950b2bad82</t>
        </is>
      </c>
      <c r="B36" t="inlineStr">
        <is>
          <t>Applied Scientist (Contract), Artificial General Intelligence</t>
        </is>
      </c>
      <c r="C36" t="inlineStr">
        <is>
          <t>Amazon.com</t>
        </is>
      </c>
      <c r="D36" t="inlineStr">
        <is>
          <t>indeed</t>
        </is>
      </c>
      <c r="E36">
        <f>HYPERLINK("https://www.indeed.com/viewjob?jk=630f5c950b2bad82", "https://www.indeed.com/viewjob?jk=630f5c950b2bad82")</f>
        <v/>
      </c>
      <c r="F36">
        <f>HYPERLINK("https://www.amazon.jobs/jobs/3179168/applied-scientist-contract-artificial-general-intelligence?cmpid=DA_INAD200785B", "https://www.amazon.jobs/jobs/3179168/applied-scientist-contract-artificial-general-intelligence?cmpid=DA_INAD200785B")</f>
        <v/>
      </c>
      <c r="G36" t="inlineStr">
        <is>
          <t>Bellevue, WA, US</t>
        </is>
      </c>
      <c r="H36" s="1" t="n">
        <v>46055</v>
      </c>
      <c r="I36"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7">
      <c r="A37" t="inlineStr">
        <is>
          <t>in-2040517360711fdc</t>
        </is>
      </c>
      <c r="B37" t="inlineStr">
        <is>
          <t>Applied Scientist (Contract), Artificial General Intelligence</t>
        </is>
      </c>
      <c r="C37" t="inlineStr">
        <is>
          <t>Amazon.com</t>
        </is>
      </c>
      <c r="D37" t="inlineStr">
        <is>
          <t>indeed</t>
        </is>
      </c>
      <c r="E37">
        <f>HYPERLINK("https://www.indeed.com/viewjob?jk=2040517360711fdc", "https://www.indeed.com/viewjob?jk=2040517360711fdc")</f>
        <v/>
      </c>
      <c r="F37">
        <f>HYPERLINK("https://www.amazon.jobs/jobs/3179188/applied-scientist-contract-artificial-general-intelligence?cmpid=DA_INAD200785B", "https://www.amazon.jobs/jobs/3179188/applied-scientist-contract-artificial-general-intelligence?cmpid=DA_INAD200785B")</f>
        <v/>
      </c>
      <c r="G37" t="inlineStr">
        <is>
          <t>Bellevue, WA, US</t>
        </is>
      </c>
      <c r="H37" s="1" t="n">
        <v>46055</v>
      </c>
      <c r="I37"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8">
      <c r="A38" t="inlineStr">
        <is>
          <t>in-1ff05411dfb96bfa</t>
        </is>
      </c>
      <c r="B38" t="inlineStr">
        <is>
          <t>Applied Scientist (Contract), Artificial General Intelligence</t>
        </is>
      </c>
      <c r="C38" t="inlineStr">
        <is>
          <t>Amazon.com</t>
        </is>
      </c>
      <c r="D38" t="inlineStr">
        <is>
          <t>indeed</t>
        </is>
      </c>
      <c r="E38">
        <f>HYPERLINK("https://www.indeed.com/viewjob?jk=1ff05411dfb96bfa", "https://www.indeed.com/viewjob?jk=1ff05411dfb96bfa")</f>
        <v/>
      </c>
      <c r="F38">
        <f>HYPERLINK("https://www.amazon.jobs/jobs/3179169/applied-scientist-contract-artificial-general-intelligence?cmpid=DA_INAD200785B", "https://www.amazon.jobs/jobs/3179169/applied-scientist-contract-artificial-general-intelligence?cmpid=DA_INAD200785B")</f>
        <v/>
      </c>
      <c r="G38" t="inlineStr">
        <is>
          <t>Bellevue, WA, US</t>
        </is>
      </c>
      <c r="H38" s="1" t="n">
        <v>46055</v>
      </c>
      <c r="I38"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9">
      <c r="A39" t="inlineStr">
        <is>
          <t>in-0702c442b8d7ffe8</t>
        </is>
      </c>
      <c r="B39" t="inlineStr">
        <is>
          <t>Applied Scientist (Contract), Artificial General Intelligence</t>
        </is>
      </c>
      <c r="C39" t="inlineStr">
        <is>
          <t>Amazon.com</t>
        </is>
      </c>
      <c r="D39" t="inlineStr">
        <is>
          <t>indeed</t>
        </is>
      </c>
      <c r="E39">
        <f>HYPERLINK("https://www.indeed.com/viewjob?jk=0702c442b8d7ffe8", "https://www.indeed.com/viewjob?jk=0702c442b8d7ffe8")</f>
        <v/>
      </c>
      <c r="F39">
        <f>HYPERLINK("https://www.amazon.jobs/jobs/3179169/applied-scientist-contract-artificial-general-intelligence?cmpid=DA_INAD200785B", "https://www.amazon.jobs/jobs/3179169/applied-scientist-contract-artificial-general-intelligence?cmpid=DA_INAD200785B")</f>
        <v/>
      </c>
      <c r="G39" t="inlineStr">
        <is>
          <t>Boston, MA, US</t>
        </is>
      </c>
      <c r="H39" s="1" t="n">
        <v>46055</v>
      </c>
      <c r="I39"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0">
      <c r="A40" t="inlineStr">
        <is>
          <t>in-079acf91d2a8fa54</t>
        </is>
      </c>
      <c r="B40" t="inlineStr">
        <is>
          <t>Applied Scientist (Contract), Artificial General Intelligence</t>
        </is>
      </c>
      <c r="C40" t="inlineStr">
        <is>
          <t>Amazon.com</t>
        </is>
      </c>
      <c r="D40" t="inlineStr">
        <is>
          <t>indeed</t>
        </is>
      </c>
      <c r="E40">
        <f>HYPERLINK("https://www.indeed.com/viewjob?jk=079acf91d2a8fa54", "https://www.indeed.com/viewjob?jk=079acf91d2a8fa54")</f>
        <v/>
      </c>
      <c r="F40">
        <f>HYPERLINK("https://www.amazon.jobs/jobs/3179188/applied-scientist-contract-artificial-general-intelligence?cmpid=DA_INAD200785B", "https://www.amazon.jobs/jobs/3179188/applied-scientist-contract-artificial-general-intelligence?cmpid=DA_INAD200785B")</f>
        <v/>
      </c>
      <c r="G40" t="inlineStr">
        <is>
          <t>Boston, MA, US</t>
        </is>
      </c>
      <c r="H40" s="1" t="n">
        <v>46055</v>
      </c>
      <c r="I40"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1">
      <c r="A41" t="inlineStr">
        <is>
          <t>in-5acbc18e22dfba7a</t>
        </is>
      </c>
      <c r="B41" t="inlineStr">
        <is>
          <t>Applied Scientist (Contract), Artificial General Intelligence</t>
        </is>
      </c>
      <c r="C41" t="inlineStr">
        <is>
          <t>Amazon.com</t>
        </is>
      </c>
      <c r="D41" t="inlineStr">
        <is>
          <t>indeed</t>
        </is>
      </c>
      <c r="E41">
        <f>HYPERLINK("https://www.indeed.com/viewjob?jk=5acbc18e22dfba7a", "https://www.indeed.com/viewjob?jk=5acbc18e22dfba7a")</f>
        <v/>
      </c>
      <c r="F41">
        <f>HYPERLINK("https://www.amazon.jobs/jobs/3179187/applied-scientist-contract-artificial-general-intelligence?cmpid=DA_INAD200785B", "https://www.amazon.jobs/jobs/3179187/applied-scientist-contract-artificial-general-intelligence?cmpid=DA_INAD200785B")</f>
        <v/>
      </c>
      <c r="G41" t="inlineStr">
        <is>
          <t>Bellevue, WA, US</t>
        </is>
      </c>
      <c r="H41" s="1" t="n">
        <v>46051</v>
      </c>
      <c r="I41"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2">
      <c r="A42" t="inlineStr">
        <is>
          <t>in-6f8d15b9eb75f63e</t>
        </is>
      </c>
      <c r="B42" t="inlineStr">
        <is>
          <t>Applied Scientist (Contract), Artificial General Intelligence</t>
        </is>
      </c>
      <c r="C42" t="inlineStr">
        <is>
          <t>Amazon.com</t>
        </is>
      </c>
      <c r="D42" t="inlineStr">
        <is>
          <t>indeed</t>
        </is>
      </c>
      <c r="E42">
        <f>HYPERLINK("https://www.indeed.com/viewjob?jk=6f8d15b9eb75f63e", "https://www.indeed.com/viewjob?jk=6f8d15b9eb75f63e")</f>
        <v/>
      </c>
      <c r="F42">
        <f>HYPERLINK("https://www.amazon.jobs/jobs/3179187/applied-scientist-contract-artificial-general-intelligence?cmpid=DA_INAD200785B", "https://www.amazon.jobs/jobs/3179187/applied-scientist-contract-artificial-general-intelligence?cmpid=DA_INAD200785B")</f>
        <v/>
      </c>
      <c r="G42" t="inlineStr">
        <is>
          <t>Boston, MA, US</t>
        </is>
      </c>
      <c r="H42" s="1" t="n">
        <v>46051</v>
      </c>
      <c r="I42"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3">
      <c r="A43" t="inlineStr">
        <is>
          <t>in-0882c387f03ef338</t>
        </is>
      </c>
      <c r="B43" t="inlineStr">
        <is>
          <t>Sr. Applied Scientist - SLAM, Amazon Industrial Robotics</t>
        </is>
      </c>
      <c r="C43" t="inlineStr">
        <is>
          <t>Amazon.com</t>
        </is>
      </c>
      <c r="D43" t="inlineStr">
        <is>
          <t>indeed</t>
        </is>
      </c>
      <c r="E43">
        <f>HYPERLINK("https://www.indeed.com/viewjob?jk=0882c387f03ef338", "https://www.indeed.com/viewjob?jk=0882c387f03ef338")</f>
        <v/>
      </c>
      <c r="F43">
        <f>HYPERLINK("https://www.amazon.jobs/jobs/3172078/sr-applied-scientist--slam-amazon-industrial-robotics?cmpid=DA_INAD200785B", "https://www.amazon.jobs/jobs/3172078/sr-applied-scientist--slam-amazon-industrial-robotics?cmpid=DA_INAD200785B")</f>
        <v/>
      </c>
      <c r="G43" t="inlineStr">
        <is>
          <t>Reading, MA, US</t>
        </is>
      </c>
      <c r="H43" s="1" t="n">
        <v>46050</v>
      </c>
      <c r="I43"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4">
      <c r="A44" t="inlineStr">
        <is>
          <t>in-1437a509c5a3576b</t>
        </is>
      </c>
      <c r="B44" t="inlineStr">
        <is>
          <t>Sr. Applied Scientist - SLAM, Amazon Industrial Robotics</t>
        </is>
      </c>
      <c r="C44" t="inlineStr">
        <is>
          <t>Amazon.com</t>
        </is>
      </c>
      <c r="D44" t="inlineStr">
        <is>
          <t>indeed</t>
        </is>
      </c>
      <c r="E44">
        <f>HYPERLINK("https://www.indeed.com/viewjob?jk=1437a509c5a3576b", "https://www.indeed.com/viewjob?jk=1437a509c5a3576b")</f>
        <v/>
      </c>
      <c r="F44">
        <f>HYPERLINK("https://www.amazon.jobs/jobs/3172078/sr-applied-scientist--slam-amazon-industrial-robotics?cmpid=DA_INAD200785B", "https://www.amazon.jobs/jobs/3172078/sr-applied-scientist--slam-amazon-industrial-robotics?cmpid=DA_INAD200785B")</f>
        <v/>
      </c>
      <c r="G44" t="inlineStr">
        <is>
          <t>Reading, MA, US</t>
        </is>
      </c>
      <c r="H44" s="1" t="n">
        <v>46050</v>
      </c>
      <c r="I44"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5">
      <c r="A45" t="inlineStr">
        <is>
          <t>in-be911b29c6d87f96</t>
        </is>
      </c>
      <c r="B45" t="inlineStr">
        <is>
          <t>Principal Applied Scientist, Sensing, Industrial Robotics Group</t>
        </is>
      </c>
      <c r="C45" t="inlineStr">
        <is>
          <t>Amazon.com</t>
        </is>
      </c>
      <c r="D45" t="inlineStr">
        <is>
          <t>indeed</t>
        </is>
      </c>
      <c r="E45">
        <f>HYPERLINK("https://www.indeed.com/viewjob?jk=be911b29c6d87f96", "https://www.indeed.com/viewjob?jk=be911b29c6d87f96")</f>
        <v/>
      </c>
      <c r="F45">
        <f>HYPERLINK("https://www.amazon.jobs/jobs/3170953/principal-applied-scientist-sensing-industrial-robotics-group-?cmpid=DA_INAD200785B", "https://www.amazon.jobs/jobs/3170953/principal-applied-scientist-sensing-industrial-robotics-group-?cmpid=DA_INAD200785B")</f>
        <v/>
      </c>
      <c r="G45" t="inlineStr">
        <is>
          <t>Reading, MA, US</t>
        </is>
      </c>
      <c r="H45" s="1" t="n">
        <v>46050</v>
      </c>
      <c r="I45"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46">
      <c r="A46" t="inlineStr">
        <is>
          <t>in-005f361a98bcc081</t>
        </is>
      </c>
      <c r="B46" t="inlineStr">
        <is>
          <t>Principal Applied Scientist, Sensing, Industrial Robotics Group</t>
        </is>
      </c>
      <c r="C46" t="inlineStr">
        <is>
          <t>Amazon.com</t>
        </is>
      </c>
      <c r="D46" t="inlineStr">
        <is>
          <t>indeed</t>
        </is>
      </c>
      <c r="E46">
        <f>HYPERLINK("https://www.indeed.com/viewjob?jk=005f361a98bcc081", "https://www.indeed.com/viewjob?jk=005f361a98bcc081")</f>
        <v/>
      </c>
      <c r="F46">
        <f>HYPERLINK("https://www.amazon.jobs/jobs/3170953/principal-applied-scientist-sensing-industrial-robotics-group-?cmpid=DA_INAD200785B", "https://www.amazon.jobs/jobs/3170953/principal-applied-scientist-sensing-industrial-robotics-group-?cmpid=DA_INAD200785B")</f>
        <v/>
      </c>
      <c r="G46" t="inlineStr">
        <is>
          <t>Reading, MA, US</t>
        </is>
      </c>
      <c r="H46" s="1" t="n">
        <v>46050</v>
      </c>
      <c r="I46"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47">
      <c r="A47" t="inlineStr">
        <is>
          <t>in-68e863213d5860a8</t>
        </is>
      </c>
      <c r="B47" t="inlineStr">
        <is>
          <t>Applied Scientist II, Prime Video Personalization and Discovery Science</t>
        </is>
      </c>
      <c r="C47" t="inlineStr">
        <is>
          <t>Amazon.com</t>
        </is>
      </c>
      <c r="D47" t="inlineStr">
        <is>
          <t>indeed</t>
        </is>
      </c>
      <c r="E47">
        <f>HYPERLINK("https://www.indeed.com/viewjob?jk=68e863213d5860a8", "https://www.indeed.com/viewjob?jk=68e863213d5860a8")</f>
        <v/>
      </c>
      <c r="F47">
        <f>HYPERLINK("https://www.amazon.jobs/jobs/3168905/applied-scientist-ii-prime-video-personalization-and-discovery-science?cmpid=DA_INAD200785B", "https://www.amazon.jobs/jobs/3168905/applied-scientist-ii-prime-video-personalization-and-discovery-science?cmpid=DA_INAD200785B")</f>
        <v/>
      </c>
      <c r="G47" t="inlineStr">
        <is>
          <t>New York, NY, US</t>
        </is>
      </c>
      <c r="H47" s="1" t="n">
        <v>46047</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8">
      <c r="A48" t="inlineStr">
        <is>
          <t>in-51f0e21e7f3c5c5f</t>
        </is>
      </c>
      <c r="B48" t="inlineStr">
        <is>
          <t>Applied Scientist, Amazon Connect</t>
        </is>
      </c>
      <c r="C48" t="inlineStr">
        <is>
          <t>Amazon Web Services</t>
        </is>
      </c>
      <c r="D48" t="inlineStr">
        <is>
          <t>indeed</t>
        </is>
      </c>
      <c r="E48">
        <f>HYPERLINK("https://www.indeed.com/viewjob?jk=51f0e21e7f3c5c5f", "https://www.indeed.com/viewjob?jk=51f0e21e7f3c5c5f")</f>
        <v/>
      </c>
      <c r="F48">
        <f>HYPERLINK("https://www.amazon.jobs/jobs/3168981/applied-scientist-amazon-connect?cmpid=DA_INAD200785B", "https://www.amazon.jobs/jobs/3168981/applied-scientist-amazon-connect?cmpid=DA_INAD200785B")</f>
        <v/>
      </c>
      <c r="G48" t="inlineStr">
        <is>
          <t>Seattle, WA, US</t>
        </is>
      </c>
      <c r="H48" s="1" t="n">
        <v>46047</v>
      </c>
      <c r="I48"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9">
      <c r="A49" t="inlineStr">
        <is>
          <t>in-95df93ab7c6a9626</t>
        </is>
      </c>
      <c r="B49" t="inlineStr">
        <is>
          <t>Applied Scientist II, Prime Video Personalization and Discovery Science</t>
        </is>
      </c>
      <c r="C49" t="inlineStr">
        <is>
          <t>Amazon.com</t>
        </is>
      </c>
      <c r="D49" t="inlineStr">
        <is>
          <t>indeed</t>
        </is>
      </c>
      <c r="E49">
        <f>HYPERLINK("https://www.indeed.com/viewjob?jk=95df93ab7c6a9626", "https://www.indeed.com/viewjob?jk=95df93ab7c6a9626")</f>
        <v/>
      </c>
      <c r="F49">
        <f>HYPERLINK("https://www.amazon.jobs/jobs/3168905/applied-scientist-ii-prime-video-personalization-and-discovery-science?cmpid=DA_INAD200785B", "https://www.amazon.jobs/jobs/3168905/applied-scientist-ii-prime-video-personalization-and-discovery-science?cmpid=DA_INAD200785B")</f>
        <v/>
      </c>
      <c r="G49" t="inlineStr">
        <is>
          <t>Sunnyvale, CA, US</t>
        </is>
      </c>
      <c r="H49" s="1" t="n">
        <v>46047</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0">
      <c r="A50" t="inlineStr">
        <is>
          <t>in-5665d9fd2e17a959</t>
        </is>
      </c>
      <c r="B50" t="inlineStr">
        <is>
          <t>Applied Scientist II, Prime Video Personalization and Discovery Science</t>
        </is>
      </c>
      <c r="C50" t="inlineStr">
        <is>
          <t>Amazon.com</t>
        </is>
      </c>
      <c r="D50" t="inlineStr">
        <is>
          <t>indeed</t>
        </is>
      </c>
      <c r="E50">
        <f>HYPERLINK("https://www.indeed.com/viewjob?jk=5665d9fd2e17a959", "https://www.indeed.com/viewjob?jk=5665d9fd2e17a959")</f>
        <v/>
      </c>
      <c r="F50">
        <f>HYPERLINK("https://www.amazon.jobs/jobs/3168905/applied-scientist-ii-prime-video-personalization-and-discovery-science?cmpid=DA_INAD200785B", "https://www.amazon.jobs/jobs/3168905/applied-scientist-ii-prime-video-personalization-and-discovery-science?cmpid=DA_INAD200785B")</f>
        <v/>
      </c>
      <c r="G50" t="inlineStr">
        <is>
          <t>Seattle, WA, US</t>
        </is>
      </c>
      <c r="H50" s="1" t="n">
        <v>46047</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1">
      <c r="A51" t="inlineStr">
        <is>
          <t>in-b5abd471c926a4df</t>
        </is>
      </c>
      <c r="B51" t="inlineStr">
        <is>
          <t>Applied Scientist, Amazon Connect</t>
        </is>
      </c>
      <c r="C51" t="inlineStr">
        <is>
          <t>Amazon Web Services</t>
        </is>
      </c>
      <c r="D51" t="inlineStr">
        <is>
          <t>indeed</t>
        </is>
      </c>
      <c r="E51">
        <f>HYPERLINK("https://www.indeed.com/viewjob?jk=b5abd471c926a4df", "https://www.indeed.com/viewjob?jk=b5abd471c926a4df")</f>
        <v/>
      </c>
      <c r="F51">
        <f>HYPERLINK("https://www.amazon.jobs/jobs/3168981/applied-scientist-amazon-connect?cmpid=DA_INAD200785B", "https://www.amazon.jobs/jobs/3168981/applied-scientist-amazon-connect?cmpid=DA_INAD200785B")</f>
        <v/>
      </c>
      <c r="G51" t="inlineStr">
        <is>
          <t>New York, NY, US</t>
        </is>
      </c>
      <c r="H51" s="1" t="n">
        <v>46047</v>
      </c>
      <c r="I51"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2">
      <c r="A52" t="inlineStr">
        <is>
          <t>in-3561a5c31072af83</t>
        </is>
      </c>
      <c r="B52" t="inlineStr">
        <is>
          <t>Applied Scientist, Safety ML</t>
        </is>
      </c>
      <c r="C52" t="inlineStr">
        <is>
          <t>Amazon.com</t>
        </is>
      </c>
      <c r="D52" t="inlineStr">
        <is>
          <t>indeed</t>
        </is>
      </c>
      <c r="E52">
        <f>HYPERLINK("https://www.indeed.com/viewjob?jk=3561a5c31072af83", "https://www.indeed.com/viewjob?jk=3561a5c31072af83")</f>
        <v/>
      </c>
      <c r="F52">
        <f>HYPERLINK("https://www.amazon.jobs/jobs/3161224/applied-scientist-safety-ml?cmpid=DA_INAD200785B", "https://www.amazon.jobs/jobs/3161224/applied-scientist-safety-ml?cmpid=DA_INAD200785B")</f>
        <v/>
      </c>
      <c r="G52" t="inlineStr">
        <is>
          <t>Seattle, WA, US</t>
        </is>
      </c>
      <c r="H52" s="1" t="n">
        <v>46037</v>
      </c>
      <c r="I5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53">
      <c r="A53" t="inlineStr">
        <is>
          <t>in-bd63930db17dd217</t>
        </is>
      </c>
      <c r="B53" t="inlineStr">
        <is>
          <t>Applied Scientist, Safety ML</t>
        </is>
      </c>
      <c r="C53" t="inlineStr">
        <is>
          <t>Amazon.com</t>
        </is>
      </c>
      <c r="D53" t="inlineStr">
        <is>
          <t>indeed</t>
        </is>
      </c>
      <c r="E53">
        <f>HYPERLINK("https://www.indeed.com/viewjob?jk=bd63930db17dd217", "https://www.indeed.com/viewjob?jk=bd63930db17dd217")</f>
        <v/>
      </c>
      <c r="F53">
        <f>HYPERLINK("https://www.amazon.jobs/jobs/3161224/applied-scientist-safety-ml?cmpid=DA_INAD200785B", "https://www.amazon.jobs/jobs/3161224/applied-scientist-safety-ml?cmpid=DA_INAD200785B")</f>
        <v/>
      </c>
      <c r="G53" t="inlineStr">
        <is>
          <t>San Francisco, CA, US</t>
        </is>
      </c>
      <c r="H53" s="1" t="n">
        <v>46037</v>
      </c>
      <c r="I5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54">
      <c r="A54" t="inlineStr">
        <is>
          <t>in-ac6ea8afa83dd48f</t>
        </is>
      </c>
      <c r="B54" t="inlineStr">
        <is>
          <t>Principal Applied Scientist, Measurement, AdTech and Data Science, Ads Performance Measurement</t>
        </is>
      </c>
      <c r="C54" t="inlineStr">
        <is>
          <t>Amazon.com</t>
        </is>
      </c>
      <c r="D54" t="inlineStr">
        <is>
          <t>indeed</t>
        </is>
      </c>
      <c r="E54">
        <f>HYPERLINK("https://www.indeed.com/viewjob?jk=ac6ea8afa83dd48f", "https://www.indeed.com/viewjob?jk=ac6ea8afa83dd48f")</f>
        <v/>
      </c>
      <c r="F54">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54" t="inlineStr">
        <is>
          <t>Palo Alto, CA, US</t>
        </is>
      </c>
      <c r="H54" s="1" t="n">
        <v>46037</v>
      </c>
      <c r="I54"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55">
      <c r="A55" t="inlineStr">
        <is>
          <t>in-52baad91ec895170</t>
        </is>
      </c>
      <c r="B55" t="inlineStr">
        <is>
          <t>Principal Applied Scientist, Measurement, AdTech and Data Science, Ads Performance Measurement</t>
        </is>
      </c>
      <c r="C55" t="inlineStr">
        <is>
          <t>Amazon.com</t>
        </is>
      </c>
      <c r="D55" t="inlineStr">
        <is>
          <t>indeed</t>
        </is>
      </c>
      <c r="E55">
        <f>HYPERLINK("https://www.indeed.com/viewjob?jk=52baad91ec895170", "https://www.indeed.com/viewjob?jk=52baad91ec895170")</f>
        <v/>
      </c>
      <c r="F55">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55" t="inlineStr">
        <is>
          <t>New York, NY, US</t>
        </is>
      </c>
      <c r="H55" s="1" t="n">
        <v>46037</v>
      </c>
      <c r="I55"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56">
      <c r="A56" t="inlineStr">
        <is>
          <t>in-6ee5d6d4e05eae96</t>
        </is>
      </c>
      <c r="B56" t="inlineStr">
        <is>
          <t>Principal Applied Scientist, Measurement, AdTech and Data Science, Ads Performance Measurement</t>
        </is>
      </c>
      <c r="C56" t="inlineStr">
        <is>
          <t>Amazon.com</t>
        </is>
      </c>
      <c r="D56" t="inlineStr">
        <is>
          <t>indeed</t>
        </is>
      </c>
      <c r="E56">
        <f>HYPERLINK("https://www.indeed.com/viewjob?jk=6ee5d6d4e05eae96", "https://www.indeed.com/viewjob?jk=6ee5d6d4e05eae96")</f>
        <v/>
      </c>
      <c r="F56">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56" t="inlineStr">
        <is>
          <t>Seattle, WA, US</t>
        </is>
      </c>
      <c r="H56" s="1" t="n">
        <v>46037</v>
      </c>
      <c r="I56"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57">
      <c r="A57" t="inlineStr">
        <is>
          <t>in-905e57058fad2aa0</t>
        </is>
      </c>
      <c r="B57" t="inlineStr">
        <is>
          <t>Applied Scientist, LLM Code Agents, Kiro Science</t>
        </is>
      </c>
      <c r="C57" t="inlineStr">
        <is>
          <t>Amazon.com</t>
        </is>
      </c>
      <c r="D57" t="inlineStr">
        <is>
          <t>indeed</t>
        </is>
      </c>
      <c r="E57">
        <f>HYPERLINK("https://www.indeed.com/viewjob?jk=905e57058fad2aa0", "https://www.indeed.com/viewjob?jk=905e57058fad2aa0")</f>
        <v/>
      </c>
      <c r="F57">
        <f>HYPERLINK("https://www.amazon.jobs/jobs/3161363/applied-scientist-llm-code-agents-kiro-science?cmpid=DA_INAD200785B", "https://www.amazon.jobs/jobs/3161363/applied-scientist-llm-code-agents-kiro-science?cmpid=DA_INAD200785B")</f>
        <v/>
      </c>
      <c r="G57" t="inlineStr">
        <is>
          <t>Santa Clara, CA, US</t>
        </is>
      </c>
      <c r="H57" s="1" t="n">
        <v>46035</v>
      </c>
      <c r="I57"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8">
      <c r="A58" t="inlineStr">
        <is>
          <t>in-0ab8c97a863cedfa</t>
        </is>
      </c>
      <c r="B58" t="inlineStr">
        <is>
          <t>Applied Scientist, LLM Code Agents, Kiro Science</t>
        </is>
      </c>
      <c r="C58" t="inlineStr">
        <is>
          <t>Amazon.com</t>
        </is>
      </c>
      <c r="D58" t="inlineStr">
        <is>
          <t>indeed</t>
        </is>
      </c>
      <c r="E58">
        <f>HYPERLINK("https://www.indeed.com/viewjob?jk=0ab8c97a863cedfa", "https://www.indeed.com/viewjob?jk=0ab8c97a863cedfa")</f>
        <v/>
      </c>
      <c r="F58">
        <f>HYPERLINK("https://www.amazon.jobs/jobs/3161363/applied-scientist-llm-code-agents-kiro-science?cmpid=DA_INAD200785B", "https://www.amazon.jobs/jobs/3161363/applied-scientist-llm-code-agents-kiro-science?cmpid=DA_INAD200785B")</f>
        <v/>
      </c>
      <c r="G58" t="inlineStr">
        <is>
          <t>Seattle, WA, US</t>
        </is>
      </c>
      <c r="H58" s="1" t="n">
        <v>46035</v>
      </c>
      <c r="I58"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9">
      <c r="A59" t="inlineStr">
        <is>
          <t>in-8d301e607679fa49</t>
        </is>
      </c>
      <c r="B59" t="inlineStr">
        <is>
          <t>Applied Scientist II, Prime Video Personalization and Discovery Science</t>
        </is>
      </c>
      <c r="C59" t="inlineStr">
        <is>
          <t>Amazon.com</t>
        </is>
      </c>
      <c r="D59" t="inlineStr">
        <is>
          <t>indeed</t>
        </is>
      </c>
      <c r="E59">
        <f>HYPERLINK("https://www.indeed.com/viewjob?jk=8d301e607679fa49", "https://www.indeed.com/viewjob?jk=8d301e607679fa49")</f>
        <v/>
      </c>
      <c r="F59">
        <f>HYPERLINK("https://www.amazon.jobs/jobs/3165157/applied-scientist-ii-prime-video-personalization-and-discovery-science?cmpid=DA_INAD200785B", "https://www.amazon.jobs/jobs/3165157/applied-scientist-ii-prime-video-personalization-and-discovery-science?cmpid=DA_INAD200785B")</f>
        <v/>
      </c>
      <c r="G59" t="inlineStr">
        <is>
          <t>Sunnyvale, CA, US</t>
        </is>
      </c>
      <c r="H59" s="1" t="n">
        <v>46034</v>
      </c>
      <c r="I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0">
      <c r="A60" t="inlineStr">
        <is>
          <t>in-ec61f7b5dc2c820d</t>
        </is>
      </c>
      <c r="B60" t="inlineStr">
        <is>
          <t>Applied Scientist II, Prime Video Personalization and Discovery Science</t>
        </is>
      </c>
      <c r="C60" t="inlineStr">
        <is>
          <t>Amazon.com</t>
        </is>
      </c>
      <c r="D60" t="inlineStr">
        <is>
          <t>indeed</t>
        </is>
      </c>
      <c r="E60">
        <f>HYPERLINK("https://www.indeed.com/viewjob?jk=ec61f7b5dc2c820d", "https://www.indeed.com/viewjob?jk=ec61f7b5dc2c820d")</f>
        <v/>
      </c>
      <c r="F60">
        <f>HYPERLINK("https://www.amazon.jobs/jobs/3165157/applied-scientist-ii-prime-video-personalization-and-discovery-science?cmpid=DA_INAD200785B", "https://www.amazon.jobs/jobs/3165157/applied-scientist-ii-prime-video-personalization-and-discovery-science?cmpid=DA_INAD200785B")</f>
        <v/>
      </c>
      <c r="G60" t="inlineStr">
        <is>
          <t>Seattle, WA, US</t>
        </is>
      </c>
      <c r="H60" s="1" t="n">
        <v>46034</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1">
      <c r="A61" t="inlineStr">
        <is>
          <t>in-3643167d673ea1ea</t>
        </is>
      </c>
      <c r="B61" t="inlineStr">
        <is>
          <t>Applied Scientist, Alexa Smart Home</t>
        </is>
      </c>
      <c r="C61" t="inlineStr">
        <is>
          <t>Amazon.com</t>
        </is>
      </c>
      <c r="D61" t="inlineStr">
        <is>
          <t>indeed</t>
        </is>
      </c>
      <c r="E61">
        <f>HYPERLINK("https://www.indeed.com/viewjob?jk=3643167d673ea1ea", "https://www.indeed.com/viewjob?jk=3643167d673ea1ea")</f>
        <v/>
      </c>
      <c r="F61">
        <f>HYPERLINK("https://www.amazon.jobs/jobs/3169205/applied-scientist-alexa-smart-home?cmpid=DA_INAD200785B", "https://www.amazon.jobs/jobs/3169205/applied-scientist-alexa-smart-home?cmpid=DA_INAD200785B")</f>
        <v/>
      </c>
      <c r="G61" t="inlineStr">
        <is>
          <t>Sunnyvale, CA, US</t>
        </is>
      </c>
      <c r="H61" s="1" t="n">
        <v>46033</v>
      </c>
      <c r="I6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2">
      <c r="A62" t="inlineStr">
        <is>
          <t>in-0189346132506ebd</t>
        </is>
      </c>
      <c r="B62" t="inlineStr">
        <is>
          <t>Applied Scientist, Alexa Smart Home</t>
        </is>
      </c>
      <c r="C62" t="inlineStr">
        <is>
          <t>Amazon.com</t>
        </is>
      </c>
      <c r="D62" t="inlineStr">
        <is>
          <t>indeed</t>
        </is>
      </c>
      <c r="E62">
        <f>HYPERLINK("https://www.indeed.com/viewjob?jk=0189346132506ebd", "https://www.indeed.com/viewjob?jk=0189346132506ebd")</f>
        <v/>
      </c>
      <c r="F62">
        <f>HYPERLINK("https://www.amazon.jobs/jobs/3169205/applied-scientist-alexa-smart-home?cmpid=DA_INAD200785B", "https://www.amazon.jobs/jobs/3169205/applied-scientist-alexa-smart-home?cmpid=DA_INAD200785B")</f>
        <v/>
      </c>
      <c r="G62" t="inlineStr">
        <is>
          <t>Seattle, WA, US</t>
        </is>
      </c>
      <c r="H62" s="1" t="n">
        <v>46033</v>
      </c>
      <c r="I6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3">
      <c r="A63" t="inlineStr">
        <is>
          <t>in-2f3b799c62d61bd4</t>
        </is>
      </c>
      <c r="B63" t="inlineStr">
        <is>
          <t>Applied Scientist, AWS Applied AI Solutions</t>
        </is>
      </c>
      <c r="C63" t="inlineStr">
        <is>
          <t>Amazon Web Services</t>
        </is>
      </c>
      <c r="D63" t="inlineStr">
        <is>
          <t>indeed</t>
        </is>
      </c>
      <c r="E63">
        <f>HYPERLINK("https://www.indeed.com/viewjob?jk=2f3b799c62d61bd4", "https://www.indeed.com/viewjob?jk=2f3b799c62d61bd4")</f>
        <v/>
      </c>
      <c r="F63">
        <f>HYPERLINK("https://www.amazon.jobs/jobs/3166907/applied-scientist-aws-applied-ai-solutions?cmpid=DA_INAD200785B", "https://www.amazon.jobs/jobs/3166907/applied-scientist-aws-applied-ai-solutions?cmpid=DA_INAD200785B")</f>
        <v/>
      </c>
      <c r="G63" t="inlineStr">
        <is>
          <t>New York, NY, US</t>
        </is>
      </c>
      <c r="H63" s="1" t="n">
        <v>46030</v>
      </c>
      <c r="I63"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4">
      <c r="A64" t="inlineStr">
        <is>
          <t>in-a6a77f23b0df036a</t>
        </is>
      </c>
      <c r="B64" t="inlineStr">
        <is>
          <t>Applied Scientist, AWS Applied AI Solutions</t>
        </is>
      </c>
      <c r="C64" t="inlineStr">
        <is>
          <t>Amazon Web Services</t>
        </is>
      </c>
      <c r="D64" t="inlineStr">
        <is>
          <t>indeed</t>
        </is>
      </c>
      <c r="E64">
        <f>HYPERLINK("https://www.indeed.com/viewjob?jk=a6a77f23b0df036a", "https://www.indeed.com/viewjob?jk=a6a77f23b0df036a")</f>
        <v/>
      </c>
      <c r="F64">
        <f>HYPERLINK("https://www.amazon.jobs/jobs/3166907/applied-scientist-aws-applied-ai-solutions?cmpid=DA_INAD200785B", "https://www.amazon.jobs/jobs/3166907/applied-scientist-aws-applied-ai-solutions?cmpid=DA_INAD200785B")</f>
        <v/>
      </c>
      <c r="G64" t="inlineStr">
        <is>
          <t>Seattle, WA, US</t>
        </is>
      </c>
      <c r="H64" s="1" t="n">
        <v>46030</v>
      </c>
      <c r="I64"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5">
      <c r="A65" t="inlineStr">
        <is>
          <t>in-b94ec772c5f17dfb</t>
        </is>
      </c>
      <c r="B65" t="inlineStr">
        <is>
          <t>Senior Data Scientist, Amazon Global Logistics</t>
        </is>
      </c>
      <c r="C65" t="inlineStr">
        <is>
          <t>Amazon.com</t>
        </is>
      </c>
      <c r="D65" t="inlineStr">
        <is>
          <t>indeed</t>
        </is>
      </c>
      <c r="E65">
        <f>HYPERLINK("https://www.indeed.com/viewjob?jk=b94ec772c5f17dfb", "https://www.indeed.com/viewjob?jk=b94ec772c5f17dfb")</f>
        <v/>
      </c>
      <c r="F65">
        <f>HYPERLINK("https://www.amazon.jobs/jobs/3166902/senior-data-scientist-amazon-global-logistics?cmpid=DA_INAD200785B", "https://www.amazon.jobs/jobs/3166902/senior-data-scientist-amazon-global-logistics?cmpid=DA_INAD200785B")</f>
        <v/>
      </c>
      <c r="G65" t="inlineStr">
        <is>
          <t>Bellevue, WA, US</t>
        </is>
      </c>
      <c r="H65" s="1" t="n">
        <v>46029</v>
      </c>
      <c r="I65"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66">
      <c r="A66" t="inlineStr">
        <is>
          <t>in-6a3a85b9d402bc82</t>
        </is>
      </c>
      <c r="B66" t="inlineStr">
        <is>
          <t>Senior Data Scientist, Amazon Global Logistics</t>
        </is>
      </c>
      <c r="C66" t="inlineStr">
        <is>
          <t>Amazon.com</t>
        </is>
      </c>
      <c r="D66" t="inlineStr">
        <is>
          <t>indeed</t>
        </is>
      </c>
      <c r="E66">
        <f>HYPERLINK("https://www.indeed.com/viewjob?jk=6a3a85b9d402bc82", "https://www.indeed.com/viewjob?jk=6a3a85b9d402bc82")</f>
        <v/>
      </c>
      <c r="F66">
        <f>HYPERLINK("https://www.amazon.jobs/jobs/3166902/senior-data-scientist-amazon-global-logistics?cmpid=DA_INAD200785B", "https://www.amazon.jobs/jobs/3166902/senior-data-scientist-amazon-global-logistics?cmpid=DA_INAD200785B")</f>
        <v/>
      </c>
      <c r="G66" t="inlineStr">
        <is>
          <t>Boston, MA, US</t>
        </is>
      </c>
      <c r="H66" s="1" t="n">
        <v>46029</v>
      </c>
      <c r="I66"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67">
      <c r="A67" t="inlineStr">
        <is>
          <t>in-641e97a49eb73528</t>
        </is>
      </c>
      <c r="B67" t="inlineStr">
        <is>
          <t>Applied Scientist II, Prime Video Personalization and Discovery Science</t>
        </is>
      </c>
      <c r="C67" t="inlineStr">
        <is>
          <t>Amazon.com</t>
        </is>
      </c>
      <c r="D67" t="inlineStr">
        <is>
          <t>indeed</t>
        </is>
      </c>
      <c r="E67">
        <f>HYPERLINK("https://www.indeed.com/viewjob?jk=641e97a49eb73528", "https://www.indeed.com/viewjob?jk=641e97a49eb73528")</f>
        <v/>
      </c>
      <c r="F67">
        <f>HYPERLINK("https://www.amazon.jobs/jobs/3155448/applied-scientist-ii-prime-video-personalization-and-discovery-science?cmpid=DA_INAD200785B", "https://www.amazon.jobs/jobs/3155448/applied-scientist-ii-prime-video-personalization-and-discovery-science?cmpid=DA_INAD200785B")</f>
        <v/>
      </c>
      <c r="G67" t="inlineStr">
        <is>
          <t>Seattle, WA, US</t>
        </is>
      </c>
      <c r="H67" s="1" t="n">
        <v>46028</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8">
      <c r="A68" t="inlineStr">
        <is>
          <t>in-59893c43d580a091</t>
        </is>
      </c>
      <c r="B68" t="inlineStr">
        <is>
          <t>Applied Scientist II, Prime Video Personalization and Discovery Science</t>
        </is>
      </c>
      <c r="C68" t="inlineStr">
        <is>
          <t>Amazon.com</t>
        </is>
      </c>
      <c r="D68" t="inlineStr">
        <is>
          <t>indeed</t>
        </is>
      </c>
      <c r="E68">
        <f>HYPERLINK("https://www.indeed.com/viewjob?jk=59893c43d580a091", "https://www.indeed.com/viewjob?jk=59893c43d580a091")</f>
        <v/>
      </c>
      <c r="F68">
        <f>HYPERLINK("https://www.amazon.jobs/jobs/3155448/applied-scientist-ii-prime-video-personalization-and-discovery-science?cmpid=DA_INAD200785B", "https://www.amazon.jobs/jobs/3155448/applied-scientist-ii-prime-video-personalization-and-discovery-science?cmpid=DA_INAD200785B")</f>
        <v/>
      </c>
      <c r="G68" t="inlineStr">
        <is>
          <t>New York, NY, US</t>
        </is>
      </c>
      <c r="H68" s="1" t="n">
        <v>46028</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9">
      <c r="A69" t="inlineStr">
        <is>
          <t>in-b1397c3ccd57dca1</t>
        </is>
      </c>
      <c r="B69" t="inlineStr">
        <is>
          <t>Applied Scientist II, Prime Video Personalization and Discovery Science</t>
        </is>
      </c>
      <c r="C69" t="inlineStr">
        <is>
          <t>Amazon.com</t>
        </is>
      </c>
      <c r="D69" t="inlineStr">
        <is>
          <t>indeed</t>
        </is>
      </c>
      <c r="E69">
        <f>HYPERLINK("https://www.indeed.com/viewjob?jk=b1397c3ccd57dca1", "https://www.indeed.com/viewjob?jk=b1397c3ccd57dca1")</f>
        <v/>
      </c>
      <c r="F69">
        <f>HYPERLINK("https://www.amazon.jobs/jobs/3155448/applied-scientist-ii-prime-video-personalization-and-discovery-science?cmpid=DA_INAD200785B", "https://www.amazon.jobs/jobs/3155448/applied-scientist-ii-prime-video-personalization-and-discovery-science?cmpid=DA_INAD200785B")</f>
        <v/>
      </c>
      <c r="G69" t="inlineStr">
        <is>
          <t>Sunnyvale, CA, US</t>
        </is>
      </c>
      <c r="H69" s="1" t="n">
        <v>46028</v>
      </c>
      <c r="I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0">
      <c r="A70" t="inlineStr">
        <is>
          <t>in-924dc1f62d5332d6</t>
        </is>
      </c>
      <c r="B70" t="inlineStr">
        <is>
          <t>Applied Scientist II, Locomotion, Amazon Industrial Robotics</t>
        </is>
      </c>
      <c r="C70" t="inlineStr">
        <is>
          <t>Amazon.com</t>
        </is>
      </c>
      <c r="D70" t="inlineStr">
        <is>
          <t>indeed</t>
        </is>
      </c>
      <c r="E70">
        <f>HYPERLINK("https://www.indeed.com/viewjob?jk=924dc1f62d5332d6", "https://www.indeed.com/viewjob?jk=924dc1f62d5332d6")</f>
        <v/>
      </c>
      <c r="F70">
        <f>HYPERLINK("https://www.amazon.jobs/jobs/3154607/applied-scientist-ii-locomotion-amazon-industrial-robotics?cmpid=DA_INAD200785B", "https://www.amazon.jobs/jobs/3154607/applied-scientist-ii-locomotion-amazon-industrial-robotics?cmpid=DA_INAD200785B")</f>
        <v/>
      </c>
      <c r="G70" t="inlineStr">
        <is>
          <t>Reading, MA, US</t>
        </is>
      </c>
      <c r="H70" s="1" t="n">
        <v>46028</v>
      </c>
      <c r="I7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and implementation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Implement and optimize control algorithms for robot locomotion
* Support development of behaviors that enable robots to traverse diverse terrain
* Contribute to methods that integrate stability, locomotion, and manipulation tasks
* Help create dynamics models and simulations that enable sim2real transfer of algorithms
* Collaborate effectively with multi\-disciplinary teams on hardware and algorithms for loco\-manipulation
**BASIC QUALIFICATIONS**
------------------------
* PhD, or Master's degree and 4\+ years of CS, CE, ML or related field experience
*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with Java, C\+\+, or pother programming languages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71">
      <c r="A71" t="inlineStr">
        <is>
          <t>in-89330c3b37ccbdce</t>
        </is>
      </c>
      <c r="B71" t="inlineStr">
        <is>
          <t>Applied Scientist II, Locomotion, Amazon Industrial Robotics</t>
        </is>
      </c>
      <c r="C71" t="inlineStr">
        <is>
          <t>Amazon.com</t>
        </is>
      </c>
      <c r="D71" t="inlineStr">
        <is>
          <t>indeed</t>
        </is>
      </c>
      <c r="E71">
        <f>HYPERLINK("https://www.indeed.com/viewjob?jk=89330c3b37ccbdce", "https://www.indeed.com/viewjob?jk=89330c3b37ccbdce")</f>
        <v/>
      </c>
      <c r="F71">
        <f>HYPERLINK("https://www.amazon.jobs/jobs/3154607/applied-scientist-ii-locomotion-amazon-industrial-robotics?cmpid=DA_INAD200785B", "https://www.amazon.jobs/jobs/3154607/applied-scientist-ii-locomotion-amazon-industrial-robotics?cmpid=DA_INAD200785B")</f>
        <v/>
      </c>
      <c r="G71" t="inlineStr">
        <is>
          <t>Reading, MA, US</t>
        </is>
      </c>
      <c r="H71" s="1" t="n">
        <v>46028</v>
      </c>
      <c r="I7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and implementation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Implement and optimize control algorithms for robot locomotion
* Support development of behaviors that enable robots to traverse diverse terrain
* Contribute to methods that integrate stability, locomotion, and manipulation tasks
* Help create dynamics models and simulations that enable sim2real transfer of algorithms
* Collaborate effectively with multi\-disciplinary teams on hardware and algorithms for loco\-manipulation
**BASIC QUALIFICATIONS**
------------------------
* PhD, or Master's degree and 4\+ years of CS, CE, ML or related field experience
*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with Java, C\+\+, or pother programming languages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72">
      <c r="A72" t="inlineStr">
        <is>
          <t>in-b8ad2f2cf8cec50a</t>
        </is>
      </c>
      <c r="B72" t="inlineStr">
        <is>
          <t>Senior Applied Scientist, Industrial Robotics Group</t>
        </is>
      </c>
      <c r="C72" t="inlineStr">
        <is>
          <t>Amazon.com</t>
        </is>
      </c>
      <c r="D72" t="inlineStr">
        <is>
          <t>indeed</t>
        </is>
      </c>
      <c r="E72">
        <f>HYPERLINK("https://www.indeed.com/viewjob?jk=b8ad2f2cf8cec50a", "https://www.indeed.com/viewjob?jk=b8ad2f2cf8cec50a")</f>
        <v/>
      </c>
      <c r="F72">
        <f>HYPERLINK("https://www.amazon.jobs/jobs/3154866/senior-applied-scientist-industrial-robotics-group?cmpid=DA_INAD200785B", "https://www.amazon.jobs/jobs/3154866/senior-applied-scientist-industrial-robotics-group?cmpid=DA_INAD200785B")</f>
        <v/>
      </c>
      <c r="G72" t="inlineStr">
        <is>
          <t>Reading, MA, US</t>
        </is>
      </c>
      <c r="H72" s="1" t="n">
        <v>46027</v>
      </c>
      <c r="I72" t="inlineStr">
        <is>
          <t>**DESCRIPTION**
---------------
Amazon Industrial Robotics Group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73">
      <c r="A73" t="inlineStr">
        <is>
          <t>in-a570aac4918878bc</t>
        </is>
      </c>
      <c r="B73" t="inlineStr">
        <is>
          <t>Senior Applied Scientist, Industrial Robotics Group</t>
        </is>
      </c>
      <c r="C73" t="inlineStr">
        <is>
          <t>Amazon.com</t>
        </is>
      </c>
      <c r="D73" t="inlineStr">
        <is>
          <t>indeed</t>
        </is>
      </c>
      <c r="E73">
        <f>HYPERLINK("https://www.indeed.com/viewjob?jk=a570aac4918878bc", "https://www.indeed.com/viewjob?jk=a570aac4918878bc")</f>
        <v/>
      </c>
      <c r="F73">
        <f>HYPERLINK("https://www.amazon.jobs/jobs/3154866/senior-applied-scientist-industrial-robotics-group?cmpid=DA_INAD200785B", "https://www.amazon.jobs/jobs/3154866/senior-applied-scientist-industrial-robotics-group?cmpid=DA_INAD200785B")</f>
        <v/>
      </c>
      <c r="G73" t="inlineStr">
        <is>
          <t>Reading, MA, US</t>
        </is>
      </c>
      <c r="H73" s="1" t="n">
        <v>46027</v>
      </c>
      <c r="I73" t="inlineStr">
        <is>
          <t>**DESCRIPTION**
---------------
Amazon Industrial Robotics Group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74">
      <c r="A74" t="inlineStr">
        <is>
          <t>in-749391211aecaf3f</t>
        </is>
      </c>
      <c r="B74" t="inlineStr">
        <is>
          <t>Senior Applied Scientist, Distributed SQL</t>
        </is>
      </c>
      <c r="C74" t="inlineStr">
        <is>
          <t>Amazon Web Services</t>
        </is>
      </c>
      <c r="D74" t="inlineStr">
        <is>
          <t>indeed</t>
        </is>
      </c>
      <c r="E74">
        <f>HYPERLINK("https://www.indeed.com/viewjob?jk=749391211aecaf3f", "https://www.indeed.com/viewjob?jk=749391211aecaf3f")</f>
        <v/>
      </c>
      <c r="F74">
        <f>HYPERLINK("https://www.amazon.jobs/jobs/3148444/senior-applied-scientist-distributed-sql?cmpid=DA_INAD200785B", "https://www.amazon.jobs/jobs/3148444/senior-applied-scientist-distributed-sql?cmpid=DA_INAD200785B")</f>
        <v/>
      </c>
      <c r="G74" t="inlineStr">
        <is>
          <t>East Palo Alto, CA, US</t>
        </is>
      </c>
      <c r="H74" s="1" t="n">
        <v>46012</v>
      </c>
      <c r="I7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75">
      <c r="A75" t="inlineStr">
        <is>
          <t>in-699c3e89ef1bb4d0</t>
        </is>
      </c>
      <c r="B75" t="inlineStr">
        <is>
          <t>Senior Applied Scientist, Distributed SQL</t>
        </is>
      </c>
      <c r="C75" t="inlineStr">
        <is>
          <t>Amazon Web Services</t>
        </is>
      </c>
      <c r="D75" t="inlineStr">
        <is>
          <t>indeed</t>
        </is>
      </c>
      <c r="E75">
        <f>HYPERLINK("https://www.indeed.com/viewjob?jk=699c3e89ef1bb4d0", "https://www.indeed.com/viewjob?jk=699c3e89ef1bb4d0")</f>
        <v/>
      </c>
      <c r="F75">
        <f>HYPERLINK("https://www.amazon.jobs/jobs/3148444/senior-applied-scientist-distributed-sql?cmpid=DA_INAD200785B", "https://www.amazon.jobs/jobs/3148444/senior-applied-scientist-distributed-sql?cmpid=DA_INAD200785B")</f>
        <v/>
      </c>
      <c r="G75" t="inlineStr">
        <is>
          <t>Seattle, WA, US</t>
        </is>
      </c>
      <c r="H75" s="1" t="n">
        <v>46012</v>
      </c>
      <c r="I7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76">
      <c r="A76" t="inlineStr">
        <is>
          <t>in-8969e69e3f3d90a8</t>
        </is>
      </c>
      <c r="B76" t="inlineStr">
        <is>
          <t>Principal Applied Scientist, Kiro Science</t>
        </is>
      </c>
      <c r="C76" t="inlineStr">
        <is>
          <t>Amazon Web Services</t>
        </is>
      </c>
      <c r="D76" t="inlineStr">
        <is>
          <t>indeed</t>
        </is>
      </c>
      <c r="E76">
        <f>HYPERLINK("https://www.indeed.com/viewjob?jk=8969e69e3f3d90a8", "https://www.indeed.com/viewjob?jk=8969e69e3f3d90a8")</f>
        <v/>
      </c>
      <c r="F76">
        <f>HYPERLINK("https://www.amazon.jobs/jobs/3161064/principal-applied-scientist-kiro-science?cmpid=DA_INAD200785B", "https://www.amazon.jobs/jobs/3161064/principal-applied-scientist-kiro-science?cmpid=DA_INAD200785B")</f>
        <v/>
      </c>
      <c r="G76" t="inlineStr">
        <is>
          <t>Santa Clara, CA, US</t>
        </is>
      </c>
      <c r="H76" s="1" t="n">
        <v>45999</v>
      </c>
      <c r="I76"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7">
      <c r="A77" t="inlineStr">
        <is>
          <t>in-59b5909f0ba9f3fa</t>
        </is>
      </c>
      <c r="B77" t="inlineStr">
        <is>
          <t>Principal Applied Scientist, Kiro Science</t>
        </is>
      </c>
      <c r="C77" t="inlineStr">
        <is>
          <t>Amazon Web Services</t>
        </is>
      </c>
      <c r="D77" t="inlineStr">
        <is>
          <t>indeed</t>
        </is>
      </c>
      <c r="E77">
        <f>HYPERLINK("https://www.indeed.com/viewjob?jk=59b5909f0ba9f3fa", "https://www.indeed.com/viewjob?jk=59b5909f0ba9f3fa")</f>
        <v/>
      </c>
      <c r="F77">
        <f>HYPERLINK("https://www.amazon.jobs/jobs/3161064/principal-applied-scientist-kiro-science?cmpid=DA_INAD200785B", "https://www.amazon.jobs/jobs/3161064/principal-applied-scientist-kiro-science?cmpid=DA_INAD200785B")</f>
        <v/>
      </c>
      <c r="G77" t="inlineStr">
        <is>
          <t>New York, NY, US</t>
        </is>
      </c>
      <c r="H77" s="1" t="n">
        <v>45999</v>
      </c>
      <c r="I77"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8">
      <c r="A78" t="inlineStr">
        <is>
          <t>in-e2619d4830bd38a2</t>
        </is>
      </c>
      <c r="B78" t="inlineStr">
        <is>
          <t>Principal Applied Scientist, Sponsored Products and Brands</t>
        </is>
      </c>
      <c r="C78" t="inlineStr">
        <is>
          <t>Amazon.com</t>
        </is>
      </c>
      <c r="D78" t="inlineStr">
        <is>
          <t>indeed</t>
        </is>
      </c>
      <c r="E78">
        <f>HYPERLINK("https://www.indeed.com/viewjob?jk=e2619d4830bd38a2", "https://www.indeed.com/viewjob?jk=e2619d4830bd38a2")</f>
        <v/>
      </c>
      <c r="F78">
        <f>HYPERLINK("https://www.amazon.jobs/jobs/3130855/principal-applied-scientist-sponsored-products-and-brands?cmpid=DA_INAD200785B", "https://www.amazon.jobs/jobs/3130855/principal-applied-scientist-sponsored-products-and-brands?cmpid=DA_INAD200785B")</f>
        <v/>
      </c>
      <c r="G78" t="inlineStr">
        <is>
          <t>New York, NY, US</t>
        </is>
      </c>
      <c r="H78" s="1" t="n">
        <v>45979</v>
      </c>
      <c r="I7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in-9b28dfab3ff6988f</t>
        </is>
      </c>
      <c r="B79" t="inlineStr">
        <is>
          <t>Principal Applied Scientist, Sponsored Products and Brands</t>
        </is>
      </c>
      <c r="C79" t="inlineStr">
        <is>
          <t>Amazon.com</t>
        </is>
      </c>
      <c r="D79" t="inlineStr">
        <is>
          <t>indeed</t>
        </is>
      </c>
      <c r="E79">
        <f>HYPERLINK("https://www.indeed.com/viewjob?jk=9b28dfab3ff6988f", "https://www.indeed.com/viewjob?jk=9b28dfab3ff6988f")</f>
        <v/>
      </c>
      <c r="F79">
        <f>HYPERLINK("https://www.amazon.jobs/jobs/3130855/principal-applied-scientist-sponsored-products-and-brands?cmpid=DA_INAD200785B", "https://www.amazon.jobs/jobs/3130855/principal-applied-scientist-sponsored-products-and-brands?cmpid=DA_INAD200785B")</f>
        <v/>
      </c>
      <c r="G79" t="inlineStr">
        <is>
          <t>Seattle, WA, US</t>
        </is>
      </c>
      <c r="H79" s="1" t="n">
        <v>45979</v>
      </c>
      <c r="I7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in-a432e7c3aff1c970</t>
        </is>
      </c>
      <c r="B80" t="inlineStr">
        <is>
          <t>Senior Applied Scientist, Sponsored Products and Brands</t>
        </is>
      </c>
      <c r="C80" t="inlineStr">
        <is>
          <t>Amazon.com</t>
        </is>
      </c>
      <c r="D80" t="inlineStr">
        <is>
          <t>indeed</t>
        </is>
      </c>
      <c r="E80">
        <f>HYPERLINK("https://www.indeed.com/viewjob?jk=a432e7c3aff1c970", "https://www.indeed.com/viewjob?jk=a432e7c3aff1c970")</f>
        <v/>
      </c>
      <c r="F80">
        <f>HYPERLINK("https://www.amazon.jobs/jobs/3130062/senior-applied-scientist-sponsored-products-and-brands?cmpid=DA_INAD200785B", "https://www.amazon.jobs/jobs/3130062/senior-applied-scientist-sponsored-products-and-brands?cmpid=DA_INAD200785B")</f>
        <v/>
      </c>
      <c r="G80" t="inlineStr">
        <is>
          <t>Seattle, WA, US</t>
        </is>
      </c>
      <c r="H80" s="1" t="n">
        <v>45979</v>
      </c>
      <c r="I8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81">
      <c r="A81" t="inlineStr">
        <is>
          <t>in-5c32214641e7d2e6</t>
        </is>
      </c>
      <c r="B81" t="inlineStr">
        <is>
          <t>Sr. Applied Scientist, Sponsored Products</t>
        </is>
      </c>
      <c r="C81" t="inlineStr">
        <is>
          <t>Amazon.com</t>
        </is>
      </c>
      <c r="D81" t="inlineStr">
        <is>
          <t>indeed</t>
        </is>
      </c>
      <c r="E81">
        <f>HYPERLINK("https://www.indeed.com/viewjob?jk=5c32214641e7d2e6", "https://www.indeed.com/viewjob?jk=5c32214641e7d2e6")</f>
        <v/>
      </c>
      <c r="F81">
        <f>HYPERLINK("https://www.amazon.jobs/jobs/3136156/sr-applied-scientist-sponsored-products?cmpid=DA_INAD200785B", "https://www.amazon.jobs/jobs/3136156/sr-applied-scientist-sponsored-products?cmpid=DA_INAD200785B")</f>
        <v/>
      </c>
      <c r="G81" t="inlineStr">
        <is>
          <t>Arlington, VA, US</t>
        </is>
      </c>
      <c r="H81" s="1" t="n">
        <v>45976</v>
      </c>
      <c r="I8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2">
      <c r="A82" t="inlineStr">
        <is>
          <t>in-ceaa9f74a320ff12</t>
        </is>
      </c>
      <c r="B82" t="inlineStr">
        <is>
          <t>Sr. Applied Scientist, Sponsored Products</t>
        </is>
      </c>
      <c r="C82" t="inlineStr">
        <is>
          <t>Amazon.com</t>
        </is>
      </c>
      <c r="D82" t="inlineStr">
        <is>
          <t>indeed</t>
        </is>
      </c>
      <c r="E82">
        <f>HYPERLINK("https://www.indeed.com/viewjob?jk=ceaa9f74a320ff12", "https://www.indeed.com/viewjob?jk=ceaa9f74a320ff12")</f>
        <v/>
      </c>
      <c r="F82">
        <f>HYPERLINK("https://www.amazon.jobs/jobs/3136156/sr-applied-scientist-sponsored-products?cmpid=DA_INAD200785B", "https://www.amazon.jobs/jobs/3136156/sr-applied-scientist-sponsored-products?cmpid=DA_INAD200785B")</f>
        <v/>
      </c>
      <c r="G82" t="inlineStr">
        <is>
          <t>Seattle, WA, US</t>
        </is>
      </c>
      <c r="H82" s="1" t="n">
        <v>45976</v>
      </c>
      <c r="I8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3">
      <c r="A83" t="inlineStr">
        <is>
          <t>in-e9785ec2b2e6ae21</t>
        </is>
      </c>
      <c r="B83" t="inlineStr">
        <is>
          <t>Sr. Applied Scientist, Sponsored Products</t>
        </is>
      </c>
      <c r="C83" t="inlineStr">
        <is>
          <t>Amazon.com</t>
        </is>
      </c>
      <c r="D83" t="inlineStr">
        <is>
          <t>indeed</t>
        </is>
      </c>
      <c r="E83">
        <f>HYPERLINK("https://www.indeed.com/viewjob?jk=e9785ec2b2e6ae21", "https://www.indeed.com/viewjob?jk=e9785ec2b2e6ae21")</f>
        <v/>
      </c>
      <c r="F83">
        <f>HYPERLINK("https://www.amazon.jobs/jobs/3136156/sr-applied-scientist-sponsored-products?cmpid=DA_INAD200785B", "https://www.amazon.jobs/jobs/3136156/sr-applied-scientist-sponsored-products?cmpid=DA_INAD200785B")</f>
        <v/>
      </c>
      <c r="G83" t="inlineStr">
        <is>
          <t>New York, NY, US</t>
        </is>
      </c>
      <c r="H83" s="1" t="n">
        <v>45976</v>
      </c>
      <c r="I83"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4">
      <c r="A84" t="inlineStr">
        <is>
          <t>in-e8a02750abb5315b</t>
        </is>
      </c>
      <c r="B84" t="inlineStr">
        <is>
          <t>Applied Scientist, AWS Agentic AI</t>
        </is>
      </c>
      <c r="C84" t="inlineStr">
        <is>
          <t>Amazon Web Services</t>
        </is>
      </c>
      <c r="D84" t="inlineStr">
        <is>
          <t>indeed</t>
        </is>
      </c>
      <c r="E84">
        <f>HYPERLINK("https://www.indeed.com/viewjob?jk=e8a02750abb5315b", "https://www.indeed.com/viewjob?jk=e8a02750abb5315b")</f>
        <v/>
      </c>
      <c r="F84">
        <f>HYPERLINK("https://www.amazon.jobs/jobs/3141517/applied-scientist-aws-agentic-ai-?cmpid=DA_INAD200785B", "https://www.amazon.jobs/jobs/3141517/applied-scientist-aws-agentic-ai-?cmpid=DA_INAD200785B")</f>
        <v/>
      </c>
      <c r="G84" t="inlineStr">
        <is>
          <t>Santa Clara, CA, US</t>
        </is>
      </c>
      <c r="H84" s="1" t="n">
        <v>45962</v>
      </c>
      <c r="I8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in-632cc4d5f766cc73</t>
        </is>
      </c>
      <c r="B85" t="inlineStr">
        <is>
          <t>Applied Scientist, AWS Agentic AI</t>
        </is>
      </c>
      <c r="C85" t="inlineStr">
        <is>
          <t>Amazon Web Services</t>
        </is>
      </c>
      <c r="D85" t="inlineStr">
        <is>
          <t>indeed</t>
        </is>
      </c>
      <c r="E85">
        <f>HYPERLINK("https://www.indeed.com/viewjob?jk=632cc4d5f766cc73", "https://www.indeed.com/viewjob?jk=632cc4d5f766cc73")</f>
        <v/>
      </c>
      <c r="F85">
        <f>HYPERLINK("https://www.amazon.jobs/jobs/3141517/applied-scientist-aws-agentic-ai-?cmpid=DA_INAD200785B", "https://www.amazon.jobs/jobs/3141517/applied-scientist-aws-agentic-ai-?cmpid=DA_INAD200785B")</f>
        <v/>
      </c>
      <c r="G85" t="inlineStr">
        <is>
          <t>Seattle, WA, US</t>
        </is>
      </c>
      <c r="H85" s="1" t="n">
        <v>45962</v>
      </c>
      <c r="I8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in-6f6a09f316a7447c</t>
        </is>
      </c>
      <c r="B86" t="inlineStr">
        <is>
          <t>Applied Scientist, AWS Agentic AI</t>
        </is>
      </c>
      <c r="C86" t="inlineStr">
        <is>
          <t>Amazon Web Services</t>
        </is>
      </c>
      <c r="D86" t="inlineStr">
        <is>
          <t>indeed</t>
        </is>
      </c>
      <c r="E86">
        <f>HYPERLINK("https://www.indeed.com/viewjob?jk=6f6a09f316a7447c", "https://www.indeed.com/viewjob?jk=6f6a09f316a7447c")</f>
        <v/>
      </c>
      <c r="F86">
        <f>HYPERLINK("https://www.amazon.jobs/jobs/3141517/applied-scientist-aws-agentic-ai-?cmpid=DA_INAD200785B", "https://www.amazon.jobs/jobs/3141517/applied-scientist-aws-agentic-ai-?cmpid=DA_INAD200785B")</f>
        <v/>
      </c>
      <c r="G86" t="inlineStr">
        <is>
          <t>New York, NY, US</t>
        </is>
      </c>
      <c r="H86" s="1" t="n">
        <v>45962</v>
      </c>
      <c r="I8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in-552a1ace635201ec</t>
        </is>
      </c>
      <c r="B87" t="inlineStr">
        <is>
          <t>Applied Scientist, Prime Video - Content Understanding, Localization &amp; Enrichment Team</t>
        </is>
      </c>
      <c r="C87" t="inlineStr">
        <is>
          <t>Amazon.com</t>
        </is>
      </c>
      <c r="D87" t="inlineStr">
        <is>
          <t>indeed</t>
        </is>
      </c>
      <c r="E87">
        <f>HYPERLINK("https://www.indeed.com/viewjob?jk=552a1ace635201ec", "https://www.indeed.com/viewjob?jk=552a1ace635201ec")</f>
        <v/>
      </c>
      <c r="F87">
        <f>HYPERLINK("https://www.amazon.jobs/jobs/3111928/applied-scientist-prime-video--content-understanding-localization--enrichment-team?cmpid=DA_INAD200785B", "https://www.amazon.jobs/jobs/3111928/applied-scientist-prime-video--content-understanding-localization--enrichment-team?cmpid=DA_INAD200785B")</f>
        <v/>
      </c>
      <c r="G87" t="inlineStr">
        <is>
          <t>Seattle, WA, US</t>
        </is>
      </c>
      <c r="H87" s="1" t="n">
        <v>45943</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88">
      <c r="A88" t="inlineStr">
        <is>
          <t>in-4dd5122254d03635</t>
        </is>
      </c>
      <c r="B88" t="inlineStr">
        <is>
          <t>Applied Scientist, Prime Video - Content Understanding, Localization &amp; Enrichment Team</t>
        </is>
      </c>
      <c r="C88" t="inlineStr">
        <is>
          <t>Amazon.com</t>
        </is>
      </c>
      <c r="D88" t="inlineStr">
        <is>
          <t>indeed</t>
        </is>
      </c>
      <c r="E88">
        <f>HYPERLINK("https://www.indeed.com/viewjob?jk=4dd5122254d03635", "https://www.indeed.com/viewjob?jk=4dd5122254d03635")</f>
        <v/>
      </c>
      <c r="F88">
        <f>HYPERLINK("https://www.amazon.jobs/jobs/3111928/applied-scientist-prime-video--content-understanding-localization--enrichment-team?cmpid=DA_INAD200785B", "https://www.amazon.jobs/jobs/3111928/applied-scientist-prime-video--content-understanding-localization--enrichment-team?cmpid=DA_INAD200785B")</f>
        <v/>
      </c>
      <c r="G88" t="inlineStr">
        <is>
          <t>San Francisco, CA, US</t>
        </is>
      </c>
      <c r="H88" s="1" t="n">
        <v>45943</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89">
      <c r="A89" t="inlineStr">
        <is>
          <t>in-cb634ab2e53c0e94</t>
        </is>
      </c>
      <c r="B89" t="inlineStr">
        <is>
          <t>Principal Applied Scientist, Advertiser Growth, Amazon Sponsored Products &amp; Brands</t>
        </is>
      </c>
      <c r="C89" t="inlineStr">
        <is>
          <t>Amazon.com</t>
        </is>
      </c>
      <c r="D89" t="inlineStr">
        <is>
          <t>indeed</t>
        </is>
      </c>
      <c r="E89">
        <f>HYPERLINK("https://www.indeed.com/viewjob?jk=cb634ab2e53c0e94", "https://www.indeed.com/viewjob?jk=cb634ab2e53c0e94")</f>
        <v/>
      </c>
      <c r="F89">
        <f>HYPERLINK("https://www.amazon.jobs/jobs/3115279/principal-applied-scientist-advertiser-growth-amazon-sponsored-products--brands?cmpid=DA_INAD200785B", "https://www.amazon.jobs/jobs/3115279/principal-applied-scientist-advertiser-growth-amazon-sponsored-products--brands?cmpid=DA_INAD200785B")</f>
        <v/>
      </c>
      <c r="G89" t="inlineStr">
        <is>
          <t>Palo Alto, CA, US</t>
        </is>
      </c>
      <c r="H89" s="1" t="n">
        <v>45942</v>
      </c>
      <c r="I8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in-b226a1a959e73050</t>
        </is>
      </c>
      <c r="B90" t="inlineStr">
        <is>
          <t>Principal Applied Scientist, Advertiser Growth, Amazon Sponsored Products &amp; Brands</t>
        </is>
      </c>
      <c r="C90" t="inlineStr">
        <is>
          <t>Amazon.com</t>
        </is>
      </c>
      <c r="D90" t="inlineStr">
        <is>
          <t>indeed</t>
        </is>
      </c>
      <c r="E90">
        <f>HYPERLINK("https://www.indeed.com/viewjob?jk=b226a1a959e73050", "https://www.indeed.com/viewjob?jk=b226a1a959e73050")</f>
        <v/>
      </c>
      <c r="F90">
        <f>HYPERLINK("https://www.amazon.jobs/jobs/3115279/principal-applied-scientist-advertiser-growth-amazon-sponsored-products--brands?cmpid=DA_INAD200785B", "https://www.amazon.jobs/jobs/3115279/principal-applied-scientist-advertiser-growth-amazon-sponsored-products--brands?cmpid=DA_INAD200785B")</f>
        <v/>
      </c>
      <c r="G90" t="inlineStr">
        <is>
          <t>Seattle, WA, US</t>
        </is>
      </c>
      <c r="H90" s="1" t="n">
        <v>45942</v>
      </c>
      <c r="I9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in-a789fd90196f32c3</t>
        </is>
      </c>
      <c r="B91" t="inlineStr">
        <is>
          <t>Principal Applied Scientist, Advertiser Growth, Amazon Sponsored Products &amp; Brands</t>
        </is>
      </c>
      <c r="C91" t="inlineStr">
        <is>
          <t>Amazon.com</t>
        </is>
      </c>
      <c r="D91" t="inlineStr">
        <is>
          <t>indeed</t>
        </is>
      </c>
      <c r="E91">
        <f>HYPERLINK("https://www.indeed.com/viewjob?jk=a789fd90196f32c3", "https://www.indeed.com/viewjob?jk=a789fd90196f32c3")</f>
        <v/>
      </c>
      <c r="F91">
        <f>HYPERLINK("https://www.amazon.jobs/jobs/3115279/principal-applied-scientist-advertiser-growth-amazon-sponsored-products--brands?cmpid=DA_INAD200785B", "https://www.amazon.jobs/jobs/3115279/principal-applied-scientist-advertiser-growth-amazon-sponsored-products--brands?cmpid=DA_INAD200785B")</f>
        <v/>
      </c>
      <c r="G91" t="inlineStr">
        <is>
          <t>New York, NY, US</t>
        </is>
      </c>
      <c r="H91" s="1" t="n">
        <v>45942</v>
      </c>
      <c r="I9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in-f0dd503dec49ebac</t>
        </is>
      </c>
      <c r="B92" t="inlineStr">
        <is>
          <t>Sr. Applied Scientist, Prime Video - Personalization and Discovery Science</t>
        </is>
      </c>
      <c r="C92" t="inlineStr">
        <is>
          <t>Amazon.com</t>
        </is>
      </c>
      <c r="D92" t="inlineStr">
        <is>
          <t>indeed</t>
        </is>
      </c>
      <c r="E92">
        <f>HYPERLINK("https://www.indeed.com/viewjob?jk=f0dd503dec49ebac", "https://www.indeed.com/viewjob?jk=f0dd503dec49ebac")</f>
        <v/>
      </c>
      <c r="F92">
        <f>HYPERLINK("https://www.amazon.jobs/jobs/3084479/sr-applied-scientist-prime-video--personalization-and-discovery-science?cmpid=DA_INAD200785B", "https://www.amazon.jobs/jobs/3084479/sr-applied-scientist-prime-video--personalization-and-discovery-science?cmpid=DA_INAD200785B")</f>
        <v/>
      </c>
      <c r="G92" t="inlineStr">
        <is>
          <t>New York, NY, US</t>
        </is>
      </c>
      <c r="H92" s="1" t="n">
        <v>45896</v>
      </c>
      <c r="I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3">
      <c r="A93" t="inlineStr">
        <is>
          <t>in-3e028ef9f2865ba4</t>
        </is>
      </c>
      <c r="B93" t="inlineStr">
        <is>
          <t>Sr. Applied Scientist, Prime Video - Personalization and Discovery Science</t>
        </is>
      </c>
      <c r="C93" t="inlineStr">
        <is>
          <t>Amazon.com</t>
        </is>
      </c>
      <c r="D93" t="inlineStr">
        <is>
          <t>indeed</t>
        </is>
      </c>
      <c r="E93">
        <f>HYPERLINK("https://www.indeed.com/viewjob?jk=3e028ef9f2865ba4", "https://www.indeed.com/viewjob?jk=3e028ef9f2865ba4")</f>
        <v/>
      </c>
      <c r="F93">
        <f>HYPERLINK("https://www.amazon.jobs/jobs/3084479/sr-applied-scientist-prime-video--personalization-and-discovery-science?cmpid=DA_INAD200785B", "https://www.amazon.jobs/jobs/3084479/sr-applied-scientist-prime-video--personalization-and-discovery-science?cmpid=DA_INAD200785B")</f>
        <v/>
      </c>
      <c r="G93" t="inlineStr">
        <is>
          <t>Sunnyvale, CA, US</t>
        </is>
      </c>
      <c r="H93" s="1" t="n">
        <v>45896</v>
      </c>
      <c r="I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4">
      <c r="A94" t="inlineStr">
        <is>
          <t>in-3ae39fe0a24e9080</t>
        </is>
      </c>
      <c r="B94" t="inlineStr">
        <is>
          <t>Sr. Applied Scientist, Prime Video - Personalization and Discovery Science</t>
        </is>
      </c>
      <c r="C94" t="inlineStr">
        <is>
          <t>Amazon.com</t>
        </is>
      </c>
      <c r="D94" t="inlineStr">
        <is>
          <t>indeed</t>
        </is>
      </c>
      <c r="E94">
        <f>HYPERLINK("https://www.indeed.com/viewjob?jk=3ae39fe0a24e9080", "https://www.indeed.com/viewjob?jk=3ae39fe0a24e9080")</f>
        <v/>
      </c>
      <c r="F94">
        <f>HYPERLINK("https://www.amazon.jobs/jobs/3084479/sr-applied-scientist-prime-video--personalization-and-discovery-science?cmpid=DA_INAD200785B", "https://www.amazon.jobs/jobs/3084479/sr-applied-scientist-prime-video--personalization-and-discovery-science?cmpid=DA_INAD200785B")</f>
        <v/>
      </c>
      <c r="G94" t="inlineStr">
        <is>
          <t>Seattle, WA, US</t>
        </is>
      </c>
      <c r="H94" s="1" t="n">
        <v>45896</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5">
      <c r="A95" t="inlineStr">
        <is>
          <t>in-dc2bbaac473c5552</t>
        </is>
      </c>
      <c r="B95" t="inlineStr">
        <is>
          <t>Sr. Applied Scientist, Amazon Advertising</t>
        </is>
      </c>
      <c r="C95" t="inlineStr">
        <is>
          <t>Amazon.com</t>
        </is>
      </c>
      <c r="D95" t="inlineStr">
        <is>
          <t>indeed</t>
        </is>
      </c>
      <c r="E95">
        <f>HYPERLINK("https://www.indeed.com/viewjob?jk=dc2bbaac473c5552", "https://www.indeed.com/viewjob?jk=dc2bbaac473c5552")</f>
        <v/>
      </c>
      <c r="F95">
        <f>HYPERLINK("https://www.amazon.jobs/jobs/3035686/sr-applied-scientist-amazon-advertising?cmpid=DA_INAD200785B", "https://www.amazon.jobs/jobs/3035686/sr-applied-scientist-amazon-advertising?cmpid=DA_INAD200785B")</f>
        <v/>
      </c>
      <c r="G95" t="inlineStr">
        <is>
          <t>Seattle, WA, US</t>
        </is>
      </c>
      <c r="H95" s="1" t="n">
        <v>45851</v>
      </c>
      <c r="I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in-f5637496a8507705</t>
        </is>
      </c>
      <c r="B96" t="inlineStr">
        <is>
          <t>Sr. Applied Scientist, Amazon Advertising</t>
        </is>
      </c>
      <c r="C96" t="inlineStr">
        <is>
          <t>Amazon.com</t>
        </is>
      </c>
      <c r="D96" t="inlineStr">
        <is>
          <t>indeed</t>
        </is>
      </c>
      <c r="E96">
        <f>HYPERLINK("https://www.indeed.com/viewjob?jk=f5637496a8507705", "https://www.indeed.com/viewjob?jk=f5637496a8507705")</f>
        <v/>
      </c>
      <c r="F96">
        <f>HYPERLINK("https://www.amazon.jobs/jobs/3035686/sr-applied-scientist-amazon-advertising?cmpid=DA_INAD200785B", "https://www.amazon.jobs/jobs/3035686/sr-applied-scientist-amazon-advertising?cmpid=DA_INAD200785B")</f>
        <v/>
      </c>
      <c r="G96" t="inlineStr">
        <is>
          <t>Simi Valley, CA, US</t>
        </is>
      </c>
      <c r="H96" s="1"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in-5c0df8ba9ea3b9df</t>
        </is>
      </c>
      <c r="B97" t="inlineStr">
        <is>
          <t>Sr. Applied Scientist, Amazon Advertising</t>
        </is>
      </c>
      <c r="C97" t="inlineStr">
        <is>
          <t>Amazon.com</t>
        </is>
      </c>
      <c r="D97" t="inlineStr">
        <is>
          <t>indeed</t>
        </is>
      </c>
      <c r="E97">
        <f>HYPERLINK("https://www.indeed.com/viewjob?jk=5c0df8ba9ea3b9df", "https://www.indeed.com/viewjob?jk=5c0df8ba9ea3b9df")</f>
        <v/>
      </c>
      <c r="F97">
        <f>HYPERLINK("https://www.amazon.jobs/jobs/3035686/sr-applied-scientist-amazon-advertising?cmpid=DA_INAD200785B", "https://www.amazon.jobs/jobs/3035686/sr-applied-scientist-amazon-advertising?cmpid=DA_INAD200785B")</f>
        <v/>
      </c>
      <c r="G97" t="inlineStr">
        <is>
          <t>Austin, TX, US</t>
        </is>
      </c>
      <c r="H97" s="1" t="n">
        <v>45851</v>
      </c>
      <c r="I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in-a51b85df2dd17f02</t>
        </is>
      </c>
      <c r="B98" t="inlineStr">
        <is>
          <t>Sr. Applied Scientist, Amazon Advertising</t>
        </is>
      </c>
      <c r="C98" t="inlineStr">
        <is>
          <t>Amazon.com</t>
        </is>
      </c>
      <c r="D98" t="inlineStr">
        <is>
          <t>indeed</t>
        </is>
      </c>
      <c r="E98">
        <f>HYPERLINK("https://www.indeed.com/viewjob?jk=a51b85df2dd17f02", "https://www.indeed.com/viewjob?jk=a51b85df2dd17f02")</f>
        <v/>
      </c>
      <c r="F98">
        <f>HYPERLINK("https://www.amazon.jobs/jobs/3035686/sr-applied-scientist-amazon-advertising?cmpid=DA_INAD200785B", "https://www.amazon.jobs/jobs/3035686/sr-applied-scientist-amazon-advertising?cmpid=DA_INAD200785B")</f>
        <v/>
      </c>
      <c r="G98" t="inlineStr">
        <is>
          <t>Palo Alto, CA, US</t>
        </is>
      </c>
      <c r="H98" s="1" t="n">
        <v>45851</v>
      </c>
      <c r="I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in-bda3b17662ef77c4</t>
        </is>
      </c>
      <c r="B99" t="inlineStr">
        <is>
          <t>Sr. Applied Scientist, Amazon Advertising</t>
        </is>
      </c>
      <c r="C99" t="inlineStr">
        <is>
          <t>Amazon.com</t>
        </is>
      </c>
      <c r="D99" t="inlineStr">
        <is>
          <t>indeed</t>
        </is>
      </c>
      <c r="E99">
        <f>HYPERLINK("https://www.indeed.com/viewjob?jk=bda3b17662ef77c4", "https://www.indeed.com/viewjob?jk=bda3b17662ef77c4")</f>
        <v/>
      </c>
      <c r="F99">
        <f>HYPERLINK("https://www.amazon.jobs/jobs/3035686/sr-applied-scientist-amazon-advertising?cmpid=DA_INAD200785B", "https://www.amazon.jobs/jobs/3035686/sr-applied-scientist-amazon-advertising?cmpid=DA_INAD200785B")</f>
        <v/>
      </c>
      <c r="G99" t="inlineStr">
        <is>
          <t>Arlington, VA, US</t>
        </is>
      </c>
      <c r="H99" s="1" t="n">
        <v>45851</v>
      </c>
      <c r="I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in-cd31df0b35a1dc7a</t>
        </is>
      </c>
      <c r="B100" t="inlineStr">
        <is>
          <t>Sr. Applied Scientist, Amazon Advertising</t>
        </is>
      </c>
      <c r="C100" t="inlineStr">
        <is>
          <t>Amazon.com</t>
        </is>
      </c>
      <c r="D100" t="inlineStr">
        <is>
          <t>indeed</t>
        </is>
      </c>
      <c r="E100">
        <f>HYPERLINK("https://www.indeed.com/viewjob?jk=cd31df0b35a1dc7a", "https://www.indeed.com/viewjob?jk=cd31df0b35a1dc7a")</f>
        <v/>
      </c>
      <c r="F100">
        <f>HYPERLINK("https://www.amazon.jobs/jobs/3035686/sr-applied-scientist-amazon-advertising?cmpid=DA_INAD200785B", "https://www.amazon.jobs/jobs/3035686/sr-applied-scientist-amazon-advertising?cmpid=DA_INAD200785B")</f>
        <v/>
      </c>
      <c r="G100" t="inlineStr">
        <is>
          <t>Los Angeles, CA, US</t>
        </is>
      </c>
      <c r="H100" s="1" t="n">
        <v>45851</v>
      </c>
      <c r="I1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in-861c45e5d662a853</t>
        </is>
      </c>
      <c r="B101" t="inlineStr">
        <is>
          <t>Sr. Applied Scientist, Amazon Advertising</t>
        </is>
      </c>
      <c r="C101" t="inlineStr">
        <is>
          <t>Amazon.com</t>
        </is>
      </c>
      <c r="D101" t="inlineStr">
        <is>
          <t>indeed</t>
        </is>
      </c>
      <c r="E101">
        <f>HYPERLINK("https://www.indeed.com/viewjob?jk=861c45e5d662a853", "https://www.indeed.com/viewjob?jk=861c45e5d662a853")</f>
        <v/>
      </c>
      <c r="F101">
        <f>HYPERLINK("https://www.amazon.jobs/jobs/3035686/sr-applied-scientist-amazon-advertising?cmpid=DA_INAD200785B", "https://www.amazon.jobs/jobs/3035686/sr-applied-scientist-amazon-advertising?cmpid=DA_INAD200785B")</f>
        <v/>
      </c>
      <c r="G101" t="inlineStr">
        <is>
          <t>West Hollywood, CA, US</t>
        </is>
      </c>
      <c r="H101" s="1" t="n">
        <v>45851</v>
      </c>
      <c r="I1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in-af782160663c9870</t>
        </is>
      </c>
      <c r="B102" t="inlineStr">
        <is>
          <t>Sr. Applied Scientist, Amazon Advertising</t>
        </is>
      </c>
      <c r="C102" t="inlineStr">
        <is>
          <t>Amazon.com</t>
        </is>
      </c>
      <c r="D102" t="inlineStr">
        <is>
          <t>indeed</t>
        </is>
      </c>
      <c r="E102">
        <f>HYPERLINK("https://www.indeed.com/viewjob?jk=af782160663c9870", "https://www.indeed.com/viewjob?jk=af782160663c9870")</f>
        <v/>
      </c>
      <c r="F102">
        <f>HYPERLINK("https://www.amazon.jobs/jobs/3035686/sr-applied-scientist-amazon-advertising?cmpid=DA_INAD200785B", "https://www.amazon.jobs/jobs/3035686/sr-applied-scientist-amazon-advertising?cmpid=DA_INAD200785B")</f>
        <v/>
      </c>
      <c r="G102" t="inlineStr">
        <is>
          <t>New York, NY, US</t>
        </is>
      </c>
      <c r="H102" s="1" t="n">
        <v>45851</v>
      </c>
      <c r="I1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in-9af4cf4d3d0368e4</t>
        </is>
      </c>
      <c r="B103" t="inlineStr">
        <is>
          <t>Applied Scientist, Prime Video - Personalization and Discovery Science</t>
        </is>
      </c>
      <c r="C103" t="inlineStr">
        <is>
          <t>Amazon.com</t>
        </is>
      </c>
      <c r="D103" t="inlineStr">
        <is>
          <t>indeed</t>
        </is>
      </c>
      <c r="E103">
        <f>HYPERLINK("https://www.indeed.com/viewjob?jk=9af4cf4d3d0368e4", "https://www.indeed.com/viewjob?jk=9af4cf4d3d0368e4")</f>
        <v/>
      </c>
      <c r="F103">
        <f>HYPERLINK("https://www.amazon.jobs/jobs/3033050/applied-scientist-prime-video--personalization-and-discovery-science?cmpid=DA_INAD200785B", "https://www.amazon.jobs/jobs/3033050/applied-scientist-prime-video--personalization-and-discovery-science?cmpid=DA_INAD200785B")</f>
        <v/>
      </c>
      <c r="G103" t="inlineStr">
        <is>
          <t>New York, NY, US</t>
        </is>
      </c>
      <c r="H103" s="1" t="n">
        <v>45845</v>
      </c>
      <c r="I1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04">
      <c r="A104" t="inlineStr">
        <is>
          <t>in-91ae1c1668c8a000</t>
        </is>
      </c>
      <c r="B104" t="inlineStr">
        <is>
          <t>Applied Scientist, Prime Video - Personalization and Discovery Science</t>
        </is>
      </c>
      <c r="C104" t="inlineStr">
        <is>
          <t>Amazon.com</t>
        </is>
      </c>
      <c r="D104" t="inlineStr">
        <is>
          <t>indeed</t>
        </is>
      </c>
      <c r="E104">
        <f>HYPERLINK("https://www.indeed.com/viewjob?jk=91ae1c1668c8a000", "https://www.indeed.com/viewjob?jk=91ae1c1668c8a000")</f>
        <v/>
      </c>
      <c r="F104">
        <f>HYPERLINK("https://www.amazon.jobs/jobs/3033050/applied-scientist-prime-video--personalization-and-discovery-science?cmpid=DA_INAD200785B", "https://www.amazon.jobs/jobs/3033050/applied-scientist-prime-video--personalization-and-discovery-science?cmpid=DA_INAD200785B")</f>
        <v/>
      </c>
      <c r="G104" t="inlineStr">
        <is>
          <t>Seattle, WA, US</t>
        </is>
      </c>
      <c r="H104" s="1" t="n">
        <v>45845</v>
      </c>
      <c r="I1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05">
      <c r="A105" t="inlineStr">
        <is>
          <t>in-d76dce7f50841047</t>
        </is>
      </c>
      <c r="B105" t="inlineStr">
        <is>
          <t>Applied Scientist, Prime Video - Personalization and Discovery Science</t>
        </is>
      </c>
      <c r="C105" t="inlineStr">
        <is>
          <t>Amazon.com</t>
        </is>
      </c>
      <c r="D105" t="inlineStr">
        <is>
          <t>indeed</t>
        </is>
      </c>
      <c r="E105">
        <f>HYPERLINK("https://www.indeed.com/viewjob?jk=d76dce7f50841047", "https://www.indeed.com/viewjob?jk=d76dce7f50841047")</f>
        <v/>
      </c>
      <c r="F105">
        <f>HYPERLINK("https://www.amazon.jobs/jobs/3033050/applied-scientist-prime-video--personalization-and-discovery-science?cmpid=DA_INAD200785B", "https://www.amazon.jobs/jobs/3033050/applied-scientist-prime-video--personalization-and-discovery-science?cmpid=DA_INAD200785B")</f>
        <v/>
      </c>
      <c r="G105" t="inlineStr">
        <is>
          <t>Sunnyvale, CA, US</t>
        </is>
      </c>
      <c r="H105" s="1" t="n">
        <v>45845</v>
      </c>
      <c r="I1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06">
      <c r="A106" t="inlineStr">
        <is>
          <t>in-cf7f5e8f252b64c3</t>
        </is>
      </c>
      <c r="B106" t="inlineStr">
        <is>
          <t>Sr. Data Scientist, Amazon Leo Global Planning, Amazon Leo</t>
        </is>
      </c>
      <c r="C106" t="inlineStr">
        <is>
          <t>Amazon.com</t>
        </is>
      </c>
      <c r="D106" t="inlineStr">
        <is>
          <t>indeed</t>
        </is>
      </c>
      <c r="E106">
        <f>HYPERLINK("https://www.indeed.com/viewjob?jk=cf7f5e8f252b64c3", "https://www.indeed.com/viewjob?jk=cf7f5e8f252b64c3")</f>
        <v/>
      </c>
      <c r="F106">
        <f>HYPERLINK("https://www.amazon.jobs/jobs/3016062/sr-data-scientist-amazon-leo-global-planning-amazon-leo?cmpid=DA_INAD200785B", "https://www.amazon.jobs/jobs/3016062/sr-data-scientist-amazon-leo-global-planning-amazon-leo?cmpid=DA_INAD200785B")</f>
        <v/>
      </c>
      <c r="G106" t="inlineStr">
        <is>
          <t>Bellevue, WA, US</t>
        </is>
      </c>
      <c r="H106" s="1" t="n">
        <v>45830</v>
      </c>
      <c r="I106"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t>
        </is>
      </c>
    </row>
    <row r="107">
      <c r="A107" t="inlineStr">
        <is>
          <t>in-b9021a91b7702f6f</t>
        </is>
      </c>
      <c r="B107" t="inlineStr">
        <is>
          <t>Sr. Data Scientist, Amazon Leo Global Planning, Amazon Leo</t>
        </is>
      </c>
      <c r="C107" t="inlineStr">
        <is>
          <t>Amazon.com</t>
        </is>
      </c>
      <c r="D107" t="inlineStr">
        <is>
          <t>indeed</t>
        </is>
      </c>
      <c r="E107">
        <f>HYPERLINK("https://www.indeed.com/viewjob?jk=b9021a91b7702f6f", "https://www.indeed.com/viewjob?jk=b9021a91b7702f6f")</f>
        <v/>
      </c>
      <c r="F107">
        <f>HYPERLINK("https://www.amazon.jobs/jobs/3016062/sr-data-scientist-amazon-leo-global-planning-amazon-leo?cmpid=DA_INAD200785B", "https://www.amazon.jobs/jobs/3016062/sr-data-scientist-amazon-leo-global-planning-amazon-leo?cmpid=DA_INAD200785B")</f>
        <v/>
      </c>
      <c r="G107" t="inlineStr">
        <is>
          <t>Redmond, WA, US</t>
        </is>
      </c>
      <c r="H107" s="1" t="n">
        <v>45830</v>
      </c>
      <c r="I107"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t>
        </is>
      </c>
    </row>
    <row r="108">
      <c r="A108" t="inlineStr">
        <is>
          <t>in-28945298ab53ff42</t>
        </is>
      </c>
      <c r="B108" t="inlineStr">
        <is>
          <t>Principal Applied Scientist, Delivery Foundation Model</t>
        </is>
      </c>
      <c r="C108" t="inlineStr">
        <is>
          <t>Amazon.com</t>
        </is>
      </c>
      <c r="D108" t="inlineStr">
        <is>
          <t>indeed</t>
        </is>
      </c>
      <c r="E108">
        <f>HYPERLINK("https://www.indeed.com/viewjob?jk=28945298ab53ff42", "https://www.indeed.com/viewjob?jk=28945298ab53ff42")</f>
        <v/>
      </c>
      <c r="F108">
        <f>HYPERLINK("https://www.amazon.jobs/jobs/3006938/principal-applied-scientist-delivery-foundation-model-?cmpid=DA_INAD200785B", "https://www.amazon.jobs/jobs/3006938/principal-applied-scientist-delivery-foundation-model-?cmpid=DA_INAD200785B")</f>
        <v/>
      </c>
      <c r="G108" t="inlineStr">
        <is>
          <t>New York, NY, US</t>
        </is>
      </c>
      <c r="H108" s="1" t="n">
        <v>45810</v>
      </c>
      <c r="I1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09">
      <c r="A109" t="inlineStr">
        <is>
          <t>in-2fcb2f497d69e69a</t>
        </is>
      </c>
      <c r="B109" t="inlineStr">
        <is>
          <t>Principal Applied Scientist, Delivery Foundation Model</t>
        </is>
      </c>
      <c r="C109" t="inlineStr">
        <is>
          <t>Amazon.com</t>
        </is>
      </c>
      <c r="D109" t="inlineStr">
        <is>
          <t>indeed</t>
        </is>
      </c>
      <c r="E109">
        <f>HYPERLINK("https://www.indeed.com/viewjob?jk=2fcb2f497d69e69a", "https://www.indeed.com/viewjob?jk=2fcb2f497d69e69a")</f>
        <v/>
      </c>
      <c r="F109">
        <f>HYPERLINK("https://www.amazon.jobs/jobs/3006938/principal-applied-scientist-delivery-foundation-model-?cmpid=DA_INAD200785B", "https://www.amazon.jobs/jobs/3006938/principal-applied-scientist-delivery-foundation-model-?cmpid=DA_INAD200785B")</f>
        <v/>
      </c>
      <c r="G109" t="inlineStr">
        <is>
          <t>Santa Clara, CA, US</t>
        </is>
      </c>
      <c r="H109" s="1" t="n">
        <v>45810</v>
      </c>
      <c r="I1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0">
      <c r="A110" t="inlineStr">
        <is>
          <t>in-3631e9c476638a6e</t>
        </is>
      </c>
      <c r="B110" t="inlineStr">
        <is>
          <t>Principal Applied Scientist, Delivery Foundation Model</t>
        </is>
      </c>
      <c r="C110" t="inlineStr">
        <is>
          <t>Amazon.com</t>
        </is>
      </c>
      <c r="D110" t="inlineStr">
        <is>
          <t>indeed</t>
        </is>
      </c>
      <c r="E110">
        <f>HYPERLINK("https://www.indeed.com/viewjob?jk=3631e9c476638a6e", "https://www.indeed.com/viewjob?jk=3631e9c476638a6e")</f>
        <v/>
      </c>
      <c r="F110">
        <f>HYPERLINK("https://www.amazon.jobs/jobs/3006938/principal-applied-scientist-delivery-foundation-model-?cmpid=DA_INAD200785B", "https://www.amazon.jobs/jobs/3006938/principal-applied-scientist-delivery-foundation-model-?cmpid=DA_INAD200785B")</f>
        <v/>
      </c>
      <c r="G110" t="inlineStr">
        <is>
          <t>Bellevue, WA, US</t>
        </is>
      </c>
      <c r="H110" s="1" t="n">
        <v>45810</v>
      </c>
      <c r="I1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1">
      <c r="A111" t="inlineStr">
        <is>
          <t>in-afcd945566334ce8</t>
        </is>
      </c>
      <c r="B111" t="inlineStr">
        <is>
          <t>Principal Applied Scientist, Delivery Foundation Model</t>
        </is>
      </c>
      <c r="C111" t="inlineStr">
        <is>
          <t>Amazon.com</t>
        </is>
      </c>
      <c r="D111" t="inlineStr">
        <is>
          <t>indeed</t>
        </is>
      </c>
      <c r="E111">
        <f>HYPERLINK("https://www.indeed.com/viewjob?jk=afcd945566334ce8", "https://www.indeed.com/viewjob?jk=afcd945566334ce8")</f>
        <v/>
      </c>
      <c r="F111">
        <f>HYPERLINK("https://www.amazon.jobs/jobs/3006938/principal-applied-scientist-delivery-foundation-model-?cmpid=DA_INAD200785B", "https://www.amazon.jobs/jobs/3006938/principal-applied-scientist-delivery-foundation-model-?cmpid=DA_INAD200785B")</f>
        <v/>
      </c>
      <c r="G111" t="inlineStr">
        <is>
          <t>Austin, TX, US</t>
        </is>
      </c>
      <c r="H111" s="1" t="n">
        <v>45810</v>
      </c>
      <c r="I11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2">
      <c r="A112" t="inlineStr">
        <is>
          <t>in-0dbf1a80ab0725c5</t>
        </is>
      </c>
      <c r="B112" t="inlineStr">
        <is>
          <t>Senior Applied Scientist, Delivery Foundation Model</t>
        </is>
      </c>
      <c r="C112" t="inlineStr">
        <is>
          <t>Amazon.com</t>
        </is>
      </c>
      <c r="D112" t="inlineStr">
        <is>
          <t>indeed</t>
        </is>
      </c>
      <c r="E112">
        <f>HYPERLINK("https://www.indeed.com/viewjob?jk=0dbf1a80ab0725c5", "https://www.indeed.com/viewjob?jk=0dbf1a80ab0725c5")</f>
        <v/>
      </c>
      <c r="F112">
        <f>HYPERLINK("https://www.amazon.jobs/jobs/2998435/senior-applied-scientist-delivery-foundation-model-?cmpid=DA_INAD200785B", "https://www.amazon.jobs/jobs/2998435/senior-applied-scientist-delivery-foundation-model-?cmpid=DA_INAD200785B")</f>
        <v/>
      </c>
      <c r="G112" t="inlineStr">
        <is>
          <t>Santa Clara, CA, US</t>
        </is>
      </c>
      <c r="H112" s="1" t="n">
        <v>45806</v>
      </c>
      <c r="I1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in-1156163a3235964f</t>
        </is>
      </c>
      <c r="B113" t="inlineStr">
        <is>
          <t>Senior Applied Scientist, Delivery Foundation Model</t>
        </is>
      </c>
      <c r="C113" t="inlineStr">
        <is>
          <t>Amazon.com</t>
        </is>
      </c>
      <c r="D113" t="inlineStr">
        <is>
          <t>indeed</t>
        </is>
      </c>
      <c r="E113">
        <f>HYPERLINK("https://www.indeed.com/viewjob?jk=1156163a3235964f", "https://www.indeed.com/viewjob?jk=1156163a3235964f")</f>
        <v/>
      </c>
      <c r="F113">
        <f>HYPERLINK("https://www.amazon.jobs/jobs/2998435/senior-applied-scientist-delivery-foundation-model-?cmpid=DA_INAD200785B", "https://www.amazon.jobs/jobs/2998435/senior-applied-scientist-delivery-foundation-model-?cmpid=DA_INAD200785B")</f>
        <v/>
      </c>
      <c r="G113" t="inlineStr">
        <is>
          <t>New York, NY, US</t>
        </is>
      </c>
      <c r="H113" s="1" t="n">
        <v>45806</v>
      </c>
      <c r="I1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in-a2c29c0fabfe0ec8</t>
        </is>
      </c>
      <c r="B114" t="inlineStr">
        <is>
          <t>Senior Applied Scientist, Delivery Foundation Model</t>
        </is>
      </c>
      <c r="C114" t="inlineStr">
        <is>
          <t>Amazon.com</t>
        </is>
      </c>
      <c r="D114" t="inlineStr">
        <is>
          <t>indeed</t>
        </is>
      </c>
      <c r="E114">
        <f>HYPERLINK("https://www.indeed.com/viewjob?jk=a2c29c0fabfe0ec8", "https://www.indeed.com/viewjob?jk=a2c29c0fabfe0ec8")</f>
        <v/>
      </c>
      <c r="F114">
        <f>HYPERLINK("https://www.amazon.jobs/jobs/2998435/senior-applied-scientist-delivery-foundation-model-?cmpid=DA_INAD200785B", "https://www.amazon.jobs/jobs/2998435/senior-applied-scientist-delivery-foundation-model-?cmpid=DA_INAD200785B")</f>
        <v/>
      </c>
      <c r="G114" t="inlineStr">
        <is>
          <t>Bellevue, WA, US</t>
        </is>
      </c>
      <c r="H114" s="1" t="n">
        <v>45806</v>
      </c>
      <c r="I1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in-e605c2dea58296a0</t>
        </is>
      </c>
      <c r="B115" t="inlineStr">
        <is>
          <t>Sr. Applied Scientist - Privacy, Privacy Engineering</t>
        </is>
      </c>
      <c r="C115" t="inlineStr">
        <is>
          <t>Amazon.com</t>
        </is>
      </c>
      <c r="D115" t="inlineStr">
        <is>
          <t>indeed</t>
        </is>
      </c>
      <c r="E115">
        <f>HYPERLINK("https://www.indeed.com/viewjob?jk=e605c2dea58296a0", "https://www.indeed.com/viewjob?jk=e605c2dea58296a0")</f>
        <v/>
      </c>
      <c r="F115">
        <f>HYPERLINK("https://www.amazon.jobs/jobs/2997657/sr-applied-scientist--privacy-privacy-engineering?cmpid=DA_INAD200785B", "https://www.amazon.jobs/jobs/2997657/sr-applied-scientist--privacy-privacy-engineering?cmpid=DA_INAD200785B")</f>
        <v/>
      </c>
      <c r="G115" t="inlineStr">
        <is>
          <t>San Francisco, CA, US</t>
        </is>
      </c>
      <c r="H115" s="1" t="n">
        <v>45787</v>
      </c>
      <c r="I11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in-aff4b3b2d5623b77</t>
        </is>
      </c>
      <c r="B116" t="inlineStr">
        <is>
          <t>Sr. Applied Scientist - Privacy, Privacy Engineering</t>
        </is>
      </c>
      <c r="C116" t="inlineStr">
        <is>
          <t>Amazon.com</t>
        </is>
      </c>
      <c r="D116" t="inlineStr">
        <is>
          <t>indeed</t>
        </is>
      </c>
      <c r="E116">
        <f>HYPERLINK("https://www.indeed.com/viewjob?jk=aff4b3b2d5623b77", "https://www.indeed.com/viewjob?jk=aff4b3b2d5623b77")</f>
        <v/>
      </c>
      <c r="F116">
        <f>HYPERLINK("https://www.amazon.jobs/jobs/2997657/sr-applied-scientist--privacy-privacy-engineering?cmpid=DA_INAD200785B", "https://www.amazon.jobs/jobs/2997657/sr-applied-scientist--privacy-privacy-engineering?cmpid=DA_INAD200785B")</f>
        <v/>
      </c>
      <c r="G116" t="inlineStr">
        <is>
          <t>Sunnyvale, CA, US</t>
        </is>
      </c>
      <c r="H116" s="1" t="n">
        <v>45787</v>
      </c>
      <c r="I11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in-69cd421d1b3a4f3e</t>
        </is>
      </c>
      <c r="B117" t="inlineStr">
        <is>
          <t>Sr. Applied Scientist - Privacy, Privacy Engineering</t>
        </is>
      </c>
      <c r="C117" t="inlineStr">
        <is>
          <t>Amazon.com</t>
        </is>
      </c>
      <c r="D117" t="inlineStr">
        <is>
          <t>indeed</t>
        </is>
      </c>
      <c r="E117">
        <f>HYPERLINK("https://www.indeed.com/viewjob?jk=69cd421d1b3a4f3e", "https://www.indeed.com/viewjob?jk=69cd421d1b3a4f3e")</f>
        <v/>
      </c>
      <c r="F117">
        <f>HYPERLINK("https://www.amazon.jobs/jobs/2997657/sr-applied-scientist--privacy-privacy-engineering?cmpid=DA_INAD200785B", "https://www.amazon.jobs/jobs/2997657/sr-applied-scientist--privacy-privacy-engineering?cmpid=DA_INAD200785B")</f>
        <v/>
      </c>
      <c r="G117" t="inlineStr">
        <is>
          <t>Seattle, WA, US</t>
        </is>
      </c>
      <c r="H117" s="1" t="n">
        <v>45787</v>
      </c>
      <c r="I11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in-6b4184a7c6233019</t>
        </is>
      </c>
      <c r="B118" t="inlineStr">
        <is>
          <t>Sr. Applied Scientist - Privacy, Privacy Engineering</t>
        </is>
      </c>
      <c r="C118" t="inlineStr">
        <is>
          <t>Amazon.com</t>
        </is>
      </c>
      <c r="D118" t="inlineStr">
        <is>
          <t>indeed</t>
        </is>
      </c>
      <c r="E118">
        <f>HYPERLINK("https://www.indeed.com/viewjob?jk=6b4184a7c6233019", "https://www.indeed.com/viewjob?jk=6b4184a7c6233019")</f>
        <v/>
      </c>
      <c r="F118">
        <f>HYPERLINK("https://www.amazon.jobs/jobs/2997657/sr-applied-scientist--privacy-privacy-engineering?cmpid=DA_INAD200785B", "https://www.amazon.jobs/jobs/2997657/sr-applied-scientist--privacy-privacy-engineering?cmpid=DA_INAD200785B")</f>
        <v/>
      </c>
      <c r="G118" t="inlineStr">
        <is>
          <t>Santa Clara, CA, US</t>
        </is>
      </c>
      <c r="H118" s="1" t="n">
        <v>45787</v>
      </c>
      <c r="I118"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in-9439c626c038e035</t>
        </is>
      </c>
      <c r="B119" t="inlineStr">
        <is>
          <t>Principal Applied Scientist, Delivery Foundation Model</t>
        </is>
      </c>
      <c r="C119" t="inlineStr">
        <is>
          <t>Amazon.com</t>
        </is>
      </c>
      <c r="D119" t="inlineStr">
        <is>
          <t>indeed</t>
        </is>
      </c>
      <c r="E119">
        <f>HYPERLINK("https://www.indeed.com/viewjob?jk=9439c626c038e035", "https://www.indeed.com/viewjob?jk=9439c626c038e035")</f>
        <v/>
      </c>
      <c r="F119">
        <f>HYPERLINK("https://www.amazon.jobs/jobs/2998635/principal-applied-scientist-delivery-foundation-model-?cmpid=DA_INAD200785B", "https://www.amazon.jobs/jobs/2998635/principal-applied-scientist-delivery-foundation-model-?cmpid=DA_INAD200785B")</f>
        <v/>
      </c>
      <c r="G119" t="inlineStr">
        <is>
          <t>Santa Clara, CA, US</t>
        </is>
      </c>
      <c r="H119" s="1" t="n">
        <v>45757</v>
      </c>
      <c r="I11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0">
      <c r="A120" t="inlineStr">
        <is>
          <t>in-8d4664f7ae84b5a4</t>
        </is>
      </c>
      <c r="B120" t="inlineStr">
        <is>
          <t>Principal Applied Scientist, Delivery Foundation Model</t>
        </is>
      </c>
      <c r="C120" t="inlineStr">
        <is>
          <t>Amazon.com</t>
        </is>
      </c>
      <c r="D120" t="inlineStr">
        <is>
          <t>indeed</t>
        </is>
      </c>
      <c r="E120">
        <f>HYPERLINK("https://www.indeed.com/viewjob?jk=8d4664f7ae84b5a4", "https://www.indeed.com/viewjob?jk=8d4664f7ae84b5a4")</f>
        <v/>
      </c>
      <c r="F120">
        <f>HYPERLINK("https://www.amazon.jobs/jobs/2998635/principal-applied-scientist-delivery-foundation-model-?cmpid=DA_INAD200785B", "https://www.amazon.jobs/jobs/2998635/principal-applied-scientist-delivery-foundation-model-?cmpid=DA_INAD200785B")</f>
        <v/>
      </c>
      <c r="G120" t="inlineStr">
        <is>
          <t>New York, NY, US</t>
        </is>
      </c>
      <c r="H120" s="1" t="n">
        <v>45757</v>
      </c>
      <c r="I12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1">
      <c r="A121" t="inlineStr">
        <is>
          <t>in-cdec63a8da683186</t>
        </is>
      </c>
      <c r="B121" t="inlineStr">
        <is>
          <t>Principal Applied Scientist, Delivery Foundation Model</t>
        </is>
      </c>
      <c r="C121" t="inlineStr">
        <is>
          <t>Amazon.com</t>
        </is>
      </c>
      <c r="D121" t="inlineStr">
        <is>
          <t>indeed</t>
        </is>
      </c>
      <c r="E121">
        <f>HYPERLINK("https://www.indeed.com/viewjob?jk=cdec63a8da683186", "https://www.indeed.com/viewjob?jk=cdec63a8da683186")</f>
        <v/>
      </c>
      <c r="F121">
        <f>HYPERLINK("https://www.amazon.jobs/jobs/2998635/principal-applied-scientist-delivery-foundation-model-?cmpid=DA_INAD200785B", "https://www.amazon.jobs/jobs/2998635/principal-applied-scientist-delivery-foundation-model-?cmpid=DA_INAD200785B")</f>
        <v/>
      </c>
      <c r="G121" t="inlineStr">
        <is>
          <t>Bellevue, WA, US</t>
        </is>
      </c>
      <c r="H121" s="1" t="n">
        <v>45757</v>
      </c>
      <c r="I12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li-4380285778</t>
        </is>
      </c>
      <c r="B2" t="inlineStr">
        <is>
          <t>Data Scientist, B2B</t>
        </is>
      </c>
      <c r="C2" t="inlineStr">
        <is>
          <t>OpenAI</t>
        </is>
      </c>
      <c r="D2" t="inlineStr">
        <is>
          <t>linkedin</t>
        </is>
      </c>
      <c r="E2">
        <f>HYPERLINK("https://www.linkedin.com/jobs/view/4380285778", "https://www.linkedin.com/jobs/view/4380285778")</f>
        <v/>
      </c>
      <c r="F2" t="inlineStr"/>
      <c r="G2" t="inlineStr"/>
      <c r="H2" t="inlineStr"/>
      <c r="I2" t="inlineStr">
        <is>
          <t>**About The Team**
 Our B2B product organization is building the systems that will accelerate and automate how companies operate using AI coworkers.Our vision is to enable companies to scale to $1B\+ with teams of fewer than five people by leveraging AI agents and automation. We are building the infrastructure, products, and analytics that allow organizations to deploy fleets of AI agents, automate workflows, and dramatically increase employee productivity. This team sits at the center of the future of work: defining how humans collaborate with AI systems across companies, workflows, and knowledge.
**About The Role**
 We are looking for a product\-focused Data Scientist to help shape the next generation of AI\-powered enterprise products, including ChatGPT Enterprise and agentic automation systems.
 This is not a traditional analytics role. You will work directly with product managers, engineers, and researchers to define how AI agents behave, how organizations adopt them, and how we measure their impact on work.
 You’ll analyze how users interact with AI systems, inform product strategy, and help build the measurement frameworks that guide the future of enterprise AI.
**In This Role, You Will**
* Partner closely with product, engineering, and research teams to shape AI\-powered enterprise products
* Define metrics and measurement frameworks for AI agents, automation workflows, and enterprise adoption
* Analyze how organizations use AI tools and identify opportunities to improve product experience and business impact
* Drive insights around enterprise adoption, retention, and value realization
* Inform product decisions around agent orchestration, enterprise workflows, and AI productivity tools
* Design experiments and evaluations that improve AI system performance and user outcomes
* Help define how companies operate with AI coworkers and automated workflows
**What We’re Looking For**
**Must Have:**
* Strong product analytics or data science experience
* Deep curiosity about AI systems and how they change how work gets done
* Ability to work closely with product and engineering teams in 0→1 product environments
* Strong analytical skills (experimentation, behavioral analysis, product metrics)
* Builder mindset — someone who wants to shape products, not just analyze them
**Nice To Have**
* Experience with B2B SaaS or enterprise analytics
* Experience with developer platforms, APIs, or technical products
* Background in AI/ML systems, agent frameworks, or LLM\-based products
* Systems thinking around how complex tools and workflows operate at scale
**Who Thrives Here**
* AI\-native — actively experimenting with and building with AI tools
* Product thinkers who want to shape the future of work
* Builders who enjoy early\-stage ambiguity and 0→1 problems
* Operators who can work independently and drive large parts of a product area
**Impact**
**You Will Help Define**
* How organizations deploy and manage AI agents
* How AI transforms enterprise productivity
* The measurement systems behind AI\-native companies
* This is an opportunity to help create the “Codex moment” for non\-coding work — defining how businesses operate in an AI\-first world.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3">
      <c r="A3" t="inlineStr">
        <is>
          <t>li-4336943662</t>
        </is>
      </c>
      <c r="B3" t="inlineStr">
        <is>
          <t>Data Scientist - Fraud</t>
        </is>
      </c>
      <c r="C3" t="inlineStr">
        <is>
          <t>Plaid</t>
        </is>
      </c>
      <c r="D3" t="inlineStr">
        <is>
          <t>linkedin</t>
        </is>
      </c>
      <c r="E3">
        <f>HYPERLINK("https://www.linkedin.com/jobs/view/4336943662", "https://www.linkedin.com/jobs/view/4336943662")</f>
        <v/>
      </c>
      <c r="F3">
        <f>HYPERLINK("https://jobs.lever.co/plaid/619ed4a1-1bfb-4ad9-8309-b073135ec771/apply?lever-origin=applied&amp;lever-source=LinkedInPaid&amp;urlHash=7vak", "https://jobs.lever.co/plaid/619ed4a1-1bfb-4ad9-8309-b073135ec771/apply?lever-origin=applied&amp;lever-source=LinkedInPaid&amp;urlHash=7vak")</f>
        <v/>
      </c>
      <c r="G3" t="inlineStr">
        <is>
          <t>New York, NY</t>
        </is>
      </c>
      <c r="H3" t="inlineStr"/>
      <c r="I3"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Data team within Plaid’s Fraud organization builds the machine learning systems that power Plaid’s newest fraud detection products, leveraging the breadth of Plaid’s network data to stop fraud before it occurs. We manage the full lifecycle of these systems—from feature pipeline development and model training to deployment, serving, and monitoring—ensuring our solutions scale reliably as we grow to support hundreds of customers.
 As a Data Scientist on Plaid’s Fraud Data team, you will analyze customer and network traffic to understand how Protect performs across different segments and use cases. You’ll build dashboards and performance metrics that create a clear, shared view of product health for both the team and our go\-to\-market partners. You will run backtests on customer traffic to evaluate model and rule performance, uncover high\-value opportunities, and generate insights that support sales motions and customer expansion. You’ll also design the underlying data models and schemas that enable efficient, reliable analysis and reporting. In close partnership with Product and Engineering, you will help design and evaluate experiments that shape new customer\-facing features and inform the future of our fraud products.
 \*\*\*We are open to remote candidates\*\*\*
**Responsibilities**
* Work at the intersection of product analytics, machine learning, and fraud/risk to drive meaningful product improvements.
* Own the metrics, dashboards, and experimentation frameworks that inform product strategy and decision\-making.
* Analyze complex datasets to uncover clear, actionable insights that shape product direction.
* Partner with go\-to\-market teams to demonstrate the technical and business value of our products to customers.
**Qualifications**
* 3–5 years of total experience, including at least 2–3 years working deeply with product analytics, experimentation, or data\-driven products.
* Strong proficiency in SQL and Python.
* Hands\-on experience with product analytics, experimentation frameworks, or backtesting methodologies.
* Skilled in designing, building, and maintaining dashboards and core product performance metrics.
* Capable of designing and interpreting backtests or offline evaluations for ML and rules\-based systems.
* Excellent communicator with strong stakeholder\-management skills across diverse teams.
* Background in fraud or risk domains — Nice to have.
* Familiarity with data\-insights products and a solid understanding of model\-performance metrics — Nice to have.
* Exposure to customer\-facing or GTM\-facing analytics — Nice to have.
 $162,000 \- $222,000 a year
 The target base salary for this position ranges from $162,000/year to $222,000/year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4">
      <c r="A4" t="inlineStr">
        <is>
          <t>li-4380289082</t>
        </is>
      </c>
      <c r="B4" t="inlineStr">
        <is>
          <t>Data Scientist, Product Analytics</t>
        </is>
      </c>
      <c r="C4" t="inlineStr">
        <is>
          <t>Meta</t>
        </is>
      </c>
      <c r="D4" t="inlineStr">
        <is>
          <t>linkedin</t>
        </is>
      </c>
      <c r="E4">
        <f>HYPERLINK("https://www.linkedin.com/jobs/view/4380289082", "https://www.linkedin.com/jobs/view/4380289082")</f>
        <v/>
      </c>
      <c r="F4">
        <f>HYPERLINK("https://jsv3.recruitics.com/redirect?rx_cid=3239&amp;rx_jobId=a1KDp00000E2K2TMAV_1010&amp;rx_url=https%3A%2F%2Fwww.metacareers.com%2Fjobs%2F435020605866341%2F%3Frx_campaign%3DLinkedin1%26rx_ch%3Dconnector%26rx_group%3D126320%26rx_id%3Db6e814d9-be96-11f0-80d6-b7294f1be1d6%26rx_job%3Da1KDp00000E2K2TMAV_1010%26rx_medium%3Dpost%26rx_r%3Dnone%26rx_source%3DLinkedin%26rx_ts%3D20260306T121202Z%26rx_vp%3Dslots%26utm_campaign%3DJob%252Bboard%26utm_medium%3Djobs%26utm_source%3DLIpaid&amp;urlHash=PkBD", "https://jsv3.recruitics.com/redirect?rx_cid=3239&amp;rx_jobId=a1KDp00000E2K2TMAV_1010&amp;rx_url=https%3A%2F%2Fwww.metacareers.com%2Fjobs%2F435020605866341%2F%3Frx_campaign%3DLinkedin1%26rx_ch%3Dconnector%26rx_group%3D126320%26rx_id%3Db6e814d9-be96-11f0-80d6-b7294f1be1d6%26rx_job%3Da1KDp00000E2K2TMAV_1010%26rx_medium%3Dpost%26rx_r%3Dnone%26rx_source%3DLinkedin%26rx_ts%3D20260306T121202Z%26rx_vp%3Dslots%26utm_campaign%3DJob%252Bboard%26utm_medium%3Djobs%26utm_source%3DLIpaid&amp;urlHash=PkBD")</f>
        <v/>
      </c>
      <c r="G4" t="inlineStr">
        <is>
          <t>Chicago, IL</t>
        </is>
      </c>
      <c r="H4" t="inlineStr"/>
      <c r="I4"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
      <c r="A5" t="inlineStr">
        <is>
          <t>li-4336983612</t>
        </is>
      </c>
      <c r="B5" t="inlineStr">
        <is>
          <t>Data Scientist - Fraud</t>
        </is>
      </c>
      <c r="C5" t="inlineStr">
        <is>
          <t>Plaid</t>
        </is>
      </c>
      <c r="D5" t="inlineStr">
        <is>
          <t>linkedin</t>
        </is>
      </c>
      <c r="E5">
        <f>HYPERLINK("https://www.linkedin.com/jobs/view/4336983612", "https://www.linkedin.com/jobs/view/4336983612")</f>
        <v/>
      </c>
      <c r="F5">
        <f>HYPERLINK("https://jobs.lever.co/plaid/619ed4a1-1bfb-4ad9-8309-b073135ec771/apply?lever-origin=applied&amp;lever-source=LinkedInPaid&amp;urlHash=7vak", "https://jobs.lever.co/plaid/619ed4a1-1bfb-4ad9-8309-b073135ec771/apply?lever-origin=applied&amp;lever-source=LinkedInPaid&amp;urlHash=7vak")</f>
        <v/>
      </c>
      <c r="G5" t="inlineStr"/>
      <c r="H5" t="inlineStr"/>
      <c r="I5"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Data team within Plaid’s Fraud organization builds the machine learning systems that power Plaid’s newest fraud detection products, leveraging the breadth of Plaid’s network data to stop fraud before it occurs. We manage the full lifecycle of these systems—from feature pipeline development and model training to deployment, serving, and monitoring—ensuring our solutions scale reliably as we grow to support hundreds of customers.
 As a Data Scientist on Plaid’s Fraud Data team, you will analyze customer and network traffic to understand how Protect performs across different segments and use cases. You’ll build dashboards and performance metrics that create a clear, shared view of product health for both the team and our go\-to\-market partners. You will run backtests on customer traffic to evaluate model and rule performance, uncover high\-value opportunities, and generate insights that support sales motions and customer expansion. You’ll also design the underlying data models and schemas that enable efficient, reliable analysis and reporting. In close partnership with Product and Engineering, you will help design and evaluate experiments that shape new customer\-facing features and inform the future of our fraud products.
 \*\*\*We are open to remote candidates\*\*\*
**Responsibilities**
* Work at the intersection of product analytics, machine learning, and fraud/risk to drive meaningful product improvements.
* Own the metrics, dashboards, and experimentation frameworks that inform product strategy and decision\-making.
* Analyze complex datasets to uncover clear, actionable insights that shape product direction.
* Partner with go\-to\-market teams to demonstrate the technical and business value of our products to customers.
**Qualifications**
* 3–5 years of total experience, including at least 2–3 years working deeply with product analytics, experimentation, or data\-driven products.
* Strong proficiency in SQL and Python.
* Hands\-on experience with product analytics, experimentation frameworks, or backtesting methodologies.
* Skilled in designing, building, and maintaining dashboards and core product performance metrics.
* Capable of designing and interpreting backtests or offline evaluations for ML and rules\-based systems.
* Excellent communicator with strong stakeholder\-management skills across diverse teams.
* Background in fraud or risk domains — Nice to have.
* Familiarity with data\-insights products and a solid understanding of model\-performance metrics — Nice to have.
* Exposure to customer\-facing or GTM\-facing analytics — Nice to have.
 $162,000 \- $222,000 a year
 The target base salary for this position ranges from $162,000/year to $222,000/year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6">
      <c r="A6" t="inlineStr">
        <is>
          <t>li-4327061575</t>
        </is>
      </c>
      <c r="B6" t="inlineStr">
        <is>
          <t>Data Scientist, Product Analytics</t>
        </is>
      </c>
      <c r="C6" t="inlineStr">
        <is>
          <t>Whatnot</t>
        </is>
      </c>
      <c r="D6" t="inlineStr">
        <is>
          <t>linkedin</t>
        </is>
      </c>
      <c r="E6">
        <f>HYPERLINK("https://www.linkedin.com/jobs/view/4327061575", "https://www.linkedin.com/jobs/view/4327061575")</f>
        <v/>
      </c>
      <c r="F6">
        <f>HYPERLINK("https://jobs.ashbyhq.com/whatnot/ab093aed-b59a-4efa-a451-0a88e0e084ed/application?utm_source=LinkedInJobWrapping&amp;urlHash=3Nox", "https://jobs.ashbyhq.com/whatnot/ab093aed-b59a-4efa-a451-0a88e0e084ed/application?utm_source=LinkedInJobWrapping&amp;urlHash=3Nox")</f>
        <v/>
      </c>
      <c r="G6" t="inlineStr">
        <is>
          <t>San Francisco, CA</t>
        </is>
      </c>
      <c r="H6" t="inlineStr"/>
      <c r="I6"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As Whatnot rapidly scales, data is central to shaping our product strategy and helping us build delightful, high\-performing experiences for both buyers and sellers. We’re looking for a
 **Product Data Scientist** 
 who will partner closely with Product, Engineering, Design, and Operations to drive insights, experimentation, and decision\-making across the company.
**In This Role, You Will**
**🔍 Generate Insights \&amp; Shape Product Direction**
* Define and own the KPIs that measure product health, user engagement, and marketplace performance.
* Analyze user behavior, product usage patterns, and marketplace dynamics to identify opportunities and inform product priorities.
* Translate complex data into actionable recommendations for product and leadership teams.
**🧪 Drive Experimentation \&amp; Measurement**
* Partner with product managers and engineers to design, implement, and evaluate A/B tests and feature rollouts.
* Develop frameworks for causal inference, impact measurement, and long\-term product evaluation.
* Build scalable methodologies to understand feature performance and guide iteration.
**🛠 Build Data Products \&amp; Tools**
* Use our modern data stack to build dashboards, data pipelines, and self\-serve tools that empower teams across Whatnot.
* Partner with engineers to improve data accessibility, ensure data quality, and support instrumentation for new product features.
**🤝 Lead Cross\-Functional Collaboration**
* Advocate for data\-driven decision\-making and foster a culture of measurement across the product organization.
* Communicate insights clearly to both technical and non\-technical audiences, influencing roadmaps and strategic decisions.
* Serve as a thought partner to product leads, shaping how we build, launch, and iterate on experiences across the platform.
**US Based**
**We offer flexibility to work from home or from one of our global office hubs, and we value in\-person time for planning, problem\-solving, and connection. Team members in this role must live within commuting distance of our New York, Seattle, Los Angeles, and San Francisco hubs.**
**👋 You**
 Curious about who thrives at Whatnot? We’ve found that embodying a low ego, growth mindset, and high\-impact drive goes a long way here.
**🎓 Experience \&amp; Expertise**
 As our next
 **Product Data Scientist** 
 , you bring:
* 3\+ years of experience in Data Science, Decision Science, or Analytics within a product\-focused organization.
* A bachelor’s degree in Computer Science, Economics, Statistics, or a related quantitative field or equivalent experience.
* Proven experience applying statistical and analytical methods to real\-world product problems.
**🧠 Technical Skills**
* Advanced SQL skills and experience with modern data warehouses (Snowflake, BigQuery, Redshift) and tools like Spark or DBT.
* Proficiency with Python or R for data analysis, modeling, and experimentation.
* Experience designing and analyzing A/B tests and understanding causal inference techniques.
* Strong data visualization skills and familiarity with BI tools for building interactive dashboards.
**🗣 Collaboration \&amp; Leadership**
* Ability to communicate complex ideas clearly, concisely, and impactfully across diverse stakeholders.
* Experience leading cross\-functional projects and influencing product strategy with data.
* Comfortable working in fast\-paced, ambiguous environments with a high degree of ownership.
**💰Compensation**
**For Full\-Time (Salary) US based applicants:** 
 $185,000/year to $240,000/year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$185K \- $240K</t>
        </is>
      </c>
    </row>
    <row r="7">
      <c r="A7" t="inlineStr">
        <is>
          <t>li-4364430153</t>
        </is>
      </c>
      <c r="B7" t="inlineStr">
        <is>
          <t>Data Scientist, Product Analytics</t>
        </is>
      </c>
      <c r="C7" t="inlineStr">
        <is>
          <t>Meta</t>
        </is>
      </c>
      <c r="D7" t="inlineStr">
        <is>
          <t>linkedin</t>
        </is>
      </c>
      <c r="E7">
        <f>HYPERLINK("https://www.linkedin.com/jobs/view/4364430153", "https://www.linkedin.com/jobs/view/4364430153")</f>
        <v/>
      </c>
      <c r="F7">
        <f>HYPERLINK("https://jsv3.recruitics.com/redirect?rx_cid=3239&amp;rx_jobId=a1KDp00000E2K2TMAV_1009&amp;rx_url=https%3A%2F%2Fwww.metacareers.com%2Fjobs%2F435020605866341%2F%3Frx_campaign%3DLinkedin1%26rx_ch%3Dconnector%26rx_group%3D126320%26rx_id%3Df689e093-1913-11f1-9638-5b4119e442fe%26rx_job%3Da1KDp00000E2K2TMAV_1009%26rx_medium%3Dpost%26rx_r%3Dnone%26rx_source%3DLinkedin%26rx_ts%3D20260306T121202Z%26rx_vp%3Dslots%26utm_campaign%3DJob%252Bboard%26utm_medium%3Djobs%26utm_source%3DLIpaid&amp;urlHash=Fur7", "https://jsv3.recruitics.com/redirect?rx_cid=3239&amp;rx_jobId=a1KDp00000E2K2TMAV_1009&amp;rx_url=https%3A%2F%2Fwww.metacareers.com%2Fjobs%2F435020605866341%2F%3Frx_campaign%3DLinkedin1%26rx_ch%3Dconnector%26rx_group%3D126320%26rx_id%3Df689e093-1913-11f1-9638-5b4119e442fe%26rx_job%3Da1KDp00000E2K2TMAV_1009%26rx_medium%3Dpost%26rx_r%3Dnone%26rx_source%3DLinkedin%26rx_ts%3D20260306T121202Z%26rx_vp%3Dslots%26utm_campaign%3DJob%252Bboard%26utm_medium%3Djobs%26utm_source%3DLIpaid&amp;urlHash=Fur7")</f>
        <v/>
      </c>
      <c r="G7" t="inlineStr">
        <is>
          <t>San Francisco, CA</t>
        </is>
      </c>
      <c r="H7" t="inlineStr"/>
      <c r="I7"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
      <c r="A8" t="inlineStr">
        <is>
          <t>li-4380260500</t>
        </is>
      </c>
      <c r="B8" t="inlineStr">
        <is>
          <t>Alternative Data Scientist</t>
        </is>
      </c>
      <c r="C8" t="inlineStr">
        <is>
          <t>Thurn Partners</t>
        </is>
      </c>
      <c r="D8" t="inlineStr">
        <is>
          <t>linkedin</t>
        </is>
      </c>
      <c r="E8">
        <f>HYPERLINK("https://www.linkedin.com/jobs/view/4380260500", "https://www.linkedin.com/jobs/view/4380260500")</f>
        <v/>
      </c>
      <c r="F8" t="inlineStr"/>
      <c r="G8" t="inlineStr">
        <is>
          <t>New York, NY</t>
        </is>
      </c>
      <c r="H8" t="inlineStr"/>
      <c r="I8" t="inlineStr">
        <is>
          <t>**Company Insight:**
 A leading global trading firm is expanding its alternative data initiative and is seeking an experienced Data Scientist to help drive the next phase of signal discovery and deployment. Sitting at the intersection of quantitative research and live trading, you’ll work with datasets that are large, messy and unstructured \- using rigorous analytical methods to determine what is predictive, what scales, and what ultimately makes it into production.
 The team operates in a research\-driven environment with fast feedback loops, close proximity to trading, and a strong emphasis on measurable impact rather than theoretical modelling.
**The Role:**
* Evaluate and analyse a wide range of alternative datasets (transactional, behavioural, geospatial, web\-derived, etc.) to identify potential trading signals
* Design and run experiments to assess data quality, stability, coverage and predictive power
* Build statistical and machine learning models to transform raw alternative data into usable features and signals
* Develop robust analytical frameworks to monitor signal decay, bias and performance over time
* Communicate findings clearly to quantitative researchers and key stakeholders, influencing research and trading priorities
**Experience/Skills Required:**
* A strong academic background in a quantitative field from a top\-tier university
* 2–5 years of experience in a data science or research role within a hedge fund, market maker, or investment bank
* Demonstrated experience working with alternative data and assessing its real\-world usefulness
* Advanced Python skills and strong SQL capability for large\-scale data analysis
* A solid understanding of statistics, experimentation, and applied machine learning in noisy environments
**Pre\-Application:**
* Please do not apply if you are looking for a contract or remote work
* Please ensure you meet the required experience section prior to applying
* Allow 1\-5 working days for a response to any job enquiry</t>
        </is>
      </c>
    </row>
    <row r="9">
      <c r="A9" t="inlineStr">
        <is>
          <t>li-4382108506</t>
        </is>
      </c>
      <c r="B9" t="inlineStr">
        <is>
          <t>Data Scientist</t>
        </is>
      </c>
      <c r="C9" t="inlineStr">
        <is>
          <t>TKO</t>
        </is>
      </c>
      <c r="D9" t="inlineStr">
        <is>
          <t>linkedin</t>
        </is>
      </c>
      <c r="E9">
        <f>HYPERLINK("https://www.linkedin.com/jobs/view/4382108506", "https://www.linkedin.com/jobs/view/4382108506")</f>
        <v/>
      </c>
      <c r="F9" t="inlineStr"/>
      <c r="G9" t="inlineStr"/>
      <c r="H9" t="inlineStr"/>
      <c r="I9" t="inlineStr">
        <is>
          <t>**Company Overview** 
 TKO Group Holdings, Inc. (NYSE: TKO) is a premium sports and entertainment company. TKO owns iconic properties including UFC, the world’s premier mixed martial arts organization; WWE, the global leader in sports entertainment; and PBR, the world’s premier bull riding organization. Together, these properties reach 210 countries and territories and organize more than 500 live events year\-round, attracting more than three million fans. TKO also services and partners with major sports rights holders through IMG, an industry\-leading global sports marketing agency; and On Location, a global leader in premium experiential hospitality.
**Position Overview** 
 We are looking for a highly skilled Data Scientist to join our Data \&amp; AI Product and Services team and drive measurable business impact through advanced analytics and production\-grade machine learning solutions. The team partners with business functions across On Location to deliver analytics, experimentation, and AI capabilities supporting premium experiential offerings to major events such as the Olympics, FIFA World Cup, Super Bowl, NCAA Final Four, among others. This role will involve the full data science lifecycle, including data cleaning, analysis, reporting, and machine learning model development. You’ll work cross\-functionally with teams across the company to understand business challenges, design data\-driven solutions, and deliver actionable insights that drive growth and efficiency.
**Key Responsibilities** 
* Advanced Analytics and Reporting
* Lead the design, development, and implementation of data analytics projects to solve complex business problems
* Utilize statistical and machine learning techniques to analyze large datasets and extract actionable insights
* Define analytical frameworks and partner with BI teams to deliver scalable reporting and insight products
* Data Exploration and Preprocessing
* Conduct exploratory data analysis to understand the characteristics of datasets
* Develop and implement data preprocessing pipelines to ensure the quality and reliability of data for analysis
* Design and build dimensional models for use in analytics, reporting, and predictive ML solutions
* Machine Learning
* Lead the end\-to\-end process of developing, training, and deploying machine learning models (classification, regression, segmentation) for use cases such as customer segmentation, conversion propensity, churn, recommendations, and dynamic pricing
* Monitor model performance and refine models post deployment
* Thought Leadership and Communication
* Solution and scope the efforts and resources needed to execute data science solutions
* Identify opportunities to create business value through data science projects
* Communicate findings and insights to both technical and non\-technical audiences
* Teamwork and Cross\-Functional Partnership
* Collaborate with cross\-functional team members, including data engineers, product managers, and business stakeholders, to successfully implement data solutions
* Work closely with other data scientists to align methodologies, review code, share best practices, and promote a cohesive approach to data science within the organization
**Qualifications** 
* Master's or Ph.D. degree in a quantitative field, such as Statistics, Mathematics, Economics, Data Science, Engineering, etc.
* 3\+ years of experience in a data science role (1\+ years with a Ph.D.). Experience operating in fast\-paced, cross\-functional commercial environments preferred
* Strong proficiency in SQL, Python, and relevant data science packages (e.g., Pandas, Scikit\-learn)
* In\-depth knowledge of machine learning algorithms, statistical modeling, and data visualization techniques
* Experience working with modern cloud data platforms (e.g., AWS, Snowflake, GCP) and production data flows (e.g. dbt, Airflow, CI/CD)
* Experience communicating and presenting technical insights to leadership and non\-technical audiences
* Excellent problem\-solving skills, critical thinking, and attention to detail
* Experience deploying ML models to production environments (MLOps, model versioning, monitoring)
* Experience with experimentation frameworks (A/B testing, uplift modeling, or causal inference)
* Demonstrated ability to translate ambiguous business problems into analytical solutions with measurable impact</t>
        </is>
      </c>
    </row>
    <row r="10">
      <c r="A10" t="inlineStr">
        <is>
          <t>li-4327191639</t>
        </is>
      </c>
      <c r="B10" t="inlineStr">
        <is>
          <t>Data Scientist, Product Analytics</t>
        </is>
      </c>
      <c r="C10" t="inlineStr">
        <is>
          <t>Whatnot</t>
        </is>
      </c>
      <c r="D10" t="inlineStr">
        <is>
          <t>linkedin</t>
        </is>
      </c>
      <c r="E10">
        <f>HYPERLINK("https://www.linkedin.com/jobs/view/4327191639", "https://www.linkedin.com/jobs/view/4327191639")</f>
        <v/>
      </c>
      <c r="F10">
        <f>HYPERLINK("https://jobs.ashbyhq.com/whatnot/ab093aed-b59a-4efa-a451-0a88e0e084ed/application?utm_source=LinkedInJobWrapping&amp;urlHash=3Nox", "https://jobs.ashbyhq.com/whatnot/ab093aed-b59a-4efa-a451-0a88e0e084ed/application?utm_source=LinkedInJobWrapping&amp;urlHash=3Nox")</f>
        <v/>
      </c>
      <c r="G10" t="inlineStr">
        <is>
          <t>Seattle, WA</t>
        </is>
      </c>
      <c r="H10" t="inlineStr"/>
      <c r="I10"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As Whatnot rapidly scales, data is central to shaping our product strategy and helping us build delightful, high\-performing experiences for both buyers and sellers. We’re looking for a
 **Product Data Scientist** 
 who will partner closely with Product, Engineering, Design, and Operations to drive insights, experimentation, and decision\-making across the company.
**In This Role, You Will**
**🔍 Generate Insights \&amp; Shape Product Direction**
* Define and own the KPIs that measure product health, user engagement, and marketplace performance.
* Analyze user behavior, product usage patterns, and marketplace dynamics to identify opportunities and inform product priorities.
* Translate complex data into actionable recommendations for product and leadership teams.
**🧪 Drive Experimentation \&amp; Measurement**
* Partner with product managers and engineers to design, implement, and evaluate A/B tests and feature rollouts.
* Develop frameworks for causal inference, impact measurement, and long\-term product evaluation.
* Build scalable methodologies to understand feature performance and guide iteration.
**🛠 Build Data Products \&amp; Tools**
* Use our modern data stack to build dashboards, data pipelines, and self\-serve tools that empower teams across Whatnot.
* Partner with engineers to improve data accessibility, ensure data quality, and support instrumentation for new product features.
**🤝 Lead Cross\-Functional Collaboration**
* Advocate for data\-driven decision\-making and foster a culture of measurement across the product organization.
* Communicate insights clearly to both technical and non\-technical audiences, influencing roadmaps and strategic decisions.
* Serve as a thought partner to product leads, shaping how we build, launch, and iterate on experiences across the platform.
**US Based**
**We offer flexibility to work from home or from one of our global office hubs, and we value in\-person time for planning, problem\-solving, and connection. Team members in this role must live within commuting distance of our New York, Seattle, Los Angeles, and San Francisco hubs.**
**👋 You**
 Curious about who thrives at Whatnot? We’ve found that embodying a low ego, growth mindset, and high\-impact drive goes a long way here.
**🎓 Experience \&amp; Expertise**
 As our next
 **Product Data Scientist** 
 , you bring:
* 3\+ years of experience in Data Science, Decision Science, or Analytics within a product\-focused organization.
* A bachelor’s degree in Computer Science, Economics, Statistics, or a related quantitative field or equivalent experience.
* Proven experience applying statistical and analytical methods to real\-world product problems.
**🧠 Technical Skills**
* Advanced SQL skills and experience with modern data warehouses (Snowflake, BigQuery, Redshift) and tools like Spark or DBT.
* Proficiency with Python or R for data analysis, modeling, and experimentation.
* Experience designing and analyzing A/B tests and understanding causal inference techniques.
* Strong data visualization skills and familiarity with BI tools for building interactive dashboards.
**🗣 Collaboration \&amp; Leadership**
* Ability to communicate complex ideas clearly, concisely, and impactfully across diverse stakeholders.
* Experience leading cross\-functional projects and influencing product strategy with data.
* Comfortable working in fast\-paced, ambiguous environments with a high degree of ownership.
**💰Compensation**
**For Full\-Time (Salary) US based applicants:** 
 $185,000/year to $240,000/year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$185K \- $240K</t>
        </is>
      </c>
    </row>
    <row r="11">
      <c r="A11" t="inlineStr">
        <is>
          <t>li-4381022589</t>
        </is>
      </c>
      <c r="B11" t="inlineStr">
        <is>
          <t>Research Data Scientist, Search Ads</t>
        </is>
      </c>
      <c r="C11" t="inlineStr">
        <is>
          <t>Google</t>
        </is>
      </c>
      <c r="D11" t="inlineStr">
        <is>
          <t>linkedin</t>
        </is>
      </c>
      <c r="E11">
        <f>HYPERLINK("https://www.linkedin.com/jobs/view/4381022589", "https://www.linkedin.com/jobs/view/4381022589")</f>
        <v/>
      </c>
      <c r="F11">
        <f>HYPERLINK("https://careers.google.com/jobs/results/108381424662258374-research-data-scientist/?src=Online/LinkedIn/linkedin_us&amp;utm_source=linkedin&amp;utm_medium=jobposting&amp;utm_campaign=contract&amp;urlHash=5US-", "https://careers.google.com/jobs/results/108381424662258374-research-data-scientist/?src=Online/LinkedIn/linkedin_us&amp;utm_source=linkedin&amp;utm_medium=jobposting&amp;utm_campaign=contract&amp;urlHash=5US-")</f>
        <v/>
      </c>
      <c r="G11" t="inlineStr">
        <is>
          <t>Mountain View, CA</t>
        </is>
      </c>
      <c r="H11" t="inlineStr"/>
      <c r="I11" t="inlineStr">
        <is>
          <t>**Minimum qualifications:**
* Master's degree in Statistics, Data Science, Mathematics, Physics, Economics, Operations Research, Engineering, or a related quantitative field.
* 3 years of experience using analytics to solve product or business problems, coding (e.g., Python, R, SQL), querying databases or statistical analysis, or a PhD degree.
**Preferred qualifications:**
* 5 years of experience using analytics to solve product or business problems, coding (e.g., Python, R, SQL), querying databases or statistical analysis, or a PhD degree.
* Experience working with Large Language Models (LLM’s) or Applied AI.
**About the job** 
 We support the Search Ads and Google Experience (SAGE) organization in developing the most important ad products at Google. These products are at the heart of Google’s business driving in annual growth and are advanced, and rapidly growing and evolving. We are also working on the most exciting projects related to AI (LLM Eval, AI Mode).Google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$147,000\-$211,000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stakeholders in cross\-projects and team settings to identify and clarify business or product questions to answer. Provide feedback to translate and refine business questions into tractable analysis, evaluation metrics, or mathematical models.
* Use custom data infrastructure or existing data models as appropriate, using specialized knowledge. Design and evaluate models to mathematically express and solve defined problems with limited precedent.
* Gather information, business goals, priorities, and organizational context around the questions to answer, as well as the existing and upcoming data infrastructure.
* Own the process of gathering, extracting, and compiling data across sources via relevant tools (e.g., SQL, R, Python). Format, re\-structure, or validate data to ensure quality, and review the dataset to ensure it is ready for analysis.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
      <c r="A12" t="inlineStr">
        <is>
          <t>li-4381969261</t>
        </is>
      </c>
      <c r="B12" t="inlineStr">
        <is>
          <t>Data Scientist</t>
        </is>
      </c>
      <c r="C12" t="inlineStr">
        <is>
          <t>Wiraa</t>
        </is>
      </c>
      <c r="D12" t="inlineStr">
        <is>
          <t>linkedin</t>
        </is>
      </c>
      <c r="E12">
        <f>HYPERLINK("https://www.linkedin.com/jobs/view/4381969261", "https://www.linkedin.com/jobs/view/4381969261")</f>
        <v/>
      </c>
      <c r="F12" t="inlineStr"/>
      <c r="G12" t="inlineStr"/>
      <c r="H12" t="inlineStr"/>
      <c r="I12" t="inlineStr">
        <is>
          <t>**About The Company**
 FINTRX is a leading provider of private wealth data and research, offering a comprehensive platform that encompasses millions of data points on Registered Investment Advisors, global Family Offices, and the broader ecosystem. Serving thousands of clients worldwide, including top asset managers, private equity and venture capital firms, real estate companies, institutional investors, investment banks, consultants, and service providers, FINTRX is committed to delivering high\-quality, actionable intelligence. Its innovative platform empowers clients to make informed decisions, identify new opportunities, and enhance their strategic initiatives through robust data analysis and research tools.
**About The Role**
 We are seeking an entry\-level Data Scientist to join FINTRX’s rapidly expanding Data, Research, and Product organization. In this role, you will be instrumental in compiling, analyzing, and interpreting data that fuels our platform and supports strategic decision\-making across the company. Working closely with our product team, you will contribute to data aggregation, analytical initiatives, and process improvements aimed at enhancing the quality, scalability, and overall impact of our industry\-leading solutions. This position offers an excellent opportunity for a motivated individual to grow their skills in a dynamic environment, leveraging cutting\-edge technologies such as artificial intelligence, Python, and SQL to drive innovation and value for our clients.
**Qualifications**
* 0\-2 years of experience in data science or related fields
* Strong proficiency in Python and SQL
* Interest in and foundational understanding of artificial intelligence
* Experience with Snowflake is a plus
* Familiarity with Google Cloud Platform (GCP) and file transfer protocols such as SFTP is a plus
* Bachelor's degree in computer science, mathematics, data science, or a related discipline
* Ability to work during East Coast business hours
* Honesty, integrity, and accountability in all professional dealings
* Excellent organizational skills with the ability to manage multiple projects and meet deadlines
**Responsibilities**
* Collaborate with the existing data science team to analyze and interpret complex datasets
* Perform web scraping to gather relevant information and data for analysis
* Utilize Python, SQL, and other coding languages daily to develop and refine data models
* Build advanced logical, statistical, and regression models to generate new reports and insights
* Organize and maintain existing data and codebases to ensure efficiency and accuracy
* Analyze current processes and methodologies, presenting findings and recommendations to leadership
* Maintain effective communication with leadership to ensure alignment on project goals and progress
* Study historical data to identify trends and patterns that inform business strategies
* Partner with Product, Integration, and Engineering teams to support ongoing projects and initiatives
* Leverage artificial intelligence to optimize workflows and enhance existing processes
* Collaborate across departments to deliver value\-added solutions to clients and prospects
**Benefits**
* Competitive annual salary
* Unlimited Paid Time Off (PTO)
* 401(k) retirement plan with company matching contributions
* Remote work flexibility
* Opportunity to work in a highly motivated, supportive, and innovative environment
* Exposure to cutting\-edge technologies and industry\-leading projects
* Professional growth opportunities within a dynamic organization
 Equal Opportunity
 FINTRX is committed to creating a diverse and inclusive workplace. We do not discriminate on the basis of race, sex, color, religion, age, national origin, marital status, disability, veteran status, genetic information, sexual orientation, gender identity, or any other protected characteristic. We promote equal employment opportunities and strive to foster an environment where all employees can thrive. This position does not qualify for visa sponsorship, including H\-1B, OPT, or CPT. Candidates requiring visa sponsorship now or in the future are advised not to apply. Candidates must be able to work EST business hours to be considered for this role.</t>
        </is>
      </c>
    </row>
    <row r="13">
      <c r="A13" t="inlineStr">
        <is>
          <t>li-4372206426</t>
        </is>
      </c>
      <c r="B13" t="inlineStr">
        <is>
          <t>Applied Data Scientist</t>
        </is>
      </c>
      <c r="C13" t="inlineStr">
        <is>
          <t>Cresta</t>
        </is>
      </c>
      <c r="D13" t="inlineStr">
        <is>
          <t>linkedin</t>
        </is>
      </c>
      <c r="E13">
        <f>HYPERLINK("https://www.linkedin.com/jobs/view/4372206426", "https://www.linkedin.com/jobs/view/4372206426")</f>
        <v/>
      </c>
      <c r="F13">
        <f>HYPERLINK("https://job-boards.greenhouse.io/cresta/jobs/5119706008?gh_src=9a5432008us&amp;urlHash=cu1x", "https://job-boards.greenhouse.io/cresta/jobs/5119706008?gh_src=9a5432008us&amp;urlHash=cu1x")</f>
        <v/>
      </c>
      <c r="G13" t="inlineStr"/>
      <c r="H13" t="inlineStr"/>
      <c r="I13" t="inlineStr">
        <is>
          <t>Cresta is on a mission to turn every customer conversation into a competitive advantage by unlocking the true potential of the contact center. Our platform combines the best of AI and human intelligence to help contact centers discover customer insights and behavioral best practices, automate conversations and inefficient processes, and empower every team member to work smarter and faster. Born from the prestigious Stanford AI lab, Cresta's co\-founder and chairman is Sebastian Thrun, the genius behind Google X, Waymo, Udacity, and more. Our leadership also includes CEO, Ping Wu, the co\-founder of Google Contact Center AI and Vertex AI platform, and co\-founder, Tim Shi, an early member of Open AI.
 We’ve assembled a world\-class team of AI and ML experts, go\-to\-market leaders, and top\-tier investors including Andreessen Horowitz, Greylock Partners, Sequoia, and former AT\&amp;T CEO John Donovan. Our valued customers include brands like Intuit, Cox Communications, Hilton, and Carmax and we’ve been recognized by Forbes and Bain Consulting as one of the top private AI companies in the world.
 Join us on this thrilling journey to revolutionize the workforce with AI. The future of work is here, and it's at Cresta.
**About The Role**
 As an
 **Applied Data Scientist** 
 on our
 **Insights** 
 team, you will help pioneer the next generation of Cresta features that power how enterprises understand and optimize every customer interaction. You’ll partner directly with Product Managers, Machine Learning Engineers, other Data Scientists, and a set of strategic design\-partner customers to solve their biggest challenges.
 If you love working from first principles in a rapid iteration loop with customers \- this is your chance to have an outsized impact on the customer experience industry.
**What You’ll Do**
- Co\-develop new capabilities with a small number of high\-impact enterprise customers along with our product, engineering, and design teams; using their real workflows and constraints as your testbed
- Communicate effectively across all levels of the organization
- Plan and run short, focused design\-partner engagements (days to weeks) where you ship early versions, collect structured feedback, and iterate quickly
- Generalize learnings from each design partner into reusable, productized capabilities rather than one\-off bespoke models
 Partner with domain experts to curate high\-quality eval guidelines and datasets for domains such as CSAT prediction and outcome prediction (across both humanhuman and humanAI interactions)
 - Use the best tools \+ models for the job (simple and interpretable where it matters, sophisticated where it can drive outsized value
- Write clear specs and experiment reports that make tradeoffs and assumptions explicit
- Stay close to the research frontier in ML/AI, LLMs, and evals, translating promising ideas into pragmatic, shippable improvements
- Where applicable, help translate your solutions into publications, whitepapers, technical blogs, etc.
**What We’re Looking For**
* 3\+ years building and shipping models for real\-world business applications, ideally in NLP and LLM\-based systems
* Strong proficiency in Python and standard ML / data tooling (e.g., SQL, data pipelines, experiment frameworks)
* World\-class first principles thinking and ML intuition
* Ability to turn ambiguous product asks into crisp problem statements, eval specs, metrics, and hypotheses
* Experience working directly with customers or internal stakeholders to understand constraints, explain tradeoffs, and iterate on solutions
* Comfort working with design\-partner style engagements where requirements evolve rapidly and you’re expected to co\-create the solution
* Track record of building evaluation suites that go beyond single scalar metrics to capture reliability, safety, and qualitative user experience
* Strong written and verbal communication skills; able to clearly explain complex technical work to both engineers and non\-technical partners
**Bonus Points**
* Experience building ML or analytics systems for customer experience, contact centers, or enterprise SaaS
* Prior work on analytics / insights products (e.g., deep research systems, anomaly detection, customer experience analytics, voice of customer)
* Published work at ML / NLP conferences
**Perks \&amp; Benefits**
 We offer a comprehensive and people\-first benefits package to support you at work and in life:
* Comprehensive medical, dental, and vision coverage with plans to fit you and your family
* Flexible PTO to take the time you need, when you need it
* Paid parental leave for all new parents welcoming a new child
* Retirement savings plan to help you plan for the future
* Remote work setup budget to help you create a productive home office
* Monthly wellness and communication stipend to keep you connected and balanced
* In\-office meal program and commuter benefits provided for onsite employees
**Compensation At Cresta**
 Cresta’s approach to compensation is simple: recognize impact, reward excellence, and invest in our people. We offer competitive, location\-based pay that reflects the market and what each individual brings to the table.
 The posted base salary range represents what we expect to pay for this role in a given location. Final offers are shaped by factors like experience, skills, education, and geography. In addition to base pay, total compensation includes equity and a comprehensive benefits package for you and your family.
**Salary Range** 
 : $150,000–$200,000 \&amp; Offers Equity
 We have noticed a rise in recruiting impersonations across the industry, where scammers attempt to access candidates' personal and financial information through fake interviews and offers. All Cresta recruiting email communications will always come from the @cresta.ai domain. Any outreach claiming to be from Cresta via other sources should be ignored. If you are uncertain whether you have been contacted by an official Cresta employee, reach out to recruiting@cresta.ai</t>
        </is>
      </c>
    </row>
    <row r="14">
      <c r="A14" t="inlineStr">
        <is>
          <t>li-4363954806</t>
        </is>
      </c>
      <c r="B14" t="inlineStr">
        <is>
          <t>Staff Data Scientist, Marketing</t>
        </is>
      </c>
      <c r="C14" t="inlineStr">
        <is>
          <t>Asana</t>
        </is>
      </c>
      <c r="D14" t="inlineStr">
        <is>
          <t>linkedin</t>
        </is>
      </c>
      <c r="E14">
        <f>HYPERLINK("https://www.linkedin.com/jobs/view/4363954806", "https://www.linkedin.com/jobs/view/4363954806")</f>
        <v/>
      </c>
      <c r="F14" t="inlineStr"/>
      <c r="G14" t="inlineStr">
        <is>
          <t>New York, NY</t>
        </is>
      </c>
      <c r="H14" t="inlineStr"/>
      <c r="I14" t="inlineStr">
        <is>
          <t>The Data Science team at Asana is pivotal in fulfilling our mission by fostering a data\-driven approach in shaping both our product and business strategies. In your role on the Marketing Data Science team, you will be the deepest technical expert responsible for using data and scientific techniques to design and build scalable, state\-of\-the\-art solutions to enhance Asana’s marketing effectiveness. You will drive the technical roadmap for data science, collaborating with marketing leadership and the broader Asana data community to uncover new opportunities. You will provide technical leadership and hands\-on mentorship, elevating the team's technical bar and influencing overall business strategy through best\-in\-class modeling and experimental design.
 This role is based in our New York City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 Architect, design, and lead the technical execution for the Marketing Data Science roadmap, serving as the Solution Architect for all core projects including Media Mix Modeling (MMM), User Lifetime Value, Causal Inferences, Multi\-touch Attribution, and Spend Optimization engines.
* Act as the primary technical subject matter expert for the Marketing Data Science team, setting the technical bar for modeling quality, code rigor, data pipeline architecture, and solution scalability.
* Collaborate with marketing leadership to pinpoint how data science can be further integrated into Asana's business approach.
* Provide hands\-on technical mentorship and guidance to a team of data scientists at varying levels, helping them navigate complex modeling challenges, choose appropriate methodologies, and establish robust ML Ops.
* Develop and standardize MLOps tooling and processes that enable the team to deploy, monitor, and maintain multiple models in production efficiently and reliably.
* Research, prototype, and advocate for emerging capabilities and state\-of\-the\-art models in the marketing data science space, demonstrating their potential benefits and leading their implementation.
* Take on a technical leadership role within the broader Asana Data Community, interacting with Data Engineering and Platform teams to influence the data and MLOps infrastructure required to support marketing data products.
**About you:**
* Bachelor Degree in Math, Statistics, Computer Science, Engineering a related quantitative field, or equivalent experience
* 6\+ years of experience in a data science role, with 2\+ years dedicated to technical leadership and mentorship of other data scientists, successfully driving the architecture and execution of large\-scale production data science projects
* 4\+ years of experience collaborating with Marketing functions on deep technical projects, with extensive experience designing, implementing, and deploying marketing models (e.g. MMM, LTV, MTA, Uplift)
* Expert\-level knowledge in advanced statistical modeling, causal inference, experimental design and analysis, and machine learning techniques relevant to marketing effectiveness
* Proven track record developing, deploying, and maintaining scalable production ML solutions and data products
* Technical Stack: Expert proficiency in SQL and Python. Experience with MLOps tools (e.g., MLFlow), statistical languages (e.g., R), and distributed data processing systems (e.g., Spark, Redshift) is a plus
* Demonstrates curiosity about AI tools and emerging technologies, with a willingness to learn and leverage them to enhance productivity, collaboration, or decision\-making.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$202,000 \- $282,000\.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15">
      <c r="A15" t="inlineStr">
        <is>
          <t>li-4380297191</t>
        </is>
      </c>
      <c r="B15" t="inlineStr">
        <is>
          <t>Data Scientist, API</t>
        </is>
      </c>
      <c r="C15" t="inlineStr">
        <is>
          <t>OpenAI</t>
        </is>
      </c>
      <c r="D15" t="inlineStr">
        <is>
          <t>linkedin</t>
        </is>
      </c>
      <c r="E15">
        <f>HYPERLINK("https://www.linkedin.com/jobs/view/4380297191", "https://www.linkedin.com/jobs/view/4380297191")</f>
        <v/>
      </c>
      <c r="F15">
        <f>HYPERLINK("https://jobs.ashbyhq.com/openai/ecb73272-091d-4aa7-9e9b-07a29634cb4c?utm_source=8lvZy0eqYJ&amp;urlHash=kgrD", "https://jobs.ashbyhq.com/openai/ecb73272-091d-4aa7-9e9b-07a29634cb4c?utm_source=8lvZy0eqYJ&amp;urlHash=kgrD")</f>
        <v/>
      </c>
      <c r="G15" t="inlineStr">
        <is>
          <t>San Francisco, CA</t>
        </is>
      </c>
      <c r="H15" t="inlineStr"/>
      <c r="I15" t="inlineStr">
        <is>
          <t>**About The Team**
 OpenAI’s mission is to ensure AGI benefits all of humanity. The API organization is one of the highest\-leverage ways we do that: we put frontier intelligence in the hands of builders who turn it into products, businesses, and services that reach people everywhere.
 We build the infrastructure and developer platform that makes that possible—so developers can reliably bring powerful AI into the real world, operate it safely at scale, and keep pushing what’s possible. When we do our job well, we don’t just ship an API. We enable thousands of teams to create new capabilities for millions of end users, accelerating progress across industries and communities.
**About The Role**
 As a Data Scientist on the API team, you’ll build the measurement systems that make our platform legible and improveable. You’ll define the metrics that matter, identify and quantify developer friction, evaluate launches and platform changes, and translate data into product decisions that improve reliability and developer outcomes at scale.
 You’ll partner closely with Product, Engineering, Research, and Finance to ensure our metrics are trusted, our experimentation is rigorous, and our insights turn into shipped improvements.
 This role is based in San Francisco. We use a hybrid work model of three days in the office per week and offer relocation assistance to new employees.
**In This Role, You Will**
* Own the core KPI framework for the API platform, spanning developer adoption, engagement, retention, and platform health.
* Build end\-to\-end funnels that identify where developers succeed or get stuck—from first integration through scaling to production.
* Define and operationalize platform guardrails (e.g., reliability, latency, error rates, cost/efficiency) and connect them to user outcomes.
* Design and evaluate experiments and rollouts to quantify the impact of platform and product changes.
* Partner with product and engineering teams to improve instrumentation, data quality, and metric definitions so decisions are fast and correct.
* Translate complex analysis into clear, actionable insights for leadership and cross\-functional stakeholders.
* Develop and socialize dashboards, tools, and self\-serve data products that help teams answer product questions quickly.
* Help establish data science standards and best practices for measuring AI platform performance and developer success.
* Partner with other data scientists across the company to share learnings and raise the bar on measurement and decision\-making.
**You Might Thrive In This Role If You Have**
* 10\+ years of experience in data science roles within product or technology organizations (platform or developer\-facing experience is a plus).
* Expertise in statistics and causal inference, applied in both experimentation and observational studies.
* Expert\-level SQL and proficiency in Python for analytics, modeling, and experimentation.
* Proven experience designing and interpreting experiments and making statistically sound recommendations.
* Experience building datasets, metrics, and data pipelines that power production decision\-making.
* Experience developing and extracting insights from business intelligence tools (e.g., Tableau) and building self\-serve solutions.
* Strong product sense and an impact\-driven mindset: you turn ambiguity into crisp frameworks that drive roadmap decisions.
* Ability to build relationships with diverse stakeholders and cultivate strong partnerships across Product, Engineering, Research, and GTM teams.
* Strong communication skills, including the ability to bridge technical and non\-technical audiences.
* Ability to operate effectively in a fast\-moving, ambiguous environment with limited structure.
* Are consistently among the first to adopt the latest AI tools, you use them daily to increase your own throughput, and you proactively turn them into durable workflows that change how your team and org operate.
**Nice\-to\-haves**
* Experience with developer platforms, APIs/SDKs, or usage\-based products.
* Experience with platform reliability analytics, incident impact measurement, or performance/cost optimization.
* Familiarity with AI evaluation and quality measurement systems (online/offline evals, human\-in\-the\-loop, safety/quality guardrails).
**Why it matters**
 When developers build on OpenAI, they put our platform into products that touch millions of people. API Data Science ensures we make the right bets, operate with rigor, and continuously raise reliability and usability as the platform scales. This is a unique opportunity to shape how frontier AI is measured, improved, and delivered through a platform that powers the next generation of AI products.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16">
      <c r="A16" t="inlineStr">
        <is>
          <t>li-4318911714</t>
        </is>
      </c>
      <c r="B16" t="inlineStr">
        <is>
          <t>Staff Data Scientist, Marketing</t>
        </is>
      </c>
      <c r="C16" t="inlineStr">
        <is>
          <t>Asana</t>
        </is>
      </c>
      <c r="D16" t="inlineStr">
        <is>
          <t>linkedin</t>
        </is>
      </c>
      <c r="E16">
        <f>HYPERLINK("https://www.linkedin.com/jobs/view/4318911714", "https://www.linkedin.com/jobs/view/4318911714")</f>
        <v/>
      </c>
      <c r="F16" t="inlineStr"/>
      <c r="G16" t="inlineStr">
        <is>
          <t>San Francisco, CA</t>
        </is>
      </c>
      <c r="H16" t="inlineStr"/>
      <c r="I16" t="inlineStr">
        <is>
          <t>The Data Science team at Asana is pivotal in fulfilling our mission by fostering a data\-driven approach in shaping both our product and business strategies. In your role on the Marketing Data Science team, you will be the deepest technical expert responsible for using data and scientific techniques to design and build scalable, state\-of\-the\-art solutions to enhance Asana’s marketing effectiveness. You will drive the technical roadmap for data science, collaborating with marketing leadership and the broader Asana data community to uncover new opportunities. You will provide technical leadership and hands\-on mentorship, elevating the team's technical bar and influencing overall business strategy through best\-in\-class modeling and experimental design.
 This role is based in our San Francisco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 Architect, design, and lead the technical execution for the Marketing Data Science roadmap, serving as the Solution Architect for all core projects including Media Mix Modeling (MMM), User Lifetime Value, Causal Inferences, Multi\-touch Attribution, and Spend Optimization engines.
* Act as the primary technical subject matter expert for the Marketing Data Science team, setting the technical bar for modeling quality, code rigor, data pipeline architecture, and solution scalability.
* Collaborate with marketing leadership to pinpoint how data science can be further integrated into Asana's business approach.
* Provide hands\-on technical mentorship and guidance to a team of data scientists at varying levels, helping them navigate complex modeling challenges, choose appropriate methodologies, and establish robust ML Ops.
* Develop and standardize MLOps tooling and processes that enable the team to deploy, monitor, and maintain multiple models in production efficiently and reliably.
* Research, prototype, and advocate for emerging capabilities and state\-of\-the\-art models in the marketing data science space, demonstrating their potential benefits and leading their implementation.
* Take on a technical leadership role within the broader Asana Data Community, interacting with Data Engineering and Platform teams to influence the data and MLOps infrastructure required to support marketing data products.
**About you:**
* Bachelor Degree in Math, Statistics, Computer Science, Engineering a related quantitative field, or equivalent experience
* 6\+ years of experience in a data science role, with 2\+ years dedicated to technical leadership and mentorship of other data scientists, successfully driving the architecture and execution of large\-scale production data science projects
* 4\+ years of experience collaborating with Marketing functions on deep technical projects, with extensive experience designing, implementing, and deploying marketing models (e.g. MMM, LTV, MTA, Uplift)
* Expert\-level knowledge in advanced statistical modeling, causal inference, experimental design and analysis, and machine learning techniques relevant to marketing effectiveness
* Proven track record developing, deploying, and maintaining scalable production ML solutions and data products
* Technical Stack: Expert proficiency in SQL and Python. Experience with MLOps tools (e.g., MLFlow), statistical languages (e.g., R), and distributed data processing systems (e.g., Spark, Redshift) is a plus
* Demonstrates curiosity about AI tools and emerging technologies, with a willingness to learn and leverage them to enhance productivity, collaboration, or decision\-making.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$202,000 \- $282,000\.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17">
      <c r="A17" t="inlineStr">
        <is>
          <t>li-4380265290</t>
        </is>
      </c>
      <c r="B17" t="inlineStr">
        <is>
          <t>Sector Data Scientist</t>
        </is>
      </c>
      <c r="C17" t="inlineStr">
        <is>
          <t>Thurn Partners</t>
        </is>
      </c>
      <c r="D17" t="inlineStr">
        <is>
          <t>linkedin</t>
        </is>
      </c>
      <c r="E17">
        <f>HYPERLINK("https://www.linkedin.com/jobs/view/4380265290", "https://www.linkedin.com/jobs/view/4380265290")</f>
        <v/>
      </c>
      <c r="F17" t="inlineStr"/>
      <c r="G17" t="inlineStr">
        <is>
          <t>New York, NY</t>
        </is>
      </c>
      <c r="H17" t="inlineStr"/>
      <c r="I17" t="inlineStr">
        <is>
          <t>**Company Insight:**
 A leading global investment firm is expanding its sector\-focused data science capability, embedding data more deeply into the investment research process. This team partners directly with investors to generate differentiated insights by applying rigorous analytics to large, complex, and often unstructured datasets.
 This is a high\-impact role for someone who enjoys turning raw data into clear, decision\-ready insight — and who wants their work to directly influence how capital is allocated. You’ll operate as a thought partner to investment teams, bringing structure, speed, and analytical rigour to how data informs research and portfolio construction
**The Role:**
* Partner with investment teams to understand their research approach and identify how data can strengthen decision\-making
* Analyse data from multiple structured and unstructured sources to test complex investment theses
* Rapidly assess data relevance, detect emerging trends, and separate signal from noise
* Identify the key operational and fundamental drivers across companies and sectors
* Deliver high\-quality research outputs in a clear, concise format tailored for senior investors
* Help build and evolve scalable datasets, analytical frameworks, and decision\-support tools
**Experience/Skills Required:**
* Strong intellectual curiosity with a genuine interest in markets and investing
* Ability to quickly digest fundamental research and translate narratives into data\-driven analysis
* Advanced Python skills (including Pandas) and strong SQL
* Solid background in statistical modelling and quantitative analysis
* Experience working with large, complex, or unstructured datasets
* Prior exposure to investment management, equity research, or buy\-side analytics
* Bachelor’s degree in statistics, engineering, economics, computer science, physics, or a related discipline
**Pre\-Application:**
* Please do not apply if you are looking for a contract or remote work
* Please ensure you meet the required experience section prior to applying
* Allow 1\-5 working days for a response to any job enquiry</t>
        </is>
      </c>
    </row>
    <row r="18">
      <c r="A18" t="inlineStr">
        <is>
          <t>li-4380008515</t>
        </is>
      </c>
      <c r="B18" t="inlineStr">
        <is>
          <t>Data Scientist, Hair Color Development, L'Oréal Research &amp; Innovation</t>
        </is>
      </c>
      <c r="C18" t="inlineStr">
        <is>
          <t>L'Oréal</t>
        </is>
      </c>
      <c r="D18" t="inlineStr">
        <is>
          <t>linkedin</t>
        </is>
      </c>
      <c r="E18">
        <f>HYPERLINK("https://www.linkedin.com/jobs/view/4380008515", "https://www.linkedin.com/jobs/view/4380008515")</f>
        <v/>
      </c>
      <c r="F18">
        <f>HYPERLINK("https://loa.avature.net/careers/JobDetail/233929?src=LinkedIn&amp;urlHash=oRXN", "https://loa.avature.net/careers/JobDetail/233929?src=LinkedIn&amp;urlHash=oRXN")</f>
        <v/>
      </c>
      <c r="G18" t="inlineStr">
        <is>
          <t>Clark, NJ</t>
        </is>
      </c>
      <c r="H18" t="inlineStr"/>
      <c r="I18" t="inlineStr">
        <is>
          <t>Data Scientist, Hair Color Development, L'Oréal Research \&amp; Innovation – Clark, New Jersey
 Life is too short for a boring career, so build an extraordinary one with us. We believe your career should spark the same thrill and curiosity as your personal interests. Creativity drives everything we do, turning ideas into meaningful impact. With opportunities across brands, markets, and divisions, your growth knows no boundaries.
 Who We Are
 Join us at L’Oréal, the world's \#1 beauty company present in over 150 markets. For over a century, we have been transforming; fueled by data, tech, innovation, and science. Together, we tackle big challenges while making sure we stay committed to making the world a more inclusive and a better place for everyone \&amp; our planet.
 At L’Oréal Research \&amp; Innovation we are pushing the boundaries of Science \&amp; Tech. We invest heavily in cutting\-edge research, leveraging advanced technologies to understand skin, hair, and microbiome, while discovering new active ingredients and launching outperforming formulas. Our 4,100 L'Oréal R\&amp;I experts leverage Science \&amp; Technology to invent safe, trustable, sustainable \&amp; responsible beauty products and experiences that will change people’s lives.
 As a Data Scientist, you will join our Hair Color Development team in Clark, New Jersey, a central hub for innovation. You will play a key role in our digital transformation. You will not just "crunch numbers"; you will revolutionize how we design, measure, and deploy hair color technologies globally. Your mission is to turn complex raw data into actionable insights that accelerate product development and optimize color performance for the Consumer Products and Professional Products divisions.
**A Day In The Life**
* Innovate with Data: Design and implement data\-driven models and automation tools to streamline and optimize the hair color formulation and development process.
* Drive Automation Projects: Lead technical projects from concept to deployment, building robust data pipelines and automated systems to accelerate our research and innovation cycles.
* Collaborate and Influence: Partner with formulation chemists, lab managers, and global teams to understand their challenges and translate them into technical solutions.
* Analyze and Visualize: Interpret complex datasets to extract meaningful insights, creating dashboards and reports that guide strategic decisions for product development.
**We Are Looking For**
* Education: Bachelor’s with 3\-5 years of relevant experience in developing automation solutions and managing data\-focused projects
* Field of Study: Computer Science, Data Science, or a related technical field
* A solid educational foundation in Computer Science, Data Science, or a related technical field.
* Proficiency in AI, data management, processing, visualization, and insight generation is essential.
* Proficiency in programming languages/data analysis tools such as Python, R, MATLAB, Spotfire, and Power BI.
* Strong analytical and problem\-solving skills, with the ability to translate business needs into technical specifications.
* Excellent communication skills to collaborate effectively with both technical and scientific stakeholders.
* Knowledge of color measurement and data a plus.
* The ability to be onsite, in the office, as this is an essential function of the position (required)
* Authorization to work in the United States on a full\-time, permanent, ongoing basis without the need for legal sponsorship now or in the future (required)
 What’s In It For You
* A place for you to leave your comfort zone and grow beyond your potential (here, you’ll be encouraged to try new things and take risks!)
* Real responsibility from day 1, there’s no sitting on the sidelines at L’Oréal
* An environment where people of every ethnicity, social background, age, religion, gender and sexual orientation as well as people with disabilities are accepted, can speak up, will thrive and are celebrated!
* A place where you can contribute to something bigger! Many of our brands have societal /environmental causes to make concrete difference
* Competitive Benefits Package (Medical, Dental, Vision, 401K, Pension Plan)
* Base Salary Range: $77,400 \- $110,300 (The actual compensation will depend on a variety of job\-related factors which may include geographic location, work experience, education, and skill level)
* Hybrid Work Policy (3 days in Office, up to 2 days Work From Home)
* Flexible Time Off (Paid Company Holidays, Paid Vacation, Vacation Buy Program, Volunteer Time, Summer Fridays \&amp; More!)
* Access to Company Perks (VIP Access to L’Oréal’s Internal Shop for Discounted Products, Monthly Mobile Allowance)
* Learning and Development Opportunities (Unlimited Access to E\-learnings, Lunch \&amp; Learn Sessions, Mentorship Programs, \&amp; More!)
* Employee Resource Groups (Think Tanks and Innovation Squads)
* Access to Mental Health \&amp; Wellness Programs
 Don’t meet every single requirement? At L'Oréal, we are dedicated to building a diverse, inclusive, and innovative workplace. If you’re excited about this role but your past experience doesn’t align perfectly with the qualifications listed in the job description, we encourage you to apply anyways! You may just be the right candidate for this or other roles!
 We are an Equal Opportunity Employer and take pride in a diverse environment. We’re committed to guaranteeing inclusive recruitment processes and advocating for hiring and promoting each candidate in an ethical and equitable way. The Group strictly prohibits discrimination against any applicant for employment because of the individual’s gender identity or expression, sexual orientation, visible and/or invisible disabilities, socio\-economic and/or multicultural origins, health conditions, age, religion, or any other characteristics protected by law.</t>
        </is>
      </c>
    </row>
    <row r="19">
      <c r="A19" t="inlineStr">
        <is>
          <t>li-4371542535</t>
        </is>
      </c>
      <c r="B19" t="inlineStr">
        <is>
          <t>Research Data Scientist, Vertical Ads</t>
        </is>
      </c>
      <c r="C19" t="inlineStr">
        <is>
          <t>Google</t>
        </is>
      </c>
      <c r="D19" t="inlineStr">
        <is>
          <t>linkedin</t>
        </is>
      </c>
      <c r="E19">
        <f>HYPERLINK("https://www.linkedin.com/jobs/view/4371542535", "https://www.linkedin.com/jobs/view/4371542535")</f>
        <v/>
      </c>
      <c r="F19" t="inlineStr"/>
      <c r="G19" t="inlineStr">
        <is>
          <t>Mountain View, CA</t>
        </is>
      </c>
      <c r="H19" t="inlineStr"/>
      <c r="I19" t="inlineStr">
        <is>
          <t>**Minimum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**Preferred qualifications:**
* 5 years of work experience using analytics to solve product or business problems, coding (e.g., Python, R, SQL), querying databases or statistical analysis, or a PhD degree.
**About the job** 
 In this role, you will evaluate and improve Google Search Vertical Ads products. You will collaborate with a multi\-disciplinary team of engineers and analysts on a wide range of problems. You will bring scientific and statistical methods to the issues of Search Vertical Ads product creation, development and improvement with an appreciation for the behaviors of the end user. Your work will be directly related to growing Google's business in a user\-responsible way. You will Support the Search Ads and Google Experience (SAGE) organization as the Data Science (DS) team for Google Search, Discover, and Gmail ads in developing the most important ad products at Google from classic text ads and rich local, travel, and shopping ads, to monetizing new rapidly evolving ad surfaces like Discover Feed and Gmail. These products the heart of Google’s business driving close to $200B in annual business are advanced, and are rapidly growing and evolving.Google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stakeholders in cross\-project and team settings to identify and clarify business or product questions to answer. Provide feedback to translate and refine business questions into tractable analysis, evaluation metrics, or mathematical models.
* Use custom data infrastructure or existing data models as appropriate, using specialized knowledge. Design and evaluate models to mathematically express and solve defined problems with limited precedent.
* Gather information, business goals, priorities, and organizational context around the questions to answer, as well as the existing and upcoming data infrastructure.
* Own the process of gathering, extracting, and compiling data across sources via relevant tools (e.g., SQL, R, Python). Format, re\-structure, or validate data to ensure quality, and review the dataset to ensure it is ready for analysis.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
      <c r="A20" t="inlineStr">
        <is>
          <t>li-4365334814</t>
        </is>
      </c>
      <c r="B20" t="inlineStr">
        <is>
          <t>Senior Applied Scientist, Causal Inference</t>
        </is>
      </c>
      <c r="C20" t="inlineStr">
        <is>
          <t>LinkedIn</t>
        </is>
      </c>
      <c r="D20" t="inlineStr">
        <is>
          <t>linkedin</t>
        </is>
      </c>
      <c r="E20">
        <f>HYPERLINK("https://www.linkedin.com/jobs/view/4365334814", "https://www.linkedin.com/jobs/view/4365334814")</f>
        <v/>
      </c>
      <c r="F20" t="inlineStr"/>
      <c r="G20" t="inlineStr">
        <is>
          <t>Mountain View, CA</t>
        </is>
      </c>
      <c r="H20" t="inlineStr"/>
      <c r="I20"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a career at LinkedIn offers countless ways for an ambitious data scientist to have an impact.
 We are now looking for a talented and driven individual to accelerate our efforts and be a major part of our data\-centric culture. It is expected that this person understands experimentation and/or machine learning techniques to be able to implement from scratch and have the ability to extend and enhance these techniques to specific applications like business problems. Successful candidates will exhibit technical acumen on inference and algorithms, and the business savviness to use these technical skills to drive better business decision\-making.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Work with a team of high\-performing analytics, data science professionals, and cross\-functional teams to identify business opportunities and develop algorithms and methodologies to address them.
* Analyze large\-scale structured and unstructured data.
* Conduct in\-depth and rigorous data science research, model improvement, advanced experiments, observational causal studies to quantify the cause and effect in the ecosystem, identify business opportunities and to drive member value and customer success.
* Develop methodologies to enhance LinkedIn's product and platform capabilities.
* Engage with technology partners to build, prototype and validate scalable tools/applications end to end (backend, frontend, data) for converting data to insights
* Promote and enable adoption of technical advances in Data Science; elevate the art of Data Science practice at LinkedIn.
* Improve LinkedIn's ability to measure and credibly speak to labor market trends and other economic phenomena.
* Initiate and drive projects to completion independently
* Act as a thought partner to senior leaders to prioritize/scope projects, provide recommendations and evangelize data\-driven business decisions in support of strategic goals
* Partner with cross\-functional teams to initiate, lead or contribute to large\-scale/complex strategic projects for team, department, and company
* Provide technical guidance and mentorship to junior team members on solution design as well as lead code/design reviews
**Qualifications**
 Basic Qualifications
* Bachelor's Degree in a quantitative discipline: Statistics, Operations Research, Computer Science, Informatics, Engineering, Applied Mathematics, Economics, etc.
* 3\+ years of industry or relevant academia experience
* Background in at least one programming language (eg. R, Python, Java, Ruby, Scala/Spark or Perl)
* Experience in applied statistics and statistical modeling in at least one statistical software package, (eg. R, Python)
**Preferred Qualifications**
* BS and 5\+ years of relevant work experience, MS and 3\+ years of relevant work experience, or Ph.D. and 1\+ years of relevant work/academia experience
* MS or PhD in a quantitative discipline: Statistics, Operations Research, Computer Science, Informatics, Engineering, Applied Mathematics, Economics, etc.
 Suggested Skills
* Machine Learning
* Research
* Causal Inference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$139,000\.00 to $229,000\.00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21">
      <c r="A21" t="inlineStr">
        <is>
          <t>li-4251586919</t>
        </is>
      </c>
      <c r="B21" t="inlineStr">
        <is>
          <t>Staff Data Scientist, Ads</t>
        </is>
      </c>
      <c r="C21" t="inlineStr">
        <is>
          <t>Reddit, Inc.</t>
        </is>
      </c>
      <c r="D21" t="inlineStr">
        <is>
          <t>linkedin</t>
        </is>
      </c>
      <c r="E21">
        <f>HYPERLINK("https://www.linkedin.com/jobs/view/4251586919", "https://www.linkedin.com/jobs/view/4251586919")</f>
        <v/>
      </c>
      <c r="F21">
        <f>HYPERLINK("https://job-boards.greenhouse.io/reddit/jobs/6706371?gh_src=8a8a4d8a1us&amp;urlHash=vsqX", "https://job-boards.greenhouse.io/reddit/jobs/6706371?gh_src=8a8a4d8a1us&amp;urlHash=vsqX")</f>
        <v/>
      </c>
      <c r="G21" t="inlineStr"/>
      <c r="H21" t="inlineStr"/>
      <c r="I21"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121 million daily active unique visitors, Reddit is one of the internet’s largest sources of information. For more information, visit www.redditinc.com.
**Location: US remote\-friendly**
 Reddit has a flexible first workforce. At Reddit we continue to grow our teams with the best talent. We're completely remote friendly and will continue to be.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Reddit’s Ads Data Science team is looking for a highly experienced Staff Data Scientist to advance the intelligence powering the advertiser experience on Reddit. In this role, you'll take deep ownership of a high\-impact problem space within advertising, specializing in measurement, identity, and signal quality.
 This is a high\-impact, high\-autonomy role where you'll influence strategic direction, set a high technical bar, and drive cross\-functional initiatives across one or more critical focus areas in the Ads organization.
**Responsibilities**
* Design the Future of Ads Identity: Develop/employ probabilistic models for identity resolution. Design the methodology that links on\-platform and off\-platform actions to maximize addressability while honoring privacy.
* Advance Lift Methodologies \&amp; Experimentation: Own the statistical rigor behind Reddit’s Brand and Conversion Lift products. Innovate experimental design and develop infrastructure that supports large\-scale, high\-velocity, low\-bias testing for advertisers.
* Maximize Signal for Predictive Performance: Define the strategy for new signal sources. You will mathematically quantify the value of these signals and work with modeling teams to incorporate them into predictive models, directly improving bidding efficiency and ROAS.
* Define Ground Truth \&amp; Evaluation Frameworks: Solve the industry\-wide challenge of validating identity and measurement. Design the objective functions and truth sets used to train our models and measure the incremental impact of our identity graph.
*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**Qualifications** 
* Required:
+ Advanced degree (Master's or Ph.D.) in Statistics, Mathematics, Physics, Economics, or Operations Research
+ For M.S. holders: 10\+ years of industry experience in applied science or data science roles
+ For Ph.D. holders: 6\+ years of industry experience in applied science or data science roles
+ Deep understanding of the ads ecosystem
+ Demonstrated expertise in at least one of the following areas:
- Measurement \&amp; Experimentation at Scale (with focus on lift and attribution)
- Identity Graph Creation \&amp; Resolution Methodology and Infrastructure
- Predictive Modeling with Signal Loss
+ Advanced proficiency in statistical programming (Python or R) and SQL
+ Experience with machine learning or optimization techniques
+ Strong understanding of experimental design, causal inference, or A/B testing methodologies
+ Exceptional problem\-solving and communication skills, with a track record of influencing product and engineering partners
+ Experience working in fast\-paced, ambiguous environments with cross\-functional teams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22">
      <c r="A22" t="inlineStr">
        <is>
          <t>li-4326720752</t>
        </is>
      </c>
      <c r="B22" t="inlineStr">
        <is>
          <t>Data Scientist</t>
        </is>
      </c>
      <c r="C22" t="inlineStr">
        <is>
          <t>CodePath</t>
        </is>
      </c>
      <c r="D22" t="inlineStr">
        <is>
          <t>linkedin</t>
        </is>
      </c>
      <c r="E22">
        <f>HYPERLINK("https://www.linkedin.com/jobs/view/4326720752", "https://www.linkedin.com/jobs/view/4326720752")</f>
        <v/>
      </c>
      <c r="F22">
        <f>HYPERLINK("https://job-boards.greenhouse.io/codepath/jobs/4998255007?gh_src=1685104a7us&amp;urlHash=0NsG", "https://job-boards.greenhouse.io/codepath/jobs/4998255007?gh_src=1685104a7us&amp;urlHash=0NsG")</f>
        <v/>
      </c>
      <c r="G22" t="inlineStr"/>
      <c r="H22" t="inlineStr"/>
      <c r="I22" t="inlineStr">
        <is>
          <t>CodePath is reprogramming higher education to create the first generation of AI\-native engineers, CTOs, and founders.
 We deliver industry\-vetted courses and career support centered on the needs of first\-generation and low\-income students. Our students train with senior engineers, intern at top companies, and rise together to become the tech leaders of tomorrow.
 With over 40,000 students and alumni from 1,000 colleges now working at 4,050 companies, we are reshaping the tech workforce and the industries of the future. CodePath is supported by Amazon, Andreessen Horowitz, Anthropic
 **,** 
 Comcast, Google, JP Morgan Chase, Knight Foundation, Meta, New Profit, Salesforce, and The Studio at Blue Meridian Partners, among others.
**About The Role**
**Location:** 
 Remote, United States
**Role Type:** 
 Full\-Time
**Reporting to:** 
 Lead Data Scientist
**Compensation:** 
 $100,000 to $130,000 per year
 CodePath is entering a pivotal stage of growth, building the data, analytics, and AI infrastructure that powers our learning platform and supports tens of thousands of students nationwide. We are looking for a highly capable and mission\-driven Data Scientist to join our growing Measurement, Evaluation, and Learning (MEL) team and help shape this future.
 As a Data Scientist at CodePath, you will work across the analytics and modeling lifecycle, supporting data pipelines, conducting exploratory analysis, helping build statistical and machine learning models, and developing the insights that guide organizational strategy. You will collaborate closely with CodePath's lead data scientist, senior data engineer, and cross\-functional partners to ensure our data systems, analyses, and models enable student success, operational efficiency, and accurate impact measurement.
 This role is ideal for someone who enjoys solving problems in a fast\-paced environment, applies clear analytical thinking, and wants to grow by supporting high\-impact projects that advance CodePath’s data and AI work. We're looking for someone who is themselves AI\-native — someone who reaches for LLMs, code assistants, and AI\-accelerated workflows as a default, not an experiment.
**Key Activities**
* Impact Measurement: Define, track, and analyze organizational impact, student outcomes, and program performance with MEL leadership
* Data Modeling \&amp; ML: Support the development and refinement of statistical and machine learning models for outcomes analyses, forecasting, and decision support
* Exploratory Analysis: Conduct exploratory analyses to surface trends, anomalies, and insights across large datasets
* Dashboards \&amp; BI Tools: Work with the lead data scientist to develop and maintain dashboards, reports, and visualizations (Tableau, streamlit, or similar) that translate complex results into clear, actionable insights
* Feature Engineering \&amp; Data Preparation: Partner with data engineering to develop reliable datasets and features that power modeling and analytics workflows
* Pipeline Support: Support and validate data pipelines to ensure analytical datasets remain accurate, consistent, and well\-structured
* Cross\-Functional Work: Collaborate with program, product, and operations teams to understand their data needs and translate them into well\-defined analytical questions
* Documentation: Document analytical processes, models, and methodologies to ensure clarity, scaling, and reproducibility
* Continuous Improvement: Identify opportunities to enhance data quality, improve modeling processes, and expand MEL’s modeling and reporting capabilities
**Key Success Metrics**
* High\-quality Analytical Assets: Produces dashboards, Quarto reports, and reusable modules that meet MEL standards, with 75%\+ requiring no major revision
* Stronger Impact Measurement: Works with lead data scientist to improve outcomes reporting and forecasting through validated datasets, models, and analyses
* Improved Data Quality \&amp; Reliability: Identifies and resolves data issues across pipelines and transformations in partnership with Data Engineering
* Meaningful Modeling Contributions: Supports development of statistical or ML models that improve decision\-making through greater accuracy, clarity, or adoption
**Qualifications**
* 2\-3\+ years of professional experience in data science, machine learning, analytics, or a related field
* Foundation in statistics, probability, and machine learning algorithms
* Proficiency with Python (pandas/polars, numpy, scikit\-learn, TensorFlow or PyTorch)
* SQL skills and experience working with medium\- to large\-scale datasets
* Experience with cloud platforms (GCP, AWS, or Azure) or deploying or maintaining data\-driven applications
* Familiarity with data modeling concepts, data engineering workflows, and data pipelines
* Strong communicator able to present complex analyses clearly and accessibly
**Preferred Qualifications**
* Experience using AI tools to accelerate data science work — LLM\-assisted code generation, automated EDA, or agent\-based workflows that increase output quality and speed
* Experience with impact evaluation, education data, or social science research methods
* Exposure to dbt, Airbyte, FiveTran, or similar tooling
* Experience with experimental or quasi\-experimental methods, causal inference, or A/B testing
* Ability to turn ambiguous problems into structured analytical approaches
* Proactive, collaborative mindset with enthusiasm for continuous learning
**Compensation**
 CodePath has standardized salaries based on the position’s level, no matter where you live. For this role, we’re hiring for an Individual Contributor level position at an annual salary of $100,000 to $130,000\. Salary is determined based on your relevant experience and skills as evaluated through our interview process.
**Comprehensive Benefits \&amp; Remote Work Perks**
 This is a 100% remote position; you can work from anywhere in the U.S. CodePath prioritizes employee well\-being with a competitive benefits package to support your health, financial security, and work\-life balance.
* Health \&amp; Wellness:Medical, dental, and vision insurance (90% employer\-covered), employer\-funded healthcare reimbursement, FSAs, and Employee Assistance Program
* Financial Security: 401(k), employer\-paid life \&amp; disability insurance, and identity theft protection
* Work\-Life Balance: Generous PTO, paid holidays, 10 weeks of fully paid parental leave, and an annual year\-end company closure (Dec 24 – Jan 2\)
* Professional Growth: $1,000 annual professional development stipend and home office setup support
* Student Loan Forgiveness: CodePath is a qualifying employer for Public Service Loan Forgiveness (PSLF)
* Additional Perks: Pet wellness plans, legal services, home/auto insurance discounts, and exclusive marketplace savings
 Pay range
 $100,000—$130,000 USD</t>
        </is>
      </c>
    </row>
    <row r="23">
      <c r="A23" t="inlineStr">
        <is>
          <t>li-4368792156</t>
        </is>
      </c>
      <c r="B23" t="inlineStr">
        <is>
          <t>Senior Data Scientist</t>
        </is>
      </c>
      <c r="C23" t="inlineStr">
        <is>
          <t>Tonal</t>
        </is>
      </c>
      <c r="D23" t="inlineStr">
        <is>
          <t>linkedin</t>
        </is>
      </c>
      <c r="E23">
        <f>HYPERLINK("https://www.linkedin.com/jobs/view/4368792156", "https://www.linkedin.com/jobs/view/4368792156")</f>
        <v/>
      </c>
      <c r="F23">
        <f>HYPERLINK("https://tonal.com/pages/careers?ashby_jid=01e967dc-64ce-4541-8944-b0792c78c9ea&amp;utm_source=brDVkpkEaX&amp;urlHash=1ENp", "https://tonal.com/pages/careers?ashby_jid=01e967dc-64ce-4541-8944-b0792c78c9ea&amp;utm_source=brDVkpkEaX&amp;urlHash=1ENp")</f>
        <v/>
      </c>
      <c r="G23" t="inlineStr"/>
      <c r="H23" t="inlineStr"/>
      <c r="I23" t="inlineStr">
        <is>
          <t>**Overview**
 This Senior Data Scientist will drive causal and machine learning\-based analyses to measure the impact of product features on user behavior, engagement, and business outcomes, translating results into clear, actionable recommendations. The role partners closely with product, analytics engineering, and fellow data scientists to build in\-house causal inference tools, define KPIs, build production\-ready analytical workflows, and deliver high\-quality, governed visualizations. Success in this role requires strong statistical judgment, experience with product\-driven ML, and a focus on delivering insights that are both trustworthy and immediately usable by cross\-functional stakeholders
 Key Responsibilities
**Causal Inference**
* Design, implement, and productionalize statistically rigorous causal analyses to quantify the impact of product features on user behaviors, engagement metrics, and downstream business outcomes
* Develop and maintain causal frameworks that link product interventions to behavioral change, engagement shifts, and business performance
* Select and apply appropriate experimental and observational methods, leveraging regression\- and ML\-based approaches where appropriate to control for confounding and heterogeneity
* Validate causal findings through robustness checks, sensitivity analyses, and clear articulation of assumptions and limitations
* Translate results into clear, actionable recommendations that inform product strategy, marketing decisions, and executive\-level prioritization
* Develop analytical notebooks and workflows that are reproducible, scalable, and suitable for deployment in production environments
**KPI Development**
* Partner with product and cross\-functional stakeholders to define feature\-level engagement and efficacy KPIs aligned with business objectives
* Incorporate model\-derived signals (e.g., predicted engagement, risk scores, uplift estimates) into KPI frameworks where appropriate to improve measurement and decision\-making
* Implement testing, documentation, and versioning practices to ensure KPI definitions are reliable, discoverable, and consistently interpreted
* Maintain metric documentation and metadata to support self\-service analytics and cross\-functional consumption
**Data Visualization**
* Design and deliver high\-quality visualizations in Looker and Databricks that clearly communicate analytical and ML\-driven insights without requiring supplemental explanation
* Ensure visual outputs are intuitive, decision\-oriented, and aligned with established data visualization best practices
* Incorporate generative AI capabilities into visualization and analytics assets where appropriate to improve interpretability and cross\-functional adoption
* Support visualization governance by implementing CI/CD workflows, validation checks, and approval processes to ensure production dashboards meet quality and consistency standards prior to release
**Qualifications**
* Strong statistical experience in causal inference methods like Difference in Difference, propensity score matching, regression discontinuity analysis, and randomized control trials to help link product changes to business outcomes
* Applied experience building and evaluating machine learning models for prediction, segmentation, or uplift in a product or business context
* Ability to develop reproducible, scalable analytical notebooks and workflows that transition effectively from development to production environments
* Experience partnering with product teams to define feature\-level KPIs and building robust, well\-documented dbt models to expose those metrics across analytics layers
* Strong track record of creating clear, decision\-oriented visualizations in tools such as Looker and Databricks that communicate insights unambiguously to cross\-functional stakeholders
* 3\-5\+ years of experience
* Tools and libraries: dbt, databricks, statsmodels, scipy, scikit\-learn, causalml, prophet
* Languages: sql, python, r
 At Tonal, we believe that the unique and varied lived experiences of our teammates contribute to our overall strength. We don’t just appreciate differences, we celebrate them, and we always seek people that represent a wide variety of backgrounds. We’re dedicated to adding new perspectives to the team and designing employee experiences that contribute to your growth as much as you do to ours. If your experience aligns with what we’re looking for (even if you don’t check every single box), send us your application. We would love to hear from you!
 Tonal is committed to meeting the diverse needs of people with disabilities in a timely manner that is consistent with the principles of independence, dignity, integration, and equality of opportunity. Should you have any accommodation requests, please reach out to us via our confidential email, accessibility@tonal.com. All requests will be addressed and responded to in accordance with Tonal’s Accessibility Policy and local legislation.
 Compensation Range: $165K \- $190K</t>
        </is>
      </c>
    </row>
    <row r="24">
      <c r="A24" t="inlineStr">
        <is>
          <t>li-4349007088</t>
        </is>
      </c>
      <c r="B24" t="inlineStr">
        <is>
          <t>Senior, Data Scientist</t>
        </is>
      </c>
      <c r="C24" t="inlineStr">
        <is>
          <t>Walmart</t>
        </is>
      </c>
      <c r="D24" t="inlineStr">
        <is>
          <t>linkedin</t>
        </is>
      </c>
      <c r="E24">
        <f>HYPERLINK("https://www.linkedin.com/jobs/view/4349007088", "https://www.linkedin.com/jobs/view/4349007088")</f>
        <v/>
      </c>
      <c r="F24">
        <f>HYPERLINK("https://click.appcast.io/t/9zmjt4k7Ir_qobqRSWJjtbB2RkStJIPC7LpaKcmBi2RJG9fMLDNhd3Cg4ynKinfM?source=LinkedIn&amp;urlHash=IQxk", "https://click.appcast.io/t/9zmjt4k7Ir_qobqRSWJjtbB2RkStJIPC7LpaKcmBi2RJG9fMLDNhd3Cg4ynKinfM?source=LinkedIn&amp;urlHash=IQxk")</f>
        <v/>
      </c>
      <c r="G24" t="inlineStr">
        <is>
          <t>Sunnyvale, CA</t>
        </is>
      </c>
      <c r="H24" t="inlineStr"/>
      <c r="I24" t="inlineStr">
        <is>
          <t>Position Summary...
 What you'll do...
 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careers.walmart.com
**About Walmart Global Tech Org**
 Imagine working in an environment where one line of code can make life easier for hundreds of millions of people and put a smile on their face. That is what we do at Walmart Global Tech. We are a team of 15,000\+ software engineers, data scientists and service professionals within Walmart, the world’s largest retailer, delivering innovations that improve how our customers shop and empower our 2\.2 million associates. To others, innovation looks like an app, service, or some code, but Walmart has always been about people. People are why we innovate, and people power our innovations. Being human led is our true disruption.
**About Emerging Tech Team**
 The Emerging Tech team is passionate about solving customer and associate problems with the newest technologies. The team is responsible for creating breakthrough capabilities, delivering frictionless experiences, and making these technologies easily available to thousands of Walmart developers and 2\.2 million associates. The applications and services built on these capabilities are used by hundreds of millions of customers daily. We are building new platforms to bring physical and digital world together.
 What you will be part of
 At Walmart’s Emerging Tech Extended Reality team, we own some of the most challenging, fascinating, and impactful work in the fields of Computer vision, Machine learning and Deep Learning for next generation Augmented Reality and Virtual Reality experiences.
 We are looking for Applied Scientists/researchers/Computer vision engineers with algorithms, programming and/or systems background.
 Key Responsibilities
* Design Multi\-Modal Evaluation Frameworks: Develop and validate novel evaluation metrics for non\-deterministic outputs, specifically video, image, for 3D assets, and audio.
* Build "AI\-as\-a\-Judge" Systems: Fine\-tune Vision\-Language Models (VLMs) and Reward Models to serve as automated evaluators, creating scalable proxies for human judgment.
* Lead Experimentation \&amp; Causal Inference: Design and analyze A/B tests to measure the downstream business impact of GenAI content; apply causal inference techniques to understand how specific asset attributes drive user engagement.
* Orchestrate Human\-in\-the\-Loop (RLHF) Strategy: Define protocols for human evaluation, managing the relationship with annotation partners to create high\-quality "Golden Sets" for benchmarking and Reinforcement Learning from Human Feedback (RLHF).
* Strategic Cross\-Functional Partnership: Collaborate with ML Engineers and Product Managers to establish "Go/No\-Go" model launch criteria based on latency, safety, and perceptual quality standards.
* Research \&amp; Innovation: Stay current with state\-of\-the\-art research in perceptual quality (e.g., FID, CLIP scores, VQA) and implement advanced techniques to detect hallucinations, artifacts, or bias in generated content.
 Minimum qualifications:
* Master's degree in Computer Science with a specialization in Computer Vision, Machine Learning, or equivalent practical experience.
* 3\+ years of experience with machine learning algorithms and tools.
* Strong foundation in statistical analysis, experimental design (A/B testing), and causal inference.
* Hands\-on experience with Generative AI evaluation (e.g., using LLMs/VLMs for evaluation, computing FID/IS/CLIP scores, or designing perceptual studies).
* Proficiency in Python and deep learning frameworks (PyTorch, TensorFlow) for analyzing model outputs and building evaluation pipelines.
* Experience processing unstructured data (image, video, 3D meshes) for analytical purposes.
 Preferred qualifications:
* PhD in Machine Learning, Computer Science, or a related technical field.
* Experience designing Reward Models for RLHF pipelines.
* Deep understanding of 3D geometry processing (meshes, point clouds) and how to mathematically quantify "3D quality" (e.g., mesh manifoldness, texture resolution).
* Experience with Crowdsourcing platforms and designing instructions for subjective human evaluation.
* Publication record or practical experience in Computational Photography, Computer Vision Quality Assessment, or Psychophysics.
* Experience with Big Data tools (Spark, SQL, BigQuery) for analyzing large\-scale experiment results.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Statistics, Economics, Analytics, Mathematics, Computer Science, Information Technology, or related field and 3 years' experience in an analytics related field. Option 2\- Master’s degree in Statistics, Economics, Analytics, Mathematics, Computer Science, Information Technology, or related field and 1 years' experience in an analytics related field. Option 3 \- 5 years' experience in an analytics or related field.
**Preferred Qualifications...**
**Outlined below are the optional preferred qualifications for this position. If none are listed, there are no preferred qualifications.**
 Data science, machine learning, optimization models, Master’s degree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1345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5">
      <c r="A25" t="inlineStr">
        <is>
          <t>li-4349477228</t>
        </is>
      </c>
      <c r="B25" t="inlineStr">
        <is>
          <t>Senior Data Scientist - Data Journalism</t>
        </is>
      </c>
      <c r="C25" t="inlineStr">
        <is>
          <t>Sony Interactive Entertainment</t>
        </is>
      </c>
      <c r="D25" t="inlineStr">
        <is>
          <t>linkedin</t>
        </is>
      </c>
      <c r="E25">
        <f>HYPERLINK("https://www.linkedin.com/jobs/view/4349477228", "https://www.linkedin.com/jobs/view/4349477228")</f>
        <v/>
      </c>
      <c r="F25">
        <f>HYPERLINK("https://job-boards.greenhouse.io/sonyinteractiveentertainmentglobal/jobs/5726138004?gh_src=sgp49gfz4us&amp;urlHash=-8kt", "https://job-boards.greenhouse.io/sonyinteractiveentertainmentglobal/jobs/5726138004?gh_src=sgp49gfz4us&amp;urlHash=-8kt")</f>
        <v/>
      </c>
      <c r="G25" t="inlineStr">
        <is>
          <t>San Mateo, CA</t>
        </is>
      </c>
      <c r="H25" t="inlineStr"/>
      <c r="I25"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**Senior Data Scientist, Data Journalism**
**San Mateo, CA (hybrid)\***
*This position will also require onsite work at least one day/week at our San Mateo location.*
 As a Senior Data Scientist focused on Data Journalism in the Product Data Science team, you will be working at the forefront of data science to uncover and share important data stories by exploring user behavior across the PlayStation ecosystem and discovering and communicating new information about our users and our ecosystem that will advance our company’s ability to use data.
 You will work with team members and internal customers to harness your knowledge of data communication and data analysis techniques in order to unravel complex phenomenon and inform decision making throughout the company that will help create a personalized, joyous experience for PlayStation users around the world.
**Responsibilities:**
* Identify and bring to life data stories that are present but unexplored in the team’s output in a way that is both accurate and approachable.
* Use impactful visuals and concise narratives to create compelling stories for technical and non\-technical audiences in product management, partner services, commerce, strategy, data, and engineering departments.
* Explore PlayStation data to ensure that you are using the best source of data for your analyses and maintaining awareness of any issues of interpretation that may arise.
* Perform ad\-hoc analyses on petabytes of complex data.
* Learn new tools as appropriate and determine how best to convey your stories in the tools and formats that are available to you.
* Develop a thorough understanding of the business, our products, partners, and users, how information flows through the company, and how the PDS team contributes to and supplements that flow.
* Provide critical information to diverse audiences to inform decision making, increase understanding of our ecosystem, and inspire action and innovation.
**Required Skills and Qualifications:**
* Strong understanding of data manipulation techniques, including intermediate or advanced understanding of SQL and Python or other similar languages.
* Excellent data storytelling skills, with the ability to translate complex data into clear, engaging, insightful narratives.
* Strong analytical and problem solving skills.
* Proficiency with data visualization tools.
* Experience working with large, complex datasets.
* Keen sense of what data stories should be told and how to tell them.
* Excellent communication and interpersonal skills and the desire and ability to work collaboratively with people from different areas of expertise and build and maintain relationships with a variety of partners and internal customers.
* Strong business sense and interest in what we do and how we do it.
* Ability to adapt your thinking when faced with new evidence.
**Preferred Qualifications:**
* Knowledge of the gaming industry or related domain areas (e.g., media or entertainment).
* Familiarity with Streamlit or similar frameworks.
* Experience working closely with data scientists and/or data engineers.
* Experience working in a global environment.
* Ability to influence without authority.
* PlayStation offers a global hybrid office/remote working model — Flex Modes — which aims to combine the flexibility of remote working with the magic of in\-person collaboration. The model is built upon the principle of working together in\-person as work requires, with the freedom to work remotely otherwise. We will consider fully remote candidates who are able to come in for 'Moments that Matter'.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$182,500—$273,700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26">
      <c r="A26" t="inlineStr">
        <is>
          <t>li-4355360722</t>
        </is>
      </c>
      <c r="B26" t="inlineStr">
        <is>
          <t>Staff Data Scientist -  Experimentation &amp; Measurement</t>
        </is>
      </c>
      <c r="C26" t="inlineStr">
        <is>
          <t>Sony Interactive Entertainment</t>
        </is>
      </c>
      <c r="D26" t="inlineStr">
        <is>
          <t>linkedin</t>
        </is>
      </c>
      <c r="E26">
        <f>HYPERLINK("https://www.linkedin.com/jobs/view/4355360722", "https://www.linkedin.com/jobs/view/4355360722")</f>
        <v/>
      </c>
      <c r="F26">
        <f>HYPERLINK("https://job-boards.greenhouse.io/sonyinteractiveentertainmentglobal/jobs/5778928004?gh_src=sgp49gfz4us&amp;urlHash=fcRn", "https://job-boards.greenhouse.io/sonyinteractiveentertainmentglobal/jobs/5778928004?gh_src=sgp49gfz4us&amp;urlHash=fcRn")</f>
        <v/>
      </c>
      <c r="G26" t="inlineStr"/>
      <c r="H26" t="inlineStr"/>
      <c r="I26"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**Staff Data Scientist \- Experimentation \&amp; Measurement**
**Overview:**
 As a Staff Data Scientist on the Decision Science team at PlayStation, you will take a leading role in designing and interpreting experiments that evaluate the impact of key initiatives and programs. You’ll help shape how millions of players around the world experience PlayStation by bringing statistical rigor, clear measurement strategies, and deep causal inference expertise to some of the most critical initiatives across the company. This highly visible role will advance our experimentation practices and ensure that data\-driven insights inform the way we build, market, and evolve our products.
**What You’ll Be Doing:**
* Design, execute, and interpret A/B tests and quasi\-experiments, and apply advanced causal inference methods when experimentation isn’t feasible.
* Partner with cross\-functional teams (product, engineering, marketing) to embed experimentation into development and iteration cycles and communicate results with the company’s senior leadership.
* Mentor and guide other Data Scientists, providing thought leadership and technical direction.
* Serve as a thought leader on best practices for hypothesis development, metric selection, test structure, and results communication.
* Help define and contribute to centralized experimentation frameworks, tools, and documentation to scale best practices across the company.
* Independently extract, transform, and analyze data from complex systems using SQL, Python, and other analytics tools.
* Communicate findings clearly to technical and non\-technical stakeholders, helping drive business decisions with rigor and clarity.
* Stay current on new methodologies in experimentation and causal analysis, and bring fresh perspectives to the team’s work.
* Your insights will directly influence how PlayStation builds, markets, and evolves products across our ecosystem.
**Basic Requirements:**
* Master’s or PhD in Statistics, Economics, or Econometrics.
* 6\+ years of experience in a data science experimentation/causal inference\-focused role (4\+ with PhD).
* Deep expertise in A/B testing and causal inference, including quasi\-experimental methods.
* Proficiency in SQL and Python for data extraction, transformation, and analysis.
* Broad and applied knowledge of statistical techniques.
* Experience with machine learning modeling is a plus.
* Proven ability to influence product and business decisions through clear, actionable insights.
* Experience contributing to or developing experimentation frameworks, best practices, or internal tooling.
* Bonus: Passion for video games, player communities, or the gaming industry.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$212,200—$318,200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27">
      <c r="A27" t="inlineStr">
        <is>
          <t>li-4354186857</t>
        </is>
      </c>
      <c r="B27" t="inlineStr">
        <is>
          <t>Senior Data Scientist -  Experimentation &amp; Measurement</t>
        </is>
      </c>
      <c r="C27" t="inlineStr">
        <is>
          <t>Sony Interactive Entertainment</t>
        </is>
      </c>
      <c r="D27" t="inlineStr">
        <is>
          <t>linkedin</t>
        </is>
      </c>
      <c r="E27">
        <f>HYPERLINK("https://www.linkedin.com/jobs/view/4354186857", "https://www.linkedin.com/jobs/view/4354186857")</f>
        <v/>
      </c>
      <c r="F27">
        <f>HYPERLINK("https://job-boards.greenhouse.io/sonyinteractiveentertainmentglobal/jobs/5755168004?gh_src=sgp49gfz4us&amp;urlHash=eE_e", "https://job-boards.greenhouse.io/sonyinteractiveentertainmentglobal/jobs/5755168004?gh_src=sgp49gfz4us&amp;urlHash=eE_e")</f>
        <v/>
      </c>
      <c r="G27" t="inlineStr">
        <is>
          <t>San Diego, CA</t>
        </is>
      </c>
      <c r="H27" t="inlineStr"/>
      <c r="I27"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Senior Data Scientist \- Experimentation \&amp; Measurement
**San Diego, CA**
**Overview:**
 As a Senior Data Scientist on the Decision Science team within the Data Science, Analytics, \&amp; Enablement (DSAE) organization at PlayStation, you will take a leading role in designing and interpreting experiments that evaluate the impact of PS4 to PS5 user migration initiatives, growth marketing strategies, and broader campaign performance. This role is focused on advancing our experimentation practices—bringing statistical rigor, clear measurement strategies, and deep causal inference expertise to some of the most critical initiatives across PlayStation.
**What You’ll Be Doing:**
* Lead the design, execution, and interpretation of A/B tests and quasi\-experiments to evaluate the impact of user migration initiatives (PS4 to PS5\), growth marketing strategies, and campaign performance.
* Partner with cross\-functional teams (product, engineering, marketing) to embed experimentation into development and iteration cycles.
* Serve as a thought leader on best practices for hypothesis development, metric selection, test structure, and results communication.
* Apply advanced causal inference methods when experimentation isn’t feasible or to inform test design and prioritization.
* Help define and contribute to centralized experimentation frameworks, tools, and documentation to scale best practices across the company.
* Independently extract, transform, and analyze data from complex systems using SQL, Python, and other analytics tools.
* Communicate findings clearly to technical and non\-technical stakeholders, helping drive business decisions with rigor and clarity.
* Stay current on new methodologies in experimentation and causal analysis, and bring fresh perspectives to the team’s work.
**Basic Requirements:**
* Master’s or PhD in Statistics, Economics, or Econometrics. Other degrees in quantitative disciplines may be considered.
* 5\+ years of experience in a data science experimentation\-focused role (3\+ with PhD).
* Deep expertise in A/B testing and causal inference, including quasi\-experimental methods.
* Proficiency in SQL for data extraction and transformation.
* Proficiency in Python, including statistical and data science libraries.
* Broad and applied knowledge of statistical techniques and machine learning modeling methods.
* Proven ability to influence product and business decisions through clear, actionable insights.
* Experience contributing to or developing experimentation frameworks, best practices, or internal tooling.
* Bonus: Interest in or knowledge of video games, gaming platforms, or player behavior.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$178,900—$268,300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28">
      <c r="A28" t="inlineStr">
        <is>
          <t>li-4381022881</t>
        </is>
      </c>
      <c r="B28" t="inlineStr">
        <is>
          <t>Data Scientist, Marketing</t>
        </is>
      </c>
      <c r="C28" t="inlineStr">
        <is>
          <t>Mirage</t>
        </is>
      </c>
      <c r="D28" t="inlineStr">
        <is>
          <t>linkedin</t>
        </is>
      </c>
      <c r="E28">
        <f>HYPERLINK("https://www.linkedin.com/jobs/view/4381022881", "https://www.linkedin.com/jobs/view/4381022881")</f>
        <v/>
      </c>
      <c r="F28" t="inlineStr"/>
      <c r="G28" t="inlineStr"/>
      <c r="H28" t="inlineStr"/>
      <c r="I28" t="inlineStr">
        <is>
          <t>**About the Role** 
 We’re looking for a Data Scientist to help power our marketing strategy. In this role, you’ll partner with Marketing, Product, and Finance to improve acquisition performance, refine attribution, and build the measurement foundations that guide our company’s growth.
 As the first Data Scientist dedicated to marketing analytics, you will define core success metrics, evaluate funnel performance, and uncover insights that shape our go\-to\-market strategy.
**Key Responsibilitie** 
* sAnalyze acquisition, lifecycle, and overall marketing performance to surface trends, identify funnel gaps, and highlight opportunities to improve efficiency and customer value
* .Build and maintain predictive models that support forecasting, customer understanding, targeting, and personalization
* .Develop and improve marketing measurement frameworks to better understand channel impact, attribution, and drivers of growth
* .Conduct deep analyses of customer behavior, segments, and retention patterns to inform marketing and product strategy
* .Design, run, and evaluate experiments (e.g., A/B tests) to measure the impact of marketing initiatives and guide decision\-making
* .Assess multi\-channel campaign performance and provide clear recommendations to marketing partners to improve outcomes
* .Work closely with cross functional teams and leadership to enhance data quality, evolve marketing datasets, and support scalable analytical workflows
* .Communicate insights clearly and effectively, turning complex analyses into actionable recommendations for leadership and cross\-functional teams
**.
 Requiremen** 
* tsMinimum of 5 years of experience in data science, marketing data science, or growth analytics within B2C, B2B, e\-commerce, or SaaS environment
* s.Advanced proficiency in SQL and Python, including experience with data manipulation libraries and statistical modelin
* g.Hands\-on experience with modern cloud data warehouses (e.g., BigQuery) and building scalable data models or pipelines for analytic
* s.Experience with predictive modeling, such as LTV, churn, conversion propensity, clustering, and time\-series forecastin
* g.Strong understanding of marketing measurement, including CAC, CLV, ROAS, funnel analytics, incrementality testing, and attribution methods (MMM, MTA, SKAN
* ).Familiarity with mobile measurement partners, including AppsFlyer or Adjust, and mobile attribution concept
* s.Experience designing and evaluating experiments, with a solid grounding in statistical testing, causal inference, and uplift modelin
* g.Demonstrated ability to work cross\-functionally, partnering with Marketing, Product, Finance, and Data Engineering stakeholder
* s.Exceptional analytical and problem\-solving skills, with the ability to break down ambiguous problems and operate autonomously in fast\-paced environment
* s.Clear and effective communication skills, with the ability to convey complex technical insights to non\-technical audience
 s.</t>
        </is>
      </c>
    </row>
    <row r="29">
      <c r="A29" t="inlineStr">
        <is>
          <t>li-4371547478</t>
        </is>
      </c>
      <c r="B29" t="inlineStr">
        <is>
          <t>Data Scientist/Analyst, Corporate Financial Planning and Analysis</t>
        </is>
      </c>
      <c r="C29" t="inlineStr">
        <is>
          <t>Google</t>
        </is>
      </c>
      <c r="D29" t="inlineStr">
        <is>
          <t>linkedin</t>
        </is>
      </c>
      <c r="E29">
        <f>HYPERLINK("https://www.linkedin.com/jobs/view/4371547478", "https://www.linkedin.com/jobs/view/4371547478")</f>
        <v/>
      </c>
      <c r="F29" t="inlineStr"/>
      <c r="G29" t="inlineStr">
        <is>
          <t>Sunnyvale, CA</t>
        </is>
      </c>
      <c r="H29" t="inlineStr"/>
      <c r="I29" t="inlineStr">
        <is>
          <t>**Minimum qualifications:**
* Bachelor's degree in Analytics, Data Science, Economics, Statistics, or another quantitative field, or equivalent practical experience.
* 5 years of experience in financial planning and analysis, data science consulting, or a related function.
**Preferred qualifications:**
* Track record of pushing the boundaries of data and developing novel approaches to shed new light on difficult questions.
* Knowledge of advanced analytics techniques and capabilities.
* Ability to grow in a fast\-paced environment, and maintain executive presence and perspective in the midst of changing timelines and rapid decision making.
* Strong business acumen with an understanding of business drivers and value\-creation.
* Excellent problem\-solving and strategic skills, with the ability to draw insights from data and manage recommended actions.
* Excellent detail oriented, with continual process improvement.
**About The Job**
 Business Analysts ensure that Google makes effective business and operational decisions. As a Business Analyst, your work, whether it's modeling business scenarios, tracking performance metrics or building metrics that matter, is used by our leaders to make strategic company decisions. Working on multiple projects at a time, you'll focus on the details while finding creative ways to take on big picture challenges. You'll lead individual projects to transform planning, tracking and control processes, as well as provide executive level management with insightful recommendations, planning and reporting support.
 Google’s Corporate Financial Planning and Analysis (FP\&amp;A) team focuses on decisions, projects, and processes that impact the entire business. We provide Google’s executive leadership with the information and insights they need to set and implement strategy, measure performance, and provide a clear view of the future.
 As a Data Science/Analyst for the Business Performance team, you will engineer the predictive models and AI\-driven frameworks that power Google’s profit and loss forecasting. Beyond traditional reporting, you will be responsible for architecting advanced scenario simulations to project Alphabet’s future margin profile and surface algorithmic insights to Corporate FP\&amp;A leadership. You will drive the global standardization of financial metrics by partnering with the DNA team to optimize the CFO dashboard as a single source of truth. You will combine your deep data science expertise with broad financial acumen to influence strategy and automate decision\-making across the enterprise.
 The name Google came from "googol," a mathematical term for the number 1 followed by 100 zeros. And nobody at Google loves big numbers like the Finance team when providing in depth analysis on all manner of strategic decisions across Google products. From developing forward\-thinking analysis to generating management reports to scaling our automated financial processes, the Finance organization is an important partner and advisor to the business.
 The US base salary range for this full\-time position is $141,000\-$207,000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Architect and train sophisticated statistical models (e.g., time\-series forecasting, regression) to project in\-year performance and long\-term margin trajectories across all profit and loss lines.
* Apply advanced data science techniques to detect anomalies, identify emerging macro\-trends, and simulate complex business scenarios that directly inform C\-level decision\-making.
* Lead the technical optimization of the centralized CFO (Chief Financial Officer)dashboard, ensuring the underlying data pipelines and visualization layers deliver real\-time, standardized Key Performance Indicators (KPIs).
* Design and implement GenAI and machine learning workflows to automate routine FP\&amp;A tasks, drastically reducing manual effort and increasing forecast accuracy.
* Own the algorithmic logic and data governance for Corporate FP\&amp;A, acting as the custodian for all financial outputs.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0">
      <c r="A30" t="inlineStr">
        <is>
          <t>li-4343220410</t>
        </is>
      </c>
      <c r="B30" t="inlineStr">
        <is>
          <t>Senior Data Scientist I - Product</t>
        </is>
      </c>
      <c r="C30" t="inlineStr">
        <is>
          <t>Dandy</t>
        </is>
      </c>
      <c r="D30" t="inlineStr">
        <is>
          <t>linkedin</t>
        </is>
      </c>
      <c r="E30">
        <f>HYPERLINK("https://www.linkedin.com/jobs/view/4343220410", "https://www.linkedin.com/jobs/view/4343220410")</f>
        <v/>
      </c>
      <c r="F30" t="inlineStr"/>
      <c r="G30" t="inlineStr"/>
      <c r="H30" t="inlineStr"/>
      <c r="I30"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**Revolutionizing the dental industry is hard…and we need help.**
 We're on the hunt for an experienced Senior Data Analyst who can tackle some of our most significant challenges in product. This role is responsible for key aspects of Dandy's business, obsessing over the customer experience to grow recurring revenue, improve customer retention, and enhance our product through increased feature usage.
 We are looking for a Senior Data Analyst with 5\+ years of experience and a quantitative background (Math, Stats, Engineering, or Behavioral Science) who wants to operate as a business owner, not a technical resource.
**Your responsibilities/opportunities:**
 You aren't here to manage a queue; you're here to drive the product forward. As a Senior Data Analyst, you will:
* Own the Analytical Roadmap: Serve as the primary point of contact for Product, Design, and Engineering to translate company OKRs into a concrete product data strategy. You don’t wait for questions; you proactively identify friction in the user journey—like feature drop\-off—and surface the solution.
* Define the Metrics Framework: Establish the "Source of Truth" for product success by designing KPIs and dashboards in Hex or Looker. You ensure that when leadership asks about feature performance, the answer is consistent, accurate, and actionable.
* Drive Causal Impact: Move beyond descriptive reporting to lead end\-to\-end projects spanning months—from ideation to maintenance. You will design and execute complex A/B experiments and causal inference models in Python to prove what actually drives retention.
* Lead Product Decision\-Making: Distill complex statistical findings into high\-leverage narratives for VPs and Directors. You will be a central voice in the room helping leadership make trade\-offs between speed, quality, and technical debt.
* Raise the Bar for the Team: As a senior member of the organization, you will mentor other analysts and provide trusted, instructive code reviews. You will actively improve our tools and processes to help the broader team move faster.
**Who You Are \&amp; How We Work:**
 At Dandy, "how" we work is as important as the code we write:
* Strategic Partnership, Not Ticket\-Taking: We don’t have a service desk. You are an owner, not a renter. Using \#FirstPrincipleThinking, you interrogate the business problem behind a request to ensure we’re solving for the right outcome. You are expected to challenge assumptions and steer stakeholders toward insights that move our OKRs.
* Impact Over Complexity: We don’t build models because they are intellectually stimulating. You \#DeliverQualityResults by choosing the simplest, most effective tool for the job—whether that’s a Python script or a targeted SQL query. You are expected to use LLMs and automation to kill off repetitive tasks and "tinkering," freeing you to focus on high\-level problem solving.
* Bias for \#DandySpeed: We prioritize progress over perfection. You have the statistical intuition to know when an analysis is "directionally correct" and ready to ship. You avoid the trap of diminishing returns, preferring to establish guardrails, move fast, and iterate.
* "Walk the Floor" Mentality: You don't just live in BigQuery. You solve problems by recognizing how work gets done in the real world—whether that's in a dental office or a lab. You operate at the lowest level of detail, questioning metrics when they don't match reality (like 3D scan metadata or support logs) to uncover the true root cause.
**Bonus points:**
* Strong customer empathy, particularly for dentists
* Have experience turning vague business problems into statistical rigorous analyses \&amp; solutions (e.g. causal inference, predictive modeling)
* Interest in working and learning in an earlier stage company where we’re still working out some of the basics
* Experience in Hex, Looker, and dbt
**Req ID:** 
 J\-852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t>
        </is>
      </c>
    </row>
    <row r="31">
      <c r="A31" t="inlineStr">
        <is>
          <t>li-4343250977</t>
        </is>
      </c>
      <c r="B31" t="inlineStr">
        <is>
          <t>Senior Credit Strategy Data Scientist</t>
        </is>
      </c>
      <c r="C31" t="inlineStr">
        <is>
          <t>BILL</t>
        </is>
      </c>
      <c r="D31" t="inlineStr">
        <is>
          <t>linkedin</t>
        </is>
      </c>
      <c r="E31">
        <f>HYPERLINK("https://www.linkedin.com/jobs/view/4343250977", "https://www.linkedin.com/jobs/view/4343250977")</f>
        <v/>
      </c>
      <c r="F31">
        <f>HYPERLINK("https://www.bill.com/job?5657681004&amp;gh_jid=5657681004&amp;gh_src=a109ba074us&amp;urlHash=PU6W", "https://www.bill.com/job?5657681004&amp;gh_jid=5657681004&amp;gh_src=a109ba074us&amp;urlHash=PU6W")</f>
        <v/>
      </c>
      <c r="G31" t="inlineStr">
        <is>
          <t>San Jose, CA</t>
        </is>
      </c>
      <c r="H31" t="inlineStr"/>
      <c r="I31" t="inlineStr">
        <is>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Whether in one of our offices in San Jose, CA, Draper, UT, or in a remote\-eligible role,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What You'll Do
* Lead the way: Drive the development, maintenance, and refinement of risk strategy frameworks and complex rules to achieve ambitious business goals.
* Be a data detective: Use advanced analytics and data science techniques to solve complex business problems. This includes building sophisticated SQL/Python scripts, interpreting results, and influencing decision\-making with your findings.
* Collaborate and create: Partner with cross\-functional teams, including product, engineering, and operations, to identify new opportunities, establish business requirements, and guide the execution of strategies across the customer lifecycle.
* Build powerful tools: Develop flexible performance dashboards and monitoring tools using platforms like Tableau to provide clear, actionable insights to a variety of audiences.
* Stay ahead of the curve: Identify and execute new opportunities to optimize processes and proactively detect and respond to evolving risk trends.
* Mentor and grow: Help mentor and support junior team members to help them achieve their goals.
 What We're Looking For
* Proven experience: Minimum of 5 years of experience in fraud or credit risk strategy within the fintech, e\-commerce, or online payments industry.
* Technical expertise: Proficiency in SQL and Python, with a strong ability to work with large, complex datasets and leverage data science libraries.
* Analytical mindset: Demonstrated ability to use statistics and data science to solve complex, ambiguous problems and drive data\-driven decisions.
* Exceptional communication: Ability to clearly and concisely communicate complex results to both technical experts and business leaders.
* Hands\-on experience: Direct experience with developing and deploying data\-driven and automated monitoring rules, and the ability to find and recommend enhancements for existing processes.
**Bonus Points**
* Experience in experimental design and data/control governance.
* Knowledge of fraud typologies, such as onboarding fraud/abuse.
* Experience with customer management or collections strategies for credit products like revolving credit cards or merchant cash advances.
***Visa Sponsorship:***
*Please note that this position is not eligible for visa sponsorship. Applicants must have authorization to work in the United States without requiring visa sponsorship now or in the future.*
 The estimated salary range for this role is noted below for our San Jose based role.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San Jose pay range
 $126,900—$151,800 USD
 The estimated base salary range for this role is noted below for our office location in Draper, UT. Additionally, this role is eligible to participate in BILL’s bonus and equity plan.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Draper UT pay range
 $107,800—$129,100 USD
**What’s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Don’t believe us? Check out our culture, benefits, and teams on our career site, LinkedIn Life,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To ensure a fair evaluation, our Candidate Integrity Policy prohibits the use of unapproved external assistance, including generative AI, during live interviews or assessments. Doing so will result in a review and potential disqualification.
 Our Applicant Privacy Notice describes how BILL treats the personal information it receives from applicants.</t>
        </is>
      </c>
    </row>
    <row r="32">
      <c r="A32" t="inlineStr">
        <is>
          <t>li-4354277059</t>
        </is>
      </c>
      <c r="B32" t="inlineStr">
        <is>
          <t>Associate Data Scientist II</t>
        </is>
      </c>
      <c r="C32" t="inlineStr">
        <is>
          <t>Post Holdings</t>
        </is>
      </c>
      <c r="D32" t="inlineStr">
        <is>
          <t>linkedin</t>
        </is>
      </c>
      <c r="E32">
        <f>HYPERLINK("https://www.linkedin.com/jobs/view/4354277059", "https://www.linkedin.com/jobs/view/4354277059")</f>
        <v/>
      </c>
      <c r="F32" t="inlineStr"/>
      <c r="G32" t="inlineStr">
        <is>
          <t>St Louis, MO</t>
        </is>
      </c>
      <c r="H32" t="inlineStr"/>
      <c r="I32" t="inlineStr">
        <is>
          <t>**Business Unit Overview**
 Feeding the world is what we do – how we do it is unique. We are not your textbook consumer packaged goods company. While others may be slow to make change happen, Post continuously drives both inorganic and organic growth. Our history is evidence of that fact with over 100 years of heritage and growth from brands that transcend generations like Honey Bunches of Oats, Fruity Pebbles, Malt\-O\-Meal, Bob Evans, Kibbles 'n Bits, Egg Beaters, Peter Pan peanut butter and more. Our foodservice and ingredient businesses supply other products you love for brands, restaurants and stores.
 We have more than 55 offices and manufacturing sites and approximately 13,000 employees. Over the past 13 years, Post has made 28\+ acquisitions and innovative financial transactions and reached $8\.2 billion in net sales in fiscal 2025\. During turbulent times of market uncertainty, the food industry has provided a level of stability unlike other industries
 Post Holdings, Inc. is a Fortune 500® company headquartered in Brentwood, a suburb of St. Louis, Missouri. Our casual professional atmosphere encourages team members to collaborate, innovate and support our operating companies. Our passion and drive advance the reputation of our operating companies and brands—together, we make a difference.
**Responsibilities**
 The Associate Data Scientist will primarily focus on data science project execution, using Python, Tableau, Azure ML and SQL to solve challenging problems like forecasting and optimization across all business functions within our portfolio including sales, finance, logistics, operations, IT, and HR. The Associate Data Scientist will be responsible for deployment and support of Machine Learning or AI\-enabled software to empower hundreds of decision\-makers with the most accurate information about their business and competitive markets. The Associate Data Scientist will help to identify and introduce new cutting\-edge technologies to Post’s portfolio.
**KEY RESPONSIBLITIES**
***Data Science Execution***
* Contribute to the projects of the data science team, including delivery of high\-quality data, self\-service, and machine learning and Generative AI solutions, aligning to the overall strategic objectives.
* Apply cutting\-edge data science tools to enable Post Holdings and its divisions to make better decisions with data.
* Consult with marketing, sales, finance, manufacturing, and supply chain teams to understand the highest\-value business problems and create data science applications with quantifiable revenue lift or cost avoidance.
* Manage machine learning deployments to continually deliver robust, accurate forecasts or recommendations.
* Manage small projects where Associate Data Scientist is the only developer.
* Consult with internal stakeholders to drive delivering on the scope, success metrics, and delivery timeline.
* Develop clear and intuitive data visualizations and dashboards in Tableau, model data with dbt and SQL and present exploratory data analysis results to stakeholders.
* Communicate status, priorities and issues with data science leadership, project stakeholders and teammates in a timely manner.
***Cultivate a Data Driven Culture***
* Grow data literacy across the Post Holdings organization to where decisions at all levels are guided by data and analytics.
* Summarize and present key results from projects that leverage data science to help solve key business problems.
* Contribute to the corporate knowledge of data science and data culture and assist others as they learn data science.
* Become an expert on new features within the tool stack (dbt, Tableau, Snowflake and Data Science Python libraries) and share knowledge with others through Post’s training channels.
* Drive innovation by keeping abreast of emerging technologies and foster development of the team’s skill base.
* Prototype new tools and analysis methods with the intent of growing analytics, machine learning, and data science in every area of the company.
* Create documented procedures for configuring, maintaining, upgrading, testing, and coding of analytic applications.
* Visualize data in new and innovative ways to drive deeper understanding of the data for technical and non\-technical stakeholders.
* Partner with data scientists and champion best practices for algorithm development and cloud deployment.
* Continuously enhance existing development programs to teach practical applications of data science to young talent and elevate the skills of surrounding team members.
**Qualifications**
**QUALIFICATIONS / SKILLS**
* 3\+ years of experience with collaborative data science or data analytic projects with technical and non\-technical stakeholders, driving and communicating tangible business value succinctly.
* Bachelor’s degree in Computer Science, Management Information Systems, Economics, Finance, Business, Mathematics, Statistics, or other quantitative subject required, advanced degree preferred
* Functional experience in an object\-oriented programming language (Python 3\.x preferred)
* Knowledge of software design (libraries, classes, functions), testing (logging, debugging), and versioning (Git, continuous deployment)
* Experience with machine learning platforms and cloud computing, e.g., Microsoft Azure ML (preferred), Amazon SageMaker, Google Vertex AI
* Demonstrated expertise in open\-source libraries for advanced data analysis, statistical/machine learning models, and optimization, e.g. pandas, sci\-kit learn, scipy, and ortools for Python.
* Working knowledge or familiarity with business intelligence, reporting, or data visualization software packages (Tableau, PowerBI, Looker, Cognos, R Shiny, D3, Python matplotlib)
* Working knowledge in any SQL dialect and knowledge of relational database development in SQL, maintenance, and exception testing experience required (Snowflake, Oracle, or other).
* Experience with data modeling strategies, ETL architecture, and related technical documentation, understanding of universe structure types and corresponding functionality, ability to design, execute, and document test scenarios
* Advanced user in Microsoft Office Suite, including Excel, Word, PowerPoint \&amp; Visio
* Knowledge of SDLC/RDLC/DCLC, waterfall, and agile methodologies and practical application when managing or participating in any project, enhancements to database or system configuration, or fulfilling a request for data / reporting
* Wide degree of creativity and initiative in problem solving, as well as a drive to streamline / automate / improve and innovate
* Excellent written and verbal communication skills, including the ability to concisely convey analytical interpretation and/or data issues to non\-technical individuals
* Team player mentality that is results driven, customer focused, values learning and innovation
* Exhibit trustworthiness, expertise, and the capacity to lead through influence
* Self\-motivated, strong attention to detail, curious and strong desire to learn
 This is a hybrid role based in St. Louis. In\-office days are Tuesdays, Wednesdays and Thursdays.</t>
        </is>
      </c>
    </row>
    <row r="33">
      <c r="A33" t="inlineStr">
        <is>
          <t>li-4381008962</t>
        </is>
      </c>
      <c r="B33" t="inlineStr">
        <is>
          <t>Staff Research Data Scientist, Search Ads</t>
        </is>
      </c>
      <c r="C33" t="inlineStr">
        <is>
          <t>Google</t>
        </is>
      </c>
      <c r="D33" t="inlineStr">
        <is>
          <t>linkedin</t>
        </is>
      </c>
      <c r="E33">
        <f>HYPERLINK("https://www.linkedin.com/jobs/view/4381008962", "https://www.linkedin.com/jobs/view/4381008962")</f>
        <v/>
      </c>
      <c r="F33">
        <f>HYPERLINK("https://careers.google.com/jobs/results/80403251781870278-staff-research-data-scientist/?src=Online/LinkedIn/linkedin_us&amp;utm_source=linkedin&amp;utm_medium=jobposting&amp;utm_campaign=contract&amp;urlHash=16Zo", "https://careers.google.com/jobs/results/80403251781870278-staff-research-data-scientist/?src=Online/LinkedIn/linkedin_us&amp;utm_source=linkedin&amp;utm_medium=jobposting&amp;utm_campaign=contract&amp;urlHash=16Zo")</f>
        <v/>
      </c>
      <c r="G33" t="inlineStr">
        <is>
          <t>Mountain View, CA</t>
        </is>
      </c>
      <c r="H33" t="inlineStr"/>
      <c r="I33" t="inlineStr">
        <is>
          <t>**Minimum qualifications:**
* Master's degree in Statistics, Data Science, Mathematics, Physics, Economics, Operations Research, Engineering, a related quantitative field, or equivalent practical experience.
* 8 years of experience using analytics to solve product or business problems, coding (e.g., Python, R, SQL), querying databases or statistical analysis, or 6 years of experience with a PhD degree.
* 5 years of experience with analytics and AI/ML technologies, including their current and potential applications to the media and entertainment industry.
* 3 years of experience as a people manager within a technical leadership role.
* Experience working with consumer\-facing technology products.
**Preferred qualifications:**
* 10 years of experience using analytics to solve product or business problems, coding (e.g., Python, R, SQL), querying databases or statistical analysis, or 8 years of experience with a PhD degree.
**About the job**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$207,000\-$307,000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stakeholders in cross\-projects and team settings to identify and clarify business or product questions to answer. Provide feedback to translate and refine business questions into tractable analysis, evaluation metrics, or mathematical models.
* Use custom data infrastructure or existing data models as appropriate, using specialized knowledge. Design and evaluate models to mathematically express and solve defined problems with limited precedent.
* Gather information, business goals, priorities, and organizational context around the questions to answer, as well as the existing and upcoming data infrastructure.
* Own the process of gathering, extracting, and compiling data across sources via relevant tools (e.g., SQL, R, Python). Format, re\-structure, or validate data to ensure quality, and review the dataset to ensure it is ready for analysis.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4">
      <c r="A34" t="inlineStr">
        <is>
          <t>li-4371558555</t>
        </is>
      </c>
      <c r="B34" t="inlineStr">
        <is>
          <t>Data Scientist</t>
        </is>
      </c>
      <c r="C34" t="inlineStr">
        <is>
          <t>Sabre Systems, LLC</t>
        </is>
      </c>
      <c r="D34" t="inlineStr">
        <is>
          <t>linkedin</t>
        </is>
      </c>
      <c r="E34">
        <f>HYPERLINK("https://www.linkedin.com/jobs/view/4371558555", "https://www.linkedin.com/jobs/view/4371558555")</f>
        <v/>
      </c>
      <c r="F34">
        <f>HYPERLINK("https://careers.sabresystems.com/jobs/4517?lang=en-us&amp;iis=Job+Board&amp;iisn=LinkedIn&amp;urlHash=lG8u", "https://careers.sabresystems.com/jobs/4517?lang=en-us&amp;iis=Job+Board&amp;iisn=LinkedIn&amp;urlHash=lG8u")</f>
        <v/>
      </c>
      <c r="G34" t="inlineStr">
        <is>
          <t>Patuxent River, MD</t>
        </is>
      </c>
      <c r="H34" t="inlineStr"/>
      <c r="I34" t="inlineStr">
        <is>
          <t>**Responsibilities**
 Sabre Systems is currently recruiting for a
 **Data Scientist** 
 to provide support for the NAWCAD Readiness \&amp; Fleet Analytics (R\&amp;FA) Division’s Advanced Analytics and Innovation (AA\&amp;I) Branch at Patuxent River Naval Air Station in Lexington Park, MD. The selected candidate will focus on developing advanced dashboards, visualizations, and websites, while leveraging data engineering, advanced analytics, and machine learning to analyze and manage complex datasets. The candidate will use business intelligence (BI) tools such as Tableau and Microsoft Power BI to transform PMA reliability, maintenance, and supply data into actionable insights. Additionally, you will work with cutting\-edge data engineering, web development, and data science platforms, including Databricks, GitLab, JIRA, Amazon Web Services (AWS), NUCLEUS, and JAVA, to deliver innovative and impactful solutions. The AA\&amp;I Branch provides critical support to Program Management Air (PMA) offices, the Air Systems Group, Command, Fleet Readiness Centers, and other Department of Defense (DoD) services. This is a full\-time position with telework as the primary arrangement.
**The selected candidate will be responsible for but not limited to**
* Apply advanced analytical models, techniques, and methodologies to solve complex scientific and business operations challenges.
* Dashboard \&amp; Visualization Development Research, design, and develop user\-centric interactive reports, dashboards, and visualization solutions using Tableau, Qlik, or Power BI to deliver actionable business insights for PMA and AA\&amp;I branch decision makers.
* Technical Proficiency \&amp; Analysis Demonstrate expertise in scientific tools including QLIK, Tableau, R, Python, and SQL, along with other programming and dashboarding utilities. Analyze aircraft platforms and develop algorithms to detect system failures and performance issues.
* Data Engineering \&amp; Architecture Design, build, integrate, and manage data architecture and frameworks for various data science projects, ensuring seamless data flow between servers and applications.
* Data Management \&amp; Processing Gather, clean, preprocess, and analyze data from multiple sources to support modeling and decision\-making processes. Apply statistical analysis and data mining techniques to extract insights, validate model assumptions, and develop automated scripts for data transmission across different environments.
* Advanced Analytics Apply machine learning, natural language processing, and other advanced programming techniques to collect, process, analyze, and present statistical data in meaningful formats.
* Predictive Analytics Analyze historical data and trends to forecast future outcomes and continuously optimize model performance.
**Qualifications**
**Requirements**
* Bachelor's degree in Data Science, Computer Science, Mathematics, Statistics (preferred), or Engineering/Operations Research (acceptable) with 5\+ years of related experience. Master's degree preferred and will receive preference.
* Programming Expertise 7\+ years of professional or academic experience with Python, R, or SQL.
* Business Intelligence Tools 3\-5\+ years of hands\-on experience with Tableau, Qlik, or Power BI.
* Project Management Tools 5\+ years of experience with JIRA and GitLab.
* Must have an Active DoD Secret Security Clearance.
* Must be an U.S. Citizen.
**Candidates With The Following Experience Are Highly Desired**
* Background in aerospace and/or defense industries
* Familiarity with aviation industry data
* JAVA and front\-end development skills
* Advanced Tableau data visualization expertise
* Scrum Master certification and/or leadership experience
* Strong analytical and critical thinking capabilities
* Excellent oral and written communication skills, including the ability to present and defend technical recommendations
* Self\-directed team player with proven ability to deliver results efficiently and interact professionally across all management levels
* High\-level problem\-solving and interpersonal skills
* Adaptability to work effectively in dynamic environments
**Compensation Statement**
 At Sabre Systems, LLC, compensation is based on factors such as location, qualifications, experience, and contract\-specific requirements; however, final compensation will be determined by individual qualifications and applicable contract terms. The general salary range for this position is as follows $138,938\.00 \- $153,244\.00
**Refer \&amp; Earn Employee Referral Bonus Eligibility**
* A Level 3 Employee Referral Bonus applies to this requisition for qualifying referrals. At Sabre Systems, we value great talent and encourage our employees to refer exceptional candidates. If you have any questions about the referral policy or this position, please contact the Recruiting team.
**Sabre Overview**
 Sabre Systems, LLC, has been providing innovative technological solutions and services for Department of Defense, Federal Civilian, and commercial customers for more than 35 years. We support the ever\-evolving areas of advanced communication technologies, cyber, systems and software engineering, and digital transformation.
 With over three decades in business, Sabre Systems, LLC remains committed to our small business values and a people\-first philosophy. We foster a welcoming, inclusive culture that values diverse perspectives and encourages open communication. Our collaborative environment supports continuous learning and professional growth at all levels. We prioritize the health, well\-being, and success of our employees, offering comprehensive, evolving benefits designed to meet their diverse needs. Join us and be part of a thriving, people\-driven culture.
**We respect the unique perspectives that a diverse workforce of minorities, women, individuals with disabilities, and protected veterans brings not only to our company, but also to our customers. All qualified applicants will receive consideration for employment without regard to race, color, religion, sex (including pregnancy, gender identity and sexual orientation), national origin, age, disability or genetic information.**
**EEO Minorities/Females/Disability/Veterans; VEVRAA Federal Contractor**
**Beware of employment scams** 
 —Sabre Systems will never request payment, extend offers without an interview, or contact you from an email that doesn’t end in
 **@sabresystems.com** 
 ; always apply directly at https //careers.sabresystems.com/.</t>
        </is>
      </c>
    </row>
    <row r="35">
      <c r="A35" t="inlineStr">
        <is>
          <t>li-4382102825</t>
        </is>
      </c>
      <c r="B35" t="inlineStr">
        <is>
          <t>Staff Data Scientist</t>
        </is>
      </c>
      <c r="C35" t="inlineStr">
        <is>
          <t>Intuit</t>
        </is>
      </c>
      <c r="D35" t="inlineStr">
        <is>
          <t>linkedin</t>
        </is>
      </c>
      <c r="E35">
        <f>HYPERLINK("https://www.linkedin.com/jobs/view/4382102825", "https://www.linkedin.com/jobs/view/4382102825")</f>
        <v/>
      </c>
      <c r="F35">
        <f>HYPERLINK("https://dsp.prng.co/uyJ4dib&amp;urlHash=8Hlf", "https://dsp.prng.co/uyJ4dib&amp;urlHash=8Hlf")</f>
        <v/>
      </c>
      <c r="G35" t="inlineStr">
        <is>
          <t>Mountain View, CA</t>
        </is>
      </c>
      <c r="H35" t="inlineStr"/>
      <c r="I35" t="inlineStr">
        <is>
          <t>**Overview**
**Intuit is looking for an innovative and hands\-on Staff Data Scientist to join the Mid Market team. We are seeking a Staff Data Scientist to partner closely with product, engineering, design, and data science teams to build AI\-native data capability to enable data\-informed decisions. In this role you will be building and deploying machine learning models using both analytical algorithms and deep learning approaches to identify Mid Market growth opportunities and define product roadmap.**
**Responsibilities**
**Strategic Impact**
* Build AI\-first data capability and tools for product, marketing and sales teams to understand customer e2e journey and identify growth opportunities.
* Translate complex data into consumable format and enable actionable insights to inform product and strategy decisions.
* Influence product roadmaps and strategy by presenting data\-driven recommendations to leadership.
**Data Infrastructure \&amp; End\-to\-End Builder**
* Partner with data engineering to build AI\-native data infrastructure for LLM consumption.
* Perform hands\-on data analysis and modeling with massive datasets. Discover data sources, build your own ETL pipelines to clean/import data, and make them "model\-ready."
* Apply Advanced modeling techniques (e.g. data mining, NLP, and machine learning) to translate unstructured data to business insights.
* Build AI agents to automate analytics workflows
**Analysis \&amp; Experimentation**
* Run experiments, gather data, perform statistical analysis, draw conclusions on the impact of your optimizations and communicate results to peers and leaders.
* Influence product roadmaps and strategy by presenting data\-driven recommendations to leadership.
* Develop dashboards and self\-service tools to democratize data access and empower teams.
**Innovation \&amp; Leadership**
* Explore new design or technology shifts in order to determine how they might connect with the customer benefits we wish to deliver.
* Mentor analysts across the org, fostering best practices in analytics and storytelling.
**Qualifications**
* BS, MS, or PhD in an appropriate technology field (Computer Science, Statistics, Applied Math, etc.)
* 6\+ years of industry experience with Data Science/AI (or 2\+ years with a PhD).
* Strong proficiency in modern advanced analytical tools and programming languages such as R or Python (e.g., scikit\-learn, pandas, numpy).
* Highly proficient in A/B testing, SQL and Tableau.
* Efficient in SQL, Hive, or SparkSQL, etc.
* Understand machine learning principles (training, validation, etc.)
* Strong analytical and problem\-solving skills: able to develop and use structured approaches to identify root causes and recommend resolutions: can present results in meaningful terms.
* Solid communication skills: Demonstrated ability to explain complex technical issues to both technical and non\-technical audiences.
* Ability to narrate complex stories with data, and be concise in the insights and how they drive outcomes with leadership and stakeholders. Proactive and inquisitive learner, seeks out and capitalizes on opportunities for change that enhance the business, rather than reacting to circumstances.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$ 186,500\- 252,000
 Southern California $ 179,000\- 242,000</t>
        </is>
      </c>
    </row>
    <row r="36">
      <c r="A36" t="inlineStr">
        <is>
          <t>li-4382113403</t>
        </is>
      </c>
      <c r="B36" t="inlineStr">
        <is>
          <t>Staff Data Scientist</t>
        </is>
      </c>
      <c r="C36" t="inlineStr">
        <is>
          <t>Intuit</t>
        </is>
      </c>
      <c r="D36" t="inlineStr">
        <is>
          <t>linkedin</t>
        </is>
      </c>
      <c r="E36">
        <f>HYPERLINK("https://www.linkedin.com/jobs/view/4382113403", "https://www.linkedin.com/jobs/view/4382113403")</f>
        <v/>
      </c>
      <c r="F36">
        <f>HYPERLINK("https://dsp.prng.co/mtOXXVb&amp;urlHash=nUew", "https://dsp.prng.co/mtOXXVb&amp;urlHash=nUew")</f>
        <v/>
      </c>
      <c r="G36" t="inlineStr">
        <is>
          <t>San Diego, CA</t>
        </is>
      </c>
      <c r="H36" t="inlineStr"/>
      <c r="I36" t="inlineStr">
        <is>
          <t>**Overview**
**Intuit is looking for an innovative and hands\-on Staff Data Scientist to join the Mid Market team. We are seeking a Staff Data Scientist to partner closely with product, engineering, design, and data science teams to build AI\-native data capability to enable data\-informed decisions. In this role you will be building and deploying machine learning models using both analytical algorithms and deep learning approaches to identify Mid Market growth opportunities and define product roadmap.**
**Responsibilities**
**Strategic Impact**
* Build AI\-first data capability and tools for product, marketing and sales teams to understand customer e2e journey and identify growth opportunities.
* Translate complex data into consumable format and enable actionable insights to inform product and strategy decisions.
* Influence product roadmaps and strategy by presenting data\-driven recommendations to leadership.
**Data Infrastructure \&amp; End\-to\-End Builder**
* Partner with data engineering to build AI\-native data infrastructure for LLM consumption.
* Perform hands\-on data analysis and modeling with massive datasets. Discover data sources, build your own ETL pipelines to clean/import data, and make them "model\-ready."
* Apply Advanced modeling techniques (e.g. data mining, NLP, and machine learning) to translate unstructured data to business insights.
* Build AI agents to automate analytics workflows
**Analysis \&amp; Experimentation**
* Run experiments, gather data, perform statistical analysis, draw conclusions on the impact of your optimizations and communicate results to peers and leaders.
* Influence product roadmaps and strategy by presenting data\-driven recommendations to leadership.
* Develop dashboards and self\-service tools to democratize data access and empower teams.
**Innovation \&amp; Leadership**
* Explore new design or technology shifts in order to determine how they might connect with the customer benefits we wish to deliver.
* Mentor analysts across the org, fostering best practices in analytics and storytelling.
**Qualifications**
* BS, MS, or PhD in an appropriate technology field (Computer Science, Statistics, Applied Math, etc.)
* 6\+ years of industry experience with Data Science/AI (or 2\+ years with a PhD).
* Strong proficiency in modern advanced analytical tools and programming languages such as R or Python (e.g., scikit\-learn, pandas, numpy).
* Highly proficient in A/B testing, SQL and Tableau.
* Efficient in SQL, Hive, or SparkSQL, etc.
* Understand machine learning principles (training, validation, etc.)
* Strong analytical and problem\-solving skills: able to develop and use structured approaches to identify root causes and recommend resolutions: can present results in meaningful terms.
* Solid communication skills: Demonstrated ability to explain complex technical issues to both technical and non\-technical audiences.
* Ability to narrate complex stories with data, and be concise in the insights and how they drive outcomes with leadership and stakeholders. Proactive and inquisitive learner, seeks out and capitalizes on opportunities for change that enhance the business, rather than reacting to circumstances.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$ 186,500\- 252,000
 Southern California $ 179,000\- 242,000</t>
        </is>
      </c>
    </row>
    <row r="37">
      <c r="A37" t="inlineStr">
        <is>
          <t>li-4381981236</t>
        </is>
      </c>
      <c r="B37" t="inlineStr">
        <is>
          <t>Applied Scientist II and Senior Applied Scientist</t>
        </is>
      </c>
      <c r="C37" t="inlineStr">
        <is>
          <t>Microsoft</t>
        </is>
      </c>
      <c r="D37" t="inlineStr">
        <is>
          <t>linkedin</t>
        </is>
      </c>
      <c r="E37">
        <f>HYPERLINK("https://www.linkedin.com/jobs/view/4381981236", "https://www.linkedin.com/jobs/view/4381981236")</f>
        <v/>
      </c>
      <c r="F37" t="inlineStr"/>
      <c r="G37" t="inlineStr">
        <is>
          <t>Redmond, WA</t>
        </is>
      </c>
      <c r="H37" t="inlineStr"/>
      <c r="I37" t="inlineStr">
        <is>
          <t>**Overview**
 Come build community, explore your passions and do your best work at Microsoft. This opportunity will allow you to bring your aspirations, talent, potential \- and excitement for the journey ahead.
 Monetization at Microsoft AI is at the forefront of one of the fastest growing areas on the Internet—online advertising and intelligent monetization solutions. Our work powers products like Bing Ads, Copilot, and the broader Microsoft ecosystem, serving billions of ad impressions and generating terabytes of user interaction data every day. The rapid evolution of this space presents incredible opportunities and complex technical challenges that require cutting\-edge solutions in machine learning, natural language processing, data mining, and large\-scale optimization.
 **A PhD is preferred for this role, as it reflects advanced proficiency in scientific methodology, rigorous experimental design, and a strong commitment to reproducible research practices.**
 We are a world\-class organization of passionate scientists and engineers working at the intersection of AI and monetization. Our mission is to select and deliver optimized, personalized content and ads across Microsoft surfaces to maximize a total utility function that balances revenue, user experience, and advertiser value. Whether it's helping users discover what they need, enabling advertisers to reach their ideal audience, or infusing intelligence into Copilot interactions, we are redefining what’s possible in the future of monetization through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Please note, this application is only for roles based in our Redmond, Washington office. For roles in other offices in the United States, please see our Careers site.
**Responsibilities**
* Building and maintaining production machine learning models for ad retrieval, quality prediction and creative generation.
* Finding insights and forming hypothesis on web\-scale data with various machine learning, feature engineering, statistical, and data mining techniques: e.g. regression, classification, NLP, optimization, p\-values analysis.
* Designing experiments, understanding the resulting data, and producing actionable, trustworthy conclusions from them.
* Craft and Optimize Prompts for Effective LLM Performance: Design, test, and refine prompts to elicit accurate, relevant, and useful responses from LLMs. This involves understanding the nuances of how the model interprets different inputs, experimenting with various prompt formulations, and iterating based on performance metrics and user feedback.
* Wrangling large amounts of data (think petabytes) using various tools, including open\-source ones and your own. All programming languages are welcome, especially Python, R, C\#, C\+\+, Java, and SQL.
* Taking complex problems and the associated data and giving the answers in a concise form to assist senior executives in making key business decision.
**Qualifications**
**Required Qualifications:**
*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Statistics, Econometrics, Computer Science, Electrical or Computer Engineering, or related field OR equivalent experience.
**Preferred Qualifications**
*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 2\+ years experience delivering, scaling, and maintaining highly successful and innovative machine learning products.
* 1\+ year(s) experience creating publications (e.g., patents, peer\-reviewed academic papers).
* Experience with Large Language Models: Demonstrated experience working with LLMs, such as GPT, BERT, or similar models, including knowledge of their strengths, limitations, and capabilities.
* Understanding of NLP: In\-depth knowledge of natural language processing (NLP) techniques and concepts, including tokenization, semantic analysis, and text generation.
* Understanding of state\-of\-the\-art machine learning and deep learning technologies. In particular, hands\-on experiences with deep learning models (DNN, Attention, CNN, RNN) and frameworks (TensorFlow, PyTorch, Keras, etc.).
* Algorithmic and analytical background and understanding on how to apply advanced knowledge to solve real problems.
* Experience in parallel or distributed processing, high performance computing, stream computing and SCOPE.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8">
      <c r="A38" t="inlineStr">
        <is>
          <t>li-4326454213</t>
        </is>
      </c>
      <c r="B38" t="inlineStr">
        <is>
          <t>Applied Scientist, NLP/GenAI</t>
        </is>
      </c>
      <c r="C38" t="inlineStr">
        <is>
          <t>Thomson Reuters</t>
        </is>
      </c>
      <c r="D38" t="inlineStr">
        <is>
          <t>linkedin</t>
        </is>
      </c>
      <c r="E38">
        <f>HYPERLINK("https://www.linkedin.com/jobs/view/4326454213", "https://www.linkedin.com/jobs/view/4326454213")</f>
        <v/>
      </c>
      <c r="F38">
        <f>HYPERLINK("https://thomsonreuters.wd5.myworkdayjobs.com/External_Career_Site/job/United-States-of-America-New-York-New-York/Applied-Scientist\u002d\u002dNLP-GenAI_JREQ195786?source=LinkedIn&amp;urlHash=hOPz", "https://thomsonreuters.wd5.myworkdayjobs.com/External_Career_Site/job/United-States-of-America-New-York-New-York/Applied-Scientist\u002d\u002dNLP-GenAI_JREQ195786?source=LinkedIn&amp;urlHash=hOPz")</f>
        <v/>
      </c>
      <c r="G38" t="inlineStr">
        <is>
          <t>New York, NY</t>
        </is>
      </c>
      <c r="H38" t="inlineStr"/>
      <c r="I38" t="inlineStr">
        <is>
          <t>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3\+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$136,000 USD \- $253,000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39">
      <c r="A39" t="inlineStr">
        <is>
          <t>li-4381028774</t>
        </is>
      </c>
      <c r="B39" t="inlineStr">
        <is>
          <t>Data Scientist- Worker Protection</t>
        </is>
      </c>
      <c r="C39" t="inlineStr">
        <is>
          <t>New York City Department of Consumer and Worker Protection</t>
        </is>
      </c>
      <c r="D39" t="inlineStr">
        <is>
          <t>linkedin</t>
        </is>
      </c>
      <c r="E39">
        <f>HYPERLINK("https://www.linkedin.com/jobs/view/4381028774", "https://www.linkedin.com/jobs/view/4381028774")</f>
        <v/>
      </c>
      <c r="F39">
        <f>HYPERLINK("https://cityjobs.nyc.gov/job/data-scientist-worker-protection-in-nyc-all-boros-jid-41396?trid=Linkedin2025&amp;urlHash=IdjR", "https://cityjobs.nyc.gov/job/data-scientist-worker-protection-in-nyc-all-boros-jid-41396?trid=Linkedin2025&amp;urlHash=IdjR")</f>
        <v/>
      </c>
      <c r="G39" t="inlineStr"/>
      <c r="H39" t="inlineStr"/>
      <c r="I39" t="inlineStr">
        <is>
          <t>\*\*This position may be eligible for remote work for up to 2 days per week, pursuant to the Flexible Work Pilot Program. \*\*
 The NYC Department of Consumer and Worker Protection (DCWP) is the nation’s leading municipal enforcement agency charged with delivering economic justice. DCWP leverages its authority to bring New Yorkers real economic relief and protect them from predatory, deceptive, and unfair practices that violate their rights as consumers and workers. This includes pioneering cutting\-edge protections, such as the City’s Consumer Protection Law, Protected Time Off Law, Fair Workweek Law, and Delivery Worker Laws. Through licensing more than 45,000 businesses in over 45 industries, DCWP ensures fair competition and a level playing field for responsible small businesses that are integral to New York City’s vibrant communities. DCWP also provides essential services such as free tax preparation and financial counseling to ensure New Yorkers keep more of what they earn and can plan for their futures. DCWP is committed to making sure New York City is a fairer, more affordable place to live. For more information about DCWP and our work, visit DCWP at nyc.gov/dcwp, sign up for the newsletter, or follow us on social media sites, X, Facebook, Instagram, and YouTube.
 The Office of Labor Policy \&amp; Standards (“OLPS”) enforces the City’s worker protection laws, including the Protected Time Off Law, Fair Workweek scheduling laws that protect fast food and retail workers, and Delivery Worker Laws that protect delivery workers classified as independent contractors. We also administer the Freelance Isn’t Free Act (FIFA) program, which assists freelance workers who have experienced wage theft and other violations. We obtain monetary compensation for workers for violations and bring companies into compliance. More information about our office is available at nyc.gov/workers.
 OLPS is seeking a Data Scientist to play a key role in the enforcement of groundbreaking new legal protections for workers. The Data Scientist will work closely with the Office’s Investigation and Litigation teams to develop and implement strategies for the discovery, collection, and analysis of employer data relating to compliance with city workplace laws. The Data Scientist will help collect and use this data to identify violations of NYC workplace laws, assess the validity of claims by employers and workers, calculate employee relief and civil penalties, and guide investigators in the collection of testimonial evidence and other documentation. The Data Scientist will also assist with the creation of systems to automate and standardize data collection and analysis, and play a critical role in ensuring working New Yorkers can access the protections they are entitled to under the law. Since its founding in 2016, OLPS has built a reputation as a leader in the use of data analytics within its field, and the successful applicant will be joining a growing team of data scientists to further develop this area of the Office’s work.
**Responsibilities Include**
* Working with investigators and attorneys to identify the data necessary to evaluate employers’ compliance with NYC workplace laws;
* Communicating with employers’ counsel and technical staff to ensure delivery of responsive data, along with information necessary for its interpretation;
* Developing and using appropriate data analysis tools to describe employer practices, identify key witnesses, and calculate damages;
* Assessing how OLPS uses data in its investigations and litigation and recommending and implementing improvements;
* Recommending changes to laws, rules, and agency guidance to the extent they may relate to any of the functions described above; and
* Assisting with other aspects of OLPS’s work, including analysis of labor market data and process design and automation.
 To be considered, please provide a cover letter describing why you are interested in the position and what you would contribute to the team. Include the Job ID for the posting in the header of your letter.
 CITY RESEARCH SCIENTIST \- 21744
**Minimum Qualifications**
* For Assignment Level I (only physical, biological and environmental sciences and public health) A master's degree from an accredited college or university with a specialization in an appropriate field of physical, biological or environmental science or in public health.
 To be appointed to Assignment Level II and above, candidates must have:
*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 A master's degree from an accredited college or university with specialization in an appropriate field of physical, biological, environmental or social science and three years of responsible full\-time research experience in the appropriate field of specialization; or
* Education and/or experience which is equivalent to "1" or "2" above. However, all candidates must have at least a master's degree in an appropriate field of specialization and at least two years of experience described in "2" above. Two years as a City Research Scientist Level I can be substituted for the experience required in "1" and "2" above.
**Note**
 Probationary Period
 Appointments to this position are subject to a minimum probationary period of one year.
**Preferred Skills**
* Advanced use of programming, scripting, and statistical languages (e.g., Python, R, Stata) and relational databases (e.g., advanced SQL queries) \- Excellent analytic thinking skills, especially the ability to map between legal and regulatory concepts and corresponding data structures and processes \- Excellent strategic thinking skills, especially the ability to tailor analytic approaches to the needs of specific cases \- Comfort with sampling methodologies, extrapolation, and statistical inference \- High level of organization, including ability to ensure findings are reproducible and analytical choices are transparent and well\-supported \- Experience handling multiple assignments with competing deadlines, where each requires a high degree of accuracy and attention to detail \- Excellent writing, reading comprehension, and interpersonal communication skills \- Ability to occasionally work flexible hours, including nights and weekends and \- Multilingual a plus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is>
      </c>
    </row>
    <row r="40">
      <c r="A40" t="inlineStr">
        <is>
          <t>li-4343420821</t>
        </is>
      </c>
      <c r="B40" t="inlineStr">
        <is>
          <t>Senior Applied Scientist, Ads Measurement Science</t>
        </is>
      </c>
      <c r="C40" t="inlineStr">
        <is>
          <t>Amazon</t>
        </is>
      </c>
      <c r="D40" t="inlineStr">
        <is>
          <t>linkedin</t>
        </is>
      </c>
      <c r="E40">
        <f>HYPERLINK("https://www.linkedin.com/jobs/view/4343420821", "https://www.linkedin.com/jobs/view/4343420821")</f>
        <v/>
      </c>
      <c r="F40">
        <f>HYPERLINK("https://www.amazon.jobs/jobs/3141404/senior-applied-scientist-ads-measurement-science?cmpid=SPLICX0248M&amp;utm_source=linkedin.com&amp;utm_campaign=cxro&amp;utm_medium=social_media&amp;utm_content=job_posting&amp;ss=paid&amp;urlHash=Lt56", "https://www.amazon.jobs/jobs/3141404/senior-applied-scientist-ads-measurement-science?cmpid=SPLICX0248M&amp;utm_source=linkedin.com&amp;utm_campaign=cxro&amp;utm_medium=social_media&amp;utm_content=job_posting&amp;ss=paid&amp;urlHash=Lt56")</f>
        <v/>
      </c>
      <c r="G40" t="inlineStr">
        <is>
          <t>New York, NY</t>
        </is>
      </c>
      <c r="H40" t="inlineStr"/>
      <c r="I40" t="inlineStr">
        <is>
          <t>**Description**
 The Ads Measurement Science team in the Measurement, Ad Tech, and Data Science (MADS) team of Amazon Ads serves a centralized role developing solutions for a multitude of performance measurement products. We create solutions that measure the comprehensive impact of ad spend, including sales impacts both online and offline and across timescales, and provide actionable insights that enable our advertisers to optimize their media portfolios. We leverage a host of scientific methods, approaches and technologies to accomplish this mission, including Generative AI, classical ML, Causal Inference, Natural Language Processing, and Computer Vision.
 As a Senior Applied Scientist on the team, you will lead the development of measurement solutions end\-to\-end from inception to production. You will propose, design, analyze, and productionize models to provide novel measurement insights to our customers.
 Key job responsibilities
* Lead a team of scientists to innovate on state\-of\-the\-art ads measurement solutions leveraging artificial intelligence, causal inference, natural language processing, computer vision, and large language models.
* Directly contribute to the end\-to\-end delivery of production solutions through careful designs and owning implementation of significant portions of critical\-path code
* Lead the decomposition of problems and development of roadmaps to execute on it.
* Set an example for others with exemplary analyses; maintainable, extensible code; and simple, effective solutions.
* Influence team business and engineering strategies.
* Communicate clearly and effectively with stakeholders to drive alignment and build consensus on key initiatives.
* Foster collaborations among scientists and engineers to move fast and broaden impact.
* Actively engage in the development of others, both within and outside of the team.
* Regularly engage with the broader science community with presentations, publications, and patents.
**About The Team**
 We are a team of scientists across Applied, Research, Data Science and Economist disciplines. You will work with colleagues with deep expertise in ML, NLP, CV, Gen AI, and Causal Inference with a diverse range of backgrounds. We partner closely with top\-notch engineers, product managers, sales leaders, and other scientists with expertise in the ads industry and on building scalable modeling and software solutions.
**Basic Qualifications**
* 5\+ years of building machine learning models for business application experience
* PhD, or Master's degree and 8\+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 Experience with popular deep learning frameworks such as MxNet and Tensor Flow.
* 5\+ years of building machine learning models or developing algorithms for business application experience
* Experience in patents or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**Company** 
 \- Amazon.com Services LLC
 Job ID: A3141404</t>
        </is>
      </c>
    </row>
    <row r="41">
      <c r="A41" t="inlineStr">
        <is>
          <t>li-4329767608</t>
        </is>
      </c>
      <c r="B41" t="inlineStr">
        <is>
          <t>Senior Applied Scientist, NLP/GenAI</t>
        </is>
      </c>
      <c r="C41" t="inlineStr">
        <is>
          <t>Thomson Reuters</t>
        </is>
      </c>
      <c r="D41" t="inlineStr">
        <is>
          <t>linkedin</t>
        </is>
      </c>
      <c r="E41">
        <f>HYPERLINK("https://www.linkedin.com/jobs/view/4329767608", "https://www.linkedin.com/jobs/view/4329767608")</f>
        <v/>
      </c>
      <c r="F41" t="inlineStr"/>
      <c r="G41" t="inlineStr">
        <is>
          <t>New York, NY</t>
        </is>
      </c>
      <c r="H41" t="inlineStr"/>
      <c r="I41" t="inlineStr">
        <is>
          <t>New Position: This position is open due to an existing vacancy to support our evolving business needs.
 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Senior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5\+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$127,400 USD \- $236,600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42">
      <c r="A42" t="inlineStr">
        <is>
          <t>li-4326483627</t>
        </is>
      </c>
      <c r="B42" t="inlineStr">
        <is>
          <t>Lead Applied Scientist, NLP/GenAI</t>
        </is>
      </c>
      <c r="C42" t="inlineStr">
        <is>
          <t>Thomson Reuters</t>
        </is>
      </c>
      <c r="D42" t="inlineStr">
        <is>
          <t>linkedin</t>
        </is>
      </c>
      <c r="E42">
        <f>HYPERLINK("https://www.linkedin.com/jobs/view/4326483627", "https://www.linkedin.com/jobs/view/4326483627")</f>
        <v/>
      </c>
      <c r="F42" t="inlineStr"/>
      <c r="G42" t="inlineStr">
        <is>
          <t>Eagan, MN</t>
        </is>
      </c>
      <c r="H42" t="inlineStr"/>
      <c r="I42" t="inlineStr">
        <is>
          <t>New Position: This position is open due to an existing vacancy to support our evolving business needs.
 Lead Applied Scientist, Document Understanding
 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 Lead Applied Scientist, you will:
 Innovate \&amp; Deliver at Scale
* Lead the design, build, test, and deployment of end\-to\-end AI solutions for complex document understanding tasks in the legal domain
* Direct the execution of large\-scale projects including: advanced semantic chunking models for lengthy, non\-uniformly structured legal documents with adjustable granularity; document enrichment systems with legal and customer\-defined taxonomies; LLM\-based knowledge graph construction pipelines that extract and link heterogeneous legal knowledge; and scalable synthetic data generation systems
* Serve as the technical lead and primary point of reference, ensuring full accountability for all research deliverables
* Partner with engineering to guarantee well\-managed software delivery and reliability at scale across multiple product lines
 Evaluate, Optimize \&amp; Advance Capabilities
* Design comprehensive evaluation strategies for both component\-level and end\-to\-end quality, leveraging expert annotation and synthetic data
* Apply robust training methodologies that balance performance with latency requirements
* Lead knowledge distillation initiatives to compress large models into production\-ready SLMs
* Maintain scientific and technical expertise through product deliverables, published research, and intellectual property contributions
* Inform Labs shared capabilities and research themes through novel approaches to challenging business problems
 Drive Strategic Technical Direction
* Independently determine appropriate architectures for complex document understanding challenges, balancing accuracy, efficiency, and scalability
* Make critical technical decisions on semantic chunking strategies, document classification approaches, LLM\-based knowledge extraction methods, and multi\-document reasoning architectures
* Provide input to business stakeholders, mid\-to\-senior level leadership, and Labs leadership on long\-term AI strategy
* Develop in\-depth knowledge of TR customers and data infrastructure across multiple products to shape technical roadmaps
 Align, Communicate \&amp; Lead
* Partner closely with Engineering and Product teams to translate complex legal document understanding challenges into scalable, production\-ready solutions
* Engage stakeholders across multiple product lines to deeply understand use case requirements, shaping objectives that align document understanding capabilities with diverse business needs including next\-generation search and deep legal research
* Mentor and coach team members with varied ML/NLP abilities, building technical capability across the organization
**About You**
 Required Qualifications
* PhD in Computer Science, AI, NLP, or a related field, or a Master's degree with equivalent research/industry experience
* 7\+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Demonstrated ability to provide technical leadership, mentor team members, and influence without formal authority in an applied research setting
* Strong programming skills (e.g., Python) and experience with modern deep learning frameworks (e.g., PyTorch, Hugging Face Transformers, DeepSpeed)
* Publications at relevant venues such as ACL, EMNLP, ICLR, NeurIPS, SIGIR, or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building systems that perform analysis, question answering, or retrieval across large document collections
* Experience with knowledge graph frameworks and methodologies for legal or enterprise applications
* Understanding of RAG and agentic workflows for enterprise knowledge
* Experience working with AzureML or AWS SageMaker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$147,600 USD \- $274,200 USD. For Ontario, Canada, the base compensation range for this role is $140,000 CAD \- $175,000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43">
      <c r="A43" t="inlineStr">
        <is>
          <t>li-4329649973</t>
        </is>
      </c>
      <c r="B43" t="inlineStr">
        <is>
          <t>Senior Applied Scientist, NLP/GenAI</t>
        </is>
      </c>
      <c r="C43" t="inlineStr">
        <is>
          <t>Thomson Reuters</t>
        </is>
      </c>
      <c r="D43" t="inlineStr">
        <is>
          <t>linkedin</t>
        </is>
      </c>
      <c r="E43">
        <f>HYPERLINK("https://www.linkedin.com/jobs/view/4329649973", "https://www.linkedin.com/jobs/view/4329649973")</f>
        <v/>
      </c>
      <c r="F43">
        <f>HYPERLINK("https://thomsonreuters.wd5.myworkdayjobs.com/External_Career_Site/job/United-States-of-America-New-York-New-York/Senior-Applied-Scientist\u002d\u002dNLP-GenAI_JREQ195787?source=LinkedIn&amp;urlHash=odsL", "https://thomsonreuters.wd5.myworkdayjobs.com/External_Career_Site/job/United-States-of-America-New-York-New-York/Senior-Applied-Scientist\u002d\u002dNLP-GenAI_JREQ195787?source=LinkedIn&amp;urlHash=odsL")</f>
        <v/>
      </c>
      <c r="G43" t="inlineStr">
        <is>
          <t>Frisco, TX</t>
        </is>
      </c>
      <c r="H43" t="inlineStr"/>
      <c r="I43" t="inlineStr">
        <is>
          <t>New Position: This position is open due to an existing vacancy to support our evolving business needs.
 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Senior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5\+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$127,400 USD \- $236,600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44">
      <c r="A44" t="inlineStr">
        <is>
          <t>li-4329709556</t>
        </is>
      </c>
      <c r="B44" t="inlineStr">
        <is>
          <t>Senior Applied Scientist, NLP/GenAI</t>
        </is>
      </c>
      <c r="C44" t="inlineStr">
        <is>
          <t>Thomson Reuters</t>
        </is>
      </c>
      <c r="D44" t="inlineStr">
        <is>
          <t>linkedin</t>
        </is>
      </c>
      <c r="E44">
        <f>HYPERLINK("https://www.linkedin.com/jobs/view/4329709556", "https://www.linkedin.com/jobs/view/4329709556")</f>
        <v/>
      </c>
      <c r="F44">
        <f>HYPERLINK("https://thomsonreuters.wd5.myworkdayjobs.com/External_Career_Site/job/United-States-of-America-New-York-New-York/Senior-Applied-Scientist\u002d\u002dNLP-GenAI_JREQ195787?source=LinkedIn&amp;urlHash=odsL", "https://thomsonreuters.wd5.myworkdayjobs.com/External_Career_Site/job/United-States-of-America-New-York-New-York/Senior-Applied-Scientist\u002d\u002dNLP-GenAI_JREQ195787?source=LinkedIn&amp;urlHash=odsL")</f>
        <v/>
      </c>
      <c r="G44" t="inlineStr">
        <is>
          <t>Ann Arbor, MI</t>
        </is>
      </c>
      <c r="H44" t="inlineStr"/>
      <c r="I44" t="inlineStr">
        <is>
          <t>New Position: This position is open due to an existing vacancy to support our evolving business needs.
 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Senior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5\+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$127,400 USD \- $236,600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45">
      <c r="A45" t="inlineStr">
        <is>
          <t>li-4365414764</t>
        </is>
      </c>
      <c r="B45" t="inlineStr">
        <is>
          <t>Applied Scientist II, AWS Just-Walk-Out Science Team</t>
        </is>
      </c>
      <c r="C45" t="inlineStr">
        <is>
          <t>Amazon Web Services (AWS)</t>
        </is>
      </c>
      <c r="D45" t="inlineStr">
        <is>
          <t>linkedin</t>
        </is>
      </c>
      <c r="E45">
        <f>HYPERLINK("https://www.linkedin.com/jobs/view/4365414764", "https://www.linkedin.com/jobs/view/4365414764")</f>
        <v/>
      </c>
      <c r="F45" t="inlineStr"/>
      <c r="G45" t="inlineStr">
        <is>
          <t>Seattle, WA</t>
        </is>
      </c>
      <c r="H45" t="inlineStr"/>
      <c r="I45" t="inlineStr">
        <is>
          <t>**Description**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Team
 Our research team is tackling fundamental challenges in visual reasoning that combine generative AI and agentic frameworks. We're investigating novel approaches to how AI systems understand spatial relationships, reason about object interactions, and maintain contextual awareness across time. Working at the intersection of computer vision and large language models, we're developing theoretical frameworks and practical techniques that advance the state\-of\-the\-art in visual AI.
 As part of the AWS Applied AI Solutions organization, we’re advancing the frontier of visual reasoning and agentic AI technologies. Our vision is to develop sophisticated AI systems that can understand, interpret, and reason about visual information at human\-like levels, enabling breakthrough applications across multiple industries.
 Key job responsibilities
 Everyone on the team needs to be entrepreneurial, wear many hats and work in a highly collaborative environment that’s more startup than big company. We’ll need to tackle problems that span a variety of domains: computer vision, image recognition, machine learning, real\-time and distributed systems.
 As an Applied Scientist, you will help solve a variety of technical challenges and mentor other scientists. You will tackle challenging, novel situations every day and given the size of this initiative, you’ll have the opportunity to work with multiple technical teams at Amazon in different locations. You should be comfortable with a degree of ambiguity that’s higher than most projects and relish the idea of solving problems that, frankly, haven’t been solved at scale before \- anywhere. Along the way, we guarantee that you’ll learn a ton, have fun and make a positive impact on millions of people.
 A key focus of this role will be developing and implementing advanced visual reasoning systems that can understand complex spatial relationships and object interactions in real\-time. You'll work on designing autonomous AI agents that can make intelligent decisions based on visual inputs, understand customer behavior patterns, and adapt to dynamic retail environments. This includes developing systems that can perform complex scene understanding, reason about object permanence, and predict customer intentions through visual cues.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Amazon.com Services LLC
 Job ID: A3164695</t>
        </is>
      </c>
    </row>
    <row r="46">
      <c r="A46" t="inlineStr">
        <is>
          <t>li-4382118165</t>
        </is>
      </c>
      <c r="B46" t="inlineStr">
        <is>
          <t>Staff Data Scientist- Network Planning</t>
        </is>
      </c>
      <c r="C46" t="inlineStr">
        <is>
          <t>Intuit</t>
        </is>
      </c>
      <c r="D46" t="inlineStr">
        <is>
          <t>linkedin</t>
        </is>
      </c>
      <c r="E46">
        <f>HYPERLINK("https://www.linkedin.com/jobs/view/4382118165", "https://www.linkedin.com/jobs/view/4382118165")</f>
        <v/>
      </c>
      <c r="F46" t="inlineStr"/>
      <c r="G46" t="inlineStr">
        <is>
          <t>San Diego, CA</t>
        </is>
      </c>
      <c r="H46" t="inlineStr"/>
      <c r="I46" t="inlineStr">
        <is>
          <t>**Overview**
 Are you a strategic, data\-driven leader who enjoys solving complex, system\-level problems? Do you want to shape how platforms and networks scale through advanced analytics and AI\-native experiences? If so, we have an exciting opportunity for a Staff Network Capacity Planning within our Intuit Quickbooks family of products and services.
 In this role, you will own network capacity planning for an end\-to\-end capability or a major portion of experiences within a composite application supporting millions of small business customers. You will act as a technical leader and domain expert, applying data science, systems thinking, and AI\-driven insights to influence product, technology, and business decisions at scale across Intuit Quickbooks family of products and services.
 You will translate business strategy into analytical problems, develop predictive models and KPI frameworks, and drive experimentation and learning at the Business Units and Intuit Group levels. You will also help define analytics and AI standards that scale across the organization.
**Responsibilities**
 Own and evolve network capacity planning strategy for complex, large\-scale systems within the Intuit Quickbooks family of products and services.
 Translate business strategy into hypotheses, models, and actionable insights that inform leadership decisions. Design and analyze experiments (A/B/n, bandits, causal methods) to inform decision\-making
 Design and maintain forecasting, capacity, and analytics models using statistical, machine learning, and causal inference methods
 Define KPI frameworks and success metrics at the BU and IG levels
 Lead end\-to\-end analytics initiatives, including scoping, execution, and stakeholder alignment
 Influence product, technology, and analytics direction as a technical leader and domain expert
 Ideate and influence AI\-powered solutions and measurement strategies for AI\-native experiences
 Understand AI architectures (e.g., GenOS, LLMs) and their implications for data, modeling, and customer behavior
 Communicate insights clearly and persuasively to senior and executive leaders
 Mentor senior analysts and data scientists and help establish analytics standards adopted across Intuit Quickbooks family of products and services.
**Qualifications**
 7\+ years of experience in network capacity planning, workforce planning, or operational forecasting with increasing scope and impact
 Deep expertise in data science, analytics, or applied statistics
 Advanced proficiency in SQL, Python, R, and Generative AI tools
 Strong experience with experimentation, causal inference, and KPI development
 Demonstrated ability to influence strategy and decisions beyond immediate team
 Excellent data storytelling, communication, and stakeholder influence skills
 Systems thinking mindset with strong business acume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47">
      <c r="A47" t="inlineStr">
        <is>
          <t>li-4372215343</t>
        </is>
      </c>
      <c r="B47" t="inlineStr">
        <is>
          <t>Principal Applied Scientist, Measurement, AdTech and Data Science, Ads Performance Measurement</t>
        </is>
      </c>
      <c r="C47" t="inlineStr">
        <is>
          <t>Amazon</t>
        </is>
      </c>
      <c r="D47" t="inlineStr">
        <is>
          <t>linkedin</t>
        </is>
      </c>
      <c r="E47">
        <f>HYPERLINK("https://www.linkedin.com/jobs/view/4372215343", "https://www.linkedin.com/jobs/view/4372215343")</f>
        <v/>
      </c>
      <c r="F47" t="inlineStr"/>
      <c r="G47" t="inlineStr">
        <is>
          <t>New York, United States</t>
        </is>
      </c>
      <c r="H47" t="inlineStr"/>
      <c r="I47" t="inlineStr">
        <is>
          <t>**Description**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PhD in Computer Science, Statistics or related field.
* 10\+ years of applied ML experience in building complex, real\-time systems involving AI, ML, and NLP.
* Hands\-on experience with designing and prototyping AI solutions for real world applications.
**Preferred Qualifications**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
**Company** 
 \- Amazon.com Services LLC
 Job ID: A3179997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2026-03-06T17:05:46Z</dcterms:created>
  <dcterms:modified xsi:type="dcterms:W3CDTF">2026-03-06T17:05:46Z</dcterms:modified>
</cp:coreProperties>
</file>