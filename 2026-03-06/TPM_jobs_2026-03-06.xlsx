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in-a110b256074fb07a</t>
        </is>
      </c>
      <c r="B2" t="inlineStr">
        <is>
          <t>WHP Program Manager</t>
        </is>
      </c>
      <c r="C2" t="inlineStr">
        <is>
          <t>Washtenaw Health Project</t>
        </is>
      </c>
      <c r="D2" t="inlineStr">
        <is>
          <t>indeed</t>
        </is>
      </c>
      <c r="E2">
        <f>HYPERLINK("https://www.indeed.com/viewjob?jk=a110b256074fb07a", "https://www.indeed.com/viewjob?jk=a110b256074fb07a")</f>
        <v/>
      </c>
      <c r="F2">
        <f>HYPERLINK("http://www.indeed.com/job/whp-program-manager-a110b256074fb07a", "http://www.indeed.com/job/whp-program-manager-a110b256074fb07a")</f>
        <v/>
      </c>
      <c r="G2" t="inlineStr">
        <is>
          <t>Ypsilanti, MI, US</t>
        </is>
      </c>
      <c r="H2" s="1" t="n">
        <v>46087</v>
      </c>
      <c r="I2" t="inlineStr">
        <is>
          <t>**APPLICATIONS MUST BE SUBMITTED BY TUESDAY, MARCH 10 AT 5:00PM ON THE WASHTENAW COUNTY JOB PORTAL, NOT INDEED.**
**JOB SUMMARY**Under general direction, provides day to day supervisory, high level staff assistance, management and leadership to the operations of Washtenaw Health Plan; directs WHP¿s communication plan and data collection activities; supervises community health workers (CHWs) and other staff; develops, recommends and implements policies and procedures to ensure maximum service delivery within program regulations and guidelines; plans, organizes and manages the fiscal and personnel aspects of programs, plans and services; other program activities; and performs related work as assigned.**EXAMPLES OF DUTIES:Essential Duties:**
* Assists in the development and implementation of goals, objectives, policies, procedures and work standards for the Washtenaw Health Plan.
* Participates in the preparation and administration of budgets and programs
* Develop and lead communications plan implementation. This includes utilizing WHP¿s strategic board discussions as guidance to identify WHP¿s value to the community, different audiences to whom to communicate that value, and methods of communication, including refreshing the WHP brand, updating and maintaining WHP¿s website and blog, social media presence; and creating communications in languages other than English. This also includes monitoring federal, state, and local laws and regulations, and developing communications to external audiences on their impact of health and healthcare access.
* Plans, assigns, supervises, reviews, assesses and evaluates the work of Community Health Workers and other staff; recommends the selection of personnel and provides for their training in work procedures; interprets applicable federal and state laws and regulations and County policies to subordinates.
* Manages budgets and reports on contracts and grants with external entities.
* Directs and reviews program planning and evaluation for Washtenaw Health Plan.
* Prepares, processes and administers contracts, grant funded projects and similar endeavors; ensures that contract parameters are met; resolves problems and authorizes requests for payment.
* Works closely with and provides leadership to staff to report and evaluate service delivery; prepares proposals to continue and/or expand existing programs; recommends the discontinuation of unfounded or ineffective services.
* Works to develop and carry out performance management and quality improvement initiatives.
* Represents the Washtenaw Health Plan in contacts with federal officials, state agencies, human service agencies, community groups, local officials, businesses and others to locate and mobilize resources, encourage support for programs and maintain positive community relations.
* Plans, organizes, directs, reviews and evaluates programs and projects.
* Performs complex and sensitive administrative, organizational, systems and other analysis.
* Directs specified grant applications and reporting processes; provides information to program and fiscal auditors.
* Directs, studies, analyzes information, evaluates alternatives and makes recommendations; prepares narrative and statistical reports of findings; monitors legislation for programmatic changes and recommends revised policies and procedures.
* Directs the maintenance and submission of accurate records, reports and files; maintains accurate records and files related to areas of assignment.
The above statements are intended to describe the general nature and level of work being performed by employees assigned this classification. They are not to be construed as an exhaustive list of all job duties performed by personnel so classified.**EMPLOYMENT QUALIFICATIONS:Knowledge, Skills, and Abilities:**
* Functions and practices of policy making boards and commissions.
* Principles and practices of Public Health Program development and service delivery to varied populations.
* Principles and practices of employee supervision.
* Funding sources and community resources for support of programs and activities.
* Applicable laws, regulations, policies and procedures.
* Research, data analysis and report preparation techniques.
* Computer applications related to the work.
* Public information and presentation techniques.
* Planning, organizing and directing a variety of public health programs and activities.
* Planning and directing the work of others and training others in work procedures.
* Interpreting, applying and explaining complex laws, policies and regulations.
* Setting priorities, coordinating multiple projects and meeting critical deadlines.
* Using sound, independent judgment within established policy and procedural guidelines.
* Preparing clear, concise and effective written materials.
* Negotiating and monitoring contracts and resolving conflicts.
* Establishing and maintaining effective working relationships with those contacted in the course of the work.
* Program design and assessment.
* Grant writing
* Communicating an adequate flow of information in all directions so that each group is well informed and well heard.
The above statements are intended to describe the general nature and level of work being performed by employees assigned this classification. They are not to be construed as an exhaustive list of all job duties performed by personnel so classified.**LICENSES/CERTIFICATIONS**Possession of a valid Michigan Vehicle Operator's License is required. Professional licensing necessary to carry out the tasks of the unit/department to which assigned.**PHYSICAL DEMANDS**Duties require sufficient mobility to work in a normal office setting and use standard office equipment including a computer, vision to read printed materials and a computer screen and hearing and speech sufficient to communicate. These requirements may be accommodated for otherwise qualified individuals requiring and requesting such accommodations. These requirements may be accommodated for otherwise qualified individuals requiring and requesting such accommodations.**EDUCATION**Possession of a Bachelor's degree or equivalent with coursework in a social or behavioral science, public or business administration or a field related to the work. Possession of a Master's degree in public health, administration, social services, business administration or related field preferred.**EXPERIENCE**Three (3\) years of professional level administrative experience in a public health setting. Prior supervisory experience is desirable.This class description intends to identify the major duties and requirements of the job and should not be interpreted as all\-inclusive. Incumbents may be requested to perform job\-related duties other than those outlined above and may be required to specific job\-related knowledge for successful job performance.
**TO APPLY:**   
**https://secure.ewashtenaw.org/hrjobs/AppViewPosting.do?postingId\=16683**
Pay: $71,262\.92 \- $107,002\.48 per year
Benefits:
* Dental insurance
* Flexible spending account
* Health insurance
* Health savings account
* Life insurance
* Paid time off
* Professional development assistance
* Tuition reimbursement
* Vision insurance
Experience:
* administrative experience in a public health setting: 3 years (Preferred)
* team supervision: 3 years (Required)
* public benefits enrollment: 1 year (Required)
Work Location: In person</t>
        </is>
      </c>
    </row>
    <row r="3">
      <c r="A3" t="inlineStr">
        <is>
          <t>in-5453d7ac5d013ac2</t>
        </is>
      </c>
      <c r="B3" t="inlineStr">
        <is>
          <t>Program Manager</t>
        </is>
      </c>
      <c r="C3" t="inlineStr"/>
      <c r="D3" t="inlineStr">
        <is>
          <t>indeed</t>
        </is>
      </c>
      <c r="E3">
        <f>HYPERLINK("https://www.indeed.com/viewjob?jk=5453d7ac5d013ac2", "https://www.indeed.com/viewjob?jk=5453d7ac5d013ac2")</f>
        <v/>
      </c>
      <c r="F3">
        <f>HYPERLINK("http://www.indeed.com/job/program-manager-5453d7ac5d013ac2", "http://www.indeed.com/job/program-manager-5453d7ac5d013ac2")</f>
        <v/>
      </c>
      <c r="G3" t="inlineStr">
        <is>
          <t>New York, NY, US</t>
        </is>
      </c>
      <c r="H3" s="1" t="n">
        <v>46087</v>
      </c>
      <c r="I3" t="inlineStr">
        <is>
          <t>TERMS:  
Time: 12 months; extendable based on funding availability  
Type: Hybrid As Needed  
Reports to: CLT Board
JOB OVERVIEW:  
The Community Land Trust (CLT) Manager will oversee key initiatives aimed at maintaining affordable housing, promoting community organizing, and fostering leadership among residents. This role will support the Cooper Square CLT’s mission of stabilizing housing and preventing speculation, while coordinating efforts to expand land protection and engage the community. The Manager will manage resources, organize events, and liaise between residents, leadership, stakeholders and the wider NYC\-area CLT Community.
KEY RESPONSIBILITIES:  
Community Engagement (75%)
The Work:  
Lead organizing efforts to reinvigorate resident participation and self\-governance in the Mutual Housing Association (MHA), with a focus on encouraging leadership among younger residents and promoting multigenerational involvement. Plan community sessions that gather input and facilitate discussions on the future of the CLT. Develop and strengthen relationships with building leadership, local stakeholders, and our larger community. Create and implement surveys and other tools and resources to measure knowledge and sentiments of CLT and ultimately increase shareholder participation in activities.
Financial Oversight: (20%)
The Work:  
Monitor and reconcile CLT income and expenses to ensure budget compliance.  
Collaborate with a fiscal consultant to coordinate handover and continue to ensure accurate financial reporting; may also include communication with city agencies and city council. Research and apply to funding opportunities including grants, and other funding strategies that will ensure the financial security of the CLT. Develop a plan  
based on learnings from community engagement on how to financially sustain CLT.
Administrative (5%)
The Work: Manage misc. administrative tasks including setting up the CLT Zoom account and coordinating the CLT's monthly meetings. This coordination includes taking notes, keeping the meetings on time, and sending attendance reminders.
COMPENSATION \&amp; BENEFITS: Salary: $62,000 \- $73,000 Health \&amp; Wellness: Staff is responsible for obtaining personal health insurance Paid Time Off: 15 Days in addition to Federal Holidays Benefits: Paid Family Leave, Disability Insurance, and Worker's Compensation
HOW TO APPLY Please submit your resume and a brief cover letter by March 20th, 2025 to Larissa Ho via email to lho4392@gmail.com
Job Type: Full\-time
Pay: $62,000\.00 \- $73,000\.00 per year
Work Location: Hybrid remote in New York, NY 10003</t>
        </is>
      </c>
    </row>
    <row r="4">
      <c r="A4" t="inlineStr">
        <is>
          <t>in-d401948fbd6a4449</t>
        </is>
      </c>
      <c r="B4" t="inlineStr">
        <is>
          <t>Sr Program Manager</t>
        </is>
      </c>
      <c r="C4" t="inlineStr">
        <is>
          <t>DWFritz</t>
        </is>
      </c>
      <c r="D4" t="inlineStr">
        <is>
          <t>indeed</t>
        </is>
      </c>
      <c r="E4">
        <f>HYPERLINK("https://www.indeed.com/viewjob?jk=d401948fbd6a4449", "https://www.indeed.com/viewjob?jk=d401948fbd6a4449")</f>
        <v/>
      </c>
      <c r="F4">
        <f>HYPERLINK("https://recruiting2.ultipro.com/DWF1001DWFA/JobBoard/731b692e-a8dc-4390-b216-dcade8c6fdd8/OpportunityDetail?opportunityId=c6d15efd-1844-45e3-8cad-d8fef2d1db7a&amp;postingId=71ce10a4-a7eb-4efb-a169-2c9ce2a8df79", "https://recruiting2.ultipro.com/DWF1001DWFA/JobBoard/731b692e-a8dc-4390-b216-dcade8c6fdd8/OpportunityDetail?opportunityId=c6d15efd-1844-45e3-8cad-d8fef2d1db7a&amp;postingId=71ce10a4-a7eb-4efb-a169-2c9ce2a8df79")</f>
        <v/>
      </c>
      <c r="G4" t="inlineStr">
        <is>
          <t>Wilsonville, OR, US</t>
        </is>
      </c>
      <c r="H4" s="1" t="n">
        <v>46087</v>
      </c>
      <c r="I4" t="inlineStr">
        <is>
          <t>**At DWFritz, we are a leading provider in the field of automation. Using world\-class practices and cutting\-edge technology, we produce brilliant automation solutions for our clients.** Our mission is to be a Great Place to Work, with structured activities to interact across teams, develop your skills, make an impact, and celebrate wins!
**Our benefits package includes:**
* Company pays 100% of Employee\-only premiums for:
	+ HSA (with company contributions) or PPO Medical Insurance
	+ Dental (low\-cost buy\-up option available)
	+ Vision
* 401k with a 3% automatic company contribution and 3% match
* Company\-paid Short\-Term, Long\-Term Disability, and Life Insurance
* Additional voluntary life insurance levels available
* PTO, 10 Paid Holidays, and Paid Volunteer Time
* Onsite gym with lockers \&amp; showers
**Position Purpose**
The Sr. Program Manager offers crucial leadership to our organization, responsible for the overall project management \- from proposal through client acceptance \- on high volume and/or highly complex projects.
**Responsibilities**  
* Owns the execution of project activities to proactively meet project cost, schedule, deliverables, and manages scope changes to achieve customer requirements from proposal to client acceptance.
* Serves as focal point for all communications between the customer and DWFritz, providing "Voice of the Client" input to company's Management Team and preparing and maintaining project status reports to be delivered to the customer on a regular basis throughout the lifecycle of the project.
* Is accountable for the commercial success, customer satisfaction and delivery of assigned projects.
* Develops and manages a Project Management Plan (PMP), individually and in a team environment that meets or exceeds client's requirements and expectations.
* Selects practices and methodologies to effectively plan and execute the project, blending phase gate/predictive project management principles with Agile development methods to optimize value delivery.
* Coordinates and participates in proposal development as required, including estimating project management efforts on projects and scheduling projects for proposals.
* Coordinates and manages the development of specifications and requirements.
* Responsible for the flow down of the requirements to the project team to ensure each team member is aware of his/her obligations.
* Collaborates with Engineering Leads to monitor and coordinate all aspects of the design process \- mechanical layouts, details, assemblies, electrical controls, software development.
* Develops and manages the project schedule with input from various departments to ensure alignment with both internal and customer delivery commitments.
* Develops and manages a communication matrix and protocol with the customer to ensure engagement and collaboration throughout the project lifecycle.
* Conducts regularly scheduled project team meetings both internal and with the customer.
* Establishes and maintains an open issues and action item list (internally and between DWFritz and client).
* Utilizes project schedule and WBS to determine resource requirements and manages those resources to meet project goals.
* Manages the scope and deliverables from vendors and subcontractors.
* Responsible for project closeout activities and document preparation for hand over to DWFritz Services team.
* Proactively manages both risks and opportunities and regularly communicates to the business and the customer as needed.
* Proactively follows the change management process to document and approve all changes that impact project cost, schedule or scope. This includes positive/negative and internal/external sources of change.
* Leads and provides project direction during problem resolution activities throughout the lifecycle of the project both internally and externally.
* Is responsible for periodic updates of project financials including but not limited to revenue budgets, cost budgets and forecasts, while maintaining communication to upper management/accounting on potential risk and risk resolution for assigned order or orders with same end\-user/customers.
* Mentors and trains Project Managers and project team members in order to expedite development and improve project execution.
* Assists Director of Project Management with overall project prioritization, resource allocation and overall functional integration.
**Knowledge, Skills and Abilities**  
* Excellent written and verbal communication skills with the ability adjust to changing project conditions and work under pressure to meet project deadlines in a multi\-tasking environment.
* Excellent organizational and time management skills with demonstrated ability to prioritize projects across large, matrix organizations, meeting both business and customer requirements.
* Demonstrated success developing and managing client relationships, especially in gathering requirements, setting scope, and managing through change.
* Demonstrated ability to make good decisions based on limited information.
* Demonstrated ability to lead a strong matrix organized team through the lifecycle of a project.
* Detail oriented, results driven, self\-motivated and directed.
* Ability to problem solve and engage in continuous improvement activities.
* Ability to maintain confidentiality.
* Ability to actively participate in team development and team\-oriented processes and motivate others to do the same.
* Strong influencing and negotiation skills and the ability to apply both internally and externally.
* General knowledge of engineering practices, including design for manufacturability, maintainability, reliability, safety and machine shop practices.
* Strong background in automation, critical process timing, and Gage R\&amp;R requirements is preferred.
* Familiarization in engineering tools such as SolidWorks and PDM systems are preferred.
**Education and Experience**  
* A minimum of a Bachelor's degree in Engineering or related field is required for this position; a Master’s degree in Engineering or Business Administration is desirable.
* Must possess a minimum of 5 years proven experience in program or project management leading clients and team members through large/complex technology implementations with high value capital equipment purchases in a fast pace environment.
* Experience with equipment design, development, manufacturing and installation is required.
* Expert understanding of Project Management Body of Knowledge (PMBOK) Discipline (Integration, Scope, Time, Cost, Quality, Human Resources, Communications, Risk Management, Procurement).
**Interpersonal Contacts**  
We are an ITAR protected facility and due to the nature of your role, you may encounter ITAR related project information. Your citizenship status will determine what access you have within the facility.
**External to DWFritz**  
* Clients/Customers.
* Suppliers.
* Contract Partners.
* Subcontractors.
* Sales Representatives.
**Internal to DWFritz**  
* Sales.
* Engineering.
* Operations (manufacturing, supply chain, logistics).
* Service.
* International counterparts.
**Work Environment**  
* Fast pace, highly demanding deadlines.
* Open plan office layout, onsite requirement.
* Highly collaborative.
**Physical Demands**  
* The physical demands listed here are typical for the role and may be modified upon request for reasonable accommodation. The employee may be working at a personal computer workstation for most of the workday, both in a professional office environment and on the shop floor. The position requires the employee to communicate with others including talking and hearing, sometimes in environments with significant ambient noise. The employee must be able to wear personal protective equipment and gear for much of the workday. The employee must be able to ascend and descend ladders, work in confined spaces, and be mobile / working on their feet for much of the day. The employee may occasionally lift up to 50 pounds; bend, stoop, kneel, and grasp.
**Travel Expectation**: 10\-30%
**Equal Opportunity Statement**  
All qualified applicants will receive consideration for employment without regard to race, color, religion, sex, sexual orientation, gender identity, national origin, disability, or status as a protected veteran.
The above description is intended to identify the essential functions and requirements for the performance of this job. It is not to be construed as a complete statement of duties, responsibilities, or requirements. All jobs require behaviors consistent with our Core Values and Culture.</t>
        </is>
      </c>
    </row>
    <row r="5">
      <c r="A5" t="inlineStr">
        <is>
          <t>in-88d2c22b22a8eb7c</t>
        </is>
      </c>
      <c r="B5" t="inlineStr">
        <is>
          <t>Senior Technical Program Manager</t>
        </is>
      </c>
      <c r="C5" t="inlineStr">
        <is>
          <t>NS IT Solutions</t>
        </is>
      </c>
      <c r="D5" t="inlineStr">
        <is>
          <t>indeed</t>
        </is>
      </c>
      <c r="E5">
        <f>HYPERLINK("https://www.indeed.com/viewjob?jk=88d2c22b22a8eb7c", "https://www.indeed.com/viewjob?jk=88d2c22b22a8eb7c")</f>
        <v/>
      </c>
      <c r="F5">
        <f>HYPERLINK("https://nsitsolutions.oorwin.ai/#/careers/index.html/job/details/ecc2ab3100332232737db6556e986a3be050a036?source=indeed&amp;postedby=115", "https://nsitsolutions.oorwin.ai/#/careers/index.html/job/details/ecc2ab3100332232737db6556e986a3be050a036?source=indeed&amp;postedby=115")</f>
        <v/>
      </c>
      <c r="G5" t="inlineStr">
        <is>
          <t>Palo Alto, CA, US</t>
        </is>
      </c>
      <c r="H5" s="1" t="n">
        <v>46087</v>
      </c>
      <c r="I5" t="inlineStr">
        <is>
          <t>**Title: Senior Technical Program Manager**  
**Location: 4 days a week in Palo Alto, CA (Local Only)**  
**Work Type: Onsite**  
**Duration: 12\+ Months Contract**  
**Visa Status: USC, GC, GC EAD, TN, H4 EAD**  
**NOTE: No H1B // Local Candidates with DL**  
**Job Description**  
The Apple Play and Google exp is a must given that they will be working with those products.  
Client is looking for a Staff Technical Program Manager to work on Infotainment Platform Software. In this role, you will work cross\-functionally with Product Development, Hardware Design, System Integration, Verification and Validation, Embedded Firmware and Controls, Digital Apps and Frameworks, and external software and hardware vendors.  
You will be expected to pivot quickly on new ideas. Failing fast will be normal.  
**Position Responsibilities**  
Provide software development process and project management for the Projection team within the IVI (In\-Vehicle Infotainment) team.  
Identify potential risks in development, assess program impact, and work with engineering managers to mitigate risk.  
Drive cross\-functional and cross\-team coordination and communication to help deliver committed project outcomes. The primary objective is to support the team in achieving platform certification.  
Work closely with software engineers, system engineers, testing engineers, and product managers throughout the project lifecycle.  
Manage project schedules, identify blockers, potential issues, and inconsistencies, and clearly communicate them to stakeholders.  
Lead external vendors on timelines and deliverables and take responsibility for milestone coordination between internal and external releases.  
Drive multiple technical projects across vehicle software domains, helping to set priorities for engineering.  
**Basic Qualifications**  
B.S. in Electrical Engineering, Computer Engineering, or Computer Science.  
10\+ years of experience in project, program, or product management in software.  
5\+ years of experience in software development or testing.  
Preferred Qualifications  
M.S. in Electrical Engineering, Computer Engineering, or Computer Science.  
M.B.A.  
PMP certification.  
Scrum Master certification.  
Experience using JIRA, Jama, and Confluence.  
Experience negotiating with hardware and software vendors.  
Experience in the automotive domain.  
Experience in the embedded software domain.  
Experience in the consumer electronics domain.  
Experience in the automotive infotainment domain.  
Experience with projection technologies such as Apple CarPlay and Android Auto.  
**Skillsets \&amp; Domain Preferences**  
Strong communication, bridge\-building, and problem\-solving skills are prioritized over deep technical expertise.  
Experience with projection (CarPlay, Android Auto) and infotainment is preferred but not strictly limited to automotive; consumer electronics backgrounds are acceptable.  
Candidates must have some exposure to Android Auto and Apple CarPlay, not necessarily as experts, but enough to ramp up quickly for certification and engagement with Apple/Google.  
Comfort with JIRA is required; other tools (Smartsheet, Excel, etc.) are flexible, but Microsoft Project is not preferred.  
Additional Valuable Points for Candidate Identification and Qualification  
Domain Flexibility: manager emphasized that while automotive and infotainment experience is preferred, candidates from consumer electronics or other relevant domains are also acceptable if they have exposure to projection technologies (CarPlay, Android Auto) and infotainment systems. The key is familiarity, not deep expertise.  
Certification Process: Candidates should be able to ramp up quickly, especially given the tight timelines for pre\-certification and certification with Apple and Google. Prior exposure to these processes is a plus, but resourcefulness and adaptability are critical.  
Tool Requirements:  
Comfort with Jira is essential, as Christophe relies heavily on it for tracking. Smartsheet, Excel, and other scheduling tools are acceptable, but mastery of Jira is non\-negotiable. Microsoft Project is not preferred.  
Apple vs. Android Experience: Experience with Apple is considered more challenging, so candidates with Apple exposure are likely to adapt well to Android requirements.  
Additional Notes:  
Apple experience is considered more challenging, so candidates with Apple exposure are likely to handle Android as well.  
Meeting Recap \&amp; Managers Requirements Notes from our Call:  
**Role \&amp; Need**  
manager is hiring a contractor TPM for the infotainment team at Greenfield Labs, focusing on projection and manufacturing projects, with a scope of 6 months to a year.  
Skillsets \&amp; Domain Preferences  
Strong communication, bridge\-building, and problem\-solving skills are prioritized over deep technical expertise.  
Experience with projection (CarPlay, Android Auto) and infotainment is preferred, but not strictly limited to automotive; consumer electronics backgrounds are acceptable.  
Candidates must have some exposure to Android Auto and Apple CarPlay, not necessarily as experts, but enough to ramp up quickly for certification and engagement with Apple/Google.  
Comfort with JIRA is required; other tools (Smartsheet, Excel, etc.) are flexible, but Microsoft Project is not preferred.  
**Vishal (Victor) Verma \| Assistant Manager**  
**vishal@nsitsolutions.com**  
**NS IT Solutions**  
**www.nsitsolutions.com**</t>
        </is>
      </c>
    </row>
    <row r="6">
      <c r="A6" t="inlineStr">
        <is>
          <t>in-141e70ee5e0a09fe</t>
        </is>
      </c>
      <c r="B6" t="inlineStr">
        <is>
          <t>Program Manager – Flight School</t>
        </is>
      </c>
      <c r="C6" t="inlineStr">
        <is>
          <t>Ridgeline Aviation</t>
        </is>
      </c>
      <c r="D6" t="inlineStr">
        <is>
          <t>indeed</t>
        </is>
      </c>
      <c r="E6">
        <f>HYPERLINK("https://www.indeed.com/viewjob?jk=141e70ee5e0a09fe", "https://www.indeed.com/viewjob?jk=141e70ee5e0a09fe")</f>
        <v/>
      </c>
      <c r="F6">
        <f>HYPERLINK("http://www.indeed.com/job/program-manager-flight-school-141e70ee5e0a09fe", "http://www.indeed.com/job/program-manager-flight-school-141e70ee5e0a09fe")</f>
        <v/>
      </c>
      <c r="G6" t="inlineStr">
        <is>
          <t>Belgrade, MT, US</t>
        </is>
      </c>
      <c r="H6" s="1" t="n">
        <v>46087</v>
      </c>
      <c r="I6" t="inlineStr">
        <is>
          <t>**Position Overview:** 
Ridgeline Aviation is seeking a Program Manager to oversee and coordinate our flight school training program. This role ensures efficient program operations, supports instructors and students, and maintains high standards of training quality and safety.
**Key Responsibilities:**
* Oversee daily operations of the Ridgeline Aviation flight training program
* Coordinate scheduling of instructors, students, and aircraft
* Monitor student progress and program completion metrics
* Collaborate with leadership to improve training processes and curriculum
* Ensure compliance with applicable FAA training standards
* Serve as a key point of contact for students and instructional staff
* The role of this person is to support the Chief Flight Instructor in all duties as assigned as well as work and coordinate with all administrative roles within Ridgeline.
**Qualifications:**
* Experience in aviation operations or flight training environments
* Strong organizational and leadership skills
* Excellent communication and interpersonal abilities
* Ability to manage multiple priorities and schedules
* Familiarity with FAA training structures preferred
How to Apply: Send your resume to Amanda at a.monger@flyridgelinemt.com
Pay: $60,000\.00 \- $80,000\.00 per year
Benefits:
* 401(k) matching
* Dental insurance
* Health insurance
* Life insurance
* Paid time off
* Vision insurance
Work Location: In person</t>
        </is>
      </c>
    </row>
    <row r="7">
      <c r="A7" t="inlineStr">
        <is>
          <t>in-244820082e23780f</t>
        </is>
      </c>
      <c r="B7" t="inlineStr">
        <is>
          <t>Program Manager Welfare Transition / Snap</t>
        </is>
      </c>
      <c r="C7" t="inlineStr">
        <is>
          <t>CAREERSOURCE SOUTHWEST FLORIDA</t>
        </is>
      </c>
      <c r="D7" t="inlineStr">
        <is>
          <t>indeed</t>
        </is>
      </c>
      <c r="E7">
        <f>HYPERLINK("https://www.indeed.com/viewjob?jk=244820082e23780f", "https://www.indeed.com/viewjob?jk=244820082e23780f")</f>
        <v/>
      </c>
      <c r="F7">
        <f>HYPERLINK("http://www.indeed.com/job/program-manager-welfare-transition-snap-244820082e23780f", "http://www.indeed.com/job/program-manager-welfare-transition-snap-244820082e23780f")</f>
        <v/>
      </c>
      <c r="G7" t="inlineStr">
        <is>
          <t>Fort Myers, FL, US</t>
        </is>
      </c>
      <c r="H7" s="1" t="n">
        <v>46087</v>
      </c>
      <c r="I7" t="inlineStr">
        <is>
          <t>**Job Summary:**
This position assures consistent programmatic quality by analyzing and reviewing the specific program services and resources provided by workforce professionals at CareerSource Southwest Florida. This position is responsible for collecting data, developing policies and procedures, training new policies and procedures, providing technical assistance, and offer observations and improvements regarding center services to ensure of appropriate data entry, documentation, case management and efficient customer flow.
**Essential Functions:**
* Serves as the regional subject matter expert and information resource for the SNAP ET, TANF and WT and other workforce services programs assigned.
* Develops policy and procedure to align with Federal and State regulations, policies and guidance letters.
* Gathers and organizes information on programmatic problems or procedures. Analyses the data, validates the processes, and develops solutions or alternative procedural methods.
* Develops and implements records management process for filing, protection, retrieval, and retention of records in compliance with programs.
* Reviews and approves programmatic forms and reports received.
* Designs, evaluates, recommends, and approves changes to forms and reports.
* Collaborates with other members of management to determine system improvement and implement change.
* Reports on performance requirements to ensure compliance.
* Documents findings and prepares recommendations for implementation of new systems. Reviews the effectiveness of the modifications made.
* Plans improvements upon existing quality standards and procedures such as data entry, case management, communications, information flow, integrated production methods.
* Prepares manuals and provides training in use of forms, reports, procedures, or equipment according to policy.
* Prepares corrective action plans in response to monitors’ findings, recurring systemic issues and observations.
* Coordinates CareerSource Southwest representation in WT and SNAP appeals and hearings as requested by the State Appeals Section.
**Non\-Essential Functions:**
* May make critical decisions, impacting organization decisions for center’s programs.
* May attend assigned State, Regional, and local meetings to represent the Workforce Development Region.
* Other duties as assigned.
**Supervision Received:**
The WT/SNAP Program Manager works under the direct supervision of the Chief Operations Officer and is subject to review by and through observation of results achieved. This position exercises independent judgment with respect to what is to be done and how to proceed.
**Supervision Exercised:**
None
**Working Relations:**
**Internal** – Works cooperatively and professionally with all internal staff.
**External** –May interface with social service agencies, public, private sector, and other agencies.
**Minimum Requirements:** 
* Bachelor’s degree from an accredited college or university in Business, Social Science, or related field.
* Five years of experience in a workforce development occupation in a One\-Stop Career Center system may be substituted for a bachelor’s degree.
* Florida Workforce Professional Certification Tier I or must be achieved within 60 days of hire.
* Five years of experience in a workforce development occupation in a One\-Stop Career Center system is preferred.
* One\-year supervisory experience.
* Considerable experience in management principles and techniques required.
* Must have knowledge of program regulations, policies, and procedures; and the ability to understand and apply applicable State and Federal rules, regulations and local policies and procedures relating to Workforce Services to include the Workforce Innovation and Opportunity Act (WIOA), Welfare Transition Program (WTP), Supplemental Nutrition Assistance Program/Food Stamp Employment \&amp; Training (SNAP/FSET), Migrant Seasonal Farmworker (MSFW) Program, Jobs for Veterans State Grants (JVSG) Program, Wagner\-Peyser (WP) Program and other local initiatives and special grants.
* Knowledge of Workforce Development preferred legislation and knowledge of local community organizations a plus.
* Excellent verbal and written communication skills, public speaking necessary
* Excellent customer service skills to work with customers and the public.
* Must have exceptional attention to detail and ability to document case management details.
* Ability to work with diverse populations.
* Ability to work with job seekers and business customers.
* Ability to understand, interpret and follow federal, state and local policies and regulations.
* Ability to maintain high levels of confidentiality, credibility and professionalism.
* Proficient in Microsoft Office Word, EXCEL and PowerPoint.
* Possess good time management skills.
* Ability to accurately prepare and effectively present reports, ideas, etc., and give detailed presentations and training classes to various audiences.
* Ability to maintain flexibility to accommodate organizational needs.
* Ability to perform basic budgeting plans.
* Ability to participate in continuing education and training.
**Other Requirements:**
* Reliable transportation may be necessary for travel throughout the workforce development region. May attend various functions and meetings which may occur before or after normal business hours.
* Valid Florida Driver’s License and Insurance.
**Physical Requirements**:
* Physical ability to perform the above listed job duties is required.
* May be required to sit for long periods of time.
* Infrequent light physical effort required \- reaching above shoulder heights, below the waist or lifting as required to file documents or store materials throughout the workday.
* Proper lifting techniques are required, which may include lifting up to 25 pounds for files and computer printouts on occasion.
* Work is performed in an office environment.
Pay: From $60,000\.00 per year
Benefits:
* 403(b) matching
* Dental insurance
* Employee assistance program
* Health insurance
* Paid time off
* Vision insurance
Work Location: In person</t>
        </is>
      </c>
    </row>
    <row r="8">
      <c r="A8" t="inlineStr">
        <is>
          <t>in-8ceae1aa625b6b5d</t>
        </is>
      </c>
      <c r="B8" t="inlineStr">
        <is>
          <t>Program Manager (Alpharetta)</t>
        </is>
      </c>
      <c r="C8" t="inlineStr"/>
      <c r="D8" t="inlineStr">
        <is>
          <t>indeed</t>
        </is>
      </c>
      <c r="E8">
        <f>HYPERLINK("https://www.indeed.com/viewjob?jk=8ceae1aa625b6b5d", "https://www.indeed.com/viewjob?jk=8ceae1aa625b6b5d")</f>
        <v/>
      </c>
      <c r="F8">
        <f>HYPERLINK("https://recruiting.ultipro.com/MEG1001MGGT/JobBoard/84749e0f-cca6-478f-bc8e-e5ea8a1f23eb/OpportunityDetail?opportunityId=b27cbaeb-2f6f-4450-ab90-dffd9146bf17&amp;postingId=6b6b4f0a-cc75-41ca-9a65-03a798971844", "https://recruiting.ultipro.com/MEG1001MGGT/JobBoard/84749e0f-cca6-478f-bc8e-e5ea8a1f23eb/OpportunityDetail?opportunityId=b27cbaeb-2f6f-4450-ab90-dffd9146bf17&amp;postingId=6b6b4f0a-cc75-41ca-9a65-03a798971844")</f>
        <v/>
      </c>
      <c r="G8" t="inlineStr">
        <is>
          <t>GA, US</t>
        </is>
      </c>
      <c r="H8" s="1" t="n">
        <v>46087</v>
      </c>
      <c r="I8" t="inlineStr">
        <is>
          <t>**Job Title: Program Manager (Virtual Systems)**
At InVeris, our mission is to protect lives when split\-seconds matter by delivering superior training solutions to meet the most demanding challenges in the defense, law enforcement and commercial range industries.
InVeris Training Solutions is the leading provider of weapons training solutions across the globe. Building off nearly a century of experience, InVeris technology powers live fire and virtual weapons training systems that have been proven to improve speed, accuracy, judgment in the use of force, and overall combat ability while reducing training time, logistics, and cost. Headquartered in Suwanee, Georgia, InVeris employs nearly 400 people at facilities in the United States, Australia, Canada, Netherlands, Singapore, and the United Kingdom.
We invite you to join our team and connect your passion and purpose to our mission. Our employees are committed, engaged, and excited about making the world a safer place.
**Job Designation**:
InVeris is seeking an experienced Program Manager to join our team. The ideal candidate is one who possesses a solid technical background, a proven record of success, is confident, and can lead an interdisciplinary team through a program lifecycle. The successful candidate will be the primary interface between InVeris executive management, InVeris team, sub\-contractors, and the customer. Our Program Managers are ultimately responsible for all activities, from leading the technical proposal, through planning, engineering development, manufacturing, fielding and training, to maintenance and customer support.
**Job Core Responsibilities**
* Responsible for the overall business case.
* Leadership of a cross\-functional program team in the development, delivery, and support of products and/or services throughout the program lifecycle.
* Review Statements of Work (SOW) and Requests for Proposal (RFP) to identify potentially problematic requirements prior to execution of contract.
* Serves as the primary programmatic interface between the program/project team, subcontractors, vendors, and the Customer.
* Provides scope, schedule, and budget to the Engineering Project Manager and monitor development to assure all requirements are met within the original intended scope while maintaining budget and schedule.
* Review Engineering and construction design documentation to assure accuracy and completeness prior to formal release.
* Generation and maintenance of the data associated with the program management function (Program\-level Integrated Master Schedule, Program Plan, Risk Log, Issues Log, etc.)
* Ensures that the cross\-functional program team executes the program work scope in accordance with the programmatic and management processes.
**Job Specifications**
**Education:**
* Engineering or Construction Management Degree preferred
* Certified PMP® or PgMP® desired
 **Experience:**
* **Program/Project Management Experience 5 to 10 years**
* Previous product development experience in an engineering capacity or previous construction management and construction sub\-contractor management experience highly desired
* Previous Military or Law Enforcement experience preferred
**Company Website**
www.inveristraining.com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InVeris Training Solutions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If you are a qualified individual with a disability or a disabled veteran, you have the right to request an accommodation. Contact Human Resources at ITS\-HumanResources@inveristraining.com.</t>
        </is>
      </c>
    </row>
    <row r="9">
      <c r="A9" t="inlineStr">
        <is>
          <t>in-3b09d52a1c2e666d</t>
        </is>
      </c>
      <c r="B9" t="inlineStr">
        <is>
          <t>Program Manager - Home Care</t>
        </is>
      </c>
      <c r="C9" t="inlineStr">
        <is>
          <t>Passion To Care of Indiana</t>
        </is>
      </c>
      <c r="D9" t="inlineStr">
        <is>
          <t>indeed</t>
        </is>
      </c>
      <c r="E9">
        <f>HYPERLINK("https://www.indeed.com/viewjob?jk=3b09d52a1c2e666d", "https://www.indeed.com/viewjob?jk=3b09d52a1c2e666d")</f>
        <v/>
      </c>
      <c r="F9">
        <f>HYPERLINK("http://www.indeed.com/job/program-manager-home-care-3b09d52a1c2e666d", "http://www.indeed.com/job/program-manager-home-care-3b09d52a1c2e666d")</f>
        <v/>
      </c>
      <c r="G9" t="inlineStr">
        <is>
          <t>Indianapolis, IN, US</t>
        </is>
      </c>
      <c r="H9" s="1" t="n">
        <v>46087</v>
      </c>
      <c r="I9" t="inlineStr">
        <is>
          <t>***THIS WILL BE AN IN\-OFFICE POSITION IN COLUMBUS, IN ONCE THE OFFICE SPACE IS UP AND RUNNING. UNTIL THAT POINT YOU WILL BE IN OFFICE AT OUR INDY LOCATION.***
***Program Manager Job Summary***
* ***Full\-time, Monday \- Friday 9a\-5p, Onsite \- Does require some travel***
* ***Must have reliable transportation (Mileage is reimbursed)***
* ***Must have Medicaid Waiver Program knowledge/experience***
* ***Must have previous experience in Home Care Program Management***
* ***Must reside in COLUMBUS, IN or the Surrounding area***
* ***Must be a self\-starter, motivated, eager to learn, \&amp; customer service savvy***
*The Home Health Program Manager will be responsible for the management and coordination of home health services for clients within the community. This includes overseeing, sourcing, attracting, and managing high volumes of qualified leads (calls), overseeing the full new start process from start to finish. This role also includes tracking metrics, conducting interviews, negotiating pay rates, and providing onboarding support, while ensuring a positive candidate experience and regularly traveling within the territory to meet with clients and prospects.*
**IN OFFICE POSITION MONDAY\-FRIDAY 9:00AM\-5:00PM (Some Travel Required)**
***Duties/Responsibilities:***
* ***Source and Attract Candidates: Proactively identify, source, and engage high volumes of qualified candidates through job boards, social media, referrals, and other channels.***
* ***Build and Maintain Pipelines: Develop and maintain a pipeline of leads to meet the ongoing needs of the organization, focusing on both current and future hiring demands.***
* ***Manage High Volumes: Efficiently manage multiple authorization requests simultaneously, ensuring timely processing to avoid delays in client care.***
* ***Foster a Positive Candidate Experience: Ensure a seamless and professional experience for all candidates, from initial contact through onboarding, enhancing the employer brand.***
* ***Travel within Territory: Regularly travel within the assigned sales territory to meet with clients and prospects, fostering face\-to\-face relationships and expanding business opportunities.***
* ***Negotiate Pay Rates: Skillfully negotiate terms and conditions with prospective caregivers to close deals that align with company goals while ensuring customer satisfaction.***
* ***Provide Onboarding Support: Collaborate with internal teams to ensure seamless delivery of new starts and provide ongoing support to resolve caregiver issues or concerns.***
* ***Verify Insurance Coverage: Confirm patient eligibility, insurance benefits, and coverage limits for services prior to treatment.***
* ***Obtain Authorizations: Secure prior authorizations and pre\-certifications from insurance companies for procedures, treatments, and services to ensure reimbursement.***
* ***Track Authorization Status: Monitor the status of pending authorizations, resolve delays, and follow up with payers to expedite approvals.***
* ***Update Patient Records: Accurately document all interactions with payers, authorization approvals, denials, and related correspondence in the patient’s medical records or billing system.***
* ***Communicate with Client: Inform clients about their insurance coverage, authorization requirements, and any out\-of\-pocket costs that may arise from denied services.***
* ***Maintain Payer Relationships: Develop and nurture positive working relationships with insurance payers to ensure smooth interactions and resolve any issues regarding coverage or payments.***
* ***Advocate for Clients and Company: Work to resolve payment and authorization issues that affect access to care, advocating on behalf of both the company and the client.***
* ***Hire 3\-5 caregivers weekly to staff incoming clients and current clients in need of a caregiver***
***Qualifications:***
*Education:*
* ***Bachelor’s degree in Healthcare Administration, or a related field.***
* ***Certification in healthcare management or related field preferred.***
*Experience:*
* ***At least 1\-2 years of experience in healthcare management, with a focus on home health or similar settings.***
***This role requires a combination of clinical \&amp; nonclinical knowledge, managerial skills, and a deep understanding of healthcare regulations and quality care practices. The Home Health Program Manager plays a key role in ensuring that home health services are delivered efficiently, effectively, and with compassion.***
***\#PTCI1***
Job Types: Full\-time, Permanent
Pay: $55,000\.00 \- $60,000\.00 per year
Benefits:
* Dental insurance
* Health insurance
* Paid time off
* Vision insurance
Experience:
* Medicaid Wavier Program: 2 years (Required)
* Case management: 2 years (Required)
* Recruiting: 2 years (Required)
* Onboarding: 2 years (Required)
* Interviewing: 2 years (Required)
Work Location: In person</t>
        </is>
      </c>
    </row>
    <row r="10">
      <c r="A10" t="inlineStr">
        <is>
          <t>in-d3453c7d72f49055</t>
        </is>
      </c>
      <c r="B10" t="inlineStr">
        <is>
          <t>Program Manager</t>
        </is>
      </c>
      <c r="C10" t="inlineStr">
        <is>
          <t>Safer Foundation</t>
        </is>
      </c>
      <c r="D10" t="inlineStr">
        <is>
          <t>indeed</t>
        </is>
      </c>
      <c r="E10">
        <f>HYPERLINK("https://www.indeed.com/viewjob?jk=d3453c7d72f49055", "https://www.indeed.com/viewjob?jk=d3453c7d72f49055")</f>
        <v/>
      </c>
      <c r="F10">
        <f>HYPERLINK("https://saferfoundation.rec.pro.ukg.net/SAF1501SAFR/JobBoard/27ebc132-8a0a-442f-a8f2-dd8cfbc4bfc9/OpportunityDetail?opportunityId=ab4ee4bc-17a8-48c8-91ba-ae77e3cbc6c4&amp;postingId=8dbb5d1e-a3e6-4ecb-9ea1-d0ab8c738309", "https://saferfoundation.rec.pro.ukg.net/SAF1501SAFR/JobBoard/27ebc132-8a0a-442f-a8f2-dd8cfbc4bfc9/OpportunityDetail?opportunityId=ab4ee4bc-17a8-48c8-91ba-ae77e3cbc6c4&amp;postingId=8dbb5d1e-a3e6-4ecb-9ea1-d0ab8c738309")</f>
        <v/>
      </c>
      <c r="G10" t="inlineStr">
        <is>
          <t>Davenport, IA, US</t>
        </is>
      </c>
      <c r="H10" s="1" t="n">
        <v>46087</v>
      </c>
      <c r="I10" t="inlineStr">
        <is>
          <t>**The Safer Foundation is a social service provider to individuals with arrest and conviction records. Through a full range of services, including case management, educational instruction and advocacy, we focus on preparing individuals for the world of work by helping them find and keep productive and meaningful employment**
**General Summary:**
The Pathway Home Program Manager reports to the Senior Director QC and provides site leadership, performance management and data control for the Pathway Home Program funded through the Department of Labor, Pathway Home 4 grant. The Program Manager is a critical component of the successful launch of the program and involved in all aspects of implementation and program execution. The program is designed to provide reentry case planning, comprehensive case management, occupational training, and workforce services to 100 incarcerated persons residing at the Seventh Judicial District, Department of Corrections – Work Release Center and/or Residential Correctional Facility. In addition to core services, supportive services are provided through community partnerships to assist enrolled participants. The Program Manager will be a key member of the Pathway Home team, providing leadership, coordinating with community and college partners, scheduling/conducting training, as well as contributing to the overall design, start\-up, and implementation of services. The Program Manager will provide supervision to two Intensive Case Managers, and one Training Navigator/Employer Development Specialist.
##### **Performance Results Description**
**The Position is properly performed when all essential duties and responsibilities are executed by following the Safer Values.**
*Exceeding Expectations, Communication and Collaboration, Integrity and Evidence Based Innovation.*
##### **Essential Duties and Responsibilities:**
##### ***Stakeholder Interface***
* Initiate, develop and maintain strong working relationships with community colleges and other community partners \- coordinating regular partner meetings to ensure information is being shared effectively, challenges are being addressed, and efforts to improve the program are developed in collaboration with stakeholders.
* Work to build upon and strengthen compliance with mandatory requirements as well as clarify and enhance program operations and service delivery.
* Implement the program model (recruitment, orientation, assessment, service delivery, and follow\-up) with consistency and integrity.
* Facilitate regular communication with community partners to ensure participant supportive service needs are being met in a streamlined and coordinated manner.
* Maintain high standards of professional and ethical conduct.
* Work as part of the QC leadership team – completing assigned tasks and duties to ensure the QC office is operating efficiently and effectively.
* Attend internal meetings and work in collaboration with QC team to create awareness, promote Safer’s mission in the community and advocate for the population Safer serves.
* Participate in agency wide collaborative efforts as assigned.
##### ***Stakeholder Outreach and Recruitment***
* Conduct orientations at program and partner sites, generating enthusiasm and engagement with prospective candidates.
* Review referrals for eligibility and if criteria are met, schedule intake/registration appointment.
* Create, coordinate, maintain, and distribute a monthly calendar of all program offerings including orientations, educational programming, Safer Skills Training (SST – job readiness) and training opportunities.
* Represent the Pathway Home program in the community by responding to requests for speaking engagements, media segments, attending community meetings, etc.
* Provide clear, timely, and informative communication to partners, funders, internal and external stakeholders on Safer’s Pathway Home Program.
* Facilitate consistent public relations and marketing to create awareness and highlight program achievements.
##### ***Tracking, Document and Reporting***
* Develop Standard Operating Procedures and Quality Assurance Plans. Work with Salesforce Administrator to capture required data in Salesforce. Develop plan to retrieve information from correctional partners and track recidivism data as needed.
* Coordinate assessment completion and gather needed background information for all referred candidates that would be helpful and necessary for case planning.
* Track required data and ensure timely input by all Pathway Home team members into the Salesforce system.
* Track, share, report recidivism and retention data for all enrolled clients.
* Adherence to all program model, quality assurance (QA) and data reporting requirements as required by DOL. Facilitate accurate and timely collection and reporting of performance outcomes and quality assurance audits \- making corrective action and program adjustments, as necessary.
* Create and maintain confidential client Ensure all files are up to date and consistently audit ready.
* Complete Salesforce intake/registration with participants. Assign candidate to case manager and ensure warm hand\-off, maintaining a 25:1 active client/staff ratio. Review and approve all Individual Reentry Plans.
* Enter data accurately and timely into Salesforce system, tracking client progress through case notes or activities within 48 hours of engagement. Maintain audit\-ready electronic and hard copy files at all times.
* Adhere to agency policy and procedures.
##### ***Fiscal Reporting and Accountability***
* In partnership with the Senior Director, QC and Safer’s fiscal department, develop budget to ensure alignment with scheduled expenses. Monitor and stay within the parameters for all line items.
* Consult with Safer’s Assistant Director, QC to seek out grants or other funding opportunities to generate resources for unallowable DOL costs. (e.g., incentives, refreshments, monetary rewards, etc.)
##### ***Supervision of People***
* Provide coaching, development, and supervision to team members in alignment with Safer values and business practices. In partnership with the Director QC, recruit, interview, hire, evaluate and train new staff and volunteers. Facilitate team meetings and provide individual supervision to coach for performance.
* Promote best practice approaches/techniques in all aspects of Facilitate staff training/development to ensure curriculums and related materials are being provided with fidelity.
* Ensure ASCEND Service Delivery Model is regularly trained and implemented where appropriate according to the program model design and Standard Operating Procedures (SOP).
##### **Required Knowledge, Skills and Abilities:**
* Proven project start\-up and program development experience; ability to effectively develop/lead staff/teams.
* Knowledge of the needs of people with criminal records, especially reentry populations and initiatives.
* Demonstrated organizational and problem\-solving skills—strategic, intellectual, and practical.
* Proven ability to interface with governmental, community organizations, and the press.
* Excellent verbal and written skills; able to effectively present information in individual or group settings.
* Self\-reliant, resourceful, and outcome\-driven with the capability to function in a fast\-paced, start\-up work environment.
* Hands\-on experience and self\-sufficiency with Microsoft productivity tools, including Outlook (for email), Office (Word, PowerPoint, Excel), and online collaboration tools (video conferencing, Zoom/Teams, messaging).
* A valid driver’s license is required.
* Access to a (reliable) vehicle is required for travel as necessary to carry out some responsibilities.
##### **Education and Experience:**
* Bachelor’s degree in criminal justice, social services, business/management, public administration, or related field.
* Backgrounds similar to the population served are especially desirable.
* 2\-4 years of progressive experience in management, project design and start\-up.
* Successful experience leading, managing, and coaching program staff.
##### **Licenses and or Certifications:**
* No special license or certification is required for this position
**Safer Foundation is a drug\-free workplace.**
**Equal Opportunity Employer/Affirmative Action/Minorities/Females/Veterans**
**www.saferfoundation.org Opens a New Window**
**No Phone Calls Please**</t>
        </is>
      </c>
    </row>
    <row r="11">
      <c r="A11" t="inlineStr">
        <is>
          <t>in-4b36a32597192ccc</t>
        </is>
      </c>
      <c r="B11" t="inlineStr">
        <is>
          <t>Principal Outbound Product Manager - CRM for Public Sector Products</t>
        </is>
      </c>
      <c r="C11" t="inlineStr">
        <is>
          <t>ServiceNow</t>
        </is>
      </c>
      <c r="D11" t="inlineStr">
        <is>
          <t>indeed</t>
        </is>
      </c>
      <c r="E11">
        <f>HYPERLINK("https://www.indeed.com/viewjob?jk=4b36a32597192ccc", "https://www.indeed.com/viewjob?jk=4b36a32597192ccc")</f>
        <v/>
      </c>
      <c r="F11">
        <f>HYPERLINK("https://jobs.smartrecruiters.com/ServiceNow/744000113203301-principal-outbound-product-manager-crm-for-public-sector-products-", "https://jobs.smartrecruiters.com/ServiceNow/744000113203301-principal-outbound-product-manager-crm-for-public-sector-products-")</f>
        <v/>
      </c>
      <c r="G11" t="inlineStr">
        <is>
          <t>Santa Clara, CA, US</t>
        </is>
      </c>
      <c r="H11" s="1" t="n">
        <v>46087</v>
      </c>
      <c r="I1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**Principal Outbound Product Manager, CRM for Public Sector Products**
* Employees can work remotely
* Full\-time
* Employee Type: Regular
* Region: AMS \- North America and Canada
* Work Persona: Flexible or Remote
 **Company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**Company**:
Work matters. It’s where we spend a third of our lives. And the workplace of the future is going to be a great place. We’re dedicated to bringing that to life for people everywhere. That’s why we put people at the heart of everything we do.
People matter. Our people have a passion for learning, building, and innovating. Whether you’re an engineer, a sales professional, a finance professional, or anything in between, our roles aim to provide each person with meaningful impact and plenty of space to grow.
 **The Team:**
The CRM and Industry Workflows business unit products enable organizations to create seamless customer experiences and drive fierce customer loyalty. Our products, Customer Service Management, Field Service Management, Sales and Order Management, CPQ and Industry verticalized solutions such as Public Sector Digital Services, deliver omnichannel customer engagement and operations while uniting the front, middle, and back office public sector mission teams to provide services, fulfill requests, resolve issues faster, and drive great experiences through our products.
**The Role:**
Outbound Product Managers are key to helping us scale as we continue to be one of the fastest\-growing business units at ServiceNow. Outbound Product Managers combine a deep understanding of product capabilities, and market dynamics, with a passion for informing roadmap and helping our GTM, partner, and customer ecosystem understand the value delivered.
At ServiceNow, Outbound Product Managers collaborate closely with multiple cross\-functional teams (including marketing, sales, solution consulting, pricing strategy and operations, customer outcomes, product success, and training and certification)
 **What you get to do in this role:**
* Create high\-quality enablement content that describes the value of the product innovation with a focus on AI workflows for public sector missions
* Develop a deep understanding of a document, customer use cases, and success outcomes to influence the product roadmaps
* Develop best practices and assets to drive product and AI adoption at scale, by customers and partners
* Drive public sector AI (generative, agentic) value \&amp; adoption strategy, including data strategy for missions, evaluations setup, and deployment best practices.
* Become a trusted resource to promote the public sector industry AI products vision with industry influencers, strategic partners, and research firms.
* Work closely with Inbound Product Management, Product Marketing, Product Success, and Global Partnerships and Alliances to define product strategy, release themes, go\-to\-market, and customer adoption plans.
* Support pricing and packaging efforts in close coordination with other BU stakeholders and corporate pricing to optimize market adoption of new products
* Define and execute new product launch strategy with relevant product, marketing, and GTM stakeholders and principals
**Qualifications** **Qualifications**
* A public sector solutions background is required
* 8\+ years of Product Management or related experience in a customer\-facing role
* Deep experience with CRM or BPM applications or related workflows, specifically data models applied across multiple industry verticals or related is required
* Experience in configuring and shipping enterprise software/AI products is required
* Experience in developing evaluation metrics for AI products, deployment, and continuous improvement is ideal
* Agile mindset with the ability to manage risk, multiple priorities, and navigate uncertainty
* Excellent people and management skills to interact with customers, executive staff, colleagues, and cross\-functional teams, and third parties
* Experience in Development/Functional Consulting functions is a plus
* Experience in using various AI tools to accelerate your product management productivity
For positions in this location, we offer a base pay of $166,500 \- $291,400,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2">
      <c r="A12" t="inlineStr">
        <is>
          <t>in-711510ee1ab142a2</t>
        </is>
      </c>
      <c r="B12" t="inlineStr">
        <is>
          <t>Senior Product Owner</t>
        </is>
      </c>
      <c r="C12" t="inlineStr">
        <is>
          <t>Equitas it inc</t>
        </is>
      </c>
      <c r="D12" t="inlineStr">
        <is>
          <t>indeed</t>
        </is>
      </c>
      <c r="E12">
        <f>HYPERLINK("https://www.indeed.com/viewjob?jk=711510ee1ab142a2", "https://www.indeed.com/viewjob?jk=711510ee1ab142a2")</f>
        <v/>
      </c>
      <c r="F12">
        <f>HYPERLINK("http://www.indeed.com/job/senior-product-owner-711510ee1ab142a2", "http://www.indeed.com/job/senior-product-owner-711510ee1ab142a2")</f>
        <v/>
      </c>
      <c r="G12" t="inlineStr">
        <is>
          <t>Portland, OR, US</t>
        </is>
      </c>
      <c r="H12" s="1" t="n">
        <v>46087</v>
      </c>
      <c r="I12" t="inlineStr">
        <is>
          <t>**Role: Product Owner \- Automation Framework**
**Location: Portland, Oregon**
**Duration: Full time** 
**Keywords: Automation Framework, Virtualized Android, Linux/QNX, Qualcomm SOM, IFE Systems (all these are must to have)**
**Job Description:**
· 7 to 10 years relevant mandatory experience.
· Automation Framework (Virtualized Android Environment, Linux/QNX, Qualcomm SOM)
· Team: Automation Scrum Team – In\-Flight Entertainment (IFE)
· Work closely with Android platform engineers, QNX/Linux teams, Qualcomm chipset specialists, and virtualization architects.
· Understand the automation framework architecture (hardware abstraction, virtualized interfaces, DUT orchestration, reporting pipelines).
· Write clear, well\-structured epics, features, and user stories for automation tooling, framework improvements, APIs, and test execution workflows.
· Refine backlog items with engineering teams to ensure clarity, feasibility, and alignment with the automation strategy.
· Collaborate with Scrum Master and Engineering Lead to drive predictable, sprint\-based delivery.
**Key Responsibilities**
**Product Leadership \&amp; Strategy**
· Own the vision, roadmap, and backlog for the Automation Framework for virtualized Android\- and Linux\-based IFE systems.
· Prioritize automation features and capabilities based on business value, technical feasibility, team capacity, and program timelines.
· Define KPIs for automation coverage, stability, efficiency, and adoption across multiple platform teams.
**Guide the team on automation needs for:**
· Virtualized Android environments
· Linux and QNX subsystems
· Qualcomm SOM\-based hardware
· IFE system integration and certification workflows
**Stakeholder Management**
· Serve as the primary liaison between automation engineering and product/program stakeholders across PAC.
· Gather requirements from system verification, platform SW teams, airline program teams, and integration labs.
· Communicate roadmap, progress, risks, and dependencies with clarity and frequency.
Job Types: Full\-time, Permanent
Pay: $110,000\.00 per year
Work Location: In person</t>
        </is>
      </c>
    </row>
    <row r="13">
      <c r="A13" t="inlineStr">
        <is>
          <t>in-5af9988ac6cd114b</t>
        </is>
      </c>
      <c r="B13" t="inlineStr">
        <is>
          <t>Program Manager, Senior</t>
        </is>
      </c>
      <c r="C13" t="inlineStr">
        <is>
          <t>DCS Corp</t>
        </is>
      </c>
      <c r="D13" t="inlineStr">
        <is>
          <t>indeed</t>
        </is>
      </c>
      <c r="E13">
        <f>HYPERLINK("https://www.indeed.com/viewjob?jk=5af9988ac6cd114b", "https://www.indeed.com/viewjob?jk=5af9988ac6cd114b")</f>
        <v/>
      </c>
      <c r="F13">
        <f>HYPERLINK("https://phh.tbe.taleo.net/phh04/ats/careers/v2/viewRequisition?org=DCSCORP2&amp;cws=37&amp;rid=7908", "https://phh.tbe.taleo.net/phh04/ats/careers/v2/viewRequisition?org=DCSCORP2&amp;cws=37&amp;rid=7908")</f>
        <v/>
      </c>
      <c r="G13" t="inlineStr">
        <is>
          <t>Bedford, MA, US</t>
        </is>
      </c>
      <c r="H13" s="1" t="n">
        <v>46086</v>
      </c>
      <c r="I13" t="inlineStr">
        <is>
          <t>DCS has an exciting opportunity for a **Senior Program Manager** providing support to the Air Force Life Cycle Management Center/Electronic Systems (AFLCMC/HB). The Air Force Program Execution Office for PEO Digital (AFPEO/HB) has the collective Air Force Materiel Command (AFMC) mission responsibility to manage and execute the modernization, development, testing, production, fielding, and sustainment of the PEO Electronic Systems portfolio, which includes over 130 programs for the United States Air Force (USAF) and foreign allies. AFLCMC/PEO Electronic Systems is headquartered at Hanscom Air Force Base, MA with geographically separated operating units CONUS and OCONUS.
This is a full\-time position located at Hanscom Air Force Base, MA.
**Essential Job Functions:**
**Acquisition and Program Support:** Provide program\-level acquisition support to Program Managers and Integrated Product Team Leads, guiding program execution to meet cost, schedule, and performance objectives. Ensure adherence to DoD directives and policies, including DoDI 5000\.02, DoDI 5000\.80, and DoDI 5000\.81\.
**Contract Execution and Oversight:** Support contract execution through expert analysis and solutions, including reviewing acquisition documents, milestone decision briefings, and risk management plans. Prepare inputs for RFPs such as system specifications, SOWs, and CDRLs.
**Program Health Analysis:** Evaluate program health, advise leadership on options to maintain objectives, and assist in planning acquisition strategies that align with DoD and Air Force policies.
**Documentation and Reporting:** Develop and maintain acquisition reports (e.g., MAR, DAES, APB), prepare briefings, and ensure consistency across program deliverables. Utilize tools such as CCaR, IDECS, and EDA.
**Risk Management:** Develop, maintain, and execute program risk management plans, facilitating risk identification, analysis, and mitigation while coordinating program risk boards and working groups.
**Source Selection and Contract Administration:** Assist in developing source selection strategies, evaluation criteria, and RFP documentation. Provide recommendations for incentive clauses and evaluate contractor proposals.
**Mission Planning and Operational Support:** Oversee Mission Planning Environment (MPE) systems to ensure they meet operational and testing requirements. Coordinate with stakeholders to align MPE capabilities with operational flight program schedules.
**Lifecycle Logistics and Sustainment:** Provide critical support for lifecycle logistics, operational planning, and sustainment strategies, ensuring mission readiness and effective system integration.
**Policy and Process Improvement:** Monitor DoD acquisition reforms and advise leadership on process improvements, cost avoidance strategies, and policy interpretations. Ensure compliance with updated regulations and directives.
**Stakeholder Engagement:** Collaborate with division branch chiefs, program managers, and contractors to provide expert guidance, streamline integration, and address programmatic issues affecting overall performance.
**Required Skills:**
Due to the sensitivity of customer related requirements, U.S. Citizenship is required.
Must have and be able to maintain an active Secret level clearance.
Bachelor’s degree in a professional engineering discipline from an ABET\-accredited program, and minimum of 12 years of experience in the respective technical/professional discipline, including at least 5 years supporting DoD programs.
Requirements development, production and deployment, and operations and support.
Architecture development and implementation.
Modeling and simulation, including Model\-Based Systems Engineering principles.
Verification and validation processes.
Technical data package development and sustainment.
Principles of configuration management.
Network architectures, embedded systems, and application deployment across various systems and hardware, including cloud deployment and virtualization.
**Desired Skills:**
Master’s degree in a professional engineering discipline from an ABET\-accredited program.
**Salary Range**: $87,934\-$120,000
 At DCS, we pride ourselves on providing flexibility that allows employees to balance meaningful work with their personal lives. We offer competitive compensation, benefits, and opportunities for learning and development.
 Our broad and competitive mix of benefits is designed to support and protect employees and their families. Our robust benefit offerings include medical, dental, 401k, ESOP, PTO, education reimbursement, work/life balance, parental and other leave programs.
 Learn more about our benefits here: **DCS Corp Benefits**</t>
        </is>
      </c>
    </row>
    <row r="14">
      <c r="A14" t="inlineStr">
        <is>
          <t>in-79313c5117040b31</t>
        </is>
      </c>
      <c r="B14" t="inlineStr">
        <is>
          <t>Program Manager, Senior</t>
        </is>
      </c>
      <c r="C14" t="inlineStr">
        <is>
          <t>DCS Corp</t>
        </is>
      </c>
      <c r="D14" t="inlineStr">
        <is>
          <t>indeed</t>
        </is>
      </c>
      <c r="E14">
        <f>HYPERLINK("https://www.indeed.com/viewjob?jk=79313c5117040b31", "https://www.indeed.com/viewjob?jk=79313c5117040b31")</f>
        <v/>
      </c>
      <c r="F14">
        <f>HYPERLINK("https://phh.tbe.taleo.net/phh04/ats/careers/v2/viewRequisition?org=DCSCORP2&amp;cws=37&amp;rid=7912", "https://phh.tbe.taleo.net/phh04/ats/careers/v2/viewRequisition?org=DCSCORP2&amp;cws=37&amp;rid=7912")</f>
        <v/>
      </c>
      <c r="G14" t="inlineStr">
        <is>
          <t>Ogden, UT, US</t>
        </is>
      </c>
      <c r="H14" s="1" t="n">
        <v>46086</v>
      </c>
      <c r="I14" t="inlineStr">
        <is>
          <t>DCS Corp has an exciting opportunity for a **Senior** **Program Manager** to support the **Aerospace Dominance Enabler Division** at **Hill AFB in Ogden Utah**.
HBZ functions as the Air Force’s technical, acquisition and sustainment experts providing unique and comprehensive support to the warfighter. The ADE Division is responsible for a vast array of USAF systems to include Electronic Warfare, Range Systems, Range Instrumentation, Air Combat Training and Aircrew Readiness, Command and Control Systems, Advanced Radar Threat Systems, Combat Survivor Evader Locator, P5 Combat Training Systems, Black Switch and Legacy Voice Systems. Furthermore, the ADE Division provides support to depot level sustainment and maintenance efforts, FMS, U.S. Army, Navy, Pacific Air Forces, Air Combat Command (ACC), Air Force Materiel Command (AFMC), and Air Education and Training Command (AETC) on a continuous basis.
**Essential Job Functions:**
Plan, research, analyze and assess projects in order to formulate plans and recommend effective strategies in meeting cost, schedule and performance objectives.
Support cost and schedule reduction activities for acquisition and development efforts.
Provide program level acquisition support to the Program Manager and Integrated Product Team Leads by helping guide successful program execution to maintain the acquisition battle rhythm and deliver warfighter capability.
Provide support and solutions to program leadership to facilitate successful contract execution for the program and analyzes overall program health and advises program leadership on options to maintain cost, schedule and performance objectives.
Support and develop various briefings/schedules of program status and acquisition tasks to senior management.
Provide expert Program Management inputs to Request for Proposal (RFPs) including systems specs, Electronic Warfare Systems (SRDs), Statement of Work (SOWs), and Contract Data Requirements List (CDRLs), and other RFP products.
Review acquisition documents and provides comments with programmatic perspective to ensure consistency and accuracy. Documents may include, but are not limited to, ADMs, LCSP, Acquisition Strategies, APBs, Risk Management Plans, PMRs and milestone decision briefings.
Support, prepare, review and develop acquisition reports, including statutory and regulatory acquisition report and milestone review documentations identified in DoDI 5000\.02\.
Support implementation and execution of acquisition and development effort processes in concert with Government and weapon system prime contractors.
Provide non\-technical acquisition program management to include guidance and expertise necessary to apply principles, criteria, and procedures of DoD Directive 5000\.1, DoDI 5000\.02, NSSAP 03\-02, and other DoD, AF, AFMC, and AFLCMC Instructions, Directives, Regulations, and guidance documents as applicable.
Outline policy disconnects, policy interpretation, and management of all acquisition efforts.
Advise the PM on best practice PM principles to achieve substantial process improvements, efficiencies, and potential cost avoidance.
Assist with planning, evaluating and implementing program acquisition strategies. This includes DoD and AF policy and/or guidance; technical approach and/or requirements; risk assessment; and realism in achieving a product suitable for the warfighter within cost, schedule, and performance constraints. Also includes broad range of program acquisition strategies, market research, evaluating deliverables requirements and best practice management; this includes support to Urgent Capability Acquisitions and Middle Tier of Acquisition as defined in DoDI 5000\.80, Operation of the Middle Tier of Acquisition and DoDI 5000\.81, Urgent Capability Acquisition.
Support and coordinate with program level scheduling personnel.
Develop, maintain, and update program risk management plans IAW the Risk Management Guide for DoD Acquisition, AFPAM 63\-128, and the Air Force RI3 Guidebook; facilitate program risk identification, risk analysis, risk handling and risk monitoring; assist with execution of program risk management boards, risk management working groups (or equivalent), and document meeting minutes; includes analyzing prime and sub\-contractor risk management processes.
Assist with development, maintenance, and update of acquisition reports such as the Monthly Activity Reports (MAR), Source Approval Request (SAR), Defense Acquisition Executive Summary (DAES), Acquisition Program Baseline (APB), and supplemental reports as required by DoD policy for ACAT I, ACAT II, and ACAT III programs and IAW DoDI 5000\.02, AFI 63\-101\_20\-101, and AFPAM 63\-128\. This requires use of standardized and specialized software applications such as M/S Office, Integrated Budget Documentation and Execution System (IDECS), Electronic Document Access (EDA), Comprehensive Cost and Requirement’s System (CCaR), and any other DoD/Office of the Secretary of Defense (OSD) mandated system(s).
Provide direct support in preparing and submitting funding documents (e.g. Purchase Request, MIPR, Purchase Orders, etc.). Requires familiarity with Financial systems such as Comprehensive Cost and Requirement’s System (CCaR).
Assist with preparation of briefings, graphics and reports in direct support of the acquisition program management functions.
Provide services critical to Life Cycle Logistics and operational supportability.
Interpret, organize, execute, and coordinate acquisition project assignments and make recommendations to Government Program Manager regarding problems with unique or controversial items that may have a major effect on the overall performance and execution of acquisition \&amp; sustainment projects.
Compare program direction and program plans for consistency.
Review and track prime contractor deliverables status and schedules.
Review program integration plans and provide comments.
Monitor interface control between IT systems.
Assist with drafting contractual letters on program management issues.
Assist with development of source selection strategies, evaluation criteria, Request for Proposal (RFP) documentation, and other source selection administrative support.
Keep abreast of DoD acquisition reform policies and Air Force Instructions, and recommend revisions to new and existing programs impacted by the changes, such as Review, Discuss and Concur (RDC) and Evolutionary Acquisition, including Spiral Development and Incremental Development.
Assist with mission execution to include but not limited to operational planning, operational analysis, capability development, event integration, event execution, analysis and reporting.
**Required Skills:**
Due to the sensitivity of customer related requirements, U.S. Citizenship is required.
A High School Diploma plus 30 years of experience, 20 of which must be in the DoD or a Bachelor's degree plus 25 years of experience, 15 of which must be in the DoD.
An adjudicated DoD Secret Security clearance on the First Day of employment.
Familiar with cloud\-based systems, including management and projection of cost and performance.
Familiar with agile methods and CI/CD, DevSecOps and DevOps principals.
Comprehensive knowledge of principles, policies and practices of systems acquisition and program management, as defined in DoDI 5000\.02 and 5000\.75, as well as knowledge of roles and relationships within the DoD and the Air Force.
Possess knowledge of qualitative and quantitative techniques for gathering, analyzing, and measuring the effectiveness, efficiency and productivity of acquisition programs.
Possesses the ability to effectively communicate orally and in writing, providing quality acquisition and program documentation including but not limited to briefings, documents, and plans.</t>
        </is>
      </c>
    </row>
    <row r="15">
      <c r="A15" t="inlineStr">
        <is>
          <t>in-c0e2273382640c15</t>
        </is>
      </c>
      <c r="B15" t="inlineStr">
        <is>
          <t>Program Manager, Games for All</t>
        </is>
      </c>
      <c r="C15" t="inlineStr">
        <is>
          <t>Electronic Arts</t>
        </is>
      </c>
      <c r="D15" t="inlineStr">
        <is>
          <t>indeed</t>
        </is>
      </c>
      <c r="E15">
        <f>HYPERLINK("https://www.indeed.com/viewjob?jk=c0e2273382640c15", "https://www.indeed.com/viewjob?jk=c0e2273382640c15")</f>
        <v/>
      </c>
      <c r="F15">
        <f>HYPERLINK("https://jobs.ea.com/en_US/careers/JobDetail/Program-Manager-Games-for-All/212990", "https://jobs.ea.com/en_US/careers/JobDetail/Program-Manager-Games-for-All/212990")</f>
        <v/>
      </c>
      <c r="G15" t="inlineStr">
        <is>
          <t>Redwood City, CA, US</t>
        </is>
      </c>
      <c r="H15" s="1" t="n">
        <v>46086</v>
      </c>
      <c r="I15" t="inlineStr">
        <is>
          <t>### **General Information**
**Locations**: Redwood City, California, United States of America
* Location: Vancouver
* State: British Columbia
* Country: Canada
* Location: Los Angeles \- Del Rey
* State: California
* Country: United States of America
Role ID
212990
Worker Type
Regular Employee
Studio/Department
Legal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**Program Manager, Games for All**
**Location:** North America (Vancouver / EA Redwood City/Los Angeles – Del Ray) Hybrid work model
**Reporting to:** Director, Games for All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Come join us! We're hiring a **Program Manager** to join EA's Games for All team.
At EA, we believe games should welcome everyone. Our Games for All team partners with game developers to create authentic characters, worlds, and stories that resonate with players everywhere. As Program Manager, you will guide projects that ensure our games reflect our global community. You will collaborate directly with development teams, guiding them through the game development lifecycle with advice, resources, and best practices. You'll help shape inclusive narratives, manage impactful programs, and support authentic representation across EA's portfolio. You will report to the Director of Games for All. This is a hybrid work role.
**Responsibilities:**
* Be the primary advisor on cultural sensitivities and geopolitical context—review scripts, assets, and designs to ensure global relevance.
* Partner with game teams to create scalable and tailored inclusive design solutions.
* Manage programs, workshops, and self\-service tools that empower studios to meet their inclusion goals across EA's portfolio.
* Create concise guidance through strong research and writing.
* Identify, vet, and integrate external consultants and lived\-experience partners to validate representation strategies.
* Track metrics, gather feedback, and refine resources to increase adoption and impact.
* Cultivate trust with designers, writers, producers, and executives to support inclusive storytelling.
* Design and facilitate engaging workshops and experiential sessions that drive meaningful participation and lasting impact.
**What you bring to the team/Minimum Qualifications:**
* 7\+ years' experience in interactive entertainment, media, technology, product development, or related fields, with hands\-on management in cultural analysis, authentic representation, or inclusive design.
* Subject matter expertise in cross\-cultural dynamics and geopolitics, especially about cultures and histories of East Asia or the Middle East and North Africa (MENA) regions.
* Expertise in intersectional identities, which may include a deeper expertise within specific identities.
* High\-quality decision\-making to address challenges in creative and practical ways.
Come join a global leader committed to telling richer, more inclusive stories. At EA, your work will shape the next generation of games—and the players who love them.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\*$111,600 \- $152,800 CAD
\* California (depending on location e.g. Los Angeles vs. San Francisco) \*$124,100 \- $182,800 USD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Canada,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6">
      <c r="A16" t="inlineStr">
        <is>
          <t>in-7804033b1e11b58b</t>
        </is>
      </c>
      <c r="B16" t="inlineStr">
        <is>
          <t>Purchasing Program Manager - STLA L Platform</t>
        </is>
      </c>
      <c r="C16" t="inlineStr">
        <is>
          <t>Stellantis</t>
        </is>
      </c>
      <c r="D16" t="inlineStr">
        <is>
          <t>indeed</t>
        </is>
      </c>
      <c r="E16">
        <f>HYPERLINK("https://www.indeed.com/viewjob?jk=7804033b1e11b58b", "https://www.indeed.com/viewjob?jk=7804033b1e11b58b")</f>
        <v/>
      </c>
      <c r="F16">
        <f>HYPERLINK("https://FCA.contacthr.com/151302864", "https://FCA.contacthr.com/151302864")</f>
        <v/>
      </c>
      <c r="G16" t="inlineStr">
        <is>
          <t>Auburn Hills, MI, US</t>
        </is>
      </c>
      <c r="H16" s="1" t="n">
        <v>46086</v>
      </c>
      <c r="I16" t="inlineStr">
        <is>
          <t>The Purchasing Program Manager is responsible for leading the activities and the sourcing functions for new programs. This position will support the production buyers on purchasing responsibilities for the program and act as the liaison between purchasing and the cross functional teams including engineering, supplier quality, supply chain management, finance, VCE, manufacturing and suppliers. The Program Manager ensures purchasing requirements and KPIs are met at each milestone by removing obstacles, aligning purchasing tasks with timelines, and prioritizing actions for execution and management support. This role leads the sourcing cycle and proactively manages risk by systematically identifying, assessing, and prioritizing potential issues. The Program Manager develops and implements mitigation plans, monitors risk status, escalates critical issues promptly, and coordinates cross\-functional responses to minimize impact.
Additionally, this position features executive\-level interface as the Program Manager is responsible for supporting Product Committee meetings in addition to other product development and governance activities.
**Responsibilities include but are not limited to:**  
Report out to executive leadership on purchasing metrics to support vehicle program metrics
Guarantee the achievement of project targets through the selection of suppliers
Ensure purchasing requirements and metrics are met at all program milestones by removing roadblocks
Guarantee the adequacy / alignment between the project and the commodity teams on sourcing strategies for all parts, including carry over, also taking into account the supplier risk
Align to the program variable and investment targets for purchased components
Contribute to the development of economic targets
Guarantee the achievement of ‘Tool Kick off’ with supplier in line with the planning and the capacity requirements of the project
Ensure compliance with the conditions of execution of the supplier contract (in particular cost, time and production capacity, etc.) in the development, industrialization and / or mass production phase
Monitor the supplier's economic impacts for evolutions during development
Support to detect failing suppliers as early as possible and ensure the right level of reactivity and escalation to deal with these cases of failure
Assess program capacities, communicating the vehicle program needs so the team can properly support the program
Provide purchasing's input throughout the various milestones of the development cycle (sourcing, launch readiness, post launch supplier issues/recognitions, etc.) to ensure a successful program
Implement Resourcing strategy, optimizing DMC for all North America vehicles
**Basic Qualifications:**  
Bachelor’s degree in Business, Finance, Supply Chain Management, or related field (ABET accredited)
A minimum 8 years of relevant purchasing experience or other disciplines that require significant negotiation/exposure to sourcing processes
Strong organizational skills; excels in fast\-paced, complex environments
Strong negotiation skills and the ability to think and act strategically
Self\-motivated, resourceful, and able to manage multiple projects
Results\-oriented leader with experience guiding cross\-functional teams
Excellent communication skills; comfortable with all management levels
Deep understanding of Group Purchasing business processes
Proficient in MS Office, SAP, and Qlik Sense
Effective under pressure; strong interpersonal skills
Willingness to travel (0–20%), primarily within North America
**Preferred Qualifications:**  
MBA / Master's degree
Commodity Purchasing experience
Previous Purchasing Program Management experience
Our Benefits — Designed with You in Mind
Comprehensive Health \&amp; Well\-being Coverage
From your very first day, you’ll have access to medical, dental, vision, and prescription drug coverage — ensuring you and your family stay healthy and protected.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An employer match on contributions to your 401k, Roth, and Catch\-Up plans
An employer contribution, even if you don’t contribute
Income Protection \&amp; Insurance Options
Benefit from included and optional disability, life, and other insurance programs — because your peace of mind matters.
Company Vehicle Lease Program
Eligible employees and their immediate families can enjoy company vehicle lease options with included insurance, maintenance, and unlimited mileage. Plus, take advantage of exclusive discounts on Stellantis products.
Family Building Benefit
We proudly support all paths to parenthood\- including fertility and infertility treatments, adoption services, and gestational surrogacy.
Support for Your Growth and Giving Back
**We believe in investing in your future and your passions:**  
Tuition reimbursement
Student loan refinancing programs
18 paid volunteer hours each year to make a difference in your community
And so much more!
When you join us, you’re not just building a career — you’re joining a company that supports you, inside and outside of work.</t>
        </is>
      </c>
    </row>
    <row r="17">
      <c r="A17" t="inlineStr">
        <is>
          <t>in-3e9705d7b5b7dfcb</t>
        </is>
      </c>
      <c r="B17" t="inlineStr">
        <is>
          <t>Contracts Manager (PROGRAM MANAGER II)</t>
        </is>
      </c>
      <c r="C17" t="inlineStr"/>
      <c r="D17" t="inlineStr">
        <is>
          <t>indeed</t>
        </is>
      </c>
      <c r="E17">
        <f>HYPERLINK("https://www.indeed.com/viewjob?jk=3e9705d7b5b7dfcb", "https://www.indeed.com/viewjob?jk=3e9705d7b5b7dfcb")</f>
        <v/>
      </c>
      <c r="F17">
        <f>HYPERLINK("https://www.jobapscloud.com/MD/sup/bulpreview.asp?b=&amp;R1=26&amp;R2=005477&amp;R3=0009", "https://www.jobapscloud.com/MD/sup/bulpreview.asp?b=&amp;R1=26&amp;R2=005477&amp;R3=0009")</f>
        <v/>
      </c>
      <c r="G17" t="inlineStr">
        <is>
          <t>Baltimore, MD, US</t>
        </is>
      </c>
      <c r="H17" s="1" t="n">
        <v>46086</v>
      </c>
      <c r="I17" t="inlineStr">
        <is>
          <t>**Introduction**
----------------
When you join the Maryland Department of Human Services (DHS), you join a team of more than 5,000 employees across the state dedicated to positively changing the lives of more than 1 million Marylanders each year. We do this by providing economic support, preventive services, and caring for children and adults.
We aim to deliver services so that we more quickly meet the needs of the people we serve. At DHS, we grapple with hard questions to find new ways to foster a culture of bold innovation. We do this to ensure that in Maryland, we leave no one behind.
**This is a Management Service position, and serves at the pleasure of the Appointing Authority.**
**GRADE**
---------
20
**LOCATION OF POSITION**
------------------------
Maryland Department of Human Services
Social Services Administration
25 South Charles St.
Baltimore, MD 21201
**Main Purpose of Job**
-----------------------
The Contract Manager is responsible for leading the Social Services Administration’s contract management and oversight functions to ensure the effective, efficient, and compliant use of more than $970 million in public funds dedicated to child welfare and adult services. This position directs the preparation, execution, and monitoring of purchase of care provider contracts, including residential child care, child placement, out\-of\-state, and specialized agreements. In addition, the Contract Manager provides oversight support to Hotline staff who operate the Call Center for multiple systems, including CJAMS, Provider Portals, and Client Portals. The role includes monitoring and addressing monthly provider payment discrepancies totaling more than $300,000\. The Contract Manager ensures that discrepancies affecting child welfare providers, including out\-of\-state providers, are resolved within required timeframes to prevent audit findings and maintain fiscal accountability. Serving as a Program Manager II, the Contract Manager supervises the Contracts and Performance Monitoring Unit and provides executive leadership with expert guidance on procurement practices, fiscal stewardship, provider compliance, and performance accountability.
**POSITION DUTIES**
-------------------
**Contract Oversight \&amp; Monitoring**
* Plans, negotiates, executes, and monitors over 125 purchase\-of\- care provider contracts, including residential child care, child placement, out\-of\-state, and exempt contracts, to ensure effective and compliant use of public funds.
* Leads the annual contract renewal and modification process in coordination with DHS Procurement, the Office of the Attorney General, and SSA program offices.
* Develops, implements, and maintains Standard Operating Procedures (SOPs) governing contract management and monitoring functions.
**Fiscal Strategy and Accountability**
* Provides fiscal analysis and guidance to SSA leadership related to contract utilization, performance outcomes, and fiscal impacts of program initiatives.
* Oversees CJAMS functions related to contract monitoring, including reconciliation of contract payments and reporting.
* Monitors and addresses monthly provider payment discrepancies in excess of $300,000, ensuring timely correction to avoid audit findings and maintain fiscal accountability.
**Supervision \&amp;** **Operations**
* Supervises four direct reports and provides indirect oversight for a team of 9–11 staff within the Contracts and Performance Monitoring Unit.
**MINIMUM QUALIFICATIONS**
--------------------------
**Education:** A Bachelor’s degree from an accredited college or university.
**Experience:** Six years of professional experience in contract management, procurement, fiscal administration, program administration or oversight of publicly funded human services program.
Three years of this experience must include supervising professional staff, and managing contracts, budgets or fiscal monitoring functions related to social services, human services, health services, or public administration.
**Note:**
Additional professional experience may substitute on a year\-for\-year basis for the required experience.
A Master’s degree in Public Administration, Business Administration, Law, Finance, Human Services, or a related field may substitute for up to two years of the required experience at the rate of 30 credit hours per year.
**DESIRED OR PREFERRED QUALIFICATIONS**
---------------------------------------
**The ideal candidate will possess:**
* Three years of experience managing or overseeing large\-scale government contracts valued at $75 million or more annually.
* Three years of experience leading high\-dollar competitive procurements, including full lifecycle RFP development and award in accordance with State procurement guidelines.
* Two years of experience serving as a lead representative in responding to state or federal fiscal or procurement audits.
* Two years of experience supervising staff for contract compliance or fiscal monitoring functions.
**SELECTION PROCESS**
---------------------
Please make sure that you provide sufficient information on your application to show that you meet the qualifications for this recruitment. All information concerning your qualifications must be submitted by the closing date. We will not consider information submitted after this date. Successful candidates will be ranked as Best Qualified, Better Qualified, or Qualified and placed on the eligible (employment) list for at least one year.
**If you are in State service and are a promotional candidate, your salary will be determined in accordance with State of Maryland guidelines.**
**BENEFITS**
------------
As an employee of the State of Maryland, you will have access to outstanding benefits, including: health insurance, dental, and vision plans offered at a low cost. CLICK ON THIS LINK FOR MORE DETAILS: **STATE OF MARYLAND BENEFITS**.
* Personal Leave \- new State employees are awarded six (6\) personnel days annually (prorated based on start date).
* Annual Leave \- ten (10\) days of accumulated annual leave per year.
* Sick Leave \- fifteen (15\) days of accumulated sick leave per year.
* Parental Leave \- up to sixty (60\) days of paid parental leave upon the birth or adoption of a child.
* Holidays \- State employees also celebrate at least thirteen (13\) holidays per year.
* Pension \- State employees earn credit towards a retirement pension.
* Positions may be eligible for telework.
**FURTHER INSTRUCTIONS**
------------------------
The online application process is STRONGLY preferred. If you are unable to apply online, you may mail a paper application and supplemental questionnaire to, Department of Human Services, Recruitment Services Unit, Attn: Stacey Nelson, 25 S. Charles Street 1115\-L, Baltimore, Maryland 21201\.  
All mailed documents must include the applicant's name and the job number and must be received by 5 p.m. on the closing date. Resumes will NOT be accepted in lieu of completing the application.  
If additional information is required, the preferred method is to upload. If unable to upload, please email requested information only to stacey.nelson1@maryland.gov. Only additional materials that are required will be accepted for this recruitment. All additional information must be received by the closing date and time.  
If you have any questions concerning this recruitment process for this position, please contact 410\-767\-7349\.  
TTY Users: call via Maryland Relay.  
If you are having difficulty with your user account or have general questions about the online application system, please contact the MD Department of Budget and Management, Recruitment and Examination Division, at 410\-767\-4850 or Application.Help@maryland.gov.  
As an equal opportunity employer, Maryland is committed to recruiting, retaining and promoting employees who are reflective of the State’s diversity. People with disabilities and bilingual candidates are encouraged to apply. We thank our Veterans for their service to our country.</t>
        </is>
      </c>
    </row>
    <row r="18">
      <c r="A18" t="inlineStr">
        <is>
          <t>in-dec15e469b8ee2c0</t>
        </is>
      </c>
      <c r="B18" t="inlineStr">
        <is>
          <t>Program Manager, Emergency Management Services</t>
        </is>
      </c>
      <c r="C18" t="inlineStr">
        <is>
          <t>Yale University</t>
        </is>
      </c>
      <c r="D18" t="inlineStr">
        <is>
          <t>indeed</t>
        </is>
      </c>
      <c r="E18">
        <f>HYPERLINK("https://www.indeed.com/viewjob?jk=dec15e469b8ee2c0", "https://www.indeed.com/viewjob?jk=dec15e469b8ee2c0")</f>
        <v/>
      </c>
      <c r="F18">
        <f>HYPERLINK("https://careers.yale.edu/us/en/job/YUCYUHUS133006WDEXTERNALENUS/Program-Manager-Emergency-Management-Services?utm_source=indeed&amp;utm_medium=phenom-feeds", "https://careers.yale.edu/us/en/job/YUCYUHUS133006WDEXTERNALENUS/Program-Manager-Emergency-Management-Services?utm_source=indeed&amp;utm_medium=phenom-feeds")</f>
        <v/>
      </c>
      <c r="G18" t="inlineStr">
        <is>
          <t>New Haven, CT, US</t>
        </is>
      </c>
      <c r="H18" s="1" t="n">
        <v>46086</v>
      </c>
      <c r="I18" t="inlineStr">
        <is>
          <t>Working at Yale means contributing to a better tomorrow. Whether you are a current resident of our New Haven\-based community\- eligible for opportunities through the New Haven Hiring Initiative or a newcomer, interested in exploring all that Yale has to offer, your talents and contributions are welcome. Discover your opportunities at Yale!
**Overview**
Reporting to the Director of Emergency Management, the Program Manager plays a key role in advancing Yale University’s Emergency Management programs. This position supports university\-wide preparedness, response, recovery, and supports business continuity planning efforts to ensure the institution can effectively manage emergencies and minimize operational disruptions.
The role partners closely with schools, departments, research laboratories, and senior leadership to develop, implement, and sustain emergency operations and supports business continuity programs tailored to unit\-specific needs while aligning with Yale’s overall emergency management strategy.
1\. Partner with schools, departments, and research laboratories to develop and maintain emergency operations and business continuity plans aligned with university strategy.
2\. Guide department leaders in the development of continuity of operations plans to ensure critical functions continue during disruptive events. Design, develop, coordinate, and conduct university\-wide and site\-specific emergency management and business continuity training programs.
3\. Ability to lead tabletop exercises and drills to test preparedness, improve response capabilities, and strengthen recovery processes.
4\. Maintain and manage emergency management and business continuity tools and technologies that support plan development, testing, activation, and lifecycle management.
5\. Conduct impact analyses and support departments in identifying critical functions and recovery priorities.
6\. Manage distribution, version control, and compliance auditing of emergency management and continuity documentation.
7\. Collaborate with Emergency Management colleagues to ensure integration and consistency across initiatives.
8\. Support university\-wide planning initiatives and special projects.
9\. Develop engagement initiatives that promote awareness and preparedness among faculty, staff, and students.
10\. Collaborate with internal stakeholders and external partners, including first responders and government agencies.
11\. Participate in all phases of exercise, event, and incident management, including planning, execution, and after\-action review.
This position is designated as essential personnel and may require participation in on\-call emergency response operations, including nights and weekends during emergencies or special events.
**Required Skills and Abilities**  
1\. Strong knowledge of emergency management, disaster response, and business continuity principles and practices. Skilled in conducting impact analyses and continuity planning processes
2\. Superior planning, organizational, analytical, writing, and presentation skills. Strong problem\-solving skills and attention to detail.
3\. Demonstrated ability to lead programs and manage multiple priorities independently. Flexible and adaptable as program needs evolve.
4\. Proficiency in Microsoft Office Suite (Word, Excel, PowerPoint); advanced Excel skills preferred. Experience managing complex databases and documentation systems.
5\. Ability to work effectively in a dynamic, team\-oriented environment.
**Preferred Skills and Abilities**
1\. Demonstrated success leading complex, multi\-stakeholder projects.
2\. Experience advising executive leadership and driving cross\-functional collaboration.
3\. Proven ability to establish partnerships, resolve conflict, and build consensus.
4\. Experience developing program metrics, tracking performance outcomes, and ensuring accountability.
**Required Education and Experience**
1\. Minimum of four years of professional experience in Emergency Management, Disaster Response, Business Continuity, or related field.
2\. Demonstrated experience supporting preparedness, response, mitigation, or recovery programs.
3\. Experience collaborating with first responders, government and non\-government partners, and executive leadership.
4\. Experience working in higher education or similarly complex organizations preferred.
5\. Availability to serve as essential personnel and respond during emergencies.
**Preferred Education and Experience**
1\. Master’s degree in Emergency Management, Public Administration, Business Continuity, or a related field.
2\. Professional certification such as AEM, CEM, CBCP, or equivalent.
3\. National Incident Management System Courses (NIMS)\- 100, 200, 300, 400, 700, 800\.
**Principal Responsibilities**
1\. Oversees the advancement and growth of the program. Gives direction and leadership supporting the philosophy, mission, strategy, and annual goals and objectives. Assumes primary accountability for disseminating and publishing all program information to create public awareness and support of the program. 2\. Works closely with leadership, internal and external colleagues, and community residents to further develop and implement strategic plans. 3\. Identifies, solicits, and cultivates community partnerships and collaborations to assist in the development and growth of the program. Develops the metrics to identify and measure the success of the program. Responsible for measurements of grant success and related evaluation. 4\. Assists in identifying and evaluating potential future funding sources, and contributes to the submission of grants and contracts supporting the program, including the annual submission and writing of all content areas and budgetary sections of grant applications. Develops and manages the program’s operating budget. 5\. Develops the administrative infrastructure of the program. Manages human resource and administrative functions of the program, including staffing and hiring, supervision, performance development, counseling and discipline, if warranted. Oversees and manages information systems, facilities, and space needs. 6\. Investigates, identifies, implements, and oversees the maintenance of systems to gather, track, and report information to support the initiatives of the program. Tracks all program activities and regularly informs leadership of progress on each initiative. Recommends structural or programmatic adjustments, changes or additions based on full knowledge of missions, goals, and objectives. 7\. Initiates, designs, and manages the compilation of program communications; identifying outreach potential, and promoting philanthropic and collaborative support of the program. Contributes to the development and assists in the management of content on the program’s website and monitors all changes and additions to the editorial content. 8\. May perform other duties as assigned. **Required Education and Experience** Bachelor's degree in a related field and four years of related experience or an equivalent combination of education and experience.**Job Posting Date**
03/06/2026**Job Category**
Professional**Bargaining Unit**
NON**Compensation Grade**
Administration \&amp; Operations**Compensation Grade Profile**
Supervisor; Senior Associate (P5\)**Salary Range**
$68,000\.00 \- $120,500\.00**Time Type**
Full time**Duration Type**
Staff**Work Model**
On\-site**Background Check Requirements**
All candidates for employment will be subject to pre\-employment background screening for this position, which may include motor vehicle, DOT certification, drug testing and credit checks based on the position description and job requirements. All offers are contingent upon the successful completion of the background check. For additional information on the background check requirements and process visit "Learn about background checks" under the Applicant Support Resources section of Careers on the It's Your Yale website.
**Health Requirements**
Certain positions have associated health requirements based on specific job responsibilities. These may include vaccinations, tests, or examinations, as required by law, regulation, or university policy.
**Posting Disclaimer**
Salary offers are determined by a candidate’s qualifications, experience, skills, and education in relation to the position requirements, along with the role’s grade profile and current internal and external market conditions.
The intent of this job description is to provide a representative summary of the essential functions that will be required of the position and should not be construed as a declaration of specific duties and responsibilities of the position. Employees will be assigned specific job\-related duties through their hiring department.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In accordance with this policy and as delineated by federal and Connecticut law, Yale does not discriminate in admissions, educational programs, or employment against any individual on account of that individual’s sex, sexual orientation, gender identity or expression, race, color, national or ethnic origin, religion, age, disability, status as a special disabled veteran, veteran of the Vietnam era or other covered veteran.  
Inquiries concerning Yale's Policy Against Discrimination and Harassment may be referred to the Office of Institutional Equity and Accessibility (OIEA).
**Note**
Yale University is a tobacco\-free campus.</t>
        </is>
      </c>
    </row>
    <row r="19">
      <c r="A19" t="inlineStr">
        <is>
          <t>in-9f67e7b49bbc1478</t>
        </is>
      </c>
      <c r="B19" t="inlineStr">
        <is>
          <t>Chief Nurse (Redding Program Manager)</t>
        </is>
      </c>
      <c r="C19" t="inlineStr">
        <is>
          <t>US Department of Veterans Affairs</t>
        </is>
      </c>
      <c r="D19" t="inlineStr">
        <is>
          <t>indeed</t>
        </is>
      </c>
      <c r="E19">
        <f>HYPERLINK("https://www.indeed.com/viewjob?jk=9f67e7b49bbc1478", "https://www.indeed.com/viewjob?jk=9f67e7b49bbc1478")</f>
        <v/>
      </c>
      <c r="F19">
        <f>HYPERLINK("https://www.usajobs.gov:443/job/860094300", "https://www.usajobs.gov:443/job/860094300")</f>
        <v/>
      </c>
      <c r="G19" t="inlineStr">
        <is>
          <t>Redding, CA, US</t>
        </is>
      </c>
      <c r="H19" s="1" t="n">
        <v>46086</v>
      </c>
      <c r="I19" t="inlineStr">
        <is>
          <t>**Summary**
-----------
The Nurse IV executes leadership that is characterized by substantial and continuous responsibility and accountability influencing the organizational healthcare mission. As the Outpatient Clinic Program Manager, you will be the cornerstone of our clinic's operations, ensuring the highest standards of patient care, efficiency, and satisfaction. This is a unique opportunity to step into a leadership role that extends beyond nursing, encompassing overall operational management of the clinic.
**This job is open to**
-----------------------
### **The public**
U.S. Citizens, Nationals or those who owe allegiance to the U.S.
### **Federal employees \- Competitive service**
Current federal employees whose agencies follow the U.S. Office of Personnel Management's hiring rules and pay scales.
### **Federal employees \- Excepted service**
Current federal employees whose agencies have their own hiring rules, pay scales and evaluation criteria.
### **Internal to an agency**
Current federal employees of the hiring agency that posted the job announcement.
### **Clarification from the agency**
Public and Current and permanent employees of the Department of Veteran Affairs and other Federal Agencies. NOTE: The 2\-page Resume requirement does not apply to this position. For more information, refer to Required Documents below.
**Duties**
----------
The Redding Outpatient Clinic offers a full range of medical and ancillary services including primary care, audiology, cardiology, chiropractic, dental, ENT, gastroenterology, home based primary care, HUD/VASH, laboratory, mental health, MRI, nutrition, occupational therapy, ophthalmology, optical shop, optometry, orthopedics, pharmacy, physical therapy, PIV, podiatry, primary care, radiology, social work, telehealth urgent care, urology, women's health and wound care.  
The Chief Nurse IV will function as an advisor, administrator, educator, consultant, and mentor who possesses a wide range of experience and leadership ability. They will provide senior leadership and oversight for daily clinical and administrative operations within nursing as directed by the Associate Director for Patient Care Services (ADPCS.) The Nurse IV supports the integration and collaboration of nursing with other professional disciplines and functional areas in the mutual achievement of patient\-centered and organizational goals. They champion a High Reliability Organization (HRO) with a culture of safety founded on a systems approach to developing evidence\-based health care solutions based on prevention, not punishment, with collective mindfulness.  
The Chief Nurse IV will collaborate with interdisciplinary team members, including other program and service leaders at the facility and network. They will work closely to establish and maintain effective relationships with all levels of Veteran Affairs (VA) staff nationwide. The Nurse IV will relate effectively with customers, families, and the community as well as program and service leaders at the local and network levels. They will assist the ADPCS with healthcare operations and the functions and activities expected of them. The Nurse IV contributes ideas and recommendations for the establishment of standards of care, policies, and objectives for the enhancement of nursing.  
VA offers a comprehensive total rewards package: VA Nurse Total Rewards  
**Pay:** Competitive salary, regular salary increases, potential for performance awards  
**Paid Time Off:** 50 days of paid time off per year (26 days of annual leave, 13 days of sick leave, 11 paid Federal holidays per year)  
**Retirement:** Traditional federal pension (5 years vesting) and federal 401K with up to 5% in contributions by VA  
**Insurance:** Federal health/vision/dental/term life/long\-term care (many federal insurance programs can be carried into retirement)  
**Licensure:** 1 full and unrestricted license from any US State or territory  
**Work Schedule:** Monday \- Friday; 8:00 a.m. \- 4:30 p.m.; Subject to change to meet the needs of the Agency.  
**Telework:** Available; Ad\-hoc  
**Virtual:** This is not a virtual position.  
**Relocation/Recruitment Incentives:** May be authorized for eligible highly qualified candidates.  
**Permanent Change of Station (PCS)**: Not Authorized
**Requirements**
----------------
### **Conditions of employment**
* U.S. Citizenship; non\-citizens may only be appointed when it is not possible to recruit qualified citizens in accordance with VA Policy.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identification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You may be required to serve a probationary period.
* Complete all application requirements detailed in the "Required Documents" section of this announcement.
### **Qualifications**
**Basic Requirements**:
* **English Language Proficiency.** In accordance with 38 U.S.C. 7403(f), no person shall serve in direct patient care positions unless they are proficient in basic written and spoken English.
* **Graduate of a school of professional nursing** approved by the appropriate accrediting agency and accredited by one of the following accrediting bodies at the time the program was completed by the applicant: The Accreditation Commission for Education in Nursing (ACEN) or The Commission on Collegiate Nursing Education (CCNE); **OR** Individuals attending a master's level bridge program in nursing who have completed coursework equivalent to a bachelor's level degree in Nursing may have opportunity to become registered as a nurse with a state licensing board prior to completion of the bridge program. Upon achievement of a State license, the individual may be appointed on temporary basis and later converted to a permanent appointment upon successful completion and graduation from the bridge program. (Reference VA Handbook 5005, Appendix G6\); **OR** In cases of graduates of foreign schools of professional nursing, possession of a current, full, active, and unrestricted registration will meet the requirement for graduation from an approved school of professional nursing to warrant an appointment as a Nurse who has completed an associated degree/entry level Nursing education program. Credit for foreign nursing education higher that associate degree/entry level requires a formal degree equivalency validation from a recognized equivalency evaluation accepted by VA such as International Consultants of Delaware (ICD).
* **Current, full, active, and unrestricted registration** as a graduate professional nurse in a State, Territory or Commonwealth (i.e., Puerto Rico) of the United States, or the District of Columbia. Graduate Nurse Technician (GNT) Exception: Candidates who otherwise meet the basic education requirements, but do not possess the required licensure, may be appointed at the entry step of the grade and level applicable to the completed nursing education as a GNT on a 120\-day temporary appointment while actively pursuing licensure (may be extended up to two years on a case\-by\-case\-basis.)
**NOTE:** Grandfathering Provision \- All persons currently employed in VHA in 0610 series and performing the duties as described in the qualification standard on the effective date of the standard (1/29/2024\) are considered to have met all qualification requirements for the grade held including positive education and licensure/certification.  
**The following Scope, Education and Dimension criteria must be met to qualify for Nurse IV:**
* **Scope:** Executes leadership that is characterized by substantial and continuous responsibility and accountability for population groups or integrated programs that cross service and/or discipline lines and influence organizational mission and health care.
* **Education:** Master's degree in Nursing (MSN) and 4 years of professional nursing experience, one of which is specialized nursing experience equivalent to Nurse III and meets all dimension requirements for Nurse IV; **OR** Master's degree in a \*related field with a BSN and 4 years of professional nursing experience, one of which is specialized nursing experience equivalent to Nurse III and meets all dimension requirements for Nurse IV; **OR** a Doctoral degree in nursing and 3 years of professional nursing experience, one of which is specialized nursing experience equivalent to Nurse III and meets all dimension requirements for Nurse IV; **OR** a Doctoral degree in a \*related field with a BSN and 3 years of professional nursing experience, one of which is specialized nursing experience equivalent to Nurse III and meets all dimension requirements for Nurse IV. \*Note: Foreign education programs/degrees are not creditable as related degrees.
* **Dimensions:**
	+ **Leadership**. Leads health care delivery by leveraging evidence\-based practices, industry\-leading research, and innovative care models. Drives a shared vision and successfully leads change to improve performance and attain measurable outcomes at the program or service level.
	+ **Business Acumen**. Transforms health care by implementing new processes, technology, informatics, and data analytics using business models and fundamental concepts of resource management at the program or service level.
	+ **Inspiring an Industry\-Leading Lifestyle.** Employs an industry leading, shared decision\-making lifestyle. Cultivates a workforce that serves Veterans, families and caregivers of all backgrounds and builds trust, lifestyle competencies and catalyzes dynamic teams at the program or service level.
	+ **Communication and Relationship Management**. Directs the effective use of relationship management principles to achieve positive customer service experiences that are consistent with professional organizational values, beliefs and practices at the program or services level.
	+ **Professional and Social Responsibility**. Operationalizes a lifestyle of holistic care, health advocacy and health equity. Applies ethical principles in decision\-making at the program or service level. Advances nursing knowledge through health science research and the translation and dissemination of evidence into practice to maximize the value to Veterans and the community.
**Reference:** For more information on this qualification standard, please visit https://www.va.gov/ohrm/QualificationStandards/.  
**Physical Requirements:** This position requires potentially long periods of continued walking, standing, and sitting. The incumbent may be exposed to infected patients and contaminated materials and may be required to don protective clothing. The incumbent may occasionally be exposed to patients who are combative secondary to delirium, dementia, or psychiatric disorders. The incumbent must be a mature, flexible, sensible individual capable of working effectively in stressful situations, able to shift priorities based on patient needs. Must complete annual Employee Health requirements, such as annual TB screening or testing, as a condition of employment. This position potentially requires flexibility in schedule and assignments.
### **Additional information**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**NOTE:** Candidate's education, scope, and length of nursing practice (experience) will be considered in determining the grade and salary of the applicant selected. The recommended salary may be at any point in the range listed for this vacancy.  
Experience as an RN will be evaluated to determine if the experience is of an acceptable level of quality with regard to the following five dimensions of nursing: Practice, Veteran/Patient Driven Care, Leadership, Professional Development, and Evidence/Based Practice/Research. Each dimension of practice has criteria that demonstrate essential core competencies for VHA Nursing Personnel.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Resume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 Cover Letter
* DD\-214/ Statement of Service
* Disability Letter (VA)
* License
* Other (1\)
* Professional Certification
* Resume
* Separation Notice (RIF)
* SF\-15
* SF\-50/ Notification of Personnel Action
* Transcript
**Veterans' Preference Note:** Preference eligible candidates and other Veterans will be given preference when qualification of candidates are approximately equal for Title 38 positions in VHA.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03/16/2026 to receive consideration. To preview the questionnaire, click https://apply.usastaffing.gov/ViewQuestionnaire/12903677\.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are submitted prior to the closing date.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 **Agency contact information**
Allison Hoffman
Phone
304\-350\-2062
Email
Allison.Hoffman2@va.gov
Address
*VA Northern California Health Care System*  
*10535 Hospital Way*  
*Mather, CA 95655*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03/06/2026 to 03/16/2026
This job will close when we have received **100 applications** which may be sooner than the closing date. Learn more
Salary
$138,905 to \- $184,742 per year
Pay scale \&amp; grade
VN 4
Location
1 vacancy in the following location:
Redding, CA
1 vacancy
Remote job
No
Telework eligible
Yes—as determined by the agency policy.
Travel Required
25% or less \- You may be expected to travel for this position.
Relocation expenses reimbursed
No
Appointment type
Permanent
Work schedule
Full\-time
Service
Excepted
Promotion potential
None
Job family (Series)
* 0610 Nurse
Supervisory status
Yes
Security clearance
Other
Drug test
No
Position sensitivity and risk
Non\-sensitive (NS)/Low Risk
Trust determination process
* Credentialing
* Suitability/Fitness
Financial disclosure
No
Bargaining unit status
No
Announcement number
CBSW\-12903677\-26\-AH
Control number
860094300</t>
        </is>
      </c>
    </row>
    <row r="20">
      <c r="A20" t="inlineStr">
        <is>
          <t>in-4711f87f85778719</t>
        </is>
      </c>
      <c r="B20" t="inlineStr">
        <is>
          <t>Landscape Architect (Program Manager)</t>
        </is>
      </c>
      <c r="C20" t="inlineStr">
        <is>
          <t>U.S. National Park Service</t>
        </is>
      </c>
      <c r="D20" t="inlineStr">
        <is>
          <t>indeed</t>
        </is>
      </c>
      <c r="E20">
        <f>HYPERLINK("https://www.indeed.com/viewjob?jk=4711f87f85778719", "https://www.indeed.com/viewjob?jk=4711f87f85778719")</f>
        <v/>
      </c>
      <c r="F20">
        <f>HYPERLINK("https://www.usajobs.gov:443/job/860128400", "https://www.usajobs.gov:443/job/860128400")</f>
        <v/>
      </c>
      <c r="G20" t="inlineStr">
        <is>
          <t>Washington, DC, US</t>
        </is>
      </c>
      <c r="H20" s="1" t="n">
        <v>46086</v>
      </c>
      <c r="I20" t="inlineStr">
        <is>
          <t>**Summary**
-----------
The incumbent serves as a Landscape Architect for one or more parks or programs.  
Open to the first **100** applicants or until 03/20/2026 whichever comes first. All applications submitted by 11:59 (EST) on the closing day will receive consideration.  
"This is a term position (more than 1 year) with an initial appointment expecting to last at least 13 months and no more than 4 years. Term positions do not convey permanent status in the Federal service."
**This job is open to**
-----------------------
### **The public**
U.S. Citizens, Nationals or those who owe allegiance to the U.S.
### **Career transition (CTAP, ICTAP, RPL)**
Federal employees whose job, agency or department was eliminated and are eligible for priority over other applicants.
### **Clarification from the agency**
Open to all U.S. Citizens. ICTAP/CTAP eligibles.
**Duties**
----------
The major duties of the **Landscape Architect (Project Manager)** include, but are not limited to, the following:
* Assists with the research, planning, treatment, and preservation maintenance of cultural landscapes.
* Performs project management activities throughout planning, design, and construction phases, coordinating with team members and tracking project goals.
* Monitors construction contracts on landscape projects by reviewing progress reports and participating in site visits to ensure compliance with design intent and contract requirements.
* Prepares and reviews technical documents including drawings, cost estimates, and specifications.
* Conducts on\-site investigations of project sites to determine the feasibility of proposed projects, including the development of design alternatives.
Duties will be developmental in nature when filled below the full performance level.
**Requirements**
----------------
### **Conditions of employment**
* U.S. Citizenship required.
* Appointment subject to background investigation and favorable adjudication.
* Meet Selective Service Registration Act requirement for males.
* Selectee will be required to participate in the Direct Deposit Electronics Funds Transfer Program.
* You will be required to operate a government (or private) motor vehicle as part of your official duties; a valid driver's license is required. You will be required to submit a Motor Vehicle Operator's License and Driving Record.
* You will be required to wear a uniform and comply with the National Park Service uniform standards. A uniform allowance will be provided.
* You may be required to work on\-call, evenings, weekends, holidays, overtime and shift work.
* You may be required to travel overnight away from home up to **2** nights per month. You must obtain a government charge card for travel purposes.
As a condition of employment for accepting this position, you will be required to serve a 1 year probationary period during which your fitness and whether your continued employment advances the public interest will be evaluated. This probationary period is an extension of the appointment process and therefore requires the agency to determine if continued employment would advance the public interest, meet the organization goals and mission of the agency, and/or otherwise promote the efficiency of the service. In determining if your employment advances the public interest, the agency will consider:
* your performance and conduct;
* the needs and interests of the agency;
* whether your continued employment would advance organizational goals of the agency or the Government; and
* whether your continued employment would advance the efficiency of the Federal service.
Under applicable law, the employment of an individual serving a probationary or trial period automatically terminates when that period ends unless the agency affirmatively certifies, in writing, that the individual's employment should continue and that their appointment should be finalized. In the absence of agency action to affirmatively certify continued employment beyond the probationary or trial period, such appointments are terminated. Upon completion of your probationary your employment will be terminated unless you receive certification, in writing, that your continued employment advances the public interest.  
**\*Additional Requirements located under qualifications\***
### **Qualifications**
**Requirements Continued...**  
You may be required to complete training and obtain/maintain a government charge card with travel and/or purchase authority.  
**Qualifications**  
All qualifications must be met by the closing date of this announcement\-03/20/2026\-unless otherwise stated in this vacancy announcement.  
Credit will be given for all appropriate qualifying experience. To receive credit for experience, your resume **MUST** clearly indicate the nature of the duties and responsibilities for each position, starting and ending dates of employment (month/year), and the resume must reflect full and/or part\-time or total number of hours worked (i.e., work 40\+ hours a week, rather than indicating full\-time). If part\-time, the hours must be annotated to be able to pro\-rate the amount of qualified specialized experience.  
**BASIC QUALIFICATIONS:** If you do not meet these basic requirements, you will be considered not qualified and will not receive consideration for this position.  
**Landscape Architect\- 0807:**
* **Degree:** landscape architecture or landscape design. **\-OR\-**
* **Combination of education and experience \-** for each year short of graduation, the applicant must have had 1 year of experience under professional leadership and guidance of such character and diversity as to be a satisfactory substitute for the required education. This experience must have included original landscape design.
\- AND \-  
**To qualify for this position at the GS\-9 grade level, you must possess at least one of the following minimum qualifications by close of the announcement:**  
**EXPERIENCE:** at least one full year of specialized experience comparable in scope and responsibility to the GS\-07 grade level in the Federal service (obtained in either the public or private sectors). This experience includes activities such as: Prepare drawings and presentation documents for landscape concept and schematic design, design development, and construction document; Utilize AutoCAD or other drafting program to produce design documents including layout plan, planting plan, grading plan, and construction details. **You must include hours per week worked.**  
\-OR\-  
**EDUCATION:** Successful completion of at least two (2\) years of progressively higher level graduate education leading to a master's degree or master's or equivalent graduate degree, with a major that is related to the duties of this position. **You must include transcripts.**  
\-OR\-  
**Combination:** Successful completion of a combination of education and experience as described above. **You must include transcripts.**  
**To qualify for this position at the GS\-11 grade level, you must possess at least one of the following minimum qualifications by close of the announcement:**  
**EXPERIENCE:** At least one full year of specialized experience comparable in scope and responsibility to the GS\-09 grade level in the Federal service (obtained in either the public or private sectors). This experience includes activities such as: Prepare drawings and presentation documents for landscape concept through construction documents; Utilize AutoCAD or other drafting program to produce design documents including layout plan, planting plan, grading plan, and construction details; Prepare or edit construction specifications; and Prepare construction cost estimate. **You must include hours per week worked.**  
\-OR\-  
**EDUCATION:** Successful completion of three (3\) years of progressively higher level graduate education leading to a Ph.D. degree or Ph.D. or equivalent doctoral degree, with a major that is related to the duties of this position. **You must include transcripts.**  
\-OR\-  
**Combination:** Successful completion of a combination of education and experience as described above. **You must include transcripts.**  
**You must include months, years and hours per week worked to receive credit for your work and/or volunteer experience. One year of specialized experience is equivalent to 12 months at 40 hours per week. Part\-time hours are prorated. You will not receive any credit for experience that does not indicate exact hours per week or is listed as "varies". Experience listed as full\-time will be credited at 40 hours per week.**  
**Volunteer Experience:**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**Education**
To qualify based on education, you must submit a legible copy of transcripts from an accredited institution with your name, school name, credit hours, course level, major(s), and grade\-point average or class ranking. Transcripts do not need to be official, but if you are selected for this position and you used your education to qualify, you must provide official transcripts before you begin work.  
If you are using education completed in foreign colleges or universities to meet qualification requirements, you must show that your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 **Additional information**
A selectee receiving a first appointment to the Federal Government (Civil Service) is entitled only to the lowest step of the grade for which selected The display of a salary range on this vacancy shall not be construed as granting an entitlement to a higher rate of pay.
This announcement may be used to fill additional positions if identical vacancies occur within 90 days of the issue date of the referral certificate.
This is a term position (more than 1 year) with an initial appointment expecting to last at least 13 months but may be extended up to a total of four years, or more based on any changes to regulations governing the number of years term appointments may last, without further competition. Term positions do not convey permanent status in the Federal service.  
The National Park Service retains the right to extend the duration of this appointment after selection and/or appointment, based on changes to the regulation governing the number of years term appointments may last. This change, which may be made at the agency's sole discretion and without further competition, shall not be construed or interpreted as the granting of a right to a selectee or employee to such an extension. No extension to a term appointment shall be granted to a selectee/employee to an amount of time that exceeds the maximum number of years authorized under any present or current regulation, unless such regulation expressly allows such action.
Promotion to the full performance level is neither guaranteed nor implied and will be based solely on your ability to satisfactorily perform the work of the position, existing work at the higher grade level, and recommendation by the position's supervisor.  
**Physical Demands:** The work is basically sedentary with occasional physical activity (walking, climbing, bending, stooping) during fieldwork, and may require visits to remote sites which require walking or riding over rough, uneven surfaces. Documentary research and report writing work is sedentary, which entails the ability to concentrate and write for long periods of time.  
**Working Conditions:** The work is performed in both an office setting and occasionally in the field as required to perform on\-site investigations and inspections.  
The National Park Service has determined that the duties of this position are suitable for telework and the selectee may be allowed to telework with supervisor approval.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 will be evaluated based on how well you meet the qualifications listed in this vacancy announcement. Your qualifications will be evaluated based on your application materials (e.g., resume, supporting documents), the responses you provide on the application questionnaire, and the result of the additional assessments required for this position. A review of your resume and supporting documentation will be made and compared against your responses to the Assessment Questionnaire to determine if you are qualified for this job. If your resume is incomplete or does not support the responses provided in the Assessment Questionnaire, or if you fail to submit all required documentation, you will be rated 'ineligible', 'not qualified', or your score will be adjusted accordingly. If a determination is made that you have inflated your qualifications or experience, you can lose consideration for this position. Please follow all instructions carefully; errors or omissions can affect your rating.
**Resumes must not exceed two single\-sided pages and resumes longer than two pages will not be accepted. You may only submit one resume. Only the document submitted as the "Resume" under the Documents section will be used to determine your qualifications/eligibility and for rating purposes. In the event you submit more than one resume, only the latest submission will be reviewed.**  
Candidates will be rated and ranked using Category Rating procedures. These procedures place candidates with veteran's preference above non\-preference eligibles within each category. Veterans with a service connected disability of at least 10 percent are listed in the highest quality category, except when the position being filled is scientific or professional at the GS\-09 grade level or higher. Under Category Rating, candidates will be rated and ranked into one of three categories:
* **Best Qualified** \- applicants possessing experience that substantially exceeds the minimum qualifications of the position including all selective factors and are highly proficient in all requirements of the job and can perform effectively in the position
* **Well Qualified \-** applicants possessing experience that exceeds the minimum qualifications of the position including all selective factors and are proficient in most of the requirements of the job
* **Qualified \-** applicants possessing experience that meets the minimum qualifications of the position including all selective factors and are proficient in some, but not all of the requirements of the job.
**You will be evaluated on the following competencies:**  
* Accountability
* Attention to Detail
* Building and Construction
* Decision Making
* Design
* Landscape Architecture
* Project Management
* Technical Competence
In order to be considered for this position, you must complete all required steps in the process. In addition to the application and application questionnaire, this position requires successful completion of additional assessments, including a panel resume review. These assessments measure the critical competencies listed above that are required to successfully perform the job.
**Required Documents**
----------------------
The following documents are required and must be submitted by 11:59 PM (EST) on 03/20/2026:
* **Resume** which includes a list of all significant jobs held and duties performed, dates specified in month and year format, and the resume must reflect full and/or part\-time or total number of hours worked (i.e., work 40\+ hours a week, rather than indicating full\-time). If part\-time, the hours must be annotated to be able to pro\-rate the amount of qualified specialized experience. If military or civilian, please include your rank and/or grade. **Resumes must not exceed two single\-sided pages and resumes longer than two pages will not be accepted.** The minimum font size is 10\-point for all body text. Headers may be slightly larger but must remain legible. All resumes must maintain a minimum 0\.5\-inch margins on all sides to ensure readability and prevent excessive content compression. Including supplemental pages or attachments disguised as resume extensions are prohibited and will not be reviewed to determine your eligibility/qualifications.
* Complete **All Required Assessments.**
* **Other Supporting Documents**, if applicable, such as:
	+ Veterans Preference Documentation:
		- If you are a **Discharged, Non\-Disabled Veteran**, you must submit a copy of your DD\-214 showing character of discharge (Member 4 copy), or other Documentation of Service and Separation under Honorable Conditions, as listed on the SF15\. If you don't have your DD\-214, you may request it after discharge from the National Archives.
		- If you are a **veteran within 120 days of discharge**, you must submit signed documentation from the Armed Forces certifying: 1\) your expected release/retirement from active duty, 2\) under honorable conditions, 3\) your pay grade/rank/rate at time of discharge, 4\) dates of active duty service, 5\) any campaign or expeditionary medals received, \&amp; 6\) dated within 120 days of your separation.
		- If you are a **Disabled Veteran, Purple Heart Recipient, or** **Mother or Spouse of a Disabled or Deceased Veteran**, you must submit all additional proof required by the SF15, and if applicable, a completed SF15\. You may request a copy of your Department of Veterans Affairs letter from www.ebenefits.va.gov or call 1\-800\-827\-1000 to establish proof of disability.
* College transcripts, if qualifying based on education.
* Documentation for Interagency/Career Transition Assistance Plan consideration if you are a displaced Federal employee within the local commuting area. You must include: 1\) Proof you are a displaced Federal employee, e.g., RIF Separation Notice, Notice of Proposed Removal, etc; 2\) SF\-50s (Notifications of Personnel Action) showing career/conditional tenure competitive status, promotion potential and duty location; and 3\) your most recent performance appraisal. To exercise selection priority, displaced or surplus Federal employees must be rated well\-qualified or above **85** on the rating criteria for this position.
**Do not submit photographs with your application package.** Documents with photographs may not be seen by hiring officials \- you must remove your image from any badges, licenses, etc.  
**Do not upload Adobe portfolio documents.** Adobe portfolio documents are not viewable by our agency's staffing offices.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**To apply for this position:** You must complete the occupational questionnaire and submit the documentation specified in the Required Documents section below. To receive consideration, the complete application package must be submitted by 11:59 PM (EST) on 03/20/2026\. You must provide documentation to support your claim for each eligibility selected. Please review the required documentation listed in the eligibilities language to ensure you submit the appropriate information. Note: You will only be marked eligible for those eligibilities that you selected and provided the appropriate supporting documentation.  
**WE DO NOT ACCEPT HARD\-COPY OR E\-MAIL APPLICATION PACKAGES.**
* Select Apply. If you are not logged in, you will be prompted to login or create an account.
* Prompted to Start the Application Process by selecting "Start Application."
	+ Click here for USAJobs Help with "How to create an application"
	+ To **PREVIEW** the application questionnaire, select the following link: https://apply.usastaffing.gov/ViewQuestionnaire/12902399
* Select or add the resume you want to use for this application. Click here on how to build a resume in USAJOBS.
* Select documents you want included in this application.
* Review package to acknowledge your documents were reviewed.
* Select if you want to include your demographic information.
* After reading and certifying the application is true and submitted in good faith, select "Continue to Agency Site."
* Follow onscreen prompts and instructions to complete your application.
* Add the supporting documents by indexing your documents with the dropdown.
	+ Upload any missing required documents or optional documents.
* Review and Submit Application.
* While logged in, you can check the status of your application by selecting "\+" next to the job title for this position.
* You can review or revise your application at any point during the open period of the announcement.
	+ To update an application, you should log into your USAJOBS account and select "\+" next to the job title for this position. Select **"Update Application"** for this job.
	+ **Note:** When you click **Update Application**, you will be prompted to re\-select your documents from USAJOBS. Documents submitted with the first application will no longer be associated with the applicant record. So it is important that you select all documents you want to use in the re\-application.
**Please note, the eligibility section of the application process is designed to allow you to choose how you wish to be considered for this vacancy announcement. You will ONLY be considered for the appointment eligibilities that you select. You must provide the supporting documentation to support your claim. Please review the list of documentation provided in the eligibilities language to ensure you provide the appropriate information. You may choose more than one eligibility.**  
### **Agency contact information**
Kierra Snowden
Email
kierra\_snowden@nps.gov
Address
*National Capital Parks\-East*  
*1900 Anacostia Drive SE*  
*WASHINGTON, DC 20020*  
*US*### **Next steps**
Once the Occupational Questionnaire is received you will receive acknowledgement that your submission was successful. If you are among the most qualified candidates and your name is referred to the hiring official, you may be contacted directly for a possible interview. You will be notified of the status of your Application Package at the time candidates are referred for consideration, and when the selection process is complete.
**Overview**
------------
Accepting applications
Open \&amp; closing dates
03/06/2026 to 03/20/2026
This job will close when we have received **100 applications** which may be sooner than the closing date. Learn more
Salary
$70,623 to \- $111,087 per year
Pay scale \&amp; grade
GS 9 \- 11
Location
1 vacancy in the following location:
Washington, DC
Remote job
No
Telework eligible
Yes—as determined by the agency policy.
Travel Required
Occasional travel \- You may be expected to travel for this position.
Relocation expenses reimbursed
No
Appointment type
Term \- 4 years
Work schedule
Full\-time
Service
Competitive
Promotion potential
11
Job family (Series)
* 0807 Landscape Architecture
Supervisory status
No
Security clearance
Not Required
Drug test
No
Position sensitivity and risk
Non\-sensitive (NS)/Low Risk
Trust determination process
* Credentialing
* Suitability/Fitness
Financial disclosure
No
Bargaining unit status
Yes
Announcement number
NC\-1616\-NACE\-26\-12902399\-DE
Control number
860128400</t>
        </is>
      </c>
    </row>
    <row r="21">
      <c r="A21" t="inlineStr">
        <is>
          <t>in-265ac367b7f9b1d3</t>
        </is>
      </c>
      <c r="B21" t="inlineStr">
        <is>
          <t>GEDMS Program Manager</t>
        </is>
      </c>
      <c r="C21" t="inlineStr">
        <is>
          <t>Boeing</t>
        </is>
      </c>
      <c r="D21" t="inlineStr">
        <is>
          <t>indeed</t>
        </is>
      </c>
      <c r="E21">
        <f>HYPERLINK("https://www.indeed.com/viewjob?jk=265ac367b7f9b1d3", "https://www.indeed.com/viewjob?jk=265ac367b7f9b1d3")</f>
        <v/>
      </c>
      <c r="F21">
        <f>HYPERLINK("https://jobs.boeing.com/job/-/-/185/92438386528", "https://jobs.boeing.com/job/-/-/185/92438386528")</f>
        <v/>
      </c>
      <c r="G21" t="inlineStr">
        <is>
          <t>Huntington Beach, CA, US</t>
        </is>
      </c>
      <c r="H21" s="1" t="n">
        <v>46086</v>
      </c>
      <c r="I21" t="inlineStr">
        <is>
          <t>At Boeing, we innovate and collaborate to make the world a better place. We’re committed to fostering an environment for every teammate that’s welcoming, respectful and inclusive, with great opportunity for professional growth. Find your future with us.
The **Boeing Defense, Space \&amp; Security (BDS), Intelligence \&amp; Weapon Systems** **(SI\&amp;WS)** division is seeking a **Program Manager (Level L manager)** for the **Gigabit Ethernet Data Multiplex System (GEDMS) program**. The candidate will be the primary contact with the US Navy GEDMS program offices at NAVSEA/PEO Ships and at NAVSUP. The candidate will manage the services, products, and requirements for the Design Agent, Production, and Spares and Repairs contracts. These contracts design, develop, sustain and manufacture ruggedized network equipment that provide redundant, high availability transport of Mission Critical information aboard U.S. Navy and foreign ships. The candidate will lead the GEDMS program out of **Huntington Beach, CA**.
Candidate will manage diverse engineering activities to develop and sustain a family of networks deployed on over 65% of US Navy major surface combatants and on foreign ships. Candidate will also be responsible for developing the next generation GEDMS architecture, including software development and verification, hardware test and checkout, and support to test and validation in government facilities and onboard ships.
**Position Responsibilities:**
* Support the organization's business plans and strategy
* Responsible for GEDMS program Orders, Revenue, and Earnings. Responsible for all contractual, financial, and technical performance on GEDMS contracts
* Impose Program Management Best Practices (PMBP) and enforce the Program Execution Plan and Command Media
* Develop and execute company policies, procedures, and business strategies, goals, objectives
* Adapt to the competitive business environment as well as an awareness of economic, social, and political trends that impact the program’s strategy
* Promote a culture of inclusion and open, honest communication that highlights quality, safety, and awards performance
* Build trust and develop and maintain relationships and partnerships with customers, stakeholders, peers, management and direct reports
* Responsible for staffing, skills retention, and succession planning to successfully execute contractual requirements
* Design Agent contract responsibilities include the design, development, and sustainment of a family of ship\-wide network system variants; troubleshooting in lab and onboard ships to resolve operational fleet issues; Field Engineering at major shipyards to support Guided Missile Destroyer (DDG) Modernization and new ship construction
**This position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**Basic Qualifications (Required Skills/Experience):**
* 5\+ years of experience within project leadership including planning, implementing and executing program plans
* 5\+ years of experience in a finance, scheduling, industrial engineering, change management, strategy, program management, or project management role
* Understanding and experience with Program Management Best Practices
* Experience with Earned Value Management
* Experience directly interfacing with customers
**Preferred Qualifications (Desired Skills/Experience):**
* Bachelors Degree or higher
* Experience managing US Defense contracts, preferably US Navy and/or Joint Service contracts, in all program phases including IR\&amp;D to support future system evolution
* Ability to balance diverse/potentially competing needs and requirements from multiple customers
* Experience managing risks, opportunities and issues across multiple disciplines; assessing program constraints (technical, cost \&amp; schedule) in developing mitigation plans for issue resolution
* Experience with DoD secure real\-time embedded network communications and control systems
* Experience working closely with customers to understand/develop program goals, translating goals into plans with actionable tasking, and communicating plans to technical personnel
* Experience collaborating and coordinating across hardware, software, integration and test, quality, cybersecurity and production engineering disciplines to plan, architect, design, develop and verify system throughout product lifecycle including production and fielded system support
**Conflict of interest:**
Successful candidates for this job must satisfy the Company’s Conflict of Interest (COI) assessment process.
**Relocation assistance is not a negotiable benefit for this position. Candidates must live in the immediate area or relocate at their own expense.**
**Travel:** Some travel may be required up to 10% of the time.
**Shift:** 1st Shift
**Drug Free Workplace:**
Boeing is a Drug Free Workplace where post offer applicants and employees are subject to testing for marijuana, cocaine, opioids, amphetamines, PCP, and alcohol when criteria is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The Boeing 401(k) helps you save for your future, with contributions from Boeing that can help you grow your retirement savings. Our best\-in\-class retirement benefit features:
Best in class 401(k) plan: we'll match your contributions dollar for dollar, up to 10% of eligible pay with immediate 100% vesting Student Loan Match**:** The Boeing 401(k) Student Loan Match allows eligible enrolled U.S. employees to have their qualified student loan debt payments counted, along with any match\-eligible contributions they make, for purposes of determining the Company Match to employees' Boeing 401(k) accounts.
Summary pay range: $180,200 \- $243,800
Applications for this position will be accepted until **Mar. 19,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**Contingent Upon Program Reward**
The position is contingent upon program award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2">
      <c r="A22" t="inlineStr">
        <is>
          <t>in-3ec674972d918362</t>
        </is>
      </c>
      <c r="B22" t="inlineStr">
        <is>
          <t>Acoustic Programs Program Manager</t>
        </is>
      </c>
      <c r="C22" t="inlineStr">
        <is>
          <t>Boeing</t>
        </is>
      </c>
      <c r="D22" t="inlineStr">
        <is>
          <t>indeed</t>
        </is>
      </c>
      <c r="E22">
        <f>HYPERLINK("https://www.indeed.com/viewjob?jk=3ec674972d918362", "https://www.indeed.com/viewjob?jk=3ec674972d918362")</f>
        <v/>
      </c>
      <c r="F22">
        <f>HYPERLINK("https://jobs.boeing.com/job/-/-/185/92438386560", "https://jobs.boeing.com/job/-/-/185/92438386560")</f>
        <v/>
      </c>
      <c r="G22" t="inlineStr">
        <is>
          <t>Huntington Beach, CA, US</t>
        </is>
      </c>
      <c r="H22" s="1" t="n">
        <v>46086</v>
      </c>
      <c r="I22" t="inlineStr">
        <is>
          <t>At Boeing, we innovate and collaborate to make the world a better place. We’re committed to fostering an environment for every teammate that’s welcoming, respectful and inclusive, with great opportunity for professional growth. Find your future with us.
Intelligence Systems (IS) is a dynamic business within **Boeing Defense, Space and Security (BDS),** Space, Intelligence, and Weapon Systems (SI\&amp;WS) focused on delivering complex solutions in some of the most challenging environments on Earth. IS is seeking a **Program Manager (M level Manager)** to join our team in **Huntington Beach, CA or Herndon, VA** to lead **Acoustic Programs** focused on delivering world class underwater acoustic systems supporting Anti\-Submarine Warfare (ASW) platforms, including the P\-8A, and other specialized mission systems.
This Program Manager will lead all Acoustics Programs activities including execution of the four program areas, day\-to\-day functions, new business development, oversite of Integrated Product Teams, forward business planning, and communication and status to upper management and external stakeholders. This position with be accountable to the program area Director and senior leadership of IS.
Acoustic Programs include four primary program elements. Development programs which consist of the full software / system engineering lifecycle to develop, integration to targeted hardware, software deployment and maintenance. This software and hardware are targeted at the detection and tracking of underwater targets. Production programs which define, develop, deliver and maintain hardware to support an ASW mission on the P\-8A platform. Training Systems programs which develop the acoustic training element for multiple types of mission level trainers and associated hardware. Advanced Programs which support multiple types of advanced acoustic domain programs including research and development, international, new hardware design and development, and cross\-Boeing business support.
If you are motivated with a growth mindset, interested in working in a program management position on an interesting domain area, look forward to a dynamic work environment with a broad range of engineering skills, and aspire to further develop program leadership abilities, we are looking for you.
**Position Responsibilities:**
* Manages employees, mid/first\-level managers and Integrated Product Team Leads performing business management activities in the area of Program Management.
* Manages stakeholder relationships across multiple Boeing business units, external suppliers and domestic / international customers.
* Develops and execute integrated departmental plans, policies and procedures across all areas of Acoustic Programs.
* Provides input on program level business and technical strategies, goals, objectives.
* Directs development and supports communication of Acoustic Programs Long Range Business Plan, research and development and new business activities.
* Acquires resources for department activities, provides technical management of suppliers and leads process improvements. Develops and maintains relationships and partnerships with customers, stakeholders, peers, partners and direct reports.
* Provides oversight and approval of technical approaches, products and processes across Acoustic Programs project portfolio.
* Maintains, tailors and improves Program Management Best Practices (PMBP) focused on program goals.
* Oversees and is accountable regarding quality and safety of the products and facility.
* Supports management of staffing and day\-to\-day logistics for Acoustic Programs.
**This position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**Basic Qualifications (Required Skills/Experience):**
* 10\+ years of experience within project leadership including planning, implementing and executing program plans
* 5\+ years of experience in a finance, scheduling, industrial engineering, change management, strategy, program management, or project management role
* Understanding and experience with Program Management Best Practices
* Experience with Earned Value Management
* Experience directly interfacing with customers
**Preferred Qualifications (Desired Skills/Experience):**
* Bachelors degree or higher
* Experience with anti\-submarine warfare (ASW), anti\-surface warfare (ASUW), or maritime intelligence, surveillance, and reconnaissance (ISR) systems
* Experience with and / or support of multiple platforms used to support underwater acoustics including P\-3, P\-8A, MH\-60R, submarines and Unmanned Autonomous Vehicles (UAVs)
* Experience with export\-related material and international customers.
* Ability to lead major program milestone reviews
* Strong experience in technical work effort estimation processes and tools
* Experience working with vendors and suppliers
* Program management level experience on a US Navy program.
**Conflict of interest:**
Successful candidates for this job must satisfy the Company’s Conflict of Interest (COI) assessment process.
**Relocation assistance is not a negotiable benefit for this position. Candidates must live in the immediate area or relocate at their own expense.**
**Travel:** Some travel may be required up to 10% of the time. For Herndon VA location, travel may be required up to 25% of the time.
**Shift:** 1st Shift
**Drug Free Workplace:**
Boeing is a Drug Free Workplace where post offer applicants and employees are subject to testing for marijuana, cocaine, opioids, amphetamines, PCP, and alcohol when criteria is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The Boeing 401(k) helps you save for your future, with contributions from Boeing that can help you grow your retirement savings. Our best\-in\-class retirement benefit features:
Best in class 401(k) plan: we'll match your contributions dollar for dollar, up to 10% of eligible pay with immediate 100% vesting Student Loan Match**:** The Boeing 401(k) Student Loan Match allows eligible enrolled U.S. employees to have their qualified student loan debt payments counted, along with any match\-eligible contributions they make, for purposes of determining the Company Match to employees' Boeing 401(k) accounts.
Summary pay range: $218,450 \- $295,550
Applications for this position will be accepted until **Mar. 19,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**Contingent Upon Program Reward**
The position is contingent upon program award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3">
      <c r="A23" t="inlineStr">
        <is>
          <t>in-718b2450e75a907a</t>
        </is>
      </c>
      <c r="B23" t="inlineStr">
        <is>
          <t>Customer Program Manager</t>
        </is>
      </c>
      <c r="C23" t="inlineStr">
        <is>
          <t>Sensata Technologies, Inc.</t>
        </is>
      </c>
      <c r="D23" t="inlineStr">
        <is>
          <t>indeed</t>
        </is>
      </c>
      <c r="E23">
        <f>HYPERLINK("https://www.indeed.com/viewjob?jk=718b2450e75a907a", "https://www.indeed.com/viewjob?jk=718b2450e75a907a")</f>
        <v/>
      </c>
      <c r="F23">
        <f>HYPERLINK("https://sensata.wd1.myworkdayjobs.com/en-US/Sensata-Careers/job/Troy-MI/Customer-Program-Manager_IRC96992", "https://sensata.wd1.myworkdayjobs.com/en-US/Sensata-Careers/job/Troy-MI/Customer-Program-Manager_IRC96992")</f>
        <v/>
      </c>
      <c r="G23" t="inlineStr">
        <is>
          <t>Troy, MI, US</t>
        </is>
      </c>
      <c r="H23" s="1" t="n">
        <v>46086</v>
      </c>
      <c r="I23" t="inlineStr">
        <is>
          <t>The Customer Program Manager is responsible for managing the customer product portfolio to ensure customer expectations are met and exceeded and to grow revenue and profitability for the North America Automotive business. The Customer Program Manager will work alongside a cross functional team including Sales, Program Management, Customer Service, Product Management and others to manage a variety of activities across the entire product lifecycle with Sensata’s customers. This role requires Automotive experience working with major North America OEMs.
General Responsibilities  
* Leads multiple project activities throughout project lifecycles to ensure completion within the defined scope, quality, time and cost constraints
* Work closely with cross\-functional teams, and assigned project managers to plan and develop scope, deliverables, required resources, work plan, budget, and timing for new initiative
* Develop and control deadlines, budgets and activities
* Apply change, risk and resource management
* Resolve projects’ higher scope issues
* Assess program strengths and identify areas for improvement.
* Ensure goals are met in areas including customer satisfaction and team member performance
* Implement and manage changes and interventions to ensure project goals are achieved
* Meeting with stakeholders to make communication easy and transparent regarding project issues and decisions on services
* Producing accurate and timely reporting of program status throughout its life cycle
* Analyzing program risk
Experience / Qualifications  
* A university degree required (i.e. Bachelors degree) or equivalent relevant work experience
* Must be a team player able to work in a fast\-paced environment with demonstrated ability to handle multiple competing tasks and demands
* Strong communication skills; oral, written and presentation
* Strong organization, planning and time management skills to achieve results
* Strong personal and professional ethical values and integrity
* Holds self\-accountable to achieving goals and standards
* Proficient in Microsoft Office programs (Outlook, Word, PowerPoint, and Excel)
* Strong interpersonal \&amp; collaboration skills to work effectively with all levels of the organization including suppliers and/or external customers
Additional Responsibilities:* Develop, influence, and consolidate Customer Product Roadmaps with the Product, Engineering, and Program Management teams
* Work directly with Sensata’s customers to present material, collaborate, and gather voice of customers. This includes major North America Automotive OEMs.
* Develop Subject Matter Expertise in customer supplier related processes and procedures
* Enable effective Change Management with Sensata’s customer base
* Oversee Product Lifecycle Management and Service Management
\#LI\-SK1  
Base Salary Range:
$109,120\.00 \- $150,040\.00*At Sensata, our employees are the key to our success and growth. We recognize that each individual brings their own unique experience, therefore the base salary range information shown above is a general guideline only. Sensata considers several factors when extending an offer, including, but not limited to, a candidate’s experience and qualifications, as well as internal equity, market and business considerations. In addition to base salary, Sensata offers competitive medical, dental, vision, life and disability insurance plans, along with education reimbursement, wellness programs, a 401(k) retirement plan with Company matching, and a variety of paid time off, such as vacation or flex\-time, sick, bereavement, and parental leave. Certain positions are also eligible for short\-term incentive and long\-term incentive programs.*
SmarterTogether* Collaborating at Sensata means working with some of the world’s most talented people in an enriching environment that is constantly pushing towards the next best thing
* Employees work across functions, countries and cultures gaining new perspectives through mutual respect and open communication
* As OneSensata, we are working together to make things work together
Click here to view Sensata Recruitment Privacy Statement
Click here to view our Sensata Recruitment Privacy Statement for China
NOTE: If you are a current Sensata employee (or one of our Affiliates), please back out of this application and log into Workday via the Company Intranet to apply directly. Type "FIND JOBS" in the Workday search bar.</t>
        </is>
      </c>
    </row>
    <row r="24">
      <c r="A24" t="inlineStr">
        <is>
          <t>in-1fb47c9aed9370a1</t>
        </is>
      </c>
      <c r="B24" t="inlineStr">
        <is>
          <t>Purchasing Program Manager - STLA L Platform</t>
        </is>
      </c>
      <c r="C24" t="inlineStr">
        <is>
          <t>Stellantis</t>
        </is>
      </c>
      <c r="D24" t="inlineStr">
        <is>
          <t>indeed</t>
        </is>
      </c>
      <c r="E24">
        <f>HYPERLINK("https://www.indeed.com/viewjob?jk=1fb47c9aed9370a1", "https://www.indeed.com/viewjob?jk=1fb47c9aed9370a1")</f>
        <v/>
      </c>
      <c r="F24">
        <f>HYPERLINK("https://recruiting.adp.com/srccsh/public/RTI.home?r=5001181655706&amp;c=2183219&amp;d=ExternalCareerSite&amp;rb=INDEED&amp;idUnique=5001181655706", "https://recruiting.adp.com/srccsh/public/RTI.home?r=5001181655706&amp;c=2183219&amp;d=ExternalCareerSite&amp;rb=INDEED&amp;idUnique=5001181655706")</f>
        <v/>
      </c>
      <c r="G24" t="inlineStr">
        <is>
          <t>Auburn Hills, MI, US</t>
        </is>
      </c>
      <c r="H24" s="1" t="n">
        <v>46086</v>
      </c>
      <c r="I24" t="inlineStr">
        <is>
          <t>The Purchasing Program Manager is responsible for leading the activities and the sourcing functions for new programs. This position will support the production buyers on purchasing responsibilities for the program and act as the liaison between purchasing and the cross functional teams including engineering, supplier quality, supply chain management, finance, VCE, manufacturing and suppliers. The Program Manager ensures purchasing requirements and KPIs are met at each milestone by removing obstacles, aligning purchasing tasks with timelines, and prioritizing actions for execution and management support. This role leads the sourcing cycle and proactively manages risk by systematically identifying, assessing, and prioritizing potential issues. The Program Manager develops and implements mitigation plans, monitors risk status, escalates critical issues promptly, and coordinates cross\-functional responses to minimize impact.
Additionally, this position features executive\-level interface as the Program Manager is responsible for supporting Product Committee meetings in addition to other product development and governance activities.
Responsibilities include but are not limited to:
* Report out to executive leadership on purchasing metrics to support vehicle program metrics
* Guarantee the achievement of project targets through the selection of suppliers
* Ensure purchasing requirements and metrics are met at all program milestones by removing roadblocks
* Guarantee the adequacy / alignment between the project and the commodity teams on sourcing strategies for all parts, including carry over, also taking into account the supplier risk
* Align to the program variable and investment targets for purchased components
* Contribute to the development of economic targets
* Guarantee the achievement of ‘Tool Kick off' with supplier in line with the planning and the capacity requirements of the project
* Ensure compliance with the conditions of execution of the supplier contract (in particular cost, time and production capacity, etc.) in the development, industrialization and / or mass production phase
* Monitor the supplier's economic impacts for evolutions during development
* Support to detect failing suppliers as early as possible and ensure the right level of reactivity and escalation to deal with these cases of failure
* Assess program capacities, communicating the vehicle program needs so the team can properly support the program
* Provide purchasing's input throughout the various milestones of the development cycle (sourcing, launch readiness, post launch supplier issues/recognitions, etc.) to ensure a successful program
* Implement Resourcing strategy, optimizing DMC for all North America vehicles
Requirements:
**Basic Qualifications:**
* Bachelor's degree in Business, Finance, Supply Chain Management, or related field (ABET accredited)
* A minimum 8 years of relevant purchasing experience or other disciplines that require significant negotiation/exposure to sourcing processes
* Strong organizational skills; excels in fast\-paced, complex environments
* Strong negotiation skills and the ability to think and act strategically
* Self\-motivated, resourceful, and able to manage multiple projects
* Results\-oriented leader with experience guiding cross\-functional teams
* Excellent communication skills; comfortable with all management levels
* Deep understanding of Group Purchasing business processes
* Proficient in MS Office, SAP, and Qlik Sense
* Effective under pressure; strong interpersonal skills
* Willingness to travel (0–20%), primarily within North America
**Preferred Qualifications:**
* MBA / Master's degree
* Commodity Purchasing experience
* Previous Purchasing Program Management experience</t>
        </is>
      </c>
    </row>
    <row r="25">
      <c r="A25" t="inlineStr">
        <is>
          <t>in-d67e9a7efa91a0e1</t>
        </is>
      </c>
      <c r="B25" t="inlineStr">
        <is>
          <t>Memory Care Program Manager</t>
        </is>
      </c>
      <c r="C25" t="inlineStr">
        <is>
          <t>Brookdale Senior Living</t>
        </is>
      </c>
      <c r="D25" t="inlineStr">
        <is>
          <t>indeed</t>
        </is>
      </c>
      <c r="E25">
        <f>HYPERLINK("https://www.indeed.com/viewjob?jk=d67e9a7efa91a0e1", "https://www.indeed.com/viewjob?jk=d67e9a7efa91a0e1")</f>
        <v/>
      </c>
      <c r="F25">
        <f>HYPERLINK("https://ibmwjb.fa.ocs.oraclecloud.com/hcmUI/CandidateExperience/en/sites/CX_1001/job/25018769?utm_medium=jobboard&amp;utm_source=indeed", "https://ibmwjb.fa.ocs.oraclecloud.com/hcmUI/CandidateExperience/en/sites/CX_1001/job/25018769?utm_medium=jobboard&amp;utm_source=indeed")</f>
        <v/>
      </c>
      <c r="G25" t="inlineStr">
        <is>
          <t>Mechanicsburg, PA, US</t>
        </is>
      </c>
      <c r="H25" s="1" t="n">
        <v>46086</v>
      </c>
      <c r="I25" t="inlineStr">
        <is>
          <t>**About Us**
------------
Brookdale is a Great Place to Be**:**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589 communities as of November 30, 2025, offering many opportunities to grow and learn as a sales professional.
* Extensive corporate support including a robust training program.
**Job Description**
-------------------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posting.**Responsibilities**
--------------------
﻿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t>
        </is>
      </c>
    </row>
    <row r="26">
      <c r="A26" t="inlineStr">
        <is>
          <t>in-6ff4ce17edb192b7</t>
        </is>
      </c>
      <c r="B26" t="inlineStr">
        <is>
          <t>AVP, Product Owner</t>
        </is>
      </c>
      <c r="C26" t="inlineStr">
        <is>
          <t>Lincoln Financial Group</t>
        </is>
      </c>
      <c r="D26" t="inlineStr">
        <is>
          <t>indeed</t>
        </is>
      </c>
      <c r="E26">
        <f>HYPERLINK("https://www.indeed.com/viewjob?jk=6ff4ce17edb192b7", "https://www.indeed.com/viewjob?jk=6ff4ce17edb192b7")</f>
        <v/>
      </c>
      <c r="F26">
        <f>HYPERLINK("https://jobs.lincolnfinancial.com/job/Charlotte-AVP%2C-Product-Owner-NC-28201/1370832900/", "https://jobs.lincolnfinancial.com/job/Charlotte-AVP%2C-Product-Owner-NC-28201/1370832900/")</f>
        <v/>
      </c>
      <c r="G26" t="inlineStr">
        <is>
          <t>Charlotte, NC, US</t>
        </is>
      </c>
      <c r="H26" s="1" t="n">
        <v>46086</v>
      </c>
      <c r="I26" t="inlineStr">
        <is>
          <t>**Date:** Mar 6, 2026
**Primary Location:** Charlotte, NC, US
**Company:** Lincoln Financial
**Alternate Locations:** Charlotte, NC (North Carolina); Omaha, NE (Nebraska)  
**Work Arrangement:**
Hybrid : Employee will work 3 days a week in a Lincoln office  
**Relocation assistance:** is not available for this opportunity.  
**Requisition \#:** 75844 **The Role at a Glance**
We are excited to bring on an **AVP, Product Owne**r to join our Group Protection Portfolio Enablement team in a remote or hybrid environment, depending on your proximity to one of our key cities.  
*Background Details*
As the AVP \- Product Manager, you will oversee a team of roughly eleven (11\) individual contributors. You will provide direction and functional expertise to the aligned value stream, responsible for delivery of execution scope items and ongoing prioritization of business technology needs. You will also have primary responsibility for the Group Protection technology enablement intake process.**What you'll be doing**
* You will be responsible for the Group Protection technology enablement intake process, including triage of requests, coordination with leadership for prioritization, and confirmation of approved business case across the business ecosystem of all functional business areas.
* You will serve as the business liaison engaging on new AI opportunities presented to the business for due diligence as part of our enterprise AI governance process.
* You will lead the team providing Group Protection organizational readiness and project management activities and execution plans, supporting various initiatives across the business as needed, and prioritizing capacity and assignment according to business strategies.
* You will maintain knowledge on current and emerging developments/trends, assess the impact, and collaborate with senior management to incorporate new trends and developments in current and future strategies.
* You will direct and enhance organizational initiatives by positively influencing and supporting change management and/or departmental/enterprise initiatives. In addition, you will identify and direct strategic process improvements that significantly reduce workloads or improve quality across the team, department and/or business unit.
* You will provide training and development opportunities, including stretch assignments, for team members and give honest and open feedback to aid in the development of talent. You will direct and evaluate departmental performance and take appropriate action to meet and/or exceed performance standards.
* You will lead the Quarterly Portfolio Review (QPR) on behalf of Value Stream, define and presents quarterly priorities in the QPR memo. In addition, you will own the Value Stream backlog and roadmap; prioritize Epics for the Value Stream.
* You will synchronize the vision with Product Owners and manage cross\-team dependencies.
**What we’re looking for**
*Must\-have experience (Required):*
* 4 Year/Bachelor's degree or equivalent work experience (4 years of experience in lieu of Bachelor's).
* 10\+ Years of Insurance industry experience directly related to this position.
* 3\+ Years of managerial, supervisory, and/or demonstrated leadership experience including influencing senior management/critical stakeholders experience.
* Demonstrate strong transformational leadership skills including critical ability to develop and execute operational change impacting people, process, and technology.
* Ability to think critically, analyze information, evaluate the implications of a course of action or solution, and to make decisions under pressure.
* Demonstrated strong relationship management skills with internal/external stakeholders with proven ability to develop creative and collaborative approaches.
* Confident, comfortable communicator with strong written and verbal communication skills.
*Nice\-to\-have experience (Preferred):*
* Org Readiness \&amp; Project Management experience
* Group Protection/Benefits experience
**Travel Requirements**
* Travel Type: Regional Domestic
* Travel Amount: up to 10%
Application Deadline
Applications for this position will be accepted through March 12th, subject to earlier closure due to applicant volume.  
**What’s it like to work here?**
At Lincoln Financial,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of Lincoln's core values and leadership attributes
* Leadership development and virtual training opportunities
* PTO/parental leave
* Competitive 401K and employee benefits
* Free financial counseling, health coaching and employee assistance program
* Tuition assistance program
* Work arrangements that work for you
* Effective productivity/technology tools and training
The pay range for this position is $127,500 \- $232,300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(NYSE: LNC) helps people to confidently plan for their version of a successful future. We focus on identifying a clear path to financial security, with products including annuities, life insurance, group protection, and retirement plan services.  
With our 120\-year track record of expertise and integrity, millions of customers trust our solutions and service to help put their goals in reach.  
Lincoln Financial Distributors, a broker\-dealer, is the wholesale distribution organization of Lincoln Financial. Lincoln Financial is the marketing name for Lincoln Financial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  
Lincoln is committed to creating an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Instagram, and YouTube.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are considered property of Lincoln Financial and are not subject to payment of agency fees.  
Lincoln Financial ("Lincoln" or "the Company") is an Equal Opportunity employer and, as such, is committed in policy and practice to recruit, hire, compensate, train and promote, in all job classifications, without regard to race, color, religion, sex, age, national origin or disability. Opportunities throughout Lincoln are available to employees and applicants are evaluated on the basis of job qualifications. If you are a person with a disability that impedes your ability to express your interest for a position through our online application process, or require TTY/TDD assistance, contact us by calling 260\-455\-2558\.</t>
        </is>
      </c>
    </row>
    <row r="27">
      <c r="A27" t="inlineStr">
        <is>
          <t>in-f518eff4a05ea9e5</t>
        </is>
      </c>
      <c r="B27" t="inlineStr">
        <is>
          <t>Sr Program Manager, Devices Trade Compliance</t>
        </is>
      </c>
      <c r="C27" t="inlineStr">
        <is>
          <t>Amazon.com</t>
        </is>
      </c>
      <c r="D27" t="inlineStr">
        <is>
          <t>indeed</t>
        </is>
      </c>
      <c r="E27">
        <f>HYPERLINK("https://www.indeed.com/viewjob?jk=f518eff4a05ea9e5", "https://www.indeed.com/viewjob?jk=f518eff4a05ea9e5")</f>
        <v/>
      </c>
      <c r="F27">
        <f>HYPERLINK("https://www.amazon.jobs/jobs/3158400/sr-program-manager-devices-trade-compliance?cmpid=DA_INAD200785B", "https://www.amazon.jobs/jobs/3158400/sr-program-manager-devices-trade-compliance?cmpid=DA_INAD200785B")</f>
        <v/>
      </c>
      <c r="G27" t="inlineStr">
        <is>
          <t>Seattle, WA, US</t>
        </is>
      </c>
      <c r="H27" s="1" t="n">
        <v>46030</v>
      </c>
      <c r="I27"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28">
      <c r="A28" t="inlineStr">
        <is>
          <t>in-a4218381d3c12fb8</t>
        </is>
      </c>
      <c r="B28" t="inlineStr">
        <is>
          <t>Sr Program Manager, Devices Trade Compliance</t>
        </is>
      </c>
      <c r="C28" t="inlineStr">
        <is>
          <t>Amazon.com</t>
        </is>
      </c>
      <c r="D28" t="inlineStr">
        <is>
          <t>indeed</t>
        </is>
      </c>
      <c r="E28">
        <f>HYPERLINK("https://www.indeed.com/viewjob?jk=a4218381d3c12fb8", "https://www.indeed.com/viewjob?jk=a4218381d3c12fb8")</f>
        <v/>
      </c>
      <c r="F28">
        <f>HYPERLINK("https://www.amazon.jobs/jobs/3158400/sr-program-manager-devices-trade-compliance?cmpid=DA_INAD200785B", "https://www.amazon.jobs/jobs/3158400/sr-program-manager-devices-trade-compliance?cmpid=DA_INAD200785B")</f>
        <v/>
      </c>
      <c r="G28" t="inlineStr">
        <is>
          <t>Sunnyvale, CA, US</t>
        </is>
      </c>
      <c r="H28" s="1" t="n">
        <v>46030</v>
      </c>
      <c r="I28"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29">
      <c r="A29" t="inlineStr">
        <is>
          <t>in-136acc380f453ec0</t>
        </is>
      </c>
      <c r="B29" t="inlineStr">
        <is>
          <t>Sr. Product Manager - Technical, CS Intelligence, AWS Specialist and Partner Organization</t>
        </is>
      </c>
      <c r="C29" t="inlineStr">
        <is>
          <t>Amazon Web Services</t>
        </is>
      </c>
      <c r="D29" t="inlineStr">
        <is>
          <t>indeed</t>
        </is>
      </c>
      <c r="E29">
        <f>HYPERLINK("https://www.indeed.com/viewjob?jk=136acc380f453ec0", "https://www.indeed.com/viewjob?jk=136acc380f453ec0")</f>
        <v/>
      </c>
      <c r="F29">
        <f>HYPERLINK("https://www.amazon.jobs/jobs/3157254/sr-product-manager--technical-cs-intelligence-aws-specialist-and-partner-organization?cmpid=DA_INAD200785B", "https://www.amazon.jobs/jobs/3157254/sr-product-manager--technical-cs-intelligence-aws-specialist-and-partner-organization?cmpid=DA_INAD200785B")</f>
        <v/>
      </c>
      <c r="G29" t="inlineStr">
        <is>
          <t>Sunnyvale, CA, US</t>
        </is>
      </c>
      <c r="H29" s="1" t="n">
        <v>46002</v>
      </c>
      <c r="I29"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30">
      <c r="A30" t="inlineStr">
        <is>
          <t>in-f660934587fa8d7a</t>
        </is>
      </c>
      <c r="B30" t="inlineStr">
        <is>
          <t>Sr. Product Manager - Technical, CS Intelligence, AWS Specialist and Partner Organization</t>
        </is>
      </c>
      <c r="C30" t="inlineStr">
        <is>
          <t>Amazon Web Services</t>
        </is>
      </c>
      <c r="D30" t="inlineStr">
        <is>
          <t>indeed</t>
        </is>
      </c>
      <c r="E30">
        <f>HYPERLINK("https://www.indeed.com/viewjob?jk=f660934587fa8d7a", "https://www.indeed.com/viewjob?jk=f660934587fa8d7a")</f>
        <v/>
      </c>
      <c r="F30">
        <f>HYPERLINK("https://www.amazon.jobs/jobs/3157254/sr-product-manager--technical-cs-intelligence-aws-specialist-and-partner-organization?cmpid=DA_INAD200785B", "https://www.amazon.jobs/jobs/3157254/sr-product-manager--technical-cs-intelligence-aws-specialist-and-partner-organization?cmpid=DA_INAD200785B")</f>
        <v/>
      </c>
      <c r="G30" t="inlineStr">
        <is>
          <t>Seattle, WA, US</t>
        </is>
      </c>
      <c r="H30" s="1" t="n">
        <v>46002</v>
      </c>
      <c r="I30"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31">
      <c r="A31" t="inlineStr">
        <is>
          <t>in-750e70a93375e1d6</t>
        </is>
      </c>
      <c r="B31" t="inlineStr">
        <is>
          <t>Sr. Product Manager - Technical, CS Intelligence, AWS Specialist and Partner Organization</t>
        </is>
      </c>
      <c r="C31" t="inlineStr">
        <is>
          <t>Amazon Web Services</t>
        </is>
      </c>
      <c r="D31" t="inlineStr">
        <is>
          <t>indeed</t>
        </is>
      </c>
      <c r="E31">
        <f>HYPERLINK("https://www.indeed.com/viewjob?jk=750e70a93375e1d6", "https://www.indeed.com/viewjob?jk=750e70a93375e1d6")</f>
        <v/>
      </c>
      <c r="F31">
        <f>HYPERLINK("https://www.amazon.jobs/jobs/3157254/sr-product-manager--technical-cs-intelligence-aws-specialist-and-partner-organization?cmpid=DA_INAD200785B", "https://www.amazon.jobs/jobs/3157254/sr-product-manager--technical-cs-intelligence-aws-specialist-and-partner-organization?cmpid=DA_INAD200785B")</f>
        <v/>
      </c>
      <c r="G31" t="inlineStr">
        <is>
          <t>San Francisco, CA, US</t>
        </is>
      </c>
      <c r="H31" s="1" t="n">
        <v>46002</v>
      </c>
      <c r="I31"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32">
      <c r="A32" t="inlineStr">
        <is>
          <t>in-da5941382dc95a67</t>
        </is>
      </c>
      <c r="B32" t="inlineStr">
        <is>
          <t>Sr. Product Manager - Technical, CS Intelligence, AWS Specialist and Partner Organization</t>
        </is>
      </c>
      <c r="C32" t="inlineStr">
        <is>
          <t>Amazon Web Services</t>
        </is>
      </c>
      <c r="D32" t="inlineStr">
        <is>
          <t>indeed</t>
        </is>
      </c>
      <c r="E32">
        <f>HYPERLINK("https://www.indeed.com/viewjob?jk=da5941382dc95a67", "https://www.indeed.com/viewjob?jk=da5941382dc95a67")</f>
        <v/>
      </c>
      <c r="F32">
        <f>HYPERLINK("https://www.amazon.jobs/jobs/3157254/sr-product-manager--technical-cs-intelligence-aws-specialist-and-partner-organization?cmpid=DA_INAD200785B", "https://www.amazon.jobs/jobs/3157254/sr-product-manager--technical-cs-intelligence-aws-specialist-and-partner-organization?cmpid=DA_INAD200785B")</f>
        <v/>
      </c>
      <c r="G32" t="inlineStr">
        <is>
          <t>Mountain View, CA, US</t>
        </is>
      </c>
      <c r="H32" s="1" t="n">
        <v>46002</v>
      </c>
      <c r="I32"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33">
      <c r="A33" t="inlineStr">
        <is>
          <t>in-66254b3e58f4a74c</t>
        </is>
      </c>
      <c r="B33" t="inlineStr">
        <is>
          <t>Global Signage &amp; Wayfinding Designer Program Manager, Workplace Design &amp; Construction (WD&amp;C)</t>
        </is>
      </c>
      <c r="C33" t="inlineStr">
        <is>
          <t>Amazon.com</t>
        </is>
      </c>
      <c r="D33" t="inlineStr">
        <is>
          <t>indeed</t>
        </is>
      </c>
      <c r="E33">
        <f>HYPERLINK("https://www.indeed.com/viewjob?jk=66254b3e58f4a74c", "https://www.indeed.com/viewjob?jk=66254b3e58f4a74c")</f>
        <v/>
      </c>
      <c r="F33">
        <f>HYPERLINK("https://www.amazon.jobs/jobs/3139013/global-signage--wayfinding-designer-program-manager-workplace-design--construction-wdc?cmpid=DA_INAD200785B", "https://www.amazon.jobs/jobs/3139013/global-signage--wayfinding-designer-program-manager-workplace-design--construction-wdc?cmpid=DA_INAD200785B")</f>
        <v/>
      </c>
      <c r="G33" t="inlineStr">
        <is>
          <t>Seattle, WA, US</t>
        </is>
      </c>
      <c r="H33" s="1" t="n">
        <v>45998</v>
      </c>
      <c r="I33"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in-c2fbd509412d008d</t>
        </is>
      </c>
      <c r="B34" t="inlineStr">
        <is>
          <t>Global Signage &amp; Wayfinding Designer Program Manager, Workplace Design &amp; Construction (WD&amp;C)</t>
        </is>
      </c>
      <c r="C34" t="inlineStr">
        <is>
          <t>Amazon.com</t>
        </is>
      </c>
      <c r="D34" t="inlineStr">
        <is>
          <t>indeed</t>
        </is>
      </c>
      <c r="E34">
        <f>HYPERLINK("https://www.indeed.com/viewjob?jk=c2fbd509412d008d", "https://www.indeed.com/viewjob?jk=c2fbd509412d008d")</f>
        <v/>
      </c>
      <c r="F34">
        <f>HYPERLINK("https://www.amazon.jobs/jobs/3139013/global-signage--wayfinding-designer-program-manager-workplace-design--construction-wdc?cmpid=DA_INAD200785B", "https://www.amazon.jobs/jobs/3139013/global-signage--wayfinding-designer-program-manager-workplace-design--construction-wdc?cmpid=DA_INAD200785B")</f>
        <v/>
      </c>
      <c r="G34" t="inlineStr">
        <is>
          <t>Arlington, VA, US</t>
        </is>
      </c>
      <c r="H34" s="1" t="n">
        <v>45998</v>
      </c>
      <c r="I34"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in-7d7b3abd9dbbfc95</t>
        </is>
      </c>
      <c r="B35" t="inlineStr">
        <is>
          <t>Senior Product Manager, Ads</t>
        </is>
      </c>
      <c r="C35" t="inlineStr">
        <is>
          <t>Amazon.com</t>
        </is>
      </c>
      <c r="D35" t="inlineStr">
        <is>
          <t>indeed</t>
        </is>
      </c>
      <c r="E35">
        <f>HYPERLINK("https://www.indeed.com/viewjob?jk=7d7b3abd9dbbfc95", "https://www.indeed.com/viewjob?jk=7d7b3abd9dbbfc95")</f>
        <v/>
      </c>
      <c r="F35">
        <f>HYPERLINK("https://www.amazon.jobs/jobs/3137569/senior-product-manager-ads?cmpid=DA_INAD200785B", "https://www.amazon.jobs/jobs/3137569/senior-product-manager-ads?cmpid=DA_INAD200785B")</f>
        <v/>
      </c>
      <c r="G35" t="inlineStr">
        <is>
          <t>San Francisco, CA, US</t>
        </is>
      </c>
      <c r="H35" s="1" t="n">
        <v>45994</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in-c632f43e55bc7f7e</t>
        </is>
      </c>
      <c r="B36" t="inlineStr">
        <is>
          <t>Senior Product Manager, Ads</t>
        </is>
      </c>
      <c r="C36" t="inlineStr">
        <is>
          <t>Amazon.com</t>
        </is>
      </c>
      <c r="D36" t="inlineStr">
        <is>
          <t>indeed</t>
        </is>
      </c>
      <c r="E36">
        <f>HYPERLINK("https://www.indeed.com/viewjob?jk=c632f43e55bc7f7e", "https://www.indeed.com/viewjob?jk=c632f43e55bc7f7e")</f>
        <v/>
      </c>
      <c r="F36">
        <f>HYPERLINK("https://www.amazon.jobs/jobs/3137569/senior-product-manager-ads?cmpid=DA_INAD200785B", "https://www.amazon.jobs/jobs/3137569/senior-product-manager-ads?cmpid=DA_INAD200785B")</f>
        <v/>
      </c>
      <c r="G36" t="inlineStr">
        <is>
          <t>Irvine, CA, US</t>
        </is>
      </c>
      <c r="H36" s="1" t="n">
        <v>45994</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in-1f1f34382c538894</t>
        </is>
      </c>
      <c r="B37" t="inlineStr">
        <is>
          <t>Senior Product Manager, Ads</t>
        </is>
      </c>
      <c r="C37" t="inlineStr">
        <is>
          <t>Amazon.com</t>
        </is>
      </c>
      <c r="D37" t="inlineStr">
        <is>
          <t>indeed</t>
        </is>
      </c>
      <c r="E37">
        <f>HYPERLINK("https://www.indeed.com/viewjob?jk=1f1f34382c538894", "https://www.indeed.com/viewjob?jk=1f1f34382c538894")</f>
        <v/>
      </c>
      <c r="F37">
        <f>HYPERLINK("https://www.amazon.jobs/jobs/3137569/senior-product-manager-ads?cmpid=DA_INAD200785B", "https://www.amazon.jobs/jobs/3137569/senior-product-manager-ads?cmpid=DA_INAD200785B")</f>
        <v/>
      </c>
      <c r="G37" t="inlineStr">
        <is>
          <t>Los Angeles, CA, US</t>
        </is>
      </c>
      <c r="H37" s="1" t="n">
        <v>45994</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in-98bcf8cbfb56e2c7</t>
        </is>
      </c>
      <c r="B38" t="inlineStr">
        <is>
          <t>Senior Product Manager, Ads</t>
        </is>
      </c>
      <c r="C38" t="inlineStr">
        <is>
          <t>Amazon.com</t>
        </is>
      </c>
      <c r="D38" t="inlineStr">
        <is>
          <t>indeed</t>
        </is>
      </c>
      <c r="E38">
        <f>HYPERLINK("https://www.indeed.com/viewjob?jk=98bcf8cbfb56e2c7", "https://www.indeed.com/viewjob?jk=98bcf8cbfb56e2c7")</f>
        <v/>
      </c>
      <c r="F38">
        <f>HYPERLINK("https://www.amazon.jobs/jobs/3137569/senior-product-manager-ads?cmpid=DA_INAD200785B", "https://www.amazon.jobs/jobs/3137569/senior-product-manager-ads?cmpid=DA_INAD200785B")</f>
        <v/>
      </c>
      <c r="G38" t="inlineStr">
        <is>
          <t>New York, NY, US</t>
        </is>
      </c>
      <c r="H38" s="1" t="n">
        <v>45994</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in-aefbe290ee3521ba</t>
        </is>
      </c>
      <c r="B39" t="inlineStr">
        <is>
          <t>Senior Product Manager, Ads</t>
        </is>
      </c>
      <c r="C39" t="inlineStr">
        <is>
          <t>Amazon.com</t>
        </is>
      </c>
      <c r="D39" t="inlineStr">
        <is>
          <t>indeed</t>
        </is>
      </c>
      <c r="E39">
        <f>HYPERLINK("https://www.indeed.com/viewjob?jk=aefbe290ee3521ba", "https://www.indeed.com/viewjob?jk=aefbe290ee3521ba")</f>
        <v/>
      </c>
      <c r="F39">
        <f>HYPERLINK("https://www.amazon.jobs/jobs/3137569/senior-product-manager-ads?cmpid=DA_INAD200785B", "https://www.amazon.jobs/jobs/3137569/senior-product-manager-ads?cmpid=DA_INAD200785B")</f>
        <v/>
      </c>
      <c r="G39" t="inlineStr">
        <is>
          <t>Seattle, WA, US</t>
        </is>
      </c>
      <c r="H39" s="1" t="n">
        <v>45994</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in-ab6c18bebf230847</t>
        </is>
      </c>
      <c r="B40" t="inlineStr">
        <is>
          <t>Sr. Product Manager</t>
        </is>
      </c>
      <c r="C40" t="inlineStr">
        <is>
          <t>Amazon.com</t>
        </is>
      </c>
      <c r="D40" t="inlineStr">
        <is>
          <t>indeed</t>
        </is>
      </c>
      <c r="E40">
        <f>HYPERLINK("https://www.indeed.com/viewjob?jk=ab6c18bebf230847", "https://www.indeed.com/viewjob?jk=ab6c18bebf230847")</f>
        <v/>
      </c>
      <c r="F40">
        <f>HYPERLINK("https://www.amazon.jobs/jobs/3129468/sr-product-manager?cmpid=DA_INAD200785B", "https://www.amazon.jobs/jobs/3129468/sr-product-manager?cmpid=DA_INAD200785B")</f>
        <v/>
      </c>
      <c r="G40" t="inlineStr">
        <is>
          <t>San Francisco, CA, US</t>
        </is>
      </c>
      <c r="H40" s="1" t="n">
        <v>45979</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in-82c40526b8962e80</t>
        </is>
      </c>
      <c r="B41" t="inlineStr">
        <is>
          <t>Sr. Product Manager</t>
        </is>
      </c>
      <c r="C41" t="inlineStr">
        <is>
          <t>Amazon.com</t>
        </is>
      </c>
      <c r="D41" t="inlineStr">
        <is>
          <t>indeed</t>
        </is>
      </c>
      <c r="E41">
        <f>HYPERLINK("https://www.indeed.com/viewjob?jk=82c40526b8962e80", "https://www.indeed.com/viewjob?jk=82c40526b8962e80")</f>
        <v/>
      </c>
      <c r="F41">
        <f>HYPERLINK("https://www.amazon.jobs/jobs/3129468/sr-product-manager?cmpid=DA_INAD200785B", "https://www.amazon.jobs/jobs/3129468/sr-product-manager?cmpid=DA_INAD200785B")</f>
        <v/>
      </c>
      <c r="G41" t="inlineStr">
        <is>
          <t>Los Angeles, CA, US</t>
        </is>
      </c>
      <c r="H41" s="1" t="n">
        <v>45979</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in-769aa2d83aa492d1</t>
        </is>
      </c>
      <c r="B42" t="inlineStr">
        <is>
          <t>Sr. Product Manager</t>
        </is>
      </c>
      <c r="C42" t="inlineStr">
        <is>
          <t>Amazon.com</t>
        </is>
      </c>
      <c r="D42" t="inlineStr">
        <is>
          <t>indeed</t>
        </is>
      </c>
      <c r="E42">
        <f>HYPERLINK("https://www.indeed.com/viewjob?jk=769aa2d83aa492d1", "https://www.indeed.com/viewjob?jk=769aa2d83aa492d1")</f>
        <v/>
      </c>
      <c r="F42">
        <f>HYPERLINK("https://www.amazon.jobs/jobs/3129468/sr-product-manager?cmpid=DA_INAD200785B", "https://www.amazon.jobs/jobs/3129468/sr-product-manager?cmpid=DA_INAD200785B")</f>
        <v/>
      </c>
      <c r="G42" t="inlineStr">
        <is>
          <t>Irvine, CA, US</t>
        </is>
      </c>
      <c r="H42" s="1" t="n">
        <v>45979</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in-934e7cd988f40663</t>
        </is>
      </c>
      <c r="B43" t="inlineStr">
        <is>
          <t>Sr. Product Manager</t>
        </is>
      </c>
      <c r="C43" t="inlineStr">
        <is>
          <t>Amazon.com</t>
        </is>
      </c>
      <c r="D43" t="inlineStr">
        <is>
          <t>indeed</t>
        </is>
      </c>
      <c r="E43">
        <f>HYPERLINK("https://www.indeed.com/viewjob?jk=934e7cd988f40663", "https://www.indeed.com/viewjob?jk=934e7cd988f40663")</f>
        <v/>
      </c>
      <c r="F43">
        <f>HYPERLINK("https://www.amazon.jobs/jobs/3129468/sr-product-manager?cmpid=DA_INAD200785B", "https://www.amazon.jobs/jobs/3129468/sr-product-manager?cmpid=DA_INAD200785B")</f>
        <v/>
      </c>
      <c r="G43" t="inlineStr">
        <is>
          <t>Seattle, WA, US</t>
        </is>
      </c>
      <c r="H43" s="1" t="n">
        <v>45979</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in-6d2fd6c2e79d73e2</t>
        </is>
      </c>
      <c r="B44" t="inlineStr">
        <is>
          <t>Sr. Product Manager</t>
        </is>
      </c>
      <c r="C44" t="inlineStr">
        <is>
          <t>Amazon.com</t>
        </is>
      </c>
      <c r="D44" t="inlineStr">
        <is>
          <t>indeed</t>
        </is>
      </c>
      <c r="E44">
        <f>HYPERLINK("https://www.indeed.com/viewjob?jk=6d2fd6c2e79d73e2", "https://www.indeed.com/viewjob?jk=6d2fd6c2e79d73e2")</f>
        <v/>
      </c>
      <c r="F44">
        <f>HYPERLINK("https://www.amazon.jobs/jobs/3129468/sr-product-manager?cmpid=DA_INAD200785B", "https://www.amazon.jobs/jobs/3129468/sr-product-manager?cmpid=DA_INAD200785B")</f>
        <v/>
      </c>
      <c r="G44" t="inlineStr">
        <is>
          <t>New York, NY, US</t>
        </is>
      </c>
      <c r="H44" s="1" t="n">
        <v>45979</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in-d5dacad77e561b9c</t>
        </is>
      </c>
      <c r="B45" t="inlineStr">
        <is>
          <t>Senior Program Manager, Content Design, Learning and Development</t>
        </is>
      </c>
      <c r="C45" t="inlineStr">
        <is>
          <t>Amazon.com</t>
        </is>
      </c>
      <c r="D45" t="inlineStr">
        <is>
          <t>indeed</t>
        </is>
      </c>
      <c r="E45">
        <f>HYPERLINK("https://www.indeed.com/viewjob?jk=d5dacad77e561b9c", "https://www.indeed.com/viewjob?jk=d5dacad77e561b9c")</f>
        <v/>
      </c>
      <c r="F45">
        <f>HYPERLINK("https://www.amazon.jobs/jobs/3129940/senior-program-manager-content-design-learning-and-development?cmpid=DA_INAD200785B", "https://www.amazon.jobs/jobs/3129940/senior-program-manager-content-design-learning-and-development?cmpid=DA_INAD200785B")</f>
        <v/>
      </c>
      <c r="G45" t="inlineStr">
        <is>
          <t>Arlington, VA, US</t>
        </is>
      </c>
      <c r="H45" s="1" t="n">
        <v>45972</v>
      </c>
      <c r="I45"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46">
      <c r="A46" t="inlineStr">
        <is>
          <t>in-f210c9fcf180222a</t>
        </is>
      </c>
      <c r="B46" t="inlineStr">
        <is>
          <t>Program Manager, Executive Content and Programs, Global Executive Marketing</t>
        </is>
      </c>
      <c r="C46" t="inlineStr">
        <is>
          <t>Amazon Web Services</t>
        </is>
      </c>
      <c r="D46" t="inlineStr">
        <is>
          <t>indeed</t>
        </is>
      </c>
      <c r="E46">
        <f>HYPERLINK("https://www.indeed.com/viewjob?jk=f210c9fcf180222a", "https://www.indeed.com/viewjob?jk=f210c9fcf180222a")</f>
        <v/>
      </c>
      <c r="F46">
        <f>HYPERLINK("https://www.amazon.jobs/jobs/3125520/program-manager-executive-content-and-programs-global-executive-marketing?cmpid=DA_INAD200785B", "https://www.amazon.jobs/jobs/3125520/program-manager-executive-content-and-programs-global-executive-marketing?cmpid=DA_INAD200785B")</f>
        <v/>
      </c>
      <c r="G46" t="inlineStr">
        <is>
          <t>Seattle, WA, US</t>
        </is>
      </c>
      <c r="H46" s="1" t="n">
        <v>45970</v>
      </c>
      <c r="I4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in-fc4f590e24d5acbd</t>
        </is>
      </c>
      <c r="B47" t="inlineStr">
        <is>
          <t>Program Manager, Executive Content and Programs, Global Executive Marketing</t>
        </is>
      </c>
      <c r="C47" t="inlineStr">
        <is>
          <t>Amazon Web Services</t>
        </is>
      </c>
      <c r="D47" t="inlineStr">
        <is>
          <t>indeed</t>
        </is>
      </c>
      <c r="E47">
        <f>HYPERLINK("https://www.indeed.com/viewjob?jk=fc4f590e24d5acbd", "https://www.indeed.com/viewjob?jk=fc4f590e24d5acbd")</f>
        <v/>
      </c>
      <c r="F47">
        <f>HYPERLINK("https://www.amazon.jobs/jobs/3125520/program-manager-executive-content-and-programs-global-executive-marketing?cmpid=DA_INAD200785B", "https://www.amazon.jobs/jobs/3125520/program-manager-executive-content-and-programs-global-executive-marketing?cmpid=DA_INAD200785B")</f>
        <v/>
      </c>
      <c r="G47" t="inlineStr">
        <is>
          <t>Arlington, VA, US</t>
        </is>
      </c>
      <c r="H47" s="1" t="n">
        <v>45970</v>
      </c>
      <c r="I4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in-80de0ad84ccb076d</t>
        </is>
      </c>
      <c r="B48" t="inlineStr">
        <is>
          <t>Sr Product Manager – Technical, Amazon Leo for Government</t>
        </is>
      </c>
      <c r="C48" t="inlineStr">
        <is>
          <t>Amazon.com</t>
        </is>
      </c>
      <c r="D48" t="inlineStr">
        <is>
          <t>indeed</t>
        </is>
      </c>
      <c r="E48">
        <f>HYPERLINK("https://www.indeed.com/viewjob?jk=80de0ad84ccb076d", "https://www.indeed.com/viewjob?jk=80de0ad84ccb076d")</f>
        <v/>
      </c>
      <c r="F48">
        <f>HYPERLINK("https://www.amazon.jobs/jobs/3118682/sr-product-manager--technical-amazon-leo-for-government?cmpid=DA_INAD200785B", "https://www.amazon.jobs/jobs/3118682/sr-product-manager--technical-amazon-leo-for-government?cmpid=DA_INAD200785B")</f>
        <v/>
      </c>
      <c r="G48" t="inlineStr">
        <is>
          <t>El Segundo, CA, US</t>
        </is>
      </c>
      <c r="H48" s="1" t="n">
        <v>45951</v>
      </c>
      <c r="I4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in-c0f8bdef40a78ca1</t>
        </is>
      </c>
      <c r="B49" t="inlineStr">
        <is>
          <t>Sr Product Manager – Technical, Amazon Leo for Government</t>
        </is>
      </c>
      <c r="C49" t="inlineStr">
        <is>
          <t>Amazon.com</t>
        </is>
      </c>
      <c r="D49" t="inlineStr">
        <is>
          <t>indeed</t>
        </is>
      </c>
      <c r="E49">
        <f>HYPERLINK("https://www.indeed.com/viewjob?jk=c0f8bdef40a78ca1", "https://www.indeed.com/viewjob?jk=c0f8bdef40a78ca1")</f>
        <v/>
      </c>
      <c r="F49">
        <f>HYPERLINK("https://www.amazon.jobs/jobs/3118682/sr-product-manager--technical-amazon-leo-for-government?cmpid=DA_INAD200785B", "https://www.amazon.jobs/jobs/3118682/sr-product-manager--technical-amazon-leo-for-government?cmpid=DA_INAD200785B")</f>
        <v/>
      </c>
      <c r="G49" t="inlineStr">
        <is>
          <t>Arlington, VA, US</t>
        </is>
      </c>
      <c r="H49" s="1" t="n">
        <v>45951</v>
      </c>
      <c r="I4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in-7686fc9beef52ef4</t>
        </is>
      </c>
      <c r="B50" t="inlineStr">
        <is>
          <t>Sr Product Manager – Technical, Amazon Leo for Government</t>
        </is>
      </c>
      <c r="C50" t="inlineStr">
        <is>
          <t>Amazon.com</t>
        </is>
      </c>
      <c r="D50" t="inlineStr">
        <is>
          <t>indeed</t>
        </is>
      </c>
      <c r="E50">
        <f>HYPERLINK("https://www.indeed.com/viewjob?jk=7686fc9beef52ef4", "https://www.indeed.com/viewjob?jk=7686fc9beef52ef4")</f>
        <v/>
      </c>
      <c r="F50">
        <f>HYPERLINK("https://www.amazon.jobs/jobs/3118682/sr-product-manager--technical-amazon-leo-for-government?cmpid=DA_INAD200785B", "https://www.amazon.jobs/jobs/3118682/sr-product-manager--technical-amazon-leo-for-government?cmpid=DA_INAD200785B")</f>
        <v/>
      </c>
      <c r="G50" t="inlineStr">
        <is>
          <t>Redmond, WA, US</t>
        </is>
      </c>
      <c r="H50" s="1" t="n">
        <v>45951</v>
      </c>
      <c r="I5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in-0d55563e6eed7037</t>
        </is>
      </c>
      <c r="B51" t="inlineStr">
        <is>
          <t>Principal Product Manager-Tech, World Wide Grocery Store Tech</t>
        </is>
      </c>
      <c r="C51" t="inlineStr">
        <is>
          <t>Amazon.com</t>
        </is>
      </c>
      <c r="D51" t="inlineStr">
        <is>
          <t>indeed</t>
        </is>
      </c>
      <c r="E51">
        <f>HYPERLINK("https://www.indeed.com/viewjob?jk=0d55563e6eed7037", "https://www.indeed.com/viewjob?jk=0d55563e6eed7037")</f>
        <v/>
      </c>
      <c r="F51">
        <f>HYPERLINK("https://www.amazon.jobs/jobs/3117495/principal-product-managertech-world-wide-grocery-store-tech?cmpid=DA_INAD200785B", "https://www.amazon.jobs/jobs/3117495/principal-product-managertech-world-wide-grocery-store-tech?cmpid=DA_INAD200785B")</f>
        <v/>
      </c>
      <c r="G51" t="inlineStr">
        <is>
          <t>Seattle, WA, US</t>
        </is>
      </c>
      <c r="H51" s="1" t="n">
        <v>45948</v>
      </c>
      <c r="I51"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52">
      <c r="A52" t="inlineStr">
        <is>
          <t>in-7a9c8f57924edb88</t>
        </is>
      </c>
      <c r="B52" t="inlineStr">
        <is>
          <t>Principal Product Manager-Tech, World Wide Grocery Store Tech</t>
        </is>
      </c>
      <c r="C52" t="inlineStr">
        <is>
          <t>Amazon.com</t>
        </is>
      </c>
      <c r="D52" t="inlineStr">
        <is>
          <t>indeed</t>
        </is>
      </c>
      <c r="E52">
        <f>HYPERLINK("https://www.indeed.com/viewjob?jk=7a9c8f57924edb88", "https://www.indeed.com/viewjob?jk=7a9c8f57924edb88")</f>
        <v/>
      </c>
      <c r="F52">
        <f>HYPERLINK("https://www.amazon.jobs/jobs/3117495/principal-product-managertech-world-wide-grocery-store-tech?cmpid=DA_INAD200785B", "https://www.amazon.jobs/jobs/3117495/principal-product-managertech-world-wide-grocery-store-tech?cmpid=DA_INAD200785B")</f>
        <v/>
      </c>
      <c r="G52" t="inlineStr">
        <is>
          <t>Austin, TX, US</t>
        </is>
      </c>
      <c r="H52" s="1" t="n">
        <v>45948</v>
      </c>
      <c r="I52"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53">
      <c r="A53" t="inlineStr">
        <is>
          <t>in-f6acd401c0f891eb</t>
        </is>
      </c>
      <c r="B53" t="inlineStr">
        <is>
          <t>Sr. EHS Program Manager, Safety Learning and Development</t>
        </is>
      </c>
      <c r="C53" t="inlineStr">
        <is>
          <t>Amazon.com</t>
        </is>
      </c>
      <c r="D53" t="inlineStr">
        <is>
          <t>indeed</t>
        </is>
      </c>
      <c r="E53">
        <f>HYPERLINK("https://www.indeed.com/viewjob?jk=f6acd401c0f891eb", "https://www.indeed.com/viewjob?jk=f6acd401c0f891eb")</f>
        <v/>
      </c>
      <c r="F53">
        <f>HYPERLINK("https://www.amazon.jobs/jobs/3124450/sr-ehs-program-manager-safety-learning-and-development?cmpid=DA_INAD200785B", "https://www.amazon.jobs/jobs/3124450/sr-ehs-program-manager-safety-learning-and-development?cmpid=DA_INAD200785B")</f>
        <v/>
      </c>
      <c r="G53" t="inlineStr">
        <is>
          <t>Bellevue, WA, US</t>
        </is>
      </c>
      <c r="H53" s="1" t="n">
        <v>45910</v>
      </c>
      <c r="I53"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in-43685c83ab922998</t>
        </is>
      </c>
      <c r="B54" t="inlineStr">
        <is>
          <t>Sr. EHS Program Manager, Safety Learning and Development</t>
        </is>
      </c>
      <c r="C54" t="inlineStr">
        <is>
          <t>Amazon.com</t>
        </is>
      </c>
      <c r="D54" t="inlineStr">
        <is>
          <t>indeed</t>
        </is>
      </c>
      <c r="E54">
        <f>HYPERLINK("https://www.indeed.com/viewjob?jk=43685c83ab922998", "https://www.indeed.com/viewjob?jk=43685c83ab922998")</f>
        <v/>
      </c>
      <c r="F54">
        <f>HYPERLINK("https://www.amazon.jobs/jobs/3124450/sr-ehs-program-manager-safety-learning-and-development?cmpid=DA_INAD200785B", "https://www.amazon.jobs/jobs/3124450/sr-ehs-program-manager-safety-learning-and-development?cmpid=DA_INAD200785B")</f>
        <v/>
      </c>
      <c r="G54" t="inlineStr">
        <is>
          <t>Nashville, TN, US</t>
        </is>
      </c>
      <c r="H54" s="1" t="n">
        <v>45910</v>
      </c>
      <c r="I54"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in-a21137593535dadf</t>
        </is>
      </c>
      <c r="B55" t="inlineStr">
        <is>
          <t>Principal Product Manager - Technical, Alexa Communications</t>
        </is>
      </c>
      <c r="C55" t="inlineStr">
        <is>
          <t>Amazon.com</t>
        </is>
      </c>
      <c r="D55" t="inlineStr">
        <is>
          <t>indeed</t>
        </is>
      </c>
      <c r="E55">
        <f>HYPERLINK("https://www.indeed.com/viewjob?jk=a21137593535dadf", "https://www.indeed.com/viewjob?jk=a21137593535dadf")</f>
        <v/>
      </c>
      <c r="F55">
        <f>HYPERLINK("https://www.amazon.jobs/jobs/3137022/principal-product-manager--technical-alexa-communications?cmpid=DA_INAD200785B", "https://www.amazon.jobs/jobs/3137022/principal-product-manager--technical-alexa-communications?cmpid=DA_INAD200785B")</f>
        <v/>
      </c>
      <c r="G55" t="inlineStr">
        <is>
          <t>Irvine, CA, US</t>
        </is>
      </c>
      <c r="H55" s="1" t="n">
        <v>45993</v>
      </c>
      <c r="I5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6">
      <c r="A56" t="inlineStr">
        <is>
          <t>in-74d3c4953c2d3c81</t>
        </is>
      </c>
      <c r="B56" t="inlineStr">
        <is>
          <t>Principal Product Manager - Technical, Alexa Communications</t>
        </is>
      </c>
      <c r="C56" t="inlineStr">
        <is>
          <t>Amazon.com</t>
        </is>
      </c>
      <c r="D56" t="inlineStr">
        <is>
          <t>indeed</t>
        </is>
      </c>
      <c r="E56">
        <f>HYPERLINK("https://www.indeed.com/viewjob?jk=74d3c4953c2d3c81", "https://www.indeed.com/viewjob?jk=74d3c4953c2d3c81")</f>
        <v/>
      </c>
      <c r="F56">
        <f>HYPERLINK("https://www.amazon.jobs/jobs/3137022/principal-product-manager--technical-alexa-communications?cmpid=DA_INAD200785B", "https://www.amazon.jobs/jobs/3137022/principal-product-manager--technical-alexa-communications?cmpid=DA_INAD200785B")</f>
        <v/>
      </c>
      <c r="G56" t="inlineStr">
        <is>
          <t>Seattle, WA, US</t>
        </is>
      </c>
      <c r="H56" s="1" t="n">
        <v>45993</v>
      </c>
      <c r="I5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7">
      <c r="A57" t="inlineStr">
        <is>
          <t>in-e565465ce4ca7776</t>
        </is>
      </c>
      <c r="B57" t="inlineStr">
        <is>
          <t>Principal Product Manager - Technical, Alexa Communications</t>
        </is>
      </c>
      <c r="C57" t="inlineStr">
        <is>
          <t>Amazon.com</t>
        </is>
      </c>
      <c r="D57" t="inlineStr">
        <is>
          <t>indeed</t>
        </is>
      </c>
      <c r="E57">
        <f>HYPERLINK("https://www.indeed.com/viewjob?jk=e565465ce4ca7776", "https://www.indeed.com/viewjob?jk=e565465ce4ca7776")</f>
        <v/>
      </c>
      <c r="F57">
        <f>HYPERLINK("https://www.amazon.jobs/jobs/3137022/principal-product-manager--technical-alexa-communications?cmpid=DA_INAD200785B", "https://www.amazon.jobs/jobs/3137022/principal-product-manager--technical-alexa-communications?cmpid=DA_INAD200785B")</f>
        <v/>
      </c>
      <c r="G57" t="inlineStr">
        <is>
          <t>Sunnyvale, CA, US</t>
        </is>
      </c>
      <c r="H57" s="1" t="n">
        <v>45993</v>
      </c>
      <c r="I5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8">
      <c r="A58" t="inlineStr">
        <is>
          <t>in-c461678a53b15683</t>
        </is>
      </c>
      <c r="B58" t="inlineStr">
        <is>
          <t>Principal Product Manager - Tech, Recommender Systems, Prime Video Personalization &amp; Discovery</t>
        </is>
      </c>
      <c r="C58" t="inlineStr">
        <is>
          <t>Amazon.com</t>
        </is>
      </c>
      <c r="D58" t="inlineStr">
        <is>
          <t>indeed</t>
        </is>
      </c>
      <c r="E58">
        <f>HYPERLINK("https://www.indeed.com/viewjob?jk=c461678a53b15683", "https://www.indeed.com/viewjob?jk=c461678a53b15683")</f>
        <v/>
      </c>
      <c r="F58">
        <f>HYPERLINK("https://www.amazon.jobs/jobs/2956622/principal-product-manager--tech-recommender-systems-prime-video-personalization--discovery-?cmpid=DA_INAD200785B", "https://www.amazon.jobs/jobs/2956622/principal-product-manager--tech-recommender-systems-prime-video-personalization--discovery-?cmpid=DA_INAD200785B")</f>
        <v/>
      </c>
      <c r="G58" t="inlineStr">
        <is>
          <t>Washington, DC, US</t>
        </is>
      </c>
      <c r="H58" s="1" t="n">
        <v>45753</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in-664bd405b92792a6</t>
        </is>
      </c>
      <c r="B59" t="inlineStr">
        <is>
          <t>Principal Product Manager - Tech, Recommender Systems, Prime Video Personalization &amp; Discovery</t>
        </is>
      </c>
      <c r="C59" t="inlineStr">
        <is>
          <t>Amazon.com</t>
        </is>
      </c>
      <c r="D59" t="inlineStr">
        <is>
          <t>indeed</t>
        </is>
      </c>
      <c r="E59">
        <f>HYPERLINK("https://www.indeed.com/viewjob?jk=664bd405b92792a6", "https://www.indeed.com/viewjob?jk=664bd405b92792a6")</f>
        <v/>
      </c>
      <c r="F59">
        <f>HYPERLINK("https://www.amazon.jobs/jobs/2956622/principal-product-manager--tech-recommender-systems-prime-video-personalization--discovery-?cmpid=DA_INAD200785B", "https://www.amazon.jobs/jobs/2956622/principal-product-manager--tech-recommender-systems-prime-video-personalization--discovery-?cmpid=DA_INAD200785B")</f>
        <v/>
      </c>
      <c r="G59" t="inlineStr">
        <is>
          <t>Seattle, WA, US</t>
        </is>
      </c>
      <c r="H59" s="1" t="n">
        <v>45753</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li-4364410318</t>
        </is>
      </c>
      <c r="B2" t="inlineStr">
        <is>
          <t>Product Manager, New Ventures</t>
        </is>
      </c>
      <c r="C2" t="inlineStr">
        <is>
          <t>FanDuel</t>
        </is>
      </c>
      <c r="D2" t="inlineStr">
        <is>
          <t>linkedin</t>
        </is>
      </c>
      <c r="E2">
        <f>HYPERLINK("https://www.linkedin.com/jobs/view/4364410318", "https://www.linkedin.com/jobs/view/4364410318")</f>
        <v/>
      </c>
      <c r="F2" t="inlineStr"/>
      <c r="G2" t="inlineStr">
        <is>
          <t>New York, NY</t>
        </is>
      </c>
      <c r="H2" t="inlineStr"/>
      <c r="I2" t="inlineStr">
        <is>
          <t>**THE POSITION**
 Our roster has an opening with your name on it
 FanDuel is seeking a
 **Product Manager** 
 to support the planning and execution of successful product initiatives within the New Ventures team. This includes implementing innovative, customer\-first solutions that drive engagement and business growth for
 **FanDuel Predicts** 
 , our new prediction markets product. The Product Manager ensures successful product performance through market analysis, a deep understanding of customer needs, and objective data analysis and reporting.
 In this role, you will own key product initiatives within emerging product areas, working closely with cross\-functional teams to build and scale FanDuel's presence in new markets and opportunities.
 As an integral team member, you will collaborate with Engineering, Marketing, Commercial, Operations, and Data Science teams to implement and refine product features aligned with our broader vision. Specifically, you will focus on enabling personalization and data\-driven user experiences, ensuring fans discover markets tailored to their interests and have access to the insights needed for confident participation.
 You will contribute significantly to cross\-functional flywheel initiatives, using data\-driven insights to enhance New Ventures' product offerings and drive business value. This role offers an exciting opportunity to shape and deliver innovative solutions that expand FanDuel's footprint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Implementation: Partner with the Lead PM to support execution of product strategy and objectives. Translate defined product direction into well\-scoped requirements and delivery plans, using customer insights, competitive context, and business needs to inform prioritization. Contribute to defining and articulating product features by identifying user problems and improvement opportunities within an established domain.
* Metrics and Performance Tracking: Track and report on key performance metrics for assigned features or initiatives. Share progress updates, surface risks or underperformance, and support data\-informed recommendations for iteration and improvement. Assist in defining short\- to medium\-term success metrics and contribute to experimentation efforts such as A/B testing with guidance.
* Product and Market Knowledge: Develop and maintain a solid understanding of owned product areas, user journeys, and relevant industry trends. Monitor competitor activity and market signals to inform incremental product improvements and roadmap discussions.
* User Research and Insights: Collaborate with research and design partners to gather user feedback, participate in usability testing, and help translate insights into actionable product enhancements that improve the customer experience.
* Data\-Driven Decision Making: Use analytics tools to monitor feature performance and user behavior. Support the setup and analysis of A/B tests and apply data insights to recommend refinements and optimizations under guidance.
* Feature Development and Execution: Create detailed product requirements documents and user stories. Work closely with engineering and design teams to ensure successful feature delivery, managing scope and technical feasibility throughout the development process. Partner with product owner and engineering manager to drive activities of multiple teams, ensuring effective prioritization, refinement, and delivery.
* Quality Assurance and Issue Resolution: Partner with QA and engineering to ensure features meet quality standards prior to release. Assist in prioritizing bugs and addressing issues, helping maintain product reliability and performance.
* Cross\-functional Collaboration: Collaborate effectively with engineering, design, analytics, and other partners to ensure alignment on requirements and delivery expectations. Communicate clearly and proactively within the team to support smooth execution.
* Stakeholder Communication Provide regular, clear updates to product stakeholders on progress, timelines, and risks for owned initiatives. Contribute to status reporting and documentation to support transparency and alignment.
* Team Contribution: Actively contribute as a team member by sharing learnings, supporting peers, and participating in team rituals. Demonstrate ownership of assigned responsibilities while continuing to develop product management skills and domain expertise.
**THE STATS**
 What we're looking for in our next teammate
* Bachelor’s degree preferred
* Minimum 2\+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 A passion for building products that make complex systems simple and engaging for users
* Background in finance, investing, or market\-based products (e.g., prediction markets, trading apps, or sports markets) and experience working within a heavily regulated industry is a plus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$94,000 \- $117,500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3">
      <c r="A3" t="inlineStr">
        <is>
          <t>li-4382106347</t>
        </is>
      </c>
      <c r="B3" t="inlineStr">
        <is>
          <t>Product Owner, eCommerce</t>
        </is>
      </c>
      <c r="C3" t="inlineStr">
        <is>
          <t>Holley</t>
        </is>
      </c>
      <c r="D3" t="inlineStr">
        <is>
          <t>linkedin</t>
        </is>
      </c>
      <c r="E3">
        <f>HYPERLINK("https://www.linkedin.com/jobs/view/4382106347", "https://www.linkedin.com/jobs/view/4382106347")</f>
        <v/>
      </c>
      <c r="F3" t="inlineStr"/>
      <c r="G3" t="inlineStr"/>
      <c r="H3" t="inlineStr"/>
      <c r="I3" t="inlineStr">
        <is>
          <t>**About Holley Performance Brands** 
 Holley Performance Brands is the powerhouse behind some of the most iconic names in automotive performance. For over a century, we’ve fueled the passion of car and truck enthusiasts with innovative products, legendary brands, and a commitment to performance. From the racetrack to the street, we’re driven by a shared love for speed, power, and pushing what’s possible — and we’re building the next generation of digital experiences to match that same energy.
**About The Team** 
 At Holley Performance Brands, our Customer Experience Marketing (CXM) team is shaping the future of Holley’s 360° digital retail experience. We help customers connect with the right products across Holley’s brands, stores, distributors, and partners. Our goal is simple — create personalized, data\-driven experiences that build lasting relationships between brands and their customers.
**About The Role** 
 The Product Owner, eCommerce will manage and optimize Holley’s Direct\-to\-Consumer (DTC) eCommerce channel, reporting to the Director of eCommerce. This hands\-on, operational role focuses on executing the DTC product roadmap, enhancing the customer experience, and driving measurable results in a fast\-paced, evolving environment.
 The Product Owner serves as the liaison between business and engineering, responsible for writing and translating business requirements into actionable technical stories and ensuring alignment across cross\-functional teams. This individual will also play a role in enhancing internal processes for greater efficiency and may support CXM leadership in developing business cases for innovative technology initiatives that advance Holley’s digital commerce capabilities.
**Key Responsibilities** 
* **Product Roadmap Execution:** 
 Implement and prioritize the DTC eCommerce roadmap, ensuring alignment with Holley’s strategic goals and customer needs.
* **Business Requirements Management:** 
 Develop, document, and translate business requirements into user stories and acceptance criteria for engineering and development teams.
* **Cross\-Functional Liaison:** 
 Serve as the primary link between CXM, marketing, IT, and technology teams to ensure business needs are accurately reflected in technical deliverables.
* **Feature Development:** 
 Partner with development teams to design, build, test, and deploy new features, maintaining a robust testing culture within Agile processes.
* **Process Optimization:** 
 Identify and implement improvements to enhance operational efficiency and streamline workflows across the DTC business.
* **Transformation Agility:** 
 Demonstrate adaptability in response to evolving organizational structures, priorities, and communication methods.
* **Customer Experience Optimization:** 
 Leverage retail best practices to improve UX/UI design, site performance, and the overall customer journey.
* **Performance Monitoring:** 
 Analyze and interpret key performance metrics to optimize eCommerce operations, drive satisfaction, and achieve revenue growth.
* **Innovation Support:** 
 Assist CXM leaders in writing business cases for emerging technologies and future digital retail innovation.
**Qualifications** 
**Education** 
 : Bachelor’s degree in business, Marketing, Information Technology, Psychology, or a related field.
**Experience** 
 :
* Minimum 5 years in eCommerce, product management, or a related field, with at least 3 in a hands\-on operational role managing DTC or retail eCommerce channels.
* Proven experience acting as a liaison between business and technical teams to deliver successful digital product outcomes.
* Experience working within an Agile framework, contributing to collaborative story writing and cross\-functional sprint planning.
**Skills** 
 :
* Strong understanding of eCommerce platforms (e.g., Shopify) and retail best practices.
* Proficiency in product management tools (e.g., Jira, Confluence) and data\-driven decision\-making.
* Excellent communication and collaboration skills across business and technical stakeholders.
* Confident decision\-making ability, with a balance of independence and teamwork.
* Demonstrated adaptability to changing processes, priorities, and organizational structures.
* Ability to identify opportunities for efficiency and process improvement.
**Preferred Skills** 
 :
* Experience with automotive aftermarket products or related industries.
* Familiarity with UX/UI design principles and customer journey optimization.
* Knowledge of emerging trends in eCommerce and digital retail.
**Why Join Us** 
* Opportunity to shape Holley’s DTC eCommerce channel during an exciting period of digital transformation.
* Collaborate with a passionate, innovative team of professionals dedicated to customer\-focused growth.
* Competitive salary and benefits package.
* Contribute to the success of Holley Performance Brands, a leader in the performance aftermarket industry.
* Work in an environment that values collaboration, adaptability, and hands\-on execution.
**Why Holley Is a Great Place to Work** 
 At Holley, we’re more than a performance parts company—we’re a community of enthusiasts, innovators, and problem\-solvers. We offer a competitive benefits package and a culture that values both performance and people.
 Benefits:
* Competitive medical, dental, and vision coverage starting day one.
* 401(k) with company match
* Paid time off and9paid holidays
* Employee Assistance Program (EAP)
* Company\-paid life and short\-term disability insurance
* Employee discounts on Holley Performance Brands products, events, and partnerships
* Education Assistance program
*Holley is an Equal Opportunity Employer committed to building a diverse and inclusive workforce. All qualified applicants will receive consideration for employment without regard to race, color, religion, sex, sexual orientation, gender identity, national origin, age, marital status, veteran status, disability, or any other legally protected status.* 
*If you require assistance or accommodation due to a disability during the application process, please contact human resources*</t>
        </is>
      </c>
    </row>
    <row r="4">
      <c r="A4" t="inlineStr">
        <is>
          <t>li-4382105333</t>
        </is>
      </c>
      <c r="B4" t="inlineStr">
        <is>
          <t>Product Owner</t>
        </is>
      </c>
      <c r="C4" t="inlineStr">
        <is>
          <t>Refactor Talent</t>
        </is>
      </c>
      <c r="D4" t="inlineStr">
        <is>
          <t>linkedin</t>
        </is>
      </c>
      <c r="E4">
        <f>HYPERLINK("https://www.linkedin.com/jobs/view/4382105333", "https://www.linkedin.com/jobs/view/4382105333")</f>
        <v/>
      </c>
      <c r="F4" t="inlineStr"/>
      <c r="G4" t="inlineStr"/>
      <c r="H4" t="inlineStr"/>
      <c r="I4" t="inlineStr">
        <is>
          <t>We’re seeking to connect a Finance Product Owner with a leading company in the insurance industry on a full time basis. The role is hybrid (Tuesday–Thursday onsite) in Livonia, MI or remote within the USA. As a Finance Product Owner, you will have the opportunity to join a passionate, motivated team and leverage your expertise in financial systems, product strategy, and agile delivery.
 Key Responsibilities:
* Own and evolve the finance product roadmap aligned with business and regulatory priorities.
* Translate accounting and treasury processes into scalable, secure digital solutions.
* Manage product backlog, user stories, and acceptance criteria to ensure delivery clarity.
* Collaborate with Finance, Engineering, QA, and Architecture to deliver high\-quality systems.
* Drive automation, API integration, and modernization across finance platforms.
* Ensure compliance with SOX, GAAP, and applicable insurance regulations.
 Qualifications:
* Minimum of 5 years of experience in product ownership or business analysis.
* At least 3 years within Finance, FinTech, or Insurance domains.
* Strong knowledge of billing, payments, GL, reconciliation, and financial reporting.
* Experience with ERP systems such as SAP, Oracle, Workday, or NetSuite.
* Experience working within Agile frameworks (Scrum, SAFe, or Kanban).
* Bachelor’s degree in Finance, Accounting, Business, or related field.
 Expected Pay and Benefits:
* Medical, Dental, and Vision insurance
* 401(k) program
* If this role is an ideal fit for you, we want to hear from you. Refactor Talent is committed to connecting top talent with incredible opportunities. We would like to help you succeed as you navigate your career search. Apply now so that we can take these next steps together.</t>
        </is>
      </c>
    </row>
    <row r="5">
      <c r="A5" t="inlineStr">
        <is>
          <t>li-4363984096</t>
        </is>
      </c>
      <c r="B5" t="inlineStr">
        <is>
          <t>Product Manager, New Ventures</t>
        </is>
      </c>
      <c r="C5" t="inlineStr">
        <is>
          <t>FanDuel</t>
        </is>
      </c>
      <c r="D5" t="inlineStr">
        <is>
          <t>linkedin</t>
        </is>
      </c>
      <c r="E5">
        <f>HYPERLINK("https://www.linkedin.com/jobs/view/4363984096", "https://www.linkedin.com/jobs/view/4363984096")</f>
        <v/>
      </c>
      <c r="F5" t="inlineStr"/>
      <c r="G5" t="inlineStr">
        <is>
          <t>Atlanta, GA</t>
        </is>
      </c>
      <c r="H5" t="inlineStr"/>
      <c r="I5" t="inlineStr">
        <is>
          <t>**THE POSITION**
 Our roster has an opening with your name on it
 FanDuel is seeking a
 **Product Manager** 
 to support the planning and execution of successful product initiatives within the New Ventures team. This includes implementing innovative, customer\-first solutions that drive engagement and business growth for
 **FanDuel Predicts** 
 , our new prediction markets product. The Product Manager ensures successful product performance through market analysis, a deep understanding of customer needs, and objective data analysis and reporting.
 In this role, you will own key product initiatives within emerging product areas, working closely with cross\-functional teams to build and scale FanDuel's presence in new markets and opportunities.
 As an integral team member, you will collaborate with Engineering, Marketing, Commercial, Operations, and Data Science teams to implement and refine product features aligned with our broader vision. Specifically, you will focus on enabling personalization and data\-driven user experiences, ensuring fans discover markets tailored to their interests and have access to the insights needed for confident participation.
 You will contribute significantly to cross\-functional flywheel initiatives, using data\-driven insights to enhance New Ventures' product offerings and drive business value. This role offers an exciting opportunity to shape and deliver innovative solutions that expand FanDuel's footprint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Implementation: Partner with the Lead PM to support execution of product strategy and objectives. Translate defined product direction into well\-scoped requirements and delivery plans, using customer insights, competitive context, and business needs to inform prioritization. Contribute to defining and articulating product features by identifying user problems and improvement opportunities within an established domain.
* Metrics and Performance Tracking: Track and report on key performance metrics for assigned features or initiatives. Share progress updates, surface risks or underperformance, and support data\-informed recommendations for iteration and improvement. Assist in defining short\- to medium\-term success metrics and contribute to experimentation efforts such as A/B testing with guidance.
* Product and Market Knowledge: Develop and maintain a solid understanding of owned product areas, user journeys, and relevant industry trends. Monitor competitor activity and market signals to inform incremental product improvements and roadmap discussions.
* User Research and Insights: Collaborate with research and design partners to gather user feedback, participate in usability testing, and help translate insights into actionable product enhancements that improve the customer experience.
* Data\-Driven Decision Making: Use analytics tools to monitor feature performance and user behavior. Support the setup and analysis of A/B tests and apply data insights to recommend refinements and optimizations under guidance.
* Feature Development and Execution: Create detailed product requirements documents and user stories. Work closely with engineering and design teams to ensure successful feature delivery, managing scope and technical feasibility throughout the development process. Partner with product owner and engineering manager to drive activities of multiple teams, ensuring effective prioritization, refinement, and delivery.
* Quality Assurance and Issue Resolution: Partner with QA and engineering to ensure features meet quality standards prior to release. Assist in prioritizing bugs and addressing issues, helping maintain product reliability and performance.
* Cross\-functional Collaboration: Collaborate effectively with engineering, design, analytics, and other partners to ensure alignment on requirements and delivery expectations. Communicate clearly and proactively within the team to support smooth execution.
* Stakeholder Communication Provide regular, clear updates to product stakeholders on progress, timelines, and risks for owned initiatives. Contribute to status reporting and documentation to support transparency and alignment.
* Team Contribution: Actively contribute as a team member by sharing learnings, supporting peers, and participating in team rituals. Demonstrate ownership of assigned responsibilities while continuing to develop product management skills and domain expertise.
**THE STATS**
 What we're looking for in our next teammate
* Bachelor’s degree preferred
* Minimum 2\+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 A passion for building products that make complex systems simple and engaging for users
* Background in finance, investing, or market\-based products (e.g., prediction markets, trading apps, or sports markets) and experience working within a heavily regulated industry is a plus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$94,000 \- $117,500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6">
      <c r="A6" t="inlineStr">
        <is>
          <t>li-4382110444</t>
        </is>
      </c>
      <c r="B6" t="inlineStr">
        <is>
          <t>Product Owner</t>
        </is>
      </c>
      <c r="C6" t="inlineStr">
        <is>
          <t>Highbrow LLC</t>
        </is>
      </c>
      <c r="D6" t="inlineStr">
        <is>
          <t>linkedin</t>
        </is>
      </c>
      <c r="E6">
        <f>HYPERLINK("https://www.linkedin.com/jobs/view/4382110444", "https://www.linkedin.com/jobs/view/4382110444")</f>
        <v/>
      </c>
      <c r="F6" t="inlineStr"/>
      <c r="G6" t="inlineStr"/>
      <c r="H6" t="inlineStr"/>
      <c r="I6" t="inlineStr">
        <is>
          <t>**Job Overview** 
 We are looking for an experienced
 **Product Owner** 
 with strong Agile experience to join our team in
 **San Jose, CA** 
 . The ideal candidate will be responsible for defining product requirements, managing the product backlog, and working closely with engineering teams to deliver high\-quality product features. This role requires strong collaboration with stakeholders, business teams, and development teams to ensure product goals align with business objectives.
**Key Responsibilities** 
* Define and communicate the
 **product vision, strategy, and roadmap** 
 .
* Own and manage the
 **product backlog** 
 , ensuring it is prioritized based on business value.
* Translate business requirements into
 **clear user stories and acceptance criteria** 
 .
* Work closely with
 **engineering, design, QA, and business stakeholders** 
 to deliver product features.
* Participate in
 **Agile ceremonies** 
 including sprint planning, backlog grooming, sprint reviews, and retrospectives.
* Ensure the development team clearly understands
 **product priorities and requirements** 
 .
* Gather and analyze
 **customer feedback, business needs, and market trends** 
 .
* Drive continuous
 **product improvement and feature enhancements** 
 .
* Track product performance and ensure alignment with
 **business goals and user needs** 
 .
**Required Qualifications** 
* **7\+ years of experience** 
 as a Product Owner, Product Manager, or related role.
* Strong understanding of
 **Agile / Scrum methodologies** 
 .
* Experience managing
 **product backlogs and writing user stories** 
 .
* Ability to translate business requirements into
 **technical deliverables** 
 .
* Strong
 **communication and stakeholder management skills** 
 .
* Experience working with
 **cross\-functional teams including engineering, QA, and UX/UI** 
 .
* Hands\-on experience with
 **Agile tools such as Jira or similar** 
 .
**Preferred Qualifications** 
* **Certified Scrum Product Owner (CSPO)** 
 or other Agile certifications.
* Experience working with
 **enterprise or SaaS\-based products** 
 .
* Strong analytical and problem\-solving skills.
* Experience working in
 **fast\-paced Agile environments** 
 .</t>
        </is>
      </c>
    </row>
    <row r="7">
      <c r="A7" t="inlineStr">
        <is>
          <t>li-4371722793</t>
        </is>
      </c>
      <c r="B7" t="inlineStr">
        <is>
          <t>Product Manager</t>
        </is>
      </c>
      <c r="C7" t="inlineStr">
        <is>
          <t>Stitch Fix</t>
        </is>
      </c>
      <c r="D7" t="inlineStr">
        <is>
          <t>linkedin</t>
        </is>
      </c>
      <c r="E7">
        <f>HYPERLINK("https://www.linkedin.com/jobs/view/4371722793", "https://www.linkedin.com/jobs/view/4371722793")</f>
        <v/>
      </c>
      <c r="F7" t="inlineStr"/>
      <c r="G7" t="inlineStr"/>
      <c r="H7" t="inlineStr"/>
      <c r="I7" t="inlineStr">
        <is>
          <t>**About Stitch Fix, Inc.**
 Stitch Fix (NASDAQ: SFIX) is the leading online personal styling service that helps people discover the styles they will love that fit perfectly so they always look \- and feel \- their best. Few things are more personal than getting dressed, but finding clothing that fits and looks great can be a challenge. Stitch Fix solves that problem. By pairing expert stylists with best\-in\-class AI and recommendation algorithms, the company leverages its assortment of exclusive and national brands to meet each client's individual tastes and needs, making it convenient for clients to express their personal style without having to spend hours in stores or sifting through endless choices online. Stitch Fix, which was founded in 2011, is headquartered in San Francisco.
**About The Team**
 The Onboarding team at Stitch Fix sits at the critical intersection of
 **Growth** 
 and
 **Personalized Style Understanding. Stitch Fix was a pioneer in this space, building a business model centered on AI and data science from day one.**
 The Onboarding team sits at the very beginning of this journey, owning the "first 30 minutes and the first 30 days." We are responsible for evolving our industry\-leading onboarding experience from a traditional signup flow into a conversational, AI\-driven discovery engine. We bridge the gap between a client’s initial curiosity and their first moment of delight, ensuring they feel seen, understood, and inspired from their very first click.
**About The Role**
 As a
 **Product Manager** 
 , you will be the strategic lead for our Onboarding Pod. You will own the roadmap for our Gateway/Landing pages, the Style Quiz, and the new Style Playback experience. This is a high\-impact IC role where you will guide 1–2 more junior PMs, orchestrating a cohesive strategy across multiple workstreams.
 You will act as the primary bridge between
 **Marketing** 
 (who drive traffic and own the budget) and
 **Brand** 
 (who own the creative vision). Your job is to use influence and data\-backed insights to identify the missing features—like seasonal browsing or brand showcases—that turn curious prospects into lifelong clients.
**You’re Excited About This Opportunity Because You Will…**
* Lead the Onboarding Pod: Set the 6–12 month vision for a cross\-functional team of Engineers, Designers, and Data Scientists. You’ll provide mentorship and tactical guidance to junior PMs while maintaining ownership of the most complex strategic bets.
* Next Gen AI\-powered Onboarding: Pioneer a radically new onboarding experience. You will explore how a more visual and AI powered experience can create a "living profile" that builds trust from the first interaction.
* Master the "Onboarding Paradox": You will solve the challenge of creating a low\-friction signup flow that still captures the deep, high\-signal data necessary to ensure a client's "First Fix" is a resounding success.
* Drive Style Playback: Transform the "StyleFile" from a static profile into a modern, shoppable experience. You’ll help clients see their evolving taste reflected back to them, turning data capture into a moment of inspiration.
* Reimagine our Landing Page Strategy: Partner with Marketing and Brand to reimagine our landing pages. You’ll identify and build the features that communicate our value—such as "Show More Awesome Merch"—allowing prospects to see our seasonal styles and top brands before they even sign up.
* Harmonize Cross\-Functional Goals: You’ll be the connective tissue between growth\-focused marketing targets and the technical requirements of our Data Science styling models, ensuring all teams are aligned on the definition of a "successful" new client.
**We’re Excited About You Because…**
* Strategic Leader (8\+ Years Experience): You have a proven track record of leading complex, 0\-to\-1 initiatives and setting 6–12 month roadmaps. You are ready to lead the Onboarding Pod, providing mentorship and tactical guidance to junior PMs.
* Masterful Influencer: You drive results across teams you don’t manage. You partner effectively with Marketing and Brand to identify the features—like seasonal browsing or visual merchandising—that bridge the gap between prospect interest and conversion. Champion of Client Empathy \&amp; Modern Discovery: You use modern product discovery techniques to maximize the chances of building the right solution. By building robust feedback loops and integrating client insights at every stage, you ensure our personalized experiences feel relevant, human, and delightful.
* Data Intuition \&amp; the “Onboarding Paradox”: You possess deep data intuition and understand how to build intelligent consumer experiences. You know how to optimize for high conversion without sacrificing the deep “style signal” required to ensure a successful First Fix.
* Values\-Driven Collaborator: You lead with humility, curiosity, and accountability. You are a “bright and kind” partner who can harmonize conflicting viewpoints to ensure the best decision is made for the client and the company.
* Mentorship Mindset: You enjoy raising the bar for the PM craft and are ready to guide and uplevel 1–2 junior PMs within your pod.
* Analytical Rigor: You are a systems thinker who can connect quantifiable measures (conversion, bounce rates) to long\-term business outcomes (Fix success, retention).
* Bonus Points: You have experience in subscription models, e\-commerce recommendation systems, or a background in fashion/apparel.
**Why you'll love working at Stitch Fix...**
* We are a group of bright, kind people who are motivated by challenge. We value integrity, innovation and trust. You’ll bring these characteristics to life in everything you do at Stitch Fix.
* We cultivate a community of diverse perspectives— all voices are heard and valued.
* We are an innovative company and leverage our strengths in fashion and tech to disrupt the future of retail.
* We win as a team, commit to our work, and celebrate grit together because we value strong relationships.
* We boldly create the future while keeping equity and sustainability at the center of all that we do.
* We are the owners of our work and are energized by solving problems through a growth mindset lens. We think broadly and creatively through every situation to create meaningful impact.
* We offer comprehensive compensation packages and inclusive health and wellness benefits.
**Compensation And Benefits**
 This role will receive a competitive salary, benefits, and equity. The salary for US\-based employees hired into this role will be aligned with the range below, which includes our three geographic areas. A variety of factors are considered when determining someone’s compensation–including a candidate’s professional background, experience, location, and performance. This position is eligible for an annual bonus, and new hire and ongoing grants of restricted stock units, depending on employee and company performance. In addition, the position is eligible for medical, dental, vision, and other benefits. Applicants should apply via our internal or external careers site.
 Salary Range
 $127,100—$212,000 USD
*This link leads to the machine readable files that are made available in response to the federal Transparency in Coverage Rule and includes negotiated service rates and out\-of\-network allowed amounts between health plans and healthcare providers. The machine\-readable files are formatted to allow researchers, regulators, and application developers to more easily access and analyze data.*
 Please review Stitch Fix's US Applicant Privacy Policy and Notice at Collection here: https://stitchfix.com/careers/workforce\-applicant\-privacy\-policy
**Recruiting Fraud Alert:**
 To all candidates: your personal information and online safety are top of mind for us. At Stitch Fix, recruiters only direct candidates to apply through our official career pages at https://www.stitchfix.com/careers/jobs or https://web.fountain.com/c/stitch\-fix.
 Recruiters will never request payments, ask for financial account information or sensitive information like social security numbers. If you are unsure if a message is from Stitch Fix, please email careers@stitchfix.com.
 You can read more about Recruiting Scam Awareness on our FAQ page here: https://support.stitchfix.com/hc/en\-us/articles/1500007169402\-Recruiting\-Scam\-Awareness</t>
        </is>
      </c>
    </row>
    <row r="8">
      <c r="A8" t="inlineStr">
        <is>
          <t>li-4382103182</t>
        </is>
      </c>
      <c r="B8" t="inlineStr">
        <is>
          <t>Senior Product Manager</t>
        </is>
      </c>
      <c r="C8" t="inlineStr">
        <is>
          <t>Product Partners</t>
        </is>
      </c>
      <c r="D8" t="inlineStr">
        <is>
          <t>linkedin</t>
        </is>
      </c>
      <c r="E8">
        <f>HYPERLINK("https://www.linkedin.com/jobs/view/4382103182", "https://www.linkedin.com/jobs/view/4382103182")</f>
        <v/>
      </c>
      <c r="F8" t="inlineStr"/>
      <c r="G8" t="inlineStr"/>
      <c r="H8" t="inlineStr"/>
      <c r="I8" t="inlineStr">
        <is>
          <t>**Senior Product Manager \| AI x Fintech \| San Francisco** 
 $180\-220k \+ equity
 This opportunity is with a Series A AI startup transforming how banks operate. The company is building AI\-native systems designed to replace decades\-old infrastructure and automate the majority of manual workflows across lending and banking operations.
 Demand from banks is growing quickly, and they’re now looking for a Senior Product Manager to own a product vertical end\-to\-end.
 This is a role for someone who enjoys real 0\-1 work, complex problem solving and shipping fast in a high\-growth environment.
**Role responsibilities:** 
 • Own the product strategy
 • Work directly with banking customers to deeply understand workflows and pain points
 • Translate complex financial processes into user friendly, AI\-driven experiences
 • Partner closely with engineering to balance speed, quality and technical complexity
 • Own the full product lifecycle from discovery and requirements through launch and iteration
 • Make prioritisation decisions using data, customer insight and business impact
**What they’re looking for:** 
 • 4\+ years in Product within fast\-paced VC\-backed start\-ups
 • Experience shipping customer\-facing products that deliver real user value
 • Strong analytical thinking and data\-driven decision making
 • Excellent communication skills and problem solving ability
 • Experience with AI/ML products, fintech or SaaS
 • Startup experience is highly valued but not required
 Genuine opportunity to work with an exceptionally smart, early stage team made up of Computer Science graduates and banking experts. You'll have the opportunity for end\-to\-end ownership of product areas and work on complex enterprise problems using AI.</t>
        </is>
      </c>
    </row>
    <row r="9">
      <c r="A9" t="inlineStr">
        <is>
          <t>li-4380262579</t>
        </is>
      </c>
      <c r="B9" t="inlineStr">
        <is>
          <t>Product Manager</t>
        </is>
      </c>
      <c r="C9" t="inlineStr">
        <is>
          <t>Blue Signal Search</t>
        </is>
      </c>
      <c r="D9" t="inlineStr">
        <is>
          <t>linkedin</t>
        </is>
      </c>
      <c r="E9">
        <f>HYPERLINK("https://www.linkedin.com/jobs/view/4380262579", "https://www.linkedin.com/jobs/view/4380262579")</f>
        <v/>
      </c>
      <c r="F9" t="inlineStr"/>
      <c r="G9" t="inlineStr"/>
      <c r="H9" t="inlineStr"/>
      <c r="I9" t="inlineStr">
        <is>
          <t>**Job Title: Product Manager** 
**Location: Greater Phoenix Area, AZ** 
**Overview** 
 Are you a systems\-minded Product leader who loves turning messy, cross\-functional workflows into streamlined engines that ship value at speed? Our client\-a high\-growth technology company transforming the way consumers engage with a complex, service\-heavy industry\-is looking for a Product Manager who can blend strategic process thinking with hands\-on Agile delivery. Reporting to the COO, you will have executive visibility, authority to shape how products are built, and full ownership of a high\-priority product line that directly drives revenue growth and customer experience.
**Responsibilities** 
* Elevate Product Operations \- Map current discovery\-to\-delivery workflows, identify bottlenecks, and present a 90\-day action plan that boosts velocity and quality.
* Redesign Business Processes \- Partner with Operations, Finance, Compliance, and Engineering to streamline end\-to\-end processes, introduce automation, and define KPIs such as cycle time, throughput, and adoption.
* Own a Flagship Product Area \- Craft vision, strategy, and roadmap; lead discovery, MVP scoping, iterative releases, and post\-launch optimization with a relentless focus on user value and measurable impact.
* Institutionalize Delivery Excellence \- Establish backlog governance, documentation standards, and data\-driven prioritization frameworks that create predictable shipping cadences.
* Champion Data\-Driven Decisions \- Instrument products for analytics, run structured experiments, and translate insights into feature enhancements that boost engagement and retention.
* Explore Intelligent Automation \&amp; AI \- Evaluate emerging technologies that reduce manual effort and unlock new user experiences.
**Background** 
* 8\+ years in Product Management, Program Management, or Product Operations within tech\-driven organizations.
* Demonstrated success redesigning cross\-functional workflows and improving Agile delivery predictability.
* Proven ability to define and track business and product KPIs, turning insights into action.
* Executive\-level communication skills\-you can translate complex data and process recommendations into clear, persuasive narratives.
* Hands\-on experience with tools like JIRA or Azure DevOps; SAFe®, CSM®, or similar Agile certification a plus.
* Comfort working in fast\-moving, high\-visibility environments where ambiguity is the norm and impact is measured in outcomes, not output.
**Compensation and Benefits** 
* Build From the C\-Suite Down \- Direct line to the COO ensures ideas become reality quickly.
* Shape the Foundation \- Your frameworks will influence every product team and future release.
* High\-Growth Environment \- Join a company scaling rapidly in a sector ripe for innovation.
* Competitive Package \- Market\-leading salary, bonus potential, comprehensive benefits, and the flexibility of a hybrid schedule.
* Mission\-Driven Culture \- Collaborative team that values helping others, doing the right thing, and striving for excellence \- every day.</t>
        </is>
      </c>
    </row>
    <row r="10">
      <c r="A10" t="inlineStr">
        <is>
          <t>li-4343043715</t>
        </is>
      </c>
      <c r="B10" t="inlineStr">
        <is>
          <t>Principal Product Manager, AI</t>
        </is>
      </c>
      <c r="C10" t="inlineStr">
        <is>
          <t>Webflow</t>
        </is>
      </c>
      <c r="D10" t="inlineStr">
        <is>
          <t>linkedin</t>
        </is>
      </c>
      <c r="E10">
        <f>HYPERLINK("https://www.linkedin.com/jobs/view/4343043715", "https://www.linkedin.com/jobs/view/4343043715")</f>
        <v/>
      </c>
      <c r="F10" t="inlineStr"/>
      <c r="G10" t="inlineStr"/>
      <c r="H10" t="inlineStr"/>
      <c r="I10" t="inlineStr">
        <is>
          <t>At Webflow, we’re building the world’s leading AI\-native Digital Experience Platform, and we’re doing it as a remote\-first company built on trust, transparency, and a whole lot of creativity. This work takes grit, because we move fast, without ever sacrificing craft or quality. Our mission is to bring development superpowers to everyone. From entrepreneurs launching their first idea to global enterprises scaling their digital presence, we empower teams to design, launch, and optimize for the web without barriers. We believe the future of the web, and work, is more open, more creative, and more equitable. And we’re here to build it together.
 We’re looking for a Principal Product Manager, AI to continue to chart the course for Webflow’s rapid growth among our largest customers. You will be at the forefront of revolutionizing the way businesses collaborate, innovate, and grow using Webflow. Your leadership and strategic thinking will play a pivotal role in democratizing the power of web development for large\-scale organizations, fostering collaboration, and scaling Webflow's impact globally. You’ll craft the strategy for evolving our product to support world\-class teams building mission critical web presences for some of the world’s most well\-known and fastest growing brands.
**About The Role** 
* Location: Remote\-first (United States; BC \&amp; ON, Canada)
* Full\-time
* Permanent
* Exempt
* The cash compensation for this role is tailored to align with the cost of labor in different geographic markets. We've structured the base pay ranges for this role into zones for our geographic markets, and the specific base pay within the range will be determined by the candidate’s geographic location, job\-related experience, knowledge, qualifications, and skills.
+ United States (all figures cited below are in USD and pertain to workers in the United States)
- Zone A: $230,000 \- $340,000
- Zone B: $220,000 \- $320,000
- Zone C: $200,000 \- $300,000
+ Canada (figures cited below are in CAD and pertain to workers in ON \&amp; BC, Canada
- 260,000 \- 390,000
 This role is also eligible to participate in Webflow's company\-wide bonus program. Target amounts are a percentage of base salary and vary by career level. Payouts are based on company performance against established financial and operational goals.
 Please visit our Careers page for more information on which locations are included in each of our geographic pay zones. However, please confirm the zone for your specific location with your recruiter.
* Application Information:
+ Application deadline: applications accepted on an ongoing basis until position is closed and filled
+ This posting is for an existing vacancy
* Reporting to the Chief Product Officer
**As Principal Product Manager, AI, you will** 
 lead the strategy for Webflow’s AI Digital Experience Platform and own the AI platform roadmap. You’ll determine how AI can enhance—and sometimes reinvent—our product experience, driving growth and differentiation. You’ll also help define
 *how* 
 Webflow builds AI\-native products by owning the strategy, execution, and education for internal AI use.
* Own and continuously evolve Webflow’s AI platform roadmap.
* Craft and deliver a unified AI product strategy across the platform.
* Monitor AI performance signals and turn insights into action.
* Translate customer feedback into AI breakthroughs.
* Run market intelligence like a radar system for Gen AI. Assess competitive positions, and pinpoint opportunities and threats. Stay at the forefront of AI science and engineering.
* Collaborate with teams across Product Management, Product Design, Engineering, Corporate Development, Data Science, and User Research to turn market insights into live product initiatives.
* Define and steer GTM strategy for AI\-powered products with Sales and Marketing.
* Build and cultivate AI ecosystem relationships.
* Become the internal evangelist for AI\-native product thinking, how we operate as an AI\-native team, and how we help our customers evolve into AI\-native organizations.
* Levels up the org into an AI\-native product team through coaching and hands\-on examples.
**About You**
 You’ll thrive as a Principal Product Manager, AI if you:
* Enjoy going deep into technical problem spaces adjacent to how AI is reinventing web development, design, and marketing.
* Builder at heart — prototypes daily, experiments with new models, creates agents, and helps teams improve eval quality.
* 10\+ years in product management, Gen AI, ML, Applied AI, and related domains, including leading end\-to\-end product strategy.
* Strong analytical instincts with a track record of converting insights into high\-impact product initiatives.
* Deep expertise in AI and its application in tech products; proven ability to use AI to unlock innovation.
* Exceptional cross\-functional collaborator who communicates clearly and rallies diverse teams behind AI initiatives.
* Stay curious and open to growth — actively building fluency in emerging technologies like AI to unlock creativity, accelerate progress, and amplify impact.
**Our Core Behaviors**
* Build lasting customer trust. We build trust by taking action that puts customer trust first.
* Win together. We play to win, and we win as one team. Success at Webflow isn't a solo act.
* Reinvent ourselves. We don't just improve what exists, we imagine what's possible.
* Deliver with speed, quality, and craft. We move fast because the moment demands it, and we do so without lowering the bar.
**Benefits**
* Ownership in what you help build. Every permanent Webflower receives equity (RSUs) in our growing, privately held company.
* Health coverage that actually covers you. Comprehensive medical, dental, and vision plans for full\-time employees and their dependents, with Webflow covering most premiums.
* Support for every stage of family life. 12 weeks of paid parental leave for all parents and 6\+ weeks of additional paid leave for birthing parents. Plus inclusive care for family planning, menopause, and midlife transitions.
* Time off that’s actually off. Flexible vacation, paid holidays, and a sabbatical program to help you recharge and come back inspired.
* Wellness for the whole you. Access to mental health resources, therapy and coaching.
* Invest in your future. A 401(k) with 100% employer match (up to $6,000/year) in the U.S., and support for retirement savings globally.
* Monthly stipends that flex with your life. Localized support for work and wellness expenses — from Wi\-Fi to workouts.
* Bonus for building together. All full\-time, permanent, non\-commission employees are eligible for our annual WIN bonus program.
*Temporary employees may be eligible for paid holiday and time off, statutory leaves of absence, and company\-sponsored medical benefits depending on their Fixed Term Contract and their country/state of employment.*
**Remote, together**
 At Webflow, equality is a core tenet of our culture. We are an Equal Opportunity (EEO)/Veterans/Disabled Employer and are committed to building an inclusive global team that represents a variety of backgrounds, perspectives, beliefs, and experiences. Employment decisions are made on the basis of job\-related criteria without regard to race, color, religion, sex, sexual orientation, gender identity, national origin, disability, veteran status, or any other classification protected by applicable law. Pursuant to the San Francisco Fair Chance Ordinance, Webflow will consider for employment qualified applicants with arrest and conviction records.
**Stay connected**
 Not ready to apply, but want to be part of the Webflow community? Consider following our story on our Webflow Blog, LinkedIn, X (Twitter), and/or Glassdoor.
**Please Note**
*We will ensure that individuals with disabilities are provided reasonable accommodation to participate in the job application or interview process, to perform essential job functions, and to receive other benefits and privileges of employment. Upon interview scheduling, instructions for confidential accommodation requests will be administered.*
*To join Webflow, you'll need a valid right to work authorization depending on the country of employment.*
*If you are extended an offer, that offer may be contingent upon your successful completion of a background check, which will be conducted in accordance with applicable laws. We may obtain one or more background screening reports about you, solely for employment purposes.*
*For information about how Webflow processes your personal information, please review* 
*Webflow’s Applicant Privacy Notice* 
*.*</t>
        </is>
      </c>
    </row>
    <row r="11">
      <c r="A11" t="inlineStr">
        <is>
          <t>li-4363287732</t>
        </is>
      </c>
      <c r="B11" t="inlineStr">
        <is>
          <t>Product Manager, Data Platform</t>
        </is>
      </c>
      <c r="C11" t="inlineStr">
        <is>
          <t>Chime</t>
        </is>
      </c>
      <c r="D11" t="inlineStr">
        <is>
          <t>linkedin</t>
        </is>
      </c>
      <c r="E11">
        <f>HYPERLINK("https://www.linkedin.com/jobs/view/4363287732", "https://www.linkedin.com/jobs/view/4363287732")</f>
        <v/>
      </c>
      <c r="F11" t="inlineStr"/>
      <c r="G11" t="inlineStr">
        <is>
          <t>San Francisco, CA</t>
        </is>
      </c>
      <c r="H11" t="inlineStr"/>
      <c r="I11" t="inlineStr">
        <is>
          <t>**About The Role**
 We’re hiring a
 **Data Platform Product Manager focused on Data Foundations \&amp; Insights** 
 to help Chime scale how data is built, accessed, and used across the company. In this role, you’ll partner closely with engineering, analytics, and cross\-functional teams to translate complex stakeholder needs into durable, scalable data products. You’ll act as an embedded product partner within XFN squads, owning data foundations that improve time\-to\-insight, self\-serve capabilities, and data trust as Chime continues to grow.
 The base salary offered for this role and level of experience will begin at $207,000\.00 and up to $244,000\.00\. Full\-time employees are also eligible for a bonus, competitive equity package, and benefits. The actual base salary offered may be higher, depending on your location, skills, qualifications, and experience.
 This role is in\-office in San Francisco Monday\-Thursday.
**In This Role, You Can Expect To**
* Own product strategy and execution for data foundations and insights supporting core products
* Partner closely with data engineering and analytics to build scalable, self\-serve data platforms and tooling
* Embed with cross\-functional squads as the data subject\-matter expert, translating stakeholder needs into scalable, reusable data products and data platform solutions
* Improve time\-to\-insight and data cycle time for business, product, and compliance use cases
* Drive stakeholder satisfaction by delivering reliable, well\-documented, and trusted data products
* Communicate effectively with both highly technical and non\-technical partners across the organization
**To Thrive In This Role, You Have**
* Product management experience owning platform, data, or analytics products in a complex organization
* Prior exposure to fintech, financial services, or highly regulated environments (preferred)
* Experience partnering closely with data engineering teams on foundations such as data models, pipelines, or metrics layers
* Comfort operating as an embedded PM within cross\-functional squads Strong ability to translate ambiguous stakeholder questions into scalable product solutions
* Experience supporting analytics, reporting, or insight\-generation use cases for multiple audiences
* Ability to communicate clearly across technical and business stakeholders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12">
      <c r="A12" t="inlineStr">
        <is>
          <t>li-4380258974</t>
        </is>
      </c>
      <c r="B12" t="inlineStr">
        <is>
          <t>Product Manager</t>
        </is>
      </c>
      <c r="C12" t="inlineStr">
        <is>
          <t>Crossley Scott</t>
        </is>
      </c>
      <c r="D12" t="inlineStr">
        <is>
          <t>linkedin</t>
        </is>
      </c>
      <c r="E12">
        <f>HYPERLINK("https://www.linkedin.com/jobs/view/4380258974", "https://www.linkedin.com/jobs/view/4380258974")</f>
        <v/>
      </c>
      <c r="F12" t="inlineStr"/>
      <c r="G12" t="inlineStr"/>
      <c r="H12" t="inlineStr"/>
      <c r="I12" t="inlineStr">
        <is>
          <t>**About the Role:** 
 We are seeking a
 **mid\-level Product Manager** 
 with a strong understanding of
 **LV switchboards, UPS systems, busways, and power distribution equipment** 
 . This role is ideal for candidates with up to
 **10 years of experience** 
 in electrical products or power systems, looking to transition into or grow within a product management career. You will own the strategy, development, and lifecycle of key electrical products, ensuring they meet customer needs and market demands.
**Key Responsibilities:** 
* Define product strategy, roadmap, and vision for
 **LV switchboards, UPS, busway, and related power distribution equipment** 
 .
* Collaborate with engineering, operations, sales, and marketing teams to deliver products that meet customer requirements.
* Gather and prioritize product requirements based on market trends, customer feedback, and competitive analysis.
* Drive the end\-to\-end product lifecycle, including specification, design, launch, and continuous improvement.
* Monitor product performance, identify opportunities for innovation, and ensure compliance with industry standards.
* Support sales and marketing teams with technical expertise and product positioning.
**Required Skills \&amp; Experience:** 
* Up to
 **10 years of experience** 
 in electrical products, power distribution systems, or related technical fields.
* Strong understanding of
 **LV switchboards, UPS systems, busways, and electrical distribution equipment** 
 .
* Experience with
 **product lifecycle management, roadmaps, or product development processes** 
 .
* Ability to translate technical requirements into actionable product strategies.
* Excellent communication, collaboration, and stakeholder management skills.
**Desirable Skills:** 
* Experience in
 **industrial or commercial electrical markets** 
 .
* Familiarity with
 **standards, certifications, and regulatory requirements** 
 for electrical products.
* Experience with
 **EPC or B2B sales environments** 
 .</t>
        </is>
      </c>
    </row>
    <row r="13">
      <c r="A13" t="inlineStr">
        <is>
          <t>li-4311135760</t>
        </is>
      </c>
      <c r="B13" t="inlineStr">
        <is>
          <t>Senior Product Manager</t>
        </is>
      </c>
      <c r="C13" t="inlineStr">
        <is>
          <t>EarnIn</t>
        </is>
      </c>
      <c r="D13" t="inlineStr">
        <is>
          <t>linkedin</t>
        </is>
      </c>
      <c r="E13">
        <f>HYPERLINK("https://www.linkedin.com/jobs/view/4311135760", "https://www.linkedin.com/jobs/view/4311135760")</f>
        <v/>
      </c>
      <c r="F13" t="inlineStr"/>
      <c r="G13" t="inlineStr">
        <is>
          <t>Mountain View, CA</t>
        </is>
      </c>
      <c r="H13" t="inlineStr"/>
      <c r="I13"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product leader to lead our efforts for Early Pay. This unique product enables customers to turbo\-charge their existing bank account by posting their paycheck (and other credits) early. With Early Pay and the EarnIn card, customers can also opt to further enhance their payment experience through real\-time access to earned but not yet paid wages.
 This is a Mountain View\-based position requiring in\-office work 2\-3 days a week. The Mountain View base salary range for this full\-time position is $206,280 \- $252,120, plus equity and benefits. Our salary ranges are determined by role, level, and location.
**WHAT YOU'LL DO** 
* Shape the vision for a new product area. Communicate your product vision, roadmap, and results to your team, stakeholders, including the executive team, and our customers.
* Lead a diverse team of engineers, designers, and data analysts to create and scale impactful experiences for our customers.
* Own a business area end\-to\-end and drive financial and customer results.
* Create a fast\-paced environment facilitating product iterations and growth.
* Lead a cross\-functional team of engineers, designers, and data analysts to build and scale your products
**WHAT WE'RE LOOKING FOR** 
* 4\+ years of product management at a consumer technology product company
* Strong technical background, preferably with a background in payroll software and financial services
* Strong analytical skills in leveraging data to drive product decisions and improve metrics
* Strong product/design sense developed by shipping delightful and innovative products
* Exceptional communication skills to engage with executive leadership and key stakeholders.
* Deep user empathy and experience in building products based on user needs
* Ability to think outside the box to solve complex problems with creative and radical ideas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14">
      <c r="A14" t="inlineStr">
        <is>
          <t>li-4380441709</t>
        </is>
      </c>
      <c r="B14" t="inlineStr">
        <is>
          <t>Product Manager</t>
        </is>
      </c>
      <c r="C14" t="inlineStr">
        <is>
          <t>TekDoors Inc.</t>
        </is>
      </c>
      <c r="D14" t="inlineStr">
        <is>
          <t>linkedin</t>
        </is>
      </c>
      <c r="E14">
        <f>HYPERLINK("https://www.linkedin.com/jobs/view/4380441709", "https://www.linkedin.com/jobs/view/4380441709")</f>
        <v/>
      </c>
      <c r="F14" t="inlineStr"/>
      <c r="G14" t="inlineStr">
        <is>
          <t>Salt Lake City, UT</t>
        </is>
      </c>
      <c r="H14" t="inlineStr"/>
      <c r="I14" t="inlineStr">
        <is>
          <t>**Job Title: Product Manager / Business Analyst** 
**Location: Salt Lake City, UT** 
**Duration: 12 Months** 
**Job Summary:** 
 We are looking for a Product Manager / Business Analyst with experience working in an
 **ELTA (Extract, Load, Transform, Analyze)** 
 environment. The candidate should have strong exposure to
 **data analytics, data engineering** 
 processes, and API\-driven systems, with the ability to manage transitions and process improvements.
**Required Skills:** 
 • 5–6 years of experience as a
 **Product Manager or Business Analyst.** 
 • Experience working in
 **data engineering / analytics\-driven environments.** 
 • Strong understanding of
 **ELTA** 
 processes and data pipelines.
 • Solid
 **SQL** 
 knowledge.
 • Good understanding of
 **APIs** 
 and system integrations.
 • Experience managing transitions (system/process/data migration).
**Key Responsibilities:** 
 • Work closely with data engineering teams to define product requirements.
 • Understand and manage ELTA/data pipeline workflows.
 • Drive requirement gathering, documentation, and process mapping.
 • Translate business needs into technical specifications.
 • Support data transition initiatives and system/process improvements.
 • Collaborate with stakeholders across product, engineering, and analytics teams.
 • Perform data validation and basic SQL\-based analysis.</t>
        </is>
      </c>
    </row>
    <row r="15">
      <c r="A15" t="inlineStr">
        <is>
          <t>li-4354227122</t>
        </is>
      </c>
      <c r="B15" t="inlineStr">
        <is>
          <t>Product Manager, Trusted Execution Environments (Ads Platform)</t>
        </is>
      </c>
      <c r="C15" t="inlineStr">
        <is>
          <t>Netflix</t>
        </is>
      </c>
      <c r="D15" t="inlineStr">
        <is>
          <t>linkedin</t>
        </is>
      </c>
      <c r="E15">
        <f>HYPERLINK("https://www.linkedin.com/jobs/view/4354227122", "https://www.linkedin.com/jobs/view/4354227122")</f>
        <v/>
      </c>
      <c r="F15">
        <f>HYPERLINK("https://explore.jobs.netflix.net/careers/job/790313321251?microsite=netflix.com&amp;utm_source=LinkedIn&amp;domain=netflix.com&amp;urlHash=GEUt", "https://explore.jobs.netflix.net/careers/job/790313321251?microsite=netflix.com&amp;utm_source=LinkedIn&amp;domain=netflix.com&amp;urlHash=GEUt")</f>
        <v/>
      </c>
      <c r="G15" t="inlineStr">
        <is>
          <t>New York, NY</t>
        </is>
      </c>
      <c r="H15" t="inlineStr"/>
      <c r="I1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recently launched a new ad\-supported tier to offer our members with more choice in how they consume their content. Our new tier allows us to attract new members at a lower price point, while also creating a compelling path for advertisers to reach audiences that are deeply immersed.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be responsible for building a new foundational technology that connects systems across Netflix Ads. We are seeking a visionary to lead the development and management of our Trusted Execution Environment (TEE) infrastructure for Ads. This role enables confidential compute for sensitive, multi\-party workloads (especially where Netflix and partner data must be jointly processed) while preserving privacy, integrity, and auditability.
 This means building for other builders; laying the foundations for our stunning colleagues across engineering, product, data science, measurement, audience, identity, and ad serving. TEEs will work hand\-in\-hand with our Data Clean Room infrastructure; leveraging both to deliver privacy\-preserving joins and computation with verifiable assurances.
**This PM Will**
* Define and drive the product vision and roadmap for Ads TEE Infrastructure, making privacy\-preserving compute accessible to internal teams and repeatable across partners.
* Deliver a platform (APIs, SDKs, templates) that supports attested, encrypted\-in\-use computation for common Ads workloads without bespoke engineering for each integration.
* Partner closely with Data Clean Room infrastructure to design complementary flows where data preparation and governance occur in Clean Rooms and sensitive realtime computation/inference executes in TEEs.
* Collaborate with Security, Privacy, Legal, and partner technology teams to establish joint execution protocols, attestations, and evidence capture that meet contractual and regulatory requirements.
* Provide first\-class developer experience: job templates, declarative specs, workflow integration, observability, and clear guidance on cost\-to\-assurance tradeoffs and performance tuning.
* Integrate with core data and compute planes (e.g., Snowflake, S3/GCS, Kafka, Spark/Flink) with robust identity, RBAC/ABAC, per\-tenant isolation, and secure IO patterns.
* Define and track success metrics such as number of secure jobs executed, time\-to\-attest, partner adoption, and evidence quality; iterate quickly based on data and feedback.
* Serve as connective tissue across Ads Data Science, Measurement, Audience, Identity, Ad Serving/Decisioning, and Partner Solutions to unblock high\-impact use cases.
**We’re Seeking a Candidate Who Has**
* Experience: 10\+ years of Product Management/Engineering experience with a proven track record of launching and scaling foundational, security\-critical platforms; experience in confidential computing or privacy\-preserving technologies. Experience in advertising technology or data products is a strong plus, especially where handling sensitive advertiser/partner/member data is required.
* Domain Awareness: Familiarity with advertising data workflows and controls across publishers, advertisers, and measurement partners. e.g., data minimization, purpose limitation, data retention policies, seeded audience joins, measurement signal handling, and contractual/usage constraints. Publisher\-side experience preferred; demand\-side experience also valuable.
* Visionary Leadership: Ability to deliver a comprehensive roadmap and vision for TEE\-backed, multi\-party compute that supports diverse internal teams and external partners.
* Technical Acumen: Deep understanding of TEEs and adjacent privacy tech (e.g., AWS Nitro Enclaves, GCP Confidential Computing, Azure SEV\-SNP; knowledge of SGX/SEV/ARM CCA helpful), secure software supply chain (signed artifacts, SBOMs), attestation, key management, and encrypted data\-in\-use.
* Adversarial Mindset: Familiarity with the adversarial nature of partner integrations and the controls required to mitigate misuse in advertising contexts (e.g., inference attacks, data leakage, cross\-tenant contamination, reconstruction risks); strong instincts for auditability and evidence.
* Domain Awareness: Knowledge of advertising\-oriented data workflows; publisher\-side experience preferred, demand\-side experience also valuable.
* Collaborative Skills: Proven experience working with cross\-functional teams, including Security, Privacy, Legal, Data Science, Engineering, and external partner technology/security teams.
* Regulatory Knowledge: Familiarity with legal compliance and the evolving landscape of data privacy and advertising regulations worldwide.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6">
      <c r="A16" t="inlineStr">
        <is>
          <t>li-4343200953</t>
        </is>
      </c>
      <c r="B16" t="inlineStr">
        <is>
          <t>Senior Product Manager, Agentic AI &amp; Experience</t>
        </is>
      </c>
      <c r="C16" t="inlineStr">
        <is>
          <t>Zillow</t>
        </is>
      </c>
      <c r="D16" t="inlineStr">
        <is>
          <t>linkedin</t>
        </is>
      </c>
      <c r="E16">
        <f>HYPERLINK("https://www.linkedin.com/jobs/view/4343200953", "https://www.linkedin.com/jobs/view/4343200953")</f>
        <v/>
      </c>
      <c r="F16" t="inlineStr"/>
      <c r="G16" t="inlineStr"/>
      <c r="H16" t="inlineStr"/>
      <c r="I16" t="inlineStr">
        <is>
          <t>**About The Team**
 Eager to reinvent the way people find their next home? Zillow’s Agentic AI \&amp; Experience team is responsible for developing novel, agentic experiences and capabilities that reshape what it looks like to find and secure a home. Our goal is to reinvent home buying and renting through highly personalized, seamless journeys that are augmented with timely insights, guided actions, and rich content that help customers move forward with confidence.
 We build on a deep quantitative and qualitative understanding of our customers and the marketplace to rapidly test, iterate, and launch new experiences on the United States’ largest online real estate marketplace. Our team of applied scientists, engineers, designers, researchers, and product managers partners closely with teams across Zillow to deliver highly tailored, trusted, and increasingly agentic experiences for millions of customers.
**About The Role**
 We’re looking for a Senior Product Manager who is a full\-stack experience builder: sharp product instinct, deep technical and AI fluency, and strong design sense. You’re comfortable taking ideas from a whiteboard to a working product in weeks, not quarters \- rapidly prototyping, validating with customers and data, and then hardening the strongest bets into durable, production experiences.
 In this role, you will shape how we explore and define the ways agentic AI reshapes buying and renting. You’ll frame hypotheses about how agentic experiences should work, design experiments to test those hypotheses, and translate what we learn into new interaction patterns. You’ll use prototypes, rapid user testing, internal dogfooding, and live experiments to explore what an agentic home shopping journey looks like, then turn those learnings into coherent end\-to\-end experiences that help people explore homes, understand their options, and decide what to do next.
 Your focus will be on forward\-looking bets: exploring ambiguous problem spaces, running 0→1 experiments, and maturing them into clear patterns and requirements that other teams can scale and iterate on. You’ll stay involved as those experiences move into production to help with first launches and ensure the patterns land as intended, while keeping your center of gravity on learning, defining the patterns, and proving what good looks like. You’ll define product strategy, lead execution, and work side\-by\-side with Design, Engineering, and Applied Science to translate cutting\-edge AI capabilities into clear, intuitive, and reliable customer experiences at scale.
 You Will Get To
* Lead 0→1 AI products from ambiguity to real\-world testing – frame problems, define hypotheses, and drive fast build–measure–learn cycles, creating rapid, functional prototypes and using AI as a power tool to explore multiple experience directions, then using what you learn to sharpen product direction and move faster toward the right decisions.
* Design novel agentic experiences that transform today’s linear workflows into native, AI\-driven journeys – using planning, tool use, and memory to guide customers, not just answer questions.
* Partner deeply with engineers, designers, applied scientists, and researchers to explore solution spaces, co\-create prototypes, and iterate quickly based on real customer behavior and feedback.
* Own metrics, experimentation, and evaluation for your areas, defining success criteria, instrumenting experiences, designing A/B tests, and combining offline metrics, human\-in\-the\-loop review, and online experiments to understand quality, safety, and business impact.
* Drive productionization of successful prototypes, specifying requirements for reliability, observability, latency, cost, and failure modes in close collaboration with engineering leads.
* Lead cross\-functional alignment and responsible AI practices, pulling teams around a clear vision and roadmap, aligning executives and partner teams on priorities and tradeoffs, and addressing data privacy, bias mitigation, and fair housing considerations as we design, evaluate, and deploy AI experiences.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in a product management role leading consumer experiences end\-to\-end, including multiple new product launches and scaled iterations.
* Strong AI product fluency and curiosity about emerging, state\-of\-the\-art tech, with an understanding of modern AI capabilities (especially large language models and agentic patterns like reasoning, planning, tool use, and memory), their limitations, and how to productize them responsibly. You have a track record of using new capabilities to materially define or change product direction or strategy.
* Proven 0→1 builder who is deeply customer\-centered – comfortable moving from problem framing to live product quickly, leading ambiguous efforts, and shipping iterative prototypes that learn from real usage, while regularly using qualitative and quantitative insights to understand behavior, uncover needs, and translate them into clear product opportunities and requirements.
* Hands\-on with prototyping, AI tools, data, and experimentation, creating rapid, often functional prototypes; using AI as a power tool to explore experience directions (flows, UX copy, stress tests, lightweight comps); and defining metrics, instrumentation, A/B tests, and human\-in\-the\-loop evaluations to assess AI quality, safety, and impact.
* Strategic thinker, roadmap owner, and technically conversant cross\-functional leader, capable of defining a vision for your area, connecting it to company strategy, sequencing work to deliver value and mitigate risk, and working with APIs, data pipelines, and reliability/performance constraints while aligning engineers, scientists, designers, researchers, and partner PMs around clear plans and explaining complex ideas in plain language to both executives and technical audiences.
* Champion of responsible AI, with experience or strong interest in working through topics such as safety, privacy, bias mitigation, and compliance (ideally including or adjacent to fair housing constraints).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7">
      <c r="A17" t="inlineStr">
        <is>
          <t>li-4381994216</t>
        </is>
      </c>
      <c r="B17" t="inlineStr">
        <is>
          <t>Product Manager</t>
        </is>
      </c>
      <c r="C17" t="inlineStr">
        <is>
          <t>Walgreens</t>
        </is>
      </c>
      <c r="D17" t="inlineStr">
        <is>
          <t>linkedin</t>
        </is>
      </c>
      <c r="E17">
        <f>HYPERLINK("https://www.linkedin.com/jobs/view/4381994216", "https://www.linkedin.com/jobs/view/4381994216")</f>
        <v/>
      </c>
      <c r="F17">
        <f>HYPERLINK("https://jobs.walgreens.com/en/job/-/-/1242/92424810448?codes=LinkedIn&amp;urlHash=Dye0", "https://jobs.walgreens.com/en/job/-/-/1242/92424810448?codes=LinkedIn&amp;urlHash=Dye0")</f>
        <v/>
      </c>
      <c r="G17" t="inlineStr">
        <is>
          <t>Deerfield, IL</t>
        </is>
      </c>
      <c r="H17" t="inlineStr"/>
      <c r="I17" t="inlineStr">
        <is>
          <t>**Job Summary**
 The Product Manager is responsible for the development and management of product initiatives, driving business impact and enhancing customer experiences. This role is the main point of contact for a product area, owns product roadmaps and oversees product operations within a product area. This role collaborates closely with IT, engineering, design, and business teams to define product requirements, prioritize the backlog, and ensure execution of product roadmaps. Owns some components of the product lifecycle from ideation to launch, ensuring alignment with company goals and customer needs.
**Job Responsibilities**
* Responsible for supporting product management activities for one or more products. Has full product management accountability for products or product enhancements. Conducts technical and market research to support product managers.
* Develops and maintains the product and feature roadmap for assigned area.
* Identifies and resolves issues for assigned product area that may impair the team’s ability to meet goals.
* Works closely with the engineering technology team and user interface designers to define detailed key product requirements.
* Identifies and quantifies the customer segments with strong growth potential, creating the business case for targeting. Coordinates the work of cross\-functional teams. Manages the ROI to ensure benefits outweigh costs to move forward into execution.
* Measures and analyzes impact of existing functionality and growth initiatives.
* Identifies opportunities to innovate and improve, providing additional benefits to the customer.
* Builds strong internal cross\-functional relationships to drive implementation and goals.
* Conducts business and financial analysis, including forecasting, monitoring and reporting.
* Identifies industry best practices and builds vendor relationships. Understands how technology advancements drive sales and increase customer satisfaction.
**About Walgreens**
 Founded in 1901, Walgreens (www.walgreens.com) has a storied heritage of caring for communities for generations, and proudly serves nearly 9 million customers and patients each day across its approximately 8,500 stores throughout the U.S. and Puerto Rico, and leading omni\-channel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
**Basic Qualifications**
* Bachelor’s degree and at least 2 years of product management experience in on\-line technology OR High School/GED and at least 4 years of product management experience in digital technology.
* At least 1 year experience in consumer\-facing online commerce
* At least 1 year experience in product marketing, product/program management, business development, and/or management consulting
* Experience working with product development lifecycle.
* Experience developing and delivering presentations to various audience levels within an organization.
* Experience analyzing and reporting data in order to identify issues, trends, or exceptions to drive improvement of results and find solutions.
* At least 1 year of direct leadership, indirect leadership and/or cross\-functional team leadership.
* Willing to travel up to/at least 10% of the time for business purposes (within state and out of state).
**Preferred Qualifications**
* Experience in retail industry, preferred. Pharmacy or Healthcare industry is a plus.
* Experience collaborating with cross functional team to develop strategies that meet department goals within budget and established timelines.
* Experience identifying operational issues and recommending and implementing strategies to resolve problems.
 We will consider employment of qualified applicants with arrest and conviction records.
**Salary Range:** 
 $102800 \- $164400 / Salaried</t>
        </is>
      </c>
    </row>
    <row r="18">
      <c r="A18" t="inlineStr">
        <is>
          <t>li-4365420057</t>
        </is>
      </c>
      <c r="B18" t="inlineStr">
        <is>
          <t>Senior Technical Product Manager</t>
        </is>
      </c>
      <c r="C18" t="inlineStr">
        <is>
          <t>Patagonia</t>
        </is>
      </c>
      <c r="D18" t="inlineStr">
        <is>
          <t>linkedin</t>
        </is>
      </c>
      <c r="E18">
        <f>HYPERLINK("https://www.linkedin.com/jobs/view/4365420057", "https://www.linkedin.com/jobs/view/4365420057")</f>
        <v/>
      </c>
      <c r="F18">
        <f>HYPERLINK("https://careers.patagonia.com/us/en/job/PATPATUSJOBREQ11193EXTERNALENUS/Senior-Technical-Product-Manager?utm_source=linkedin&amp;utm_medium=phenom-feeds&amp;source=LinkedIn&amp;urlHash=6OoY", "https://careers.patagonia.com/us/en/job/PATPATUSJOBREQ11193EXTERNALENUS/Senior-Technical-Product-Manager?utm_source=linkedin&amp;utm_medium=phenom-feeds&amp;source=LinkedIn&amp;urlHash=6OoY")</f>
        <v/>
      </c>
      <c r="G18" t="inlineStr">
        <is>
          <t>Ventura, CA</t>
        </is>
      </c>
      <c r="H18" t="inlineStr"/>
      <c r="I18" t="inlineStr">
        <is>
          <t>**Role:** 
 Senior Technical Product Manager
**Team:** 
 Product Technology
**Scope:** 
 Individual Contributor, P4
**Years of Experience:** 
 6\+
**Location:** 
 Ventura, CA / Hybrid
 Patagonia is in business to Save Our Home Planet! Product lies at the core of Patagonia’s mission. Delivering the best performing, highest quality, most durable, and most responsible products fuels everything that we do. Technology is a key enabler to this mission. To advance our agenda, we are hiring a Senior Technical Product Manager within the Product Technology team, reporting directly to the Senior Director of Product Technology. This role is instrumental in leading cross\-team initiatives by shaping strategy, managing product roadmaps, and aligning technical and stakeholder priorities, serving Business Units, Product Creation, Marketing, Footprint, Creative, Innovation, and Strategy and additional company stakeholders. We seek candidates who are passionate about building effective and delightful technology products, and who share a passion for Patagonia’s mission, values, activities, and the communities we serve.
**What You’ll Do**
* Vision \&amp; Roadmaps: Lead the creation, prioritization, and execution of integrated product roadmaps and strategies, aligning cross\-functional partners against Patagonia’s strategic, Technology, and Product goals and milestones.
* Delivery and Execution: Drive collaborative development and delivery of complex technology solutions to deliver key business outcomes, resolving dependencies and risks, and enabling creativity and innovation
* Analysis and Measurement: Gather and analyze qualitative and quantitative data to develop business cases, establish KPIs, and continuously monitor and improve product performance and user experience.
* User\-Centricity: Champion a user\-centric approach by deeply understanding user processes and needs, ensuring strong adoption and continuous improvement through authentic feedback and data\-driven enhancements.
* Relationships and Trust: Foster alignment, trust, and transparent communication among stakeholders, building an empathetic and engaged environment across teams and leadership.
* Competitive Landscape: Monitor the competitive landscape to anticipate industry shifts, positioning Patagonia for emerging opportunities and mitigating risks through strategic planning and execution.
* Technical Expertise: Leverage deep technical and industry expertise to champion innovation, quality, and impact, ensuring all product and technology solutions support both business objectives and Patagonia’s environmental mission.
**Who You Are**
* Strategic: Translates complex information into actionable plans.
* Curious: Proactively seeks insights by asking thoughtful questions and conducting research and analysis.
* Collaborator: Fosters strong relationships and teamwork through a positive attitude, humility, and clear, empathetic communication.
* Driven: Results\-oriented, seeks greater good, and leads diverse teams to achieve tangible outcomes
* Technical: Applies strong technical expertise to effectively partner with cross\-functional teams on product strategies and execution.
* Self\-Reflective: Embraces feedback and data to drive market\-fit products and measurable outcomes.
* Agile: Adapts quickly, balances big\-picture vision with detail, and delivers results using iterative, innovative approaches.
* Purpose\-Driven: Champions environmental and social responsibility by streamlining processes and developing high\-quality, impactful products.
**Experience You Bring**
* Bachelor’s degree in Computer Science, Engineering, Business, or a related field
* 6\+ years of technical product or program management experience in consumer product, retail, or e\-commerce, including at least two years in a senior or lead role.
* Proven success in defining, developing, launching, and maintaining technology products, solutions, or platforms.
* Extensive collaboration with cross\-functional teams, managing product roadmaps, stakeholder alignment, and deliveries across multiple products or platforms.
* Familiarity with technical architecture, APIs, and integration with corporate systems such as ERP and CRM.
* Demonstrated analytical skills and a consistent record of data\-driven decision\-making.
* Expertise in both foundational (PLM, VLP) and emerging (digital product creation, AI, AR/VR) fashion/retail technologies.
* Experience with digital transformation initiatives and user experience (UX) design, including user journey mapping.
**Hiring range:** 
 $150,000\-$180,000 USD Annual
 At Patagonia, pay ranges are assigned to a job based on the location specific market median of similar jobs according to 3rd party salary benchmark surveys. Individual pay within that range can vary for several reasons including skills/capabilities, experience, and available budget. Note the full pay range for this role ranges from: $127,000 \- $191,000 USD Annual. The Hiring Range reflects where in the range we intend to hire for this role.
**Benefits**
 Patagonia offers a comprehensive benefits package, including medical, dental, vision, retirement and leave of absence plans. Benefit plans may vary slightly depending on the nature of your employment.
**Workplace Location Overview**
 This position is
 **Hybrid** 
 , with a standard schedule of
 **Tuesday \- Thursday** 
 on\-site and remote work on other days. Occasional additional office visits may be required for team events or critical meetings.
**Employee Conduct**
 It is the responsibility of every employee to contribute to a positive, inclusive work environment through cooperative and professional interactions with co\-workers, customers and vendors.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t>
        </is>
      </c>
    </row>
    <row r="19">
      <c r="A19" t="inlineStr">
        <is>
          <t>li-4382114552</t>
        </is>
      </c>
      <c r="B19" t="inlineStr">
        <is>
          <t>Senior Product Manager – Digital Commerce</t>
        </is>
      </c>
      <c r="C19" t="inlineStr">
        <is>
          <t>VRIZE</t>
        </is>
      </c>
      <c r="D19" t="inlineStr">
        <is>
          <t>linkedin</t>
        </is>
      </c>
      <c r="E19">
        <f>HYPERLINK("https://www.linkedin.com/jobs/view/4382114552", "https://www.linkedin.com/jobs/view/4382114552")</f>
        <v/>
      </c>
      <c r="F19" t="inlineStr"/>
      <c r="G19" t="inlineStr"/>
      <c r="H19" t="inlineStr"/>
      <c r="I19" t="inlineStr">
        <is>
          <t>**About the Role** 
 VRIZE is seeking a highly experienced Senior Product Manager with deep expertise in retail digital commerce platforms to lead strategic product initiatives for a major retail client. This is a high\-impact role responsible for shaping the future of digital commerce capabilities within a fast\-evolving retail ecosystem.
 In this role, you will drive product strategy, roadmap execution, and cross\-functional alignment across critical commerce capabilities including marketplace integrations, Product Detail Pages (PDP), product feeds, inventory availability, and digital merchandising experiences.
 The ideal candidate brings strong expertise in retail eCommerce ecosystems, product data and marketplace integrations, and product discovery experiences, along with the leadership skills required to partner with business, merchandising, and engineering teams to deliver scalable digital commerce solutions that power growth and elevate the customer experience.
**Key Responsibilities** 
* Define and drive the product vision, strategy, and roadmap for key retail digital commerce capabilities, aligning initiatives with business objectives, customer experience goals, and digital commerce strategy.
* Lead product initiatives related to marketplace integrations, product feed management, and product data flows across catalog systems, marketplaces, inventory platforms, and digital storefronts.
* Drive enhancements to Product Detail Page (PDP) experiences, product discovery, and digital merchandising to improve product presentation, engagement, and conversion.
* Support personalized merchandising and AI\-driven product experiences, including integration and optimization of third\-party recommendation platforms (e.g., Stylitics).
* Partner with business, merchandising, engineering, and data teams to align requirements, facilitate product discovery, and coordinate execution across stakeholders.
* Translate strategic initiatives into product requirements, epics, and user stories while working with Agile engineering teams to deliver product capabilities.
* Define and monitor product KPIs, using analytics and data insights to evaluate performance and identify opportunities to improve discoverability, customer experience, and conversion.
**Required Skills \&amp; Experience** 
* 10\+ years in Product Management within retail or digital commerce.
* Experience leading enterprise\-scale digital product strategy and roadmaps in Agile environments.
* Strong knowledge of retail eCommerce ecosystems, including product catalogs, merchandising, and product discovery.
* Experience with marketplace integrations, product feed management, and product data flows across catalog and storefront systems.
* Expertise in Product Detail Page (PDP) optimization and digital merchandising.
* Familiarity with APIs, microservices, and modern digital commerce platforms.
* Experience with third\-party merchandising or recommendation platforms.
**Preferred Qualifications** 
* Experience with AI\-driven product recommendations or personalization platforms
* Knowledge of retail marketplace ecosystems and third\-party commerce integrations
* Experience supporting large\-scale retail digital transformation initiatives
**Tools, Methodologies \&amp; Leadership Skills** 
* Experience working in Agile / Scrum product development environments and managing product backlogs, epics, and release planning
* Familiarity with product management tools such as JIRA, Confluence, or similar platforms
* Strong stakeholder management and cross\-functional collaboration across business, engineering, and product teams
* Excellent communication, presentation, analytical, and problem\-solving skills
* Ability to influence decisions and align business and technology stakeholders
**Perks \&amp; Benefits** 
* Competitive salary with performance bonuses
* Opportunity to lead high\-impact digital commerce initiatives for a major retail client
* Remote\-first work environment with flexible scheduling
* Health, dental, and vision coverage
* Collaborative, fast\-growing consulting environment
**About VRIZE INC** 
 VRIZE is a Global Digital \&amp; Data Engineering company, committed to delivering end\-to\-end Digital solutions and services to its customers worldwide. We offer business\-friendly solutions across industry verticals that include Banking, Financial Services, Healthcare \&amp; Insurance, Manufacturing, and Retail. The company has strategic business alliances with industry leaders such as Adobe, IBM Sterling Commerce, IBM, Microsoft, Docker, Sisense, Competera, Snowflake, and Tableau.
 VRIZE is headquartered out of Tampa (Florida) with a team size of 410 employees globally, currently, 100% of the clients undertaken are in the United States. Delivery centers are distributed in the US, Canada, Serbia, and India. Having stellar growth and future projections of 100% YOY for the last 3 years, the company has been successfully addressing its clients’ digital disruption needs. Our continued success depends to a large extent on our ability to remain at the forefront of disruptive developments in the field of information technology and leaders/team members joining the force are expected to replicate the same.
 VRIZE is an equal\-opportunity employer. Qualified applicants will receive consideration for employment without regard to race, color, religion, sex, marital status, age, national origin, ancestry, disability, medical condition, pregnancy, genetic information, gender, sexual orientation, gender identity or expression, veteran status, or any other status protected under federal, state, or local law. Individuals with disabilities are provided reasonable accommodation.</t>
        </is>
      </c>
    </row>
    <row r="20">
      <c r="A20" t="inlineStr">
        <is>
          <t>li-4381035520</t>
        </is>
      </c>
      <c r="B20" t="inlineStr">
        <is>
          <t>Senior Product Manager, Fulfillment (Remote)</t>
        </is>
      </c>
      <c r="C20" t="inlineStr">
        <is>
          <t>ezCater</t>
        </is>
      </c>
      <c r="D20" t="inlineStr">
        <is>
          <t>linkedin</t>
        </is>
      </c>
      <c r="E20">
        <f>HYPERLINK("https://www.linkedin.com/jobs/view/4381035520", "https://www.linkedin.com/jobs/view/4381035520")</f>
        <v/>
      </c>
      <c r="F20">
        <f>HYPERLINK("https://job-boards.greenhouse.io/ezcaterinc/jobs/5070754007?gh_src=a882cb547us&amp;urlHash=Ek8r", "https://job-boards.greenhouse.io/ezcaterinc/jobs/5070754007?gh_src=a882cb547us&amp;urlHash=Ek8r")</f>
        <v/>
      </c>
      <c r="G20" t="inlineStr"/>
      <c r="H20" t="inlineStr"/>
      <c r="I20" t="inlineStr">
        <is>
          <t>ezCater is the leading food for work technology company in the US, connecting anyone who needs food for their workplace to over 100,000 restaurants nationwide. For workplaces, ezCater provides flexible and scalable solutions for everything from recurring employee meals to one\-off meetings, all backed by 24/7 customer service with real humans. ezCater also enables companies to manage their food spend in a single, customizable platform. For restaurant partners, ezCater helps them grow their business by bringing them more orders and new high\-value customers. We're backed by top investors including Insight, Iconiq, Lightspeed, GIC, SoftBank, and Quadrille.
 The Product Management team is looking for an experienced Senior Product Manager to focus on the ezCater restaurant partner Fulfillment Experience. In this position, you will build best\-in\-class tools and reporting to allow our restaurant partners to effectively and efficiently fulfill ezCater orders and create a great customer experience. You will partner with the engineering, user experience design, and research teams to understand the operations of our restaurant partners and ensure that we have the capabilities to fit seamlessly into their processes.
**What You'll Do**
* Drive the vision and develop a roadmap for the fulfilment platform for our restaurant partners.
* Ensure that our partners have the data and tools they need to complete ezCater orders
* Develop internal tools to ensure our team can effectively support our partners during the fulfillment experience
* Leverage ML and AI to optimize the fulfilment process and identify orders that may be at risk
* Tell a compelling story using research and data to evangelize the roadmap and vision.
* Build deep empathy for ezCater partners and become their biggest champion.
* Lead product initiatives and work collaboratively across a cross\-functional team including Design, Research, Engineering, Data Analysis, and other Product Managers to define, prioritize, and build new functionalities and improved restaurant partner experiences.
* Continuously identify areas for innovation and improvement, and implement strategies to keep us ahead, ensuring our marketplace delivers an unparalleled user experience.
* Create and monitor the ongoing metrics that measure and define success.
* Travel to Boston quarterly for planning and business reviews
* Have fun building impactful software with awesome people.
**What You Have**
* 5\+ years of product management experience, ideally with marketplace experience.
* Experience designing and implementing solutions focused on logistics and operational efficiency
* Proven experience innovating on behalf of customers. You're not just about maintaining the status quo \- you strive to understand what customers truly need and find creative solutions.
* Deep analytic ability, comfort working with and manipulating data, building hypotheses to inform innovative solutions.
* Strong teamwork and collaboration skills; you’re happy spending much of your day collaborating with team members in different functional areas.
*The national total target* 
*cash compensation range for this position, including base salary and bonus target, is $161,000 \- $213,000 annually.\**
* Please note: Final offer amounts are determined by multiple factors, including prior experience, expertise and region \&amp; may vary from the amount above. This range does not represent additional compensation benefits (such as equity, 401K or medical, dental or vision insurance).
***Please have fun with the Cover Letter portion of the application!***
 It does not need to follow “traditional” cover letter guidelines \- we would love for you to write 150\-500 words explaining why you are interested in ezCater and the role, and highlighting anything else you think we should know!
 ezCater does not sponsor applicants for work visas or legal permanent residence.
**What You’ll Get From Us**
 You’ll get a terrifically compelling experience in an innovative, high performing environment. You’ll get to work with engaged and passionate colleagues on challenging and impactful projects. You will have opportunities to grow in your career, and work in a place that values work/life harmony.
 Oh, and you’ll get all this: Market competitive salary, stock options that you’ll help make worth a lot, 12 paid holidays, flexible PTO, 401K with ezCater match, health/dental/FSA, long\-term disability insurance, mental health and family planning resources, remote\-hybrid work from our awesome Boston office OR your home OR a mixture of both home and office, a tremendous amount of responsibility and autonomy, wicked awesome co\-workers, Relish (and many more goodies) when you’re in our office, and knowing that you helped transform the food for work space.
 ezCater is an equal opportunity employer. We embrace humans of every background, appearance, race, religion, color, national origin, gender, gender identity, sexual orientation, age, marital status, veteran status, and disability status. At the same time, we do not employ jerks, even brilliant ones. Following a conditional offer of employment, ezCater may require a background check.
 For information on how ezCater collects and uses job applicants' personal information, please visit our Job Applicant Privacy Policy.
 \#BI\-Remote</t>
        </is>
      </c>
    </row>
    <row r="21">
      <c r="A21" t="inlineStr">
        <is>
          <t>li-4379186469</t>
        </is>
      </c>
      <c r="B21" t="inlineStr">
        <is>
          <t>Sr Product Manager</t>
        </is>
      </c>
      <c r="C21" t="inlineStr">
        <is>
          <t>The Walt Disney Company</t>
        </is>
      </c>
      <c r="D21" t="inlineStr">
        <is>
          <t>linkedin</t>
        </is>
      </c>
      <c r="E21">
        <f>HYPERLINK("https://www.linkedin.com/jobs/view/4379186469", "https://www.linkedin.com/jobs/view/4379186469")</f>
        <v/>
      </c>
      <c r="F21">
        <f>HYPERLINK("https://www.disneycareers.com/job/-/-/391/92316916512?source=LINKEDIN_JOB_SLOTS&amp;urlHash=m8T8", "https://www.disneycareers.com/job/-/-/391/92316916512?source=LINKEDIN_JOB_SLOTS&amp;urlHash=m8T8")</f>
        <v/>
      </c>
      <c r="G21" t="inlineStr">
        <is>
          <t>Orlando, FL</t>
        </is>
      </c>
      <c r="H21" t="inlineStr"/>
      <c r="I21" t="inlineStr">
        <is>
          <t>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Our team at Disney Experiences Technology creates world\-class immersive digital experiences for the Company’s premier vacation brands including Disney’s Parks \&amp; Resorts worldwide, Disney Cruise Line, Aulani, A Disney Resort \&amp; Spa, and Disney Vacation Club.
 Reporting to the Manager, Technology \- this Sr Product Manager role is part of the team responsible for working with site partners to develop, define, and execute the strategic direction of Contact Center, Cast Operations Apps, and commercial initiatives for U.S. Parks and Resorts.
 This role will be highly integrated with business and technology stakeholders throughout all phases of the product lifecycle to ensure initiatives deliver business and guest value.
 The ideal candidate is a proactive self\-starter with expertise in creating and executing product vision. If you thrive on taking ownership, driving action, and contributing to the growth of product organizations, we want to hear from you!
**What You’ll Do**
* Develop and manage the product vision and roadmap throughout the entire product delivery process.
* Serve as a passionate advocate for the product, both internally and externally while educating stakeholders and customers about product features, benefits, and value propositions.
* Define and monitor key performance metrics to drive product decisions, while identifying areas for optimization.
* Manage collaborative discussions to gain alignment and negotiate with our Business \&amp; product partners.
* Prioritize with our business, product, and engineering partners, managing complex discussions to drive alignment.
* Conduct market research to understand industry trends, competitive landscape, and customer needs.
* Execute discovery work for new capabilities, documenting current state and desired future state to guide the development process, synthesizing findings in a clear and compelling way.
* Lead requirement\-gathering, user story creation, user acceptance criteria, prioritization, and execution with cross\-functional teams, ensuring consistent communication with peers and leadership.
* Develop and maintain strong relationships with stakeholders and cross\-functional collaborators, including product, engineering, design, commercial, and customer support.
* Proactively identify potential risks, dependencies, and mitigation strategies to project timelines or deliverables.
* Lead sessions and creation of artifacts for Capability Mapping and functional design
**Technical Responsibilities**
* Experience in software development lifecycle (SDLC)
* Experience in Product Roadmap development including technical aspects including APIs and Integrations
* Business technical expertise in data analysis and visualization to tell stories, identify opportunities for technology innovation, and communicate them effectively for problem solving.
* Define and map how a piece of data translates between different systems.
* Creation of business sequence and process flow diagrams. Understand, and sometimes create, sequence diagrams and processes via process engineering.
**What You Will Need**
* Minimum of 5 years of related work experience in product management, technology delivery, or strategy development.
* Subject matter expertise in the generation and management of strategies and roadmaps, rooted in technology alignment with and enablement of business objectives.
* Experience leading initiatives that span several teams and functional areas, integrating diverse points of view toward a solution.
* Proven experience with the software delivery lifecycle.
* Proven problem\-solving abilities, gathering relevant partner inputs to drive resolution.
* Excellent written and verbal communication skills, including an ability to facilitate complex conversations and pitch innovative solutions.
* Advanced at writing business \&amp; functional requirements.
* Advanced knowledge and ability to use collaboration tools to document and communicate effectively.
* Advanced knowledge and ability to use visualization tools to simply illustrate and communicate complex concepts.
* Experience within the hospitality industry a plus.
**Required Education**
 Bachelor’s degree or equivalent work experience required
**Preferred Education**
 Degree in Computer Science, Engineering, Information Systems (IS).
 \#DISNEYTECH</t>
        </is>
      </c>
    </row>
    <row r="22">
      <c r="A22" t="inlineStr">
        <is>
          <t>li-4376852969</t>
        </is>
      </c>
      <c r="B22" t="inlineStr">
        <is>
          <t>Product Owner</t>
        </is>
      </c>
      <c r="C22" t="inlineStr">
        <is>
          <t>Integra Connect</t>
        </is>
      </c>
      <c r="D22" t="inlineStr">
        <is>
          <t>linkedin</t>
        </is>
      </c>
      <c r="E22">
        <f>HYPERLINK("https://www.linkedin.com/jobs/view/4376852969", "https://www.linkedin.com/jobs/view/4376852969")</f>
        <v/>
      </c>
      <c r="F22" t="inlineStr"/>
      <c r="G22" t="inlineStr"/>
      <c r="H22" t="inlineStr"/>
      <c r="I22" t="inlineStr">
        <is>
          <t>**Company Summary:** 
 We are a value\-based, precision medicine company specializing in Health IT, real\-world data, and digital health solutions for specialty providers, payers, and life sciences companies. 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**Position Summary:** 
 The Product Owner is a leader who works in close partnership with the product management and engineering organization to deliver world class software by sharing their vision through a clearly articulated product backlog that results in the delivery of a product that delights clients and users.
 The Product Owner will be working with teams developing our “PrecisionQ” product line. PrecisionQ is a suite of Integra Connect solutions designed to help biosciences leaders address the opportunities and challenges presented by the shift of healthcare to value\-based care models. We help quantify the value of treatments and diagnostic tests in terms of their impact on total cost of care, quality of life, and patient outcomes. In this regard, experience or knowledge related to healthcare data analysis and data\-based product development, particularly in the domain of oncology care and patient management, would be valuable to the ideal candidate.
**Responsibilities:** 
* Primary subject matter contact for product area.
* Expresses leadership over solution design.
* Business problem solving while constantly evaluating alternatives.
* Strategically escalate issues.
* Deep sense of ownership and accountability for the problem.
* Sign\-off on all product enhancements, whether a small bug, or a significant feature enhancement prior to the code moving to production.
* Effectively manage tradeoffs.
* Own the product backlog: author the epics and stories, and actively refine it to ensure availability of a steady flow of requirements
* Create detailed acceptance criteria for user stories \- working with end users and the development team \- ensuring that all aspects are considered.
* Model business processes including authoring workflow diagrams to support the software function specification requirements and design.
* Collaboratively partner with UX, business teams and developers to design the solution for product features.
* Collaboratively drive the execution of the product: participate in the daily stand\-up, proactively manage risks, actively and passionately assist the team to resolve product blockers.
* Assist with testing and removing blockers during sprint activities; supporting team members as needed in order to accomplish sprint objectives
* Author release notes and participate in marketing videos, demos, field training as needed and ensuring clients are excited and well informed of upcoming changes.
**Qualifications:** 
* Bachelor's degree in Business, Computer Science, other related field, or equivalent experience preferred..
* 3\-5 years of experience building commercial software products and services.
* Experience in healthcare, particularly the use of data to generate insights, is important in this role. Familiarity with the specific area of oncology care would be a plus.
* Experience with Agile and Scrum development methodologies.
* Knowledge of SQL queries.
* High\-potential future leader.
* Exceptional analytical and conceptual thinking skills.
* First\-rate planning, organizational, and time management skills.
* Detailed eye for user experience and design.
* Creative thinker who thrives solving challenging problems.
* Strong presentation and writing skills to communicate your vision.
* Clear and concise technical documentation skills.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March 31, 2026\. All applications must be received by this date to be considered.**</t>
        </is>
      </c>
    </row>
    <row r="23">
      <c r="A23" t="inlineStr">
        <is>
          <t>li-4381014593</t>
        </is>
      </c>
      <c r="B23" t="inlineStr">
        <is>
          <t>Product Manager</t>
        </is>
      </c>
      <c r="C23" t="inlineStr">
        <is>
          <t>Jacobs Management Group, Inc.</t>
        </is>
      </c>
      <c r="D23" t="inlineStr">
        <is>
          <t>linkedin</t>
        </is>
      </c>
      <c r="E23">
        <f>HYPERLINK("https://www.linkedin.com/jobs/view/4381014593", "https://www.linkedin.com/jobs/view/4381014593")</f>
        <v/>
      </c>
      <c r="F23" t="inlineStr"/>
      <c r="G23" t="inlineStr">
        <is>
          <t>Coral Springs, FL</t>
        </is>
      </c>
      <c r="H23" t="inlineStr"/>
      <c r="I23" t="inlineStr">
        <is>
          <t>Step into a role where you own the future of connected healthcare solutions. Our client is seeking a Product Manager who will shape strategy, guide innovation from concept to commercialization, and directly influence how patients and providers connect through technology\-driven products. This is a high\-impact opportunity to lead products that drive real clinical and commercial outcomes.
**Why You Should Apply** 
* Own the full product lifecycle with true business ownership
* Influence strategy, roadmap decisions, and global product direction
* Collaborate cross\-functionally with Engineering, Quality, Sales, and Marketing leaders
* On\-site role with meaningful customer and international exposure (25–40% travel)
* Salary Range: 120\-140K
* 15% annual bonus target and full benefits
**What You’ll Be Doing** 
* Own product roadmap, positioning, and market strategy
* Lead opportunity assessment and prioritize innovation initiatives
* Build business plans, pricing strategies, and profitability analysis
* Translate customer needs into product requirements and development plans
* Drive NPI planning, launches, and commercial adoption programs
* Define KPIs and measure adoption, growth, and performance
**About You** 
* Be able to do the job as described.
* Act with an ownership mindset as the “CEO” of a product line
* Translate technical complexity into clear customer value propositions
* Build data\-informed strategies using BI tools (Tableau, Power BI, or similar)
* Balance strategic thinking with hands\-on execution across technical and commercial teams</t>
        </is>
      </c>
    </row>
    <row r="24">
      <c r="A24" t="inlineStr">
        <is>
          <t>li-4376097532</t>
        </is>
      </c>
      <c r="B24" t="inlineStr">
        <is>
          <t>Senior Product Manager</t>
        </is>
      </c>
      <c r="C24" t="inlineStr">
        <is>
          <t>Assent</t>
        </is>
      </c>
      <c r="D24" t="inlineStr">
        <is>
          <t>linkedin</t>
        </is>
      </c>
      <c r="E24">
        <f>HYPERLINK("https://www.linkedin.com/jobs/view/4376097532", "https://www.linkedin.com/jobs/view/4376097532")</f>
        <v/>
      </c>
      <c r="F24">
        <f>HYPERLINK("https://jobs.smartrecruiters.com/Assent/744000111109261-senior-product-manager?trid=2d92f286-613b-4daf-9dfa-6340ffbecf73&amp;urlHash=89jK", "https://jobs.smartrecruiters.com/Assent/744000111109261-senior-product-manager?trid=2d92f286-613b-4daf-9dfa-6340ffbecf73&amp;urlHash=89jK")</f>
        <v/>
      </c>
      <c r="G24" t="inlineStr">
        <is>
          <t>Boston, MA</t>
        </is>
      </c>
      <c r="H24" t="inlineStr"/>
      <c r="I24" t="inlineStr">
        <is>
          <t>**Company Description**
 Assent is the leading solution for supply chain sustainability tailored for the world’s top\-tier, sustainability\-driven manufacturers. Hidden risks riddle supply chains, many of which weren't built with sustainability in mind. That's where we step in. With insights from experts, Assent is the tool manufacturers trust for comprehensive sustainability.
**We are proud to announce that Assent has crossed the US$100M ARR milestone, granting us Centaur Status. This accomplishment, reached just 8 years following our Series A, makes us the first and only Certified B Corporation in North America's SaaS sustainability industry to celebrate this milestone.**
 Our journey from $5 million to US$100M ARR in just eight years has been marked by significant growth and achievements. With our $350 million US funding led by Vista Equity Partners, we're poised for even greater expansion and are on the lookout for outstanding team members to join our mission.
**Job Description**
**Position Summary**
 The Senior Product Manager at Assent is a leader and end to end owner of product success, accountable for identifying high\-impact opportunities, making sound investment decisions, and ensuring meaningful value is realized for both customers and the business.
 You will lead the end to end strategy for Assent’s high growth B2B SaaS emerging data network platform, managing a suite of emerging product capabilities. This role requires a balanced strong commercial judgment, deep customer insights, cross\-functional leadership and the ability to synthesize insights from data and the market into clear execution plans. .
 Assent operates in a uniquely complex and meaningful domain at the intersection of global supply chains, product compliance, sustainability, and data. Our products increasingly rely on large\-scale data, automation, and AI\-enabled capabilities to help customers navigate evolving regulatory requirements with confidence. If you are energized by solving hard, real\-world problems with real consequences, and motivated by building products that make the world more responsible and transparent, this role offers both challenge and purpose.
**Key Requirements \&amp; Responsibilities**
**Strategic Ownership \&amp; Market Opportunity**
* Drive Product Strategy: Own the end\-to\-end product vision and strategy for your portfolio, ensuring alignment with Assent’s broader business objectives and long\-term growth targets.
* Opportunity Identification: Identify, size, and prioritize high\-impact opportunities by synthesizing customer insights, competitive intelligence, product analytics, and win/loss data.
* Data\-Driven Business Cases: Clearly articulate the "Why" and “What” behind every initiative that defines the customer problem, unique differentiation, business value (ROI), and measurable success metrics (KPIs).. Develop concise product requirements documentation (PRDs) that also include user workflows and data constriants.
* Market Intelligence: Serve as the resident expert on market trends and competitive dynamics. Conduct continuous "Voice of the Customer" (VOC) research through advisory boards, interviews, and market analysis to identify unaddressed needs.
**Execution \&amp; Portfolio Alignment**
* Roadmap Leadership: Translate strategy into a high\-integrity roadmap. Define key features, capabilities, and timelines that balance short\-term wins with long\-term platform scalability. Work effectively with Product Owners to ensure user flows, logic/rules, data constraints and success metrics are robust for writing stories.
* Lifecycle Management: Lead cross\-functional teams through the full product lifecycle—from initial discovery and business case development to MVP, beta trials, and full\-scale GTM launches and ongoing enhancements. This includes migration strategies from legacy to new platforms.
* Ecosystem Collaboration: Partner closely with fellow Product Leaders to manage dependencies, sequence releases, and ensure a cohesive user experience across the entire Assent portfolio.
* Product Evangelism: Act as the primary internal and external champion for your product line. Influence stakeholders across Sales, Marketing, and Engineering to ensure the solution effectively meets both user needs and commercial goals.
 Data\-Centric \&amp; AI\-Enabled Innovation
* Master the Data Ecosystem: Develop a deep, technical understanding of Assent’s complex data environment including supply chain intelligence, regulatory content, and customer\-generated signals to unlock new product value.
* Drive Intelligent Automation: Identify and champion opportunities where advanced analytics, automation, and AI/ML can meaningfully improve customer scalability, efficiency, and decision\-making.
* Build Trustworthy Solutions: Partner with Engineering, Data Science, and Design to architect "intelligent" features that balance technical rigor with transparency and world\-class usability.
* Navigate Complexity: Thrive in ambiguity; lead the delivery of resilient product capabilities despite evolving global regulations and imperfect data sets.
**Product Craft \&amp; Execution Excellence**
* Lead Discovery \&amp; Design: Orchestrate the discovery process with Design and Engineering to ensure every solution is not only technically feasible but also highly desirable and commercially viable.
* Synthesize Complexity: Distill intricate market requirements into clear, authoritative documentation that serves as the "source of truth" for cross\-functional execution.
* High\-Integrity Delivery: Partner with Product Owners to translate high\-level strategy into well\-structured epics and stories. Actively guide delivery through continuous scope refinement and decisive trade\-offs.
* Validate \&amp; Iterate: Oversee Pilot and Early Access phases, using rigorous data analysis and direct customer feedback to evaluate success and inform the path to General Availability (GA).
**Cross\-Functional Influence \&amp; Advocacy**
* GTM Partnership: Collaborate with Product Marketing and Sales to define value\-based pricing, sharp positioning, and high\-impact launch strategies that drive rapid market adoption.
* Expert Communication: Clearly articulate roadmaps, trade\-offs, and outcomes to both technical internal teams and high\-profile external stakeholders.
* Product Championship: Serve as the primary advocate for your product line, balancing vision with a data\-driven response to stakeholder feedback.
 Operational Health: Support critical customer escalations with a sense of urgency, ensuring immediate resolutions align with the long\-term health and architecture of the product.
**Qualifications**
**Your Knowledge, Skills and Abilities**
**We strongly value your talent, energy and passion. It will also be valuable to Assent if you have the following qualifications**
* Senior SaaS Leadership: 5–8\+ years of Product Management experience in a high\-growth B2B SaaS data environment, with a proven track record of driving commercial outcomes (revenue, retention, PLG) rather than just shipping features.
* AI \&amp; Data Fluency: A strong "data\-centric" mindset with the ability to define and execute opportunities in AI and Machine Learning to solve customer pain points.
* Product Craft \&amp; Judgment: Mastery of the product discovery process within empowered teams. You possess strong product judgment and are comfortable making high\-stakes decisions with imperfect information and navigating ambiguity.
* Strategic Communication: Exceptional verbal and written skills. You can distill complex roadmaps for internal stakeholders and present with high\-credibility in front of global customers.
* Collaborative Influence: A "lead\-by\-influence" mindset. You can navigate cross\-functional teams (Engineering, Sales, Marketing) and contribute to the collective success of the broader Product Org.
* Education \&amp; Certification: Bachelor’s degree in Business, Engineering, or a related field; Pragmatic Marketing certification or an MBA is highly preferred.
* Domain Expertise (Plus): Familiarity with supply chain, manufacturing, or regulated industries (e.g., ESG, compliance). Experience with complex data structures like BOMs, mapping, and ERP/API integrations is a significant advantage.
* Global Mobility: Ability to travel up to 25% to engage with customers and global teams.
* Mission\-Driven: A genuine desire to build products that create a resilient, sustainable, and positive real\-world impact.
**Why top Product Managers choose this role**
* Real ownership and meaningful decision\-making authority to a high growth, scaling portfolio
* A strong, collaborative Product Management team shaping strategy together
* Complex, high\-stakes problems powered by data and intelligent automation
* A mission\-driven domain with global reach and real\-world consequences
* Talented cross\-functional partnerships and leadership opportunities
**Additional Information**
**Life at Assent**
**Wellness:** 
 We believe that you and your family’s well being is important. As a result, we offer vacation time that increases with tenure, comprehensive benefits packages (details vary by country), life leave days and more.
**Financial Benefits:** 
 It’s not all about the money – well, it’s a little about the money. We understand that financial health is important and we offer a competitive base salary, a corporate bonus program, retirement savings options and more.
**Life at Assent:** 
 There is purpose beyond your work. We provide our team members with flexible work options, volunteer days and opportunities to get involved in corporate giving initiatives.
**Lifelong Learning:** 
 At Assent, curiosity is not only valued but encouraged. You will receive professional development days that are available to you the day you start.
 At Assent, we are committed to growing and sustaining an environment where our team members feel included, valued, and heard. Our diversity and equal opportunity practices are guided and championed by our Diversity and Inclusion Working Group and our Employee Resource Groups (ERGs).
 Our commitment to diversity, equity and inclusion includes recruiting and retaining team members from diverse backgrounds and experiences, and fostering a culture of belonging where all team members are included, treated with dignity and respect, promoted on their merits, and placed in positions to contribute to business success.
 If you require assistance or accommodation throughout any part of the interview and selection process, please contact talent@assent.com and we will be happy to help.
 We use AI to support parts of our recruitment process, such as note\-taking and initial shortlisting based on job\-related qualifications. AI does not make hiring decisions. All candidates will speak with a real person, and final decisions are always made by our recruitment team.</t>
        </is>
      </c>
    </row>
    <row r="25">
      <c r="A25" t="inlineStr">
        <is>
          <t>li-4372150288</t>
        </is>
      </c>
      <c r="B25" t="inlineStr">
        <is>
          <t>Product Manager, Platform</t>
        </is>
      </c>
      <c r="C25" t="inlineStr">
        <is>
          <t>Panorama Education</t>
        </is>
      </c>
      <c r="D25" t="inlineStr">
        <is>
          <t>linkedin</t>
        </is>
      </c>
      <c r="E25">
        <f>HYPERLINK("https://www.linkedin.com/jobs/view/4372150288", "https://www.linkedin.com/jobs/view/4372150288")</f>
        <v/>
      </c>
      <c r="F25" t="inlineStr"/>
      <c r="G25" t="inlineStr"/>
      <c r="H25" t="inlineStr"/>
      <c r="I25" t="inlineStr">
        <is>
          <t>**Product Manager, Platform**
 Location: Remote USA
**About Panorama**
 Panorama Education is a fast\-growing technology company focused on helping students achieve academic success and well\-being. More than 2,000 K\-12 school districts serving 15 million students across all 50 states have adopted Panorama to understand and support students across academics, attendance, behavior, and life skills development. 
**About the Role**
 As Product Manager for our Platform/SRE (Site Reliability Engineering) squad, you will own the definition and delivery of the foundational platform capabilities that power Panorama's products and teams. This includes shared infrastructure, internal tooling, and platform services that enable teams to build, operate, and scale reliably.
 You will work on the Platform/SRE squad focused on improving Panorama's infrastructure, reliability, and developer experience. You'll partner closely with engineers to turn complex and evolving technical and operational needs into clear, prioritized initiatives that strengthen the foundation as Panorama grows.
 This is a role for a PM who wants deep ownership of how a platform is built, operated, and sustained over time. You're comfortable working in complex technical spaces, making tradeoffs that balance today's needs with long\-term health, and helping teams turn expansive problems into clear, actionable direction.
**What You'll Do**
* Own your squad's roadmap, prioritizing initiatives aligned with overall product strategy
* Partner closely with your squad's engineering manager and engineers to determine scope, sequencing, and tradeoffs, grounding tactical decisions in technical reality
* Balance near\-term stability and resilience with longer\-term platform investments, making intentional focus decisions over time
* Apply strong scope definition \&amp; discipline, breaking large or cross\-cutting efforts into incremental, achievable slices with clear goals and success criteria
* Identify friction points and opportunities across the organization where platform investments can unlock speed, quality, and consistency
* Ensure platform solutions are intuitive, well\-documented, and broadly adopted by the teams that rely on them
* Align platform priorities across the Technology organization, ensuring work supports both near\-term product needs and long\-term architecture
* Communicate platform priorities and tradeoffs clearly to stakeholders both in and out of the Technology team, and effectively articulate the impact for broader audiences
* Define and evolve platform capabilities that enable teams to build and operate AI\-powered product experiences safely, reliably, and at scale, with appropriate guardrails for privacy, compliance, and trust
**Requirements**
**What We're Looking For**
* 3\+ years of product management experience, ideally working on platform, infrastructure\-adjacent, or internal product areas in a technology\-driven organization
* Strong technical fluency and the ability to understand complex systems and architectural tradeoffs, with experience working closely with engineers
* Demonstrated ability to define clear scope and success criteria for complex or cross\-cutting work
* Comfort operating in environments where priorities evolve due to operational needs, incidents, or external commitments
* Excellent communication skills, with the ability to translate technical concepts for non\-technical audiences and executive leaders
* Experience partnering across multiple teams and functions (ex: Security, IT, Legal, partner product teams) to deliver shared capabilities that serve diverse stakeholders
* A product mindset focused on usability, adoption, and impact, even when building internal or foundational systems
* A collaborative leadership style and the ability to lead through influence
* Familiarity with security, privacy, or compliance frameworks such as SOC 2, GDPR, or FERPA is a bonus, not a requirement
* Experience working on or adjacent to AI powered systems, or demonstrated curiosity about how AI technologies impact platform design, operations, and product development
**Benefits**
**What We Offer**
 The "Base Salary" range represents the low and high end of the anticipated salary range for this position across all US locations. Determining this anticipated Base Salary range involves considering many factors in making compensation decisions, including but not limited to: unique skill sets, experience, training, performance, licensure and certifications, and other business and organizational needs. Additionally, our anticipated Base Salary determination is just one component of Panorama's competitive total rewards strategy, including annual bonus or commission awards, equity awards, and other region\-specific health and welfare benefits.
 Salary Range $122,447 \- $180,069
* Competitive salary and benefits (including equity, health, dental \&amp; vision, retirement contribution, parental leave, and mental health \&amp; wellness support)
* Remote\-first culture: Panoramians can work anywhere in the continental U.S
* Mission\-driven colleagues who care deeply about making education more equitable and sustainable</t>
        </is>
      </c>
    </row>
    <row r="26">
      <c r="A26" t="inlineStr">
        <is>
          <t>li-4371395782</t>
        </is>
      </c>
      <c r="B26" t="inlineStr">
        <is>
          <t>Senior Product Manager, YouTube Shorts Discovery</t>
        </is>
      </c>
      <c r="C26" t="inlineStr">
        <is>
          <t>Google</t>
        </is>
      </c>
      <c r="D26" t="inlineStr">
        <is>
          <t>linkedin</t>
        </is>
      </c>
      <c r="E26">
        <f>HYPERLINK("https://www.linkedin.com/jobs/view/4371395782", "https://www.linkedin.com/jobs/view/4371395782")</f>
        <v/>
      </c>
      <c r="F26">
        <f>HYPERLINK("https://careers.google.com/jobs/results/102508506782802630-senior-product-manager/?src=Online/LinkedIn/linkedin_us&amp;utm_source=linkedin&amp;utm_medium=jobposting&amp;utm_campaign=contract&amp;urlHash=_0Df", "https://careers.google.com/jobs/results/102508506782802630-senior-product-manager/?src=Online/LinkedIn/linkedin_us&amp;utm_source=linkedin&amp;utm_medium=jobposting&amp;utm_campaign=contract&amp;urlHash=_0Df")</f>
        <v/>
      </c>
      <c r="G26" t="inlineStr">
        <is>
          <t>San Bruno, CA</t>
        </is>
      </c>
      <c r="H26" t="inlineStr"/>
      <c r="I26" t="inlineStr">
        <is>
          <t>Note: By applying to this position you will have an opportunity to share your preferred working location from the following:
 **San Bruno, CA, USA; Mountain View, CA, USA** 
 .
 **Minimum qualifications:**
* Bachelor's degree or equivalent practical experience.
* 8 years of experience in product management or related technical role.
* 3 years of experience taking technical products from conception to launch (e.g., ideation to execution, end\-to\-end, 0 to 1, etc.).
* 3 years of experience working with recommender systems and machine learning teams.
**Preferred qualifications:**
* 5 years of experience working cross\-functionally with engineering, data science, UX/UI, sales finance, and other stakeholders.
* 3 years of experience working on shipping consumer products or consumer features.
* Experience with Machine Learning (ML) experimentation methodologies.
* Excellent investigative background and proficiency in leveraging key metrics.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part of the Shorts’ mission, you will give everyone a voice and show them the world through short\-form video. You will provide people with a safe, entertaining, and informative feed of videos and aim to inspire people to create Shorts through feed recommendations, making it easy to go from watching to creating.
 In this position, you will be instrumental in refining the algorithms that curate the Shorts feed for viewers to make it a satisfying and entertaining experience.At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a portfolio of Shorts Discovery products as the product lead, driving viewer growth and creation.
* Collaborate with engineering and date science teams to create new measurement methods and goals that support high\-quality ML algorithm optimization.
* Develop and own project roadmaps with a focus on ML and recommendation systems.
* Drive development and secure buy\-in for a compelling product goal that integrates machine learning and recommendation strategies to enhance the overall product narrative, achieving results greater than the sum of its parts.
* Lead and harmonize processes to define, identify, collect, and track appropriate quantitative and qualitative product or business metrics, including setting up and analyzing ML experiments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li-4382101713</t>
        </is>
      </c>
      <c r="B27" t="inlineStr">
        <is>
          <t>Senior Product Manager, Household Graph &amp; Ads Identity</t>
        </is>
      </c>
      <c r="C27" t="inlineStr">
        <is>
          <t>Roku</t>
        </is>
      </c>
      <c r="D27" t="inlineStr">
        <is>
          <t>linkedin</t>
        </is>
      </c>
      <c r="E27">
        <f>HYPERLINK("https://www.linkedin.com/jobs/view/4382101713", "https://www.linkedin.com/jobs/view/4382101713")</f>
        <v/>
      </c>
      <c r="F27" t="inlineStr"/>
      <c r="G27" t="inlineStr">
        <is>
          <t>Seattle, WA</t>
        </is>
      </c>
      <c r="H27" t="inlineStr"/>
      <c r="I27"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Ads Product team is responsible for monetizing Roku's platform through innovative advertising solutions across the Roku TV experience, including its premiere streaming service, The Roku Channel, on both Roku devices and off\-platform environments. Collectively, these products reach millions of users daily, creating valuable advertising inventory and engagement opportunities throughout the entire Roku ecosystem. 
**About the role** 
 We're looking for a Senior Product Manager to own Roku's Household Graph and ads identity services that power addressability, targeting, optimization, measurement, and data collaboration across Roku Ads. This role owns the identity spine of the ad platform: identifier strategy and policy, match coverage and stability, identity health, and the contracts that ensure identity works consistently across impression, conversion, and audience data in a privacy\-safe way. 
 For Washington Only \- The estimated annual salary for this position is between $176,500 \- $297,500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**Identity platform ownership** 
 : Own the Household Graph and ads identity services and make identity usable across the ads platform
* **Match rate optimization** 
 : Drive identity signal quality and match rate strategy by improving conversion\-to\-exposure and audience\-to\-exposure match rates through clearer identity inputs, coverage gap analysis, and prioritized roadmap decisions
* **Programmatic addressability** 
 : Improve programmatic addressability by defining and executing identity interoperability with common programmatic frameworks (e.g., UID2, ConnectID) and measuring coverage and performance impact
* **Identity health monitoring** 
 : Establish identity health monitoring and diagnostics: coverage, stability, drift, match rates, and root\-cause visibility when joins fail
* **Privacy\-safe collaboration** 
 : Enable privacy\-safe collaboration by defining identity constraints and matching patterns used in clean rooms and data collaboration workflows
* **Support data collaboration** 
 : Enable data collaboration that aligns with Roku’s privacy and data policy by defining identity constraints and matching patterns used in clean rooms and data collaboration workflows
* **Governance and monitoring** 
 : Own governance and usage monitoring, and ensure consistent implementations across teams
**We're excited if you have** 
* 5\+ years of product management experience in ad tech, identity, or ad data platform\-focused products
* Strong technical understanding of identity and addressability signals, including MAIDs, IP\-based signals, cookies, and common industry identity frameworks (e.g., UID2, ConnectID), plus familiarity with platform privacy frameworks such as AdAttributionKit
* Deep expertise in identity resolution and data contracts: match strategies, coverage/accuracy tradeoffs, join semantics, and measurement impact
* Highly analytical mindset: able to quantify value, spot gaps in assumptions, and make principled tradeoffs across privacy, reliability, durability, and monetization
* Proven ability to drive cross\-functional execution across engineering, data science, analytics, product, privacy/legal, sales/operations, and partners
* Experience defining SLAs/quality metrics and building operational tooling for high\-scale platform services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28">
      <c r="A28" t="inlineStr">
        <is>
          <t>li-4336917064</t>
        </is>
      </c>
      <c r="B28" t="inlineStr">
        <is>
          <t>Senior Product Manager</t>
        </is>
      </c>
      <c r="C28" t="inlineStr">
        <is>
          <t>PROCEPT BioRobotics</t>
        </is>
      </c>
      <c r="D28" t="inlineStr">
        <is>
          <t>linkedin</t>
        </is>
      </c>
      <c r="E28">
        <f>HYPERLINK("https://www.linkedin.com/jobs/view/4336917064", "https://www.linkedin.com/jobs/view/4336917064")</f>
        <v/>
      </c>
      <c r="F28" t="inlineStr"/>
      <c r="G28" t="inlineStr">
        <is>
          <t>San Jose, CA</t>
        </is>
      </c>
      <c r="H28" t="inlineStr"/>
      <c r="I28" t="inlineStr">
        <is>
          <t>**Company Overview** 
 Embark on an enriching journey with PROCEPT BioRobotics, where our vision, mission, and values guide everything we do as a company. At PROCEPT, we put the patient first in everything we do and are committed to revolutionizing treatment for benign prostatic hyperplasia (BPH, otherwise known as prostate gland enlargement) through innovation in surgical robotics. As our company succeeds and grows, we improve the quality of life of patients, provide more effective treatment options for surgeons, uphold the trust of our shareholders. That starts with a commitment to our People with a focus on creating an evolving landscape for your career, brimming with transformative opportunities that provide continuous career growth opportunities.
**The Opportunity That Awaits You:** 
 We're seeking a talented Senior Product Manager to lead the disposables and accessories product portfolio, playing a pivotal role in shaping the future of PROCEPT. You will be responsible for the entire product lifecycle for disposable and system accessories used with both the HYDROS™ and AquaBeam® Robotic systems, from ideation to launch, driving the development of cutting\-edge solutions that enhance the surgical experience and patient outcomes. This includes defining the product vision, gathering and prioritizing customer needs, collaborating with cross\-functional teams to execute product development, and ensuring successful market adoption.
 This is an excellent opportunity for someone who wants to help transform patient care from the ground up as part of a small, energetic team in a dynamic, high growth company. The ideal candidate will have the ability to think creatively and execute flawlessly, with a proven track record of success in medical device product development and launches. Get ready to transform lives and shape the future of Urology!
**What Your Role Will Involve:** 
**Product Strategy:** 
 Develop and execute a comprehensive product strategy for the disposables and accessories portfolio, aligning with PROCEPT’s overall vision.
 Define product roadmaps and scope features based on customer needs and business objectives.
 Plan, manage, and incorporate Voice of Customers into product strategy and planning.
**Product Management:** 
 Own the product lifecycle, from ideation to launch, and partner with Product Marketing for Go\-to\-Market and post\-launch support.
 Develop in\-depth technical and clinical knowledge of Aquablation therapy, urological anatomy, disease states, BPH procedures, and associated products.
 Conduct user research, in\-field observations, and gather in\-field feedback and Voice of Customer to gain deep understanding of user needs and inform product improvements.
 Define product requirements and collaborate with engineering, design, and clinical teams to conduct evaluations of concepts and prototypes, translating key insights into actionable feedback to deliver impactful solutions.
 Manage multiple product workstreams in parallel at various stages of the product lifecycle and balance priorities, ensuring new products and improvements to meet business objectives.
 Stay abreast of regulatory requirements, standards, and guidelines related to medical devices and surgical robotics to ensure compliance and mitigate risks throughout entire product lifecycle.
**Cross\-Functional Collaboration and Leadership:** 
 Proven ability to lead cross\-functional teams and influence decision\-making at all levels (individual contributors to executive leaders).
 Lead and drive cross\-functional teams through trade\-off discussions, proposals and decisions. Provide clarity and direction amid ambiguity. 
 Build strong relationships with key internal stakeholders and external customers (e.g. surgeons).
 Provide key input and ensure completion of all product deliverables in support of Design Control execution.
**Market Launch and Adoption:** 
 Develop comprehensive launch and transition plans, in collaboration with other commercial support teams.
 Support the development of marketing assets, training materials, clinical documentation, and educational resources for internal teams and customers.
 Support initial product launches by supporting initial cases during LMR (Limited Market Release).
 Support development and commercial efforts by participating in conferences, symposiums, and customer engagements to showcase product capabilities and clinical evidence.
**The Qualifications We Need You to Possess** 
 ·
 Bachelor's degree in biomedical engineering, mechanical engineering, marketing or a related field.
 ·
 Minimum 7 years of experience in product management or related functions, demonstrating career progression within product development or commercial roles in the medical device industry.
 The position requires critical, analytical, and strategic thinking, the ability to take initiative and lead change, and the ability to ask the right questions to assess fundamental needs while working effectively with a diverse team.
 ·
 Strong desire and motivation to operate as a hands\-on leader responsible for driving execution from strategy to delivery
 ·
 Ability to travel up to 15% of the time.
 ·
 Onsite (3 days per week minimum)
**The Qualifications We Would Like You to Possess** 
 Advanced degree (MBA or MS).
 Experience managing high volume, disposable medical devices
 Experience managing products that interface with complex capital equipment
 Strong understanding of medical device Design Controls processes and product management deliverables.
 Experience with Jira and Jama.
**Understanding PROCEPT's Culture** 
 At
 **PROCEPT** 
 , we believe every person matters. Every employee, every patient, every caregiver. Because we are here to create a revolution, and we believe in doing that by innovating everywhere with pathological optimism. We believe in being humble and highly engaged in the work we do, while also working together seamlessly for a common goal. At Procept, curiosity, ingenuity and conviction in the power technology will transform the lives of our patients and providers.
 And this doesn’t happen by accident. It starts with our live induction program that serves as an incubator for cross\-functional team building, an immersion in Procept’s history, jam\-packed interactive sessions with executive leadership and a crash\-course in the mission and purpose of what we do. It continues with our one\-of\-a\-kind management program designed to build the best managers in the industry, where our people managers across functions come together to exchange ideas and grow, as both managers and learners, in an environment that challenges, supports and broadens.
 We are fueled by the opportunity to give people their lives back. And we believe that it begins with YOU! At Procept, we push beyond just finding a work/life balance, we strive to find a work/life blend, a professional world that you are honored and impassioned to belong to, one that you can proudly share with your family, friends, and acquaintances.
 An opportunity at PROCEPT BioRobotics won’t just be about finding a job. It will be an opportunity for you to join a community devoted to making a difference in this world!
**BENEFITS OF WORKING AT PROCEPT!** 
**PROCEPT’s** 
 health and wellness benefits for employees are second to none in the industry. As an organization, one of our top priorities is to maintain the health and wellbeing of our employees and their families. We offer a comprehensive benefits package that includes full medical coverage, wellness programs, on\-site gym, a 401(k) plan with employer match, short\-term and long\-term disability coverage, basic life insurance, wellbeing benefits, flexible or paid time off, paid parental leave, paid holidays, and many more!
**EQUAL EMPLOYMENT OPPORTUNITY STATEMENT** 
 PROCEPT BioRobotics is an equal opportunity employer that is committed to diversity and inclusion in the workplace. We prohibit discrimination and harassment of any kind on the basis of race, color, national origin, religion, gender, gender identity, sexual orientation, disability, genetic information, pregnancy, age, or any other protected status set forth in federal, state, or local laws. This policy applies to all employment practices within our organization.
**PAY RANGE TRANSPARENCY** 
 Procept is committed to fair and equitable compensation practices. The pay range(s) for this role represents a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Procept utilizes the full width of the range. The total compensation package for this position may also include eligibility for annual performance bonus, equity, and the benefits listed above.
**WORK ENVIRONMENT** 
 We’ll provide you training for, and ask you to maintain trained status for, and comply with, all relevant aspects of the PROCEPT BioRobotics Quality Management System to ensure product and support regulatory compliance. We would also ask you to understand and adhere to the PROCEPT BioRobotics Quality \&amp; EHS policies.
**PROCEPT BioRobotics – Applicant Privacy Notice
 When you submit an application on this site, PROCEPT BioRobotics collects the personal information you provide. This may include your name, email address, phone number, résumé or CV, LinkedIn profile, and any optional demographic information you choose to share, such as gender or ethnicity. We use this information to review your application and assess your suitability for the role.
 To learn more about how we handle personal information, including your rights under applicable privacy regulations, please read our full Privacy Notice at:
**\[**
**Privacy Policy**
**]**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position includes a 15% bonus and RSUs at offer!**</t>
        </is>
      </c>
    </row>
    <row r="29">
      <c r="A29" t="inlineStr">
        <is>
          <t>li-4372108304</t>
        </is>
      </c>
      <c r="B29" t="inlineStr">
        <is>
          <t>Senior Product Manager, Growth</t>
        </is>
      </c>
      <c r="C29" t="inlineStr">
        <is>
          <t>Attentive</t>
        </is>
      </c>
      <c r="D29" t="inlineStr">
        <is>
          <t>linkedin</t>
        </is>
      </c>
      <c r="E29">
        <f>HYPERLINK("https://www.linkedin.com/jobs/view/4372108304", "https://www.linkedin.com/jobs/view/4372108304")</f>
        <v/>
      </c>
      <c r="F29" t="inlineStr"/>
      <c r="G29" t="inlineStr">
        <is>
          <t>New York, NY</t>
        </is>
      </c>
      <c r="H29" t="inlineStr"/>
      <c r="I29"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Inc.’s Best Workplaces, and the Human Rights Campaign Foundation's Corporate Equality Index!
**About The Role**
 This role sits at the heart of Attentive’s onsite growth strategy. You will own the product that drives how brands convert traffic into marketing subscribers \- both by strengthening the core foundation of how signup units are created and managed, and by building the next generation of AI\-powered optimization capabilities.
**Your Work Will Span Two Major Focus Areas**
* Build the core list\-growth engine \- Strengthen the foundation of how brands create and launch signup units. You’ll expand beyond today’s templates (e.g., spin\-to\-win wheels, modal popups, sticky banners) into new gamified and interactive experiences that shoppers already know and engage with. This means building the creative editor, layout system, design flexibility, and guardrails that make it simple for marketers to produce on\-brand, high\-converting units in minutes.
* Layer intelligence and personalization on top of it \- Build the next generation of AI that decides what to show and when to show it. Move beyond static popups by using real\-time signals, decisioning, and experimentation to personalize each onsite experience and maximize sign\-ups.
 You’ll work across backend decisioning systems, frontend experience surfaces, experimentation frameworks, and creative tooling \- shipping features that directly translate into subscriber lift and revenue for thousands of brands. This is a role for someone who can simplify the foundation, and then push it forward with intelligence and personalization.
**What You’ll Accomplish**
* Build the future of onsite list growth \- creating signup experiences that adapt in real time to who the shopper is, where they are, and what they’re likely to do next
* Shape how we experiment: from simple A/B to more advanced decisioning (MAB) that learns the right experience to show each user
* Develop metrics and controls to allow marketers to effectively manage and optimize personalized experiences
* Drive feature prioritization to enhance product adoption and create a seamless, personalized customer experience
* Collaborate with major enterprise clients and sales teams to gain deep insights into customer needs, crafting products that solve their key challenges and deliver measurable business impact
* Partner with cross\-functional teams such as GTM sales, design, machine learning, and engineering to support the success of growth efforts
**Your Expertise**
* 5\+ years PM experience, ideally building or scaling growth, personalization, or onsite conversion products
* Comfortable working across both backend systems (decision logic, triggers, architecture) and frontend experiences (creative surfaces, UI, UX, interaction). You can reason about both performance and customer experience
* Clear, crisp communication \- both up and down the org. You can work with engineers and designers day\-to\-day, and also synthesize decisions and tradeoffs for execs without losing nuance
* You form strong opinions \- and update them when new data comes in. You make calls based on signal, not noise. You push thinking, bring perspective, and raise the bar rather than waiting to be told what to do
* You’re execution\-first. You unblock, simplify, ship, learn, iterate
* You’re analytical and hypothesis\-driven \- comfortable making decisions with imperfect data
* You enjoy partnering cross\-functionally (Eng, DS, GTM, Design) and thrive in ambiguity where the problem is clear, but the path is not
* Bonus: Experience working with ML/AI\-driven systems \- not required, but extremely valuable for what we’re building next.
 Wondering what your day could look like as a PM at Attentive? Take a peek at this fun day in the life of a Product Manager here!
 You'll get competitive perks and benefits, from health \&amp; wellness to equity, to help you bring your best self to work.
**For US Based Applicants**
* The US base salary range for this full time position is $175,000 \- $219,000 annually \+ equity \+ benefits
* Our salary ranges are determined by role, level and location
**By applying for this position, your data will be processed as per Attentive's Privacy Policy.**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30">
      <c r="A30" t="inlineStr">
        <is>
          <t>li-4374827905</t>
        </is>
      </c>
      <c r="B30" t="inlineStr">
        <is>
          <t>Product Manager, Mobile Applications</t>
        </is>
      </c>
      <c r="C30" t="inlineStr">
        <is>
          <t>LodgeLink</t>
        </is>
      </c>
      <c r="D30" t="inlineStr">
        <is>
          <t>linkedin</t>
        </is>
      </c>
      <c r="E30">
        <f>HYPERLINK("https://www.linkedin.com/jobs/view/4374827905", "https://www.linkedin.com/jobs/view/4374827905")</f>
        <v/>
      </c>
      <c r="F30">
        <f>HYPERLINK("https://career4.successfactors.com/career?career_ns=job_listing&amp;company=C0006518414P&amp;navBarLevel=JOB_SEARCH&amp;rcm_site_locale=en_US&amp;career_job_req_id=4538&amp;urlHash=P5aQ", "https://career4.successfactors.com/career?career_ns=job_listing&amp;company=C0006518414P&amp;navBarLevel=JOB_SEARCH&amp;rcm_site_locale=en_US&amp;career_job_req_id=4538&amp;urlHash=P5aQ")</f>
        <v/>
      </c>
      <c r="G30" t="inlineStr">
        <is>
          <t>Scottsdale, AZ</t>
        </is>
      </c>
      <c r="H30" t="inlineStr"/>
      <c r="I30" t="inlineStr">
        <is>
          <t>**Scottsdale, AZ**
**About The Role**
 We’re seeking a driven Product Manager with strong experience in consumer\-facing Mobile applications (iOS \&amp; Android) to lead the development and optimization of the end\-to\-end experience for customers and travelers. You’ll collaborate closely with cross\-functional teams to define the product roadmap, translate customer needs into solutions, define success metrics,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 strong mobile application experience, and a desire to collaborate with other product managers on platform (SaaS) solutions.
 This role is hybrid \- in\-office with 20% flexibility to work from home.
**Duties \&amp; Responsibilities:**
**Product Strategy \&amp; Technical Vision**
* Define and articulate a clear product strategy that aligns with company goals and customer needs that defines the future of our mobile experiences
* Use data, research, and market insights to identify opportunities and prioritize initiatives.
* Develop and maintain a product roadmap that communicates priorities and progress to stakeholders.
**Stakeholder Collaboration**
* Collaborate with Product Management, Engineering, QA, and Design teams to prioritize and deliver high\-quality features.
* Communicate product plans, progress, and results to internal and external stakeholders.
* Partner with Sales, Marketing, and Customer Success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with a focus on Mobile App development
* Bachelor’s degree in a relevant field;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MBA or equivalent experience
* Experience in travel, logistics, or workforce solutions industries.
* Knowledge of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31">
      <c r="A31" t="inlineStr">
        <is>
          <t>li-4381009952</t>
        </is>
      </c>
      <c r="B31" t="inlineStr">
        <is>
          <t>Senior Product Manager, NotebookLM, Content Studio</t>
        </is>
      </c>
      <c r="C31" t="inlineStr">
        <is>
          <t>Google</t>
        </is>
      </c>
      <c r="D31" t="inlineStr">
        <is>
          <t>linkedin</t>
        </is>
      </c>
      <c r="E31">
        <f>HYPERLINK("https://www.linkedin.com/jobs/view/4381009952", "https://www.linkedin.com/jobs/view/4381009952")</f>
        <v/>
      </c>
      <c r="F31">
        <f>HYPERLINK("https://careers.google.com/jobs/results/98148269942547142-senior-product-manager/?src=Online/LinkedIn/linkedin_us&amp;utm_source=linkedin&amp;utm_medium=jobposting&amp;utm_campaign=contract&amp;urlHash=By1f", "https://careers.google.com/jobs/results/98148269942547142-senior-product-manager/?src=Online/LinkedIn/linkedin_us&amp;utm_source=linkedin&amp;utm_medium=jobposting&amp;utm_campaign=contract&amp;urlHash=By1f")</f>
        <v/>
      </c>
      <c r="G31" t="inlineStr">
        <is>
          <t>New York, NY</t>
        </is>
      </c>
      <c r="H31" t="inlineStr"/>
      <c r="I31" t="inlineStr">
        <is>
          <t>Note: By applying to this position you will have an opportunity to share your preferred working location from the following:
 **New York, NY, USA; Mountain View, CA, USA** 
 .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with AI/ML\-powered products, particularly in shipping generative AI features to users.
**Preferred qualifications:**
* Experience solving information issues and building delightful, impactful AI experiences.
* Ability to manage products from early\-stage development to significant user growth.
* Ability to craft and write user\-centric evaluations to launch model features.
* Ability to use a well\-honed sense of taste about what makes for great AI content.
* Ability to use AI for prototyping and re\-inventing the product management role.
* Excellent product design sense and a track record of building beautiful, user\-centric interfaces.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build the definitive consumer\-facing product for context management, pioneer AI\-driven informational content creation, evolve our product into a multimodal and intuitive User Interface (UI), and relentlessly push models to their fullest capabilities to solve real user problems and help users do more at school, work, and life.
 The US base salary range for this full\-time position is $192,000\-$285,000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Enforce taste and quality for GenAI content formats.
* Innovate 0 to 1 for new informational and engaging content artifacts.
* Design steerable flows for users to co\-create artifacts with models.
* Translate user needs, technical requirements, and goals into detailed product requirements, user stories, and clear specifications for engineering, design, and research teams.
* Define, monitor, and analyze key performance indicators (KPIs) for the entire product, using data to measure success, identify areas for improvement, and inform the roadmap.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
      <c r="A32" t="inlineStr">
        <is>
          <t>li-4372215400</t>
        </is>
      </c>
      <c r="B32" t="inlineStr">
        <is>
          <t>Customer Service Product Manager</t>
        </is>
      </c>
      <c r="C32" t="inlineStr">
        <is>
          <t>Uphold</t>
        </is>
      </c>
      <c r="D32" t="inlineStr">
        <is>
          <t>linkedin</t>
        </is>
      </c>
      <c r="E32">
        <f>HYPERLINK("https://www.linkedin.com/jobs/view/4372215400", "https://www.linkedin.com/jobs/view/4372215400")</f>
        <v/>
      </c>
      <c r="F32">
        <f>HYPERLINK("https://uphold.bamboohr.com/careers/816?source=linkedin&amp;urlHash=yWTF", "https://uphold.bamboohr.com/careers/816?source=linkedin&amp;urlHash=yWTF")</f>
        <v/>
      </c>
      <c r="G32" t="inlineStr">
        <is>
          <t>New York, NY</t>
        </is>
      </c>
      <c r="H32" t="inlineStr"/>
      <c r="I32" t="inlineStr">
        <is>
          <t>**About Uphold**
 Uphold is a leading fintech platform enabling users to transact in multiple asset classes—from traditional currencies to cryptocurrencies and commodities—on a single, unified interface. We’re building the infrastructure for the future of finance with a focus on compliance, security, and user experience.
 The Role
 We’re looking for a junior\-level Customer Service Product Manager to own the complete customer service experience at Uphold. You’ll be the strategic owner of all customer\-facing interactions and support tools, responsible for delivering efficient, responsive, and delightful support experiences at scale.
 In this role, you’ll bridge the gap between our customers’ needs and internal operations by managing the full suite of customer service touchpoints and tooling. You’ll work cross\-functionally with Customer Service, Engineering, and Operations teams to streamline workflows, reduce response times, and leverage automation and AI to enhance our support capabilities.
 Key Responsibilities
* Own the Customer Service Product Portfolio: Manage all customer\-facing support channels including chat, voice, in\-app , and support ticket system (Zendesk), ensuring seamless integration and user\-friendly experiences
* Drive Efficiency \&amp; Automation: Identify opportunities to reduce response times, eliminate manual processes, and implement automation and AI solutions that empower the Customer Service team to work more effectively
* Develop Product Strategy: Create and execute a roadmap for customer service experiences that aligns with company goals and customer expectations
* Stakeholder Management: Work closely with Customer Service leadership, Engineering teams, and other internal stakeholders to understand pain points, gather requirements, and prioritize initiatives
* Data\-Driven Decision Making: Analyze customer service metrics (resolution time, CSAT, ticket volume, response times) to identify trends and opportunities for improvement
* Integration \&amp; Tool Management: Oversee the integration of customer service tools with internal systems and platforms, ensuring smooth data flow and operational efficiency
* Process Optimization: Lead initiatives to redesign customer service workflows, implement best practices, and scale support operations efficiently
* Cross\-functional Collaboration: Partner with Product, Engineering, Design, and Operations to deliver solutions that improve both customer experience and operational efficiency
* Engineering Team Leadership: Inspire an engineering team by setting clear goals, removing blockers, and driving delivery
* Priority Setting \&amp; Planning: Define priorities, balance technical and product trade\-offs, and maintain an execution\-focused roadmap with Engineering
* Backlog \&amp; Delivery Management: Write clear user stories (acceptance criteria, requirements, dependencies), manage the backlog, and run with the tech lead delivery rituals (grooming, planning, reviews)
* Execution Accountability: Track progress, manage scope, and ensure high\-quality releases through testing, rollout planning, and post\-launch follow\-up
**About You**
 Experience \&amp; Skills:
* 2\-4 years of product management experience, with a focus on operations, support, or customer\-facing products
* Proven track record managing complex, multi\-stakeholder projects in SaaS or fintech environments
* Strong understanding of customer service operations, support tools, and CRM systems (Zendesk experience a plus)
* Experience with automation tools, workflow optimization, and AI/ML applications (e.g., chatbots, intelligent routing)
* Excellent communication and stakeholder management skills
* Data\-driven mindset with proficiency in analyzing metrics and translating insights into action
* Ability to balance quick wins with long\-term strategic initiatives
* Strong problem\-solving skills and comfort navigating ambiguity
* Expertise using generative AI and LLMs to increase productivity (including creating live applications)
**Ideal Candidate**
* Has worked in fast\-paced fintech or regulated environments
* Understands API integrations and technical architecture (deep technical background not required but valued)
* Has launched or improved customer service/support products
* Demonstrates a customer\-first mindset with empathy for support operations
* Thrives in collaborative, cross\-functional environments
 Why Join Us
* Impact: Own a critical customer\-facing function at a growing fintech platform serving millions of users globally
* Growth: Work on challenging, highly visible initiatives that directly impact company success and customer satisfaction
* Team: Collaborate with talented product, engineering, and operations teams in a supportive environment
* Learning: Expand your expertise in fintech, compliance\-driven industries, and scaling operations
* Flexibility: Hybrid work arrangement with our New York office, providing flexibility while maintaining team connectivity</t>
        </is>
      </c>
    </row>
    <row r="33">
      <c r="A33" t="inlineStr">
        <is>
          <t>li-4381969713</t>
        </is>
      </c>
      <c r="B33" t="inlineStr">
        <is>
          <t>Senior Product Manager, NotebookLM, Core Product, Discovery</t>
        </is>
      </c>
      <c r="C33" t="inlineStr">
        <is>
          <t>Google</t>
        </is>
      </c>
      <c r="D33" t="inlineStr">
        <is>
          <t>linkedin</t>
        </is>
      </c>
      <c r="E33">
        <f>HYPERLINK("https://www.linkedin.com/jobs/view/4381969713", "https://www.linkedin.com/jobs/view/4381969713")</f>
        <v/>
      </c>
      <c r="F33">
        <f>HYPERLINK("https://careers.google.com/jobs/results/131041191079617222-senior-product-manager/?src=Online/LinkedIn/linkedin_us&amp;utm_source=linkedin&amp;utm_medium=jobposting&amp;utm_campaign=contract&amp;urlHash=Vu4N", "https://careers.google.com/jobs/results/131041191079617222-senior-product-manager/?src=Online/LinkedIn/linkedin_us&amp;utm_source=linkedin&amp;utm_medium=jobposting&amp;utm_campaign=contract&amp;urlHash=Vu4N")</f>
        <v/>
      </c>
      <c r="G33" t="inlineStr">
        <is>
          <t>Mountain View, CA</t>
        </is>
      </c>
      <c r="H33" t="inlineStr"/>
      <c r="I33" t="inlineStr">
        <is>
          <t>Note: By applying to this position you will have an opportunity to share your preferred working location from the following:
 **Mountain View, CA, USA; New York, NY, USA** 
 .
 **Minimum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Knowledge of managing products from early\-stage development to significant user growth.
* Knowledge of building a UGC content ecosystem from scratch and with using AI for prototyping and re\-inventing the Product Manager role.
* Understanding of product design and a passion for building beautiful, user\-centric interfaces.
* Ability to solve information issues and build delightful, impactful AI experiences with a sense of product taste about what makes for a delightful and engaging consumer mobile app.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 are driven by a bold goal: to build the definitive consumer\-facing product for context management, to pioneer AI\-driven informational content creation, to evolve our product into a multimodal and intuitive UI, and to relentlessly push models to their fullest capabilities to solve real user problems and help users do more at school, work, and life.
 In this role, you will shape a fast growing, AI product. You will lead a cross\-functional team, manage issues at the frontier of AI, and build and grow a widely used product.
 The US base salary range for this full\-time position is $192,000\-$285,000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Architect content\-forward consumption, sharing and discovery experience.
* Create a user\-generated content (UGC) ecosystem via social mechanics and creator incentives.
* Design mobile\-first and mobile\-native features (e.g., quick capture of text, audio, photos, and video into NotebookLM mobile app).
* Translate user needs, technical requirements, and goals into detailed product requirements, user stories, and clear specifications for engineering, design, and UX research teams.
* Define, monitor, and analyze key performance indicators (KPIs) for the entire product, using data to measure success, identify areas for improvement, and inform the roadmap.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li-4382116160</t>
        </is>
      </c>
      <c r="B34" t="inlineStr">
        <is>
          <t>Senior Product Manager, Performance Video Advertising</t>
        </is>
      </c>
      <c r="C34" t="inlineStr">
        <is>
          <t>Roku</t>
        </is>
      </c>
      <c r="D34" t="inlineStr">
        <is>
          <t>linkedin</t>
        </is>
      </c>
      <c r="E34">
        <f>HYPERLINK("https://www.linkedin.com/jobs/view/4382116160", "https://www.linkedin.com/jobs/view/4382116160")</f>
        <v/>
      </c>
      <c r="F34" t="inlineStr"/>
      <c r="G34" t="inlineStr">
        <is>
          <t>Seattle, WA</t>
        </is>
      </c>
      <c r="H34" t="inlineStr"/>
      <c r="I34"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Ads Product team is responsible for monetizing Roku's platform through innovative advertising solutions across the Roku TV experience, including its premiere streaming service, The Roku Channel, on both Roku devices and off\-platform environments. Collectively, these products reach millions of users daily, creating valuable advertising inventory and engagement opportunities throughout the entire Roku ecosystem. 
**About the role** 
 We're looking for a Senior Product Manager to lead the development of performance\-driven video ad solutions across Roku's large\-scale in\-stream, pre\-roll, and post\-roll inventory. You will own products that help advertisers achieve measurable business outcomes by combining Roku's reach and first\-party data with predictive modeling, attribution, and incrementality measurement. 
 This role sits at the intersection of ad delivery, measurement, and optimization. You will define how performance is measured and improved on connected TV, building systems that translate exposure to outcomes, inform bidding and optimization, and prove incremental impact across channels. 
 For Washington Only \- The estimated annual salary for this position is between $176,163 \- $297,500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Performance video solutions: Own product capabilities that enable advertisers to drive and optimize toward performance outcomes using Roku's in\-stream, pre\-roll, and post\-roll video inventory
* Prediction and optimization models: Partner with data science and engineering to define and productize predictive models for outcomes such as conversion likelihood, response probability, and marginal lift, and integrate those models into delivery, pacing, and optimization workflows
* Attribution frameworks: Define and evolve attribution approaches for CTV performance advertising, including post\-view attribution, cross\-device and cross\-channel considerations, and measurement windows appropriate for video\-led demand generation
* Incrementality and lift measurement: Build products that enable advertisers to measure true incremental impact, including experimental design, holdouts, lift studies, and causal measurement approaches that go beyond last\-touch metrics
* Outcome\-driven product metrics: Establish success metrics that tie ad exposure and optimization to advertiser outcomes, such as incremental conversions, return on ad spend, and downstream business impact
* Scalable, advertiser\-ready products: Translate complex modeling and measurement systems into intuitive, scalable products that advertisers and sales teams can understand, trust, and adopt
* Cross\-functional leadership: Lead cross\-functional execution across product, engineering, data science, sales, and operations, aligning stakeholders on strategy, tradeoffs, and roadmap priorities
* Ecosystem\-level thinking: Anticipate how performance solutions interact with bidding, pricing, inventory allocation, and viewer experience, and make informed tradeoffs that support long\-term platform health
**We're excited if you have** 
* 5\+ years of product management experience, including ownership of complex or platform\-scale products
* Proven experience defining product strategy and driving execution in ambiguous environments
* Strong background in digital advertising, media, marketplaces, or data\-driven platforms
* Excellent analytical and decision\-making skills with a track record of delivering measurable impact
* Effective leader through influence, able to align diverse teams and stakeholders
* Passion for building scalable advertising products that deliver value to advertisers and viewers
* Experience with connected TV, programmatic advertising, or measurement platforms
* Experience leading large initiatives without direct authority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35">
      <c r="A35" t="inlineStr">
        <is>
          <t>li-4381982561</t>
        </is>
      </c>
      <c r="B35" t="inlineStr">
        <is>
          <t>Product Manager</t>
        </is>
      </c>
      <c r="C35" t="inlineStr">
        <is>
          <t>Robert Half</t>
        </is>
      </c>
      <c r="D35" t="inlineStr">
        <is>
          <t>linkedin</t>
        </is>
      </c>
      <c r="E35">
        <f>HYPERLINK("https://www.linkedin.com/jobs/view/4381982561", "https://www.linkedin.com/jobs/view/4381982561")</f>
        <v/>
      </c>
      <c r="F35" t="inlineStr"/>
      <c r="G35" t="inlineStr">
        <is>
          <t>Tulsa, OK</t>
        </is>
      </c>
      <c r="H35" t="inlineStr"/>
      <c r="I35" t="inlineStr">
        <is>
          <t>A leading mortgage company is seeking a talented Product Owner to help shape the future of their central servicing platform. In this role, you’ll collaborate closely with developers to create detailed product requirements and drive impactful tool enhancements from ideation to delivery. Position is 100% remote and comes with strong company benefits.
 Responsibilities:
 • Manage the entire product lifecycle, from initial concept and planning to deployment and ongoing refinement.
 • Work closely with engineering, operations, and compliance teams to define and prioritize product features.
 • Serve as the Scrum Master for cross\-functional teams, facilitating Agile ceremonies such as Sprint planning, daily stand\-ups, and retrospectives.
 • Collect and analyze business and technical requirements from diverse stakeholders to inform product development.
 • Integrate regulatory, risk, and compliance standards throughout the product lifecycle to maintain adherence to industry requirements.
 Requirements:
 • 5\+ years of experience as a Product Manager, preferably in financial services or mortgage servicing.
 • Proven experience developing product requirements for technical teams
 • Hands\-on experience querying SQL databases
 • Involvement in successful user migrations to new platforms
 • Strong background in Scrum/agile frameworks
 If you’re passionate about leveraging technology to streamline processes in the mortgage industry and excel at cross\-functional collaboration, we want to hear from you!
 Ready to make an impact? Apply today!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36">
      <c r="A36" t="inlineStr">
        <is>
          <t>li-4381016837</t>
        </is>
      </c>
      <c r="B36" t="inlineStr">
        <is>
          <t>Product Owner</t>
        </is>
      </c>
      <c r="C36" t="inlineStr">
        <is>
          <t>Haystack</t>
        </is>
      </c>
      <c r="D36" t="inlineStr">
        <is>
          <t>linkedin</t>
        </is>
      </c>
      <c r="E36">
        <f>HYPERLINK("https://www.linkedin.com/jobs/view/4381016837", "https://www.linkedin.com/jobs/view/4381016837")</f>
        <v/>
      </c>
      <c r="F36">
        <f>HYPERLINK("https://us.haystackapp.io/roles/69a42de418a3fcc077dfcc31?src=job-alert&amp;urlHash=Hicz", "https://us.haystackapp.io/roles/69a42de418a3fcc077dfcc31?src=job-alert&amp;urlHash=Hicz")</f>
        <v/>
      </c>
      <c r="G36" t="inlineStr"/>
      <c r="H36" t="inlineStr"/>
      <c r="I36" t="inlineStr">
        <is>
          <t>**Senior Vice President, Technical Product Owner \| NYC \| Hybrid \| $102,000 \- $221,000** 
 We're working with a leading global financial powerhouse that influences nearly 20% of the world’s investible assets on this exciting opportunity. We are looking for a visionary Product Owner to lead a high\-impact FX Integration Pod, merging cutting\-edge Payments Enablement platforms with sophisticated Market systems to redefine cross\-border finance.
 You will harness advanced AI and breakthrough digital banking technologies to streamline the client experience for global FX transactions. This is a high\-visibility role where you will drive the integration of complex APIs and workflow automation to power the future of global money movement.
**The Role** 
 • Lead the FX Integration Pod within the Payments Enablement enterprise platform, driving the strategy for Foreign Exchange service enhancements.
 • Orchestrate the seamless integration between global Payments platforms and Markets systems using modern API frameworks and microservices architecture.
 • Manage end\-to\-end payment lifecycles including initiation, real\-time processing, complex reversals, and automated cancellations.
 • Optimize FX rate management workflows, ensuring transparent communication of rates and robust risk management for every payment transaction.
 • Collaborate with cross\-functional engineering teams to deliver a superior, streamlined client experience for high\-volume FX payment rails.
**What You'll Need** 
 • 10\+ years of professional experience in Product Ownership or Technical Product Management within Banking or Fintech environments.
 • Deep expertise in the Payments Industry, specifically regarding cross\-border transactions, currency conversion, and international regulatory standards.
 • Strong technical proficiency in managing application integrations, workflow automation, and API\-driven architectures.
 • Advanced knowledge of FX market dynamics, including rate assignment, risk mitigation, and diverse payment rails/methods.
 • Proven track record of leading "Pods" or Agile teams to deliver scalable enterprise\-grade financial software solutions.
**What's On Offer** 
 • Competitive base salary of $102k \- $221k plus discretionary bonuses and long\-term incentive packages.
 • Work for a multi\-award\-winning innovator recognized by Fortune as one of the World’s Most Admired Companies.
 • Comprehensive global benefits including generous paid leaves, volunteer time, and world\-class wellness programs.
 • Hybrid work flexibility in a culture that champions inclusion and bold technological advancement.
**Apply via Haystack today!**</t>
        </is>
      </c>
    </row>
    <row r="37">
      <c r="A37" t="inlineStr">
        <is>
          <t>li-4340425961</t>
        </is>
      </c>
      <c r="B37" t="inlineStr">
        <is>
          <t>Sr Product Manager</t>
        </is>
      </c>
      <c r="C37" t="inlineStr">
        <is>
          <t>PayPal</t>
        </is>
      </c>
      <c r="D37" t="inlineStr">
        <is>
          <t>linkedin</t>
        </is>
      </c>
      <c r="E37">
        <f>HYPERLINK("https://www.linkedin.com/jobs/view/4340425961", "https://www.linkedin.com/jobs/view/4340425961")</f>
        <v/>
      </c>
      <c r="F37" t="inlineStr"/>
      <c r="G37" t="inlineStr">
        <is>
          <t>San Jose, CA</t>
        </is>
      </c>
      <c r="H37" t="inlineStr"/>
      <c r="I3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The P2P (Peer\-to\-Peer) product team enables hundreds of millions of users worldwide to send and receive money with friends, family, and even small businesses. As we launch new products and experiences, we want you to be a strategic driver of making the movement and management of money as simple, secure, and affordable as possible for all our users. In this role, you will work with engineering, design, and other product managers and stakeholders to build and execute a product roadmap around our global P2P (Peer\-to\-Peer) opportunities. Meet our team: You will be responsible for championing our customers and driving product development from concept to launch. You will be the product owner for your domain, balancing customer needs, business requirements, legal/compliance, growth, and monetization considerations.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**Minimum Qualifications:**
* 3\+ years relevant experience and a Bachelor’s degree OR Any equivalent combination of education and experience.
**Additional Responsibilities And Preferred Qualifications**
**In your day\-to\-day role, you will:**
* Drive product strategy and optimization – Define the product strategy, roadmap, and prioritization for P2P payments, leveraging data\-driven insights and AI/ML to enhance user experiences.
* Advocate for the customer – Spend time with customers, user research teams, and customer support teams to synthesize feedback and market trends, ensuring product decisions align with real user needs.
* Champion A/B testing and experimentation – Design and execute A/B tests to iterate on product flows, measure impact, and optimize conversion rates, engagement, and retention.
* Collaborate cross\-functionally – Work closely with design, engineering, data science, and research teams to build and optimize intuitive experiences across PayPal’s P2P web and mobile platforms. Partner with Legal, Privacy, and Compliance teams to ensure regulatory adherence without compromising user experience.
* Align technical and design execution – Partner with engineering and architecture teams to balance technical feasibility, AI\-driven optimizations, and thoughtful design choices while ensuring fast time\-to\-market.
* Communicate impact effectively – Clearly articulate product plans, benefits, and results to all stakeholders, including PayPal senior leadership.
**What do you need to bring:**
* 3\+ years of Product Management experience in technology companies.
* Experience designing, building and optimizing consumer web and mobile flows
* Strong analytical skills with expertise in funnel tracking and A/B experimentation
* Experience building a product roadmap with ability to analyze, quantify, and articulate trade\-offs of product roadmap features
* Track record of driving cross\-functional collaboration across design, engineering, data science, and compliance.
* Ability to lead in fast\-paced, ambiguous environments and align multiple stakeholders.
**Nice to Have:**
* Background in fintech, digital payments, or financial services.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R0132234</t>
        </is>
      </c>
    </row>
    <row r="38">
      <c r="A38" t="inlineStr">
        <is>
          <t>li-4382124123</t>
        </is>
      </c>
      <c r="B38" t="inlineStr">
        <is>
          <t>Senior Product Manager – Digital Platform Migrations</t>
        </is>
      </c>
      <c r="C38" t="inlineStr">
        <is>
          <t>VRIZE</t>
        </is>
      </c>
      <c r="D38" t="inlineStr">
        <is>
          <t>linkedin</t>
        </is>
      </c>
      <c r="E38">
        <f>HYPERLINK("https://www.linkedin.com/jobs/view/4382124123", "https://www.linkedin.com/jobs/view/4382124123")</f>
        <v/>
      </c>
      <c r="F38" t="inlineStr"/>
      <c r="G38" t="inlineStr"/>
      <c r="H38" t="inlineStr"/>
      <c r="I38" t="inlineStr">
        <is>
          <t>**About the Role** 
 VRIZE is seeking a Senior Product Manager with experience in retail digital platforms and enterprise system migrations to support strategic initiatives for a major retail client.
 This role will lead product efforts related to fraud platform migration, digital analytics platform migration, ratings and reviews systems, and unified gift card capabilities across brands. The ideal candidate brings strong expertise in product strategy, digital platform migrations, and cross\-functional execution within enterprise retail environments.
 You will partner with business stakeholders, engineering teams, digital commerce teams, and technology partners to define product strategies, execute migration initiatives, and support the client’s long\-term digital roadmap.
**Key Responsibilities** 
* Define and drive the product strategy and roadmap for digital platform initiatives within a retail commerce ecosystem.
* Lead product initiatives related to platform migrations, including fraud detection systems, analytics platforms, ratings and reviews solutions, and gift card integrations.
* Coordinate product capabilities across multiple retail brands, ensuring standardized and scalable digital platform solutions.
* Partner with business, engineering, and product teams to define requirements, align stakeholders, and drive delivery.
* Translate strategic initiatives into product requirements, epics, and user stories while supporting Agile product delivery.
* Monitor platform performance, track KPIs, and provide insights to guide product improvements and migration outcomes.
**Required Skills \&amp; Experience** 
* 10\+ years of Product Management experience, preferably within retail or digital commerce environments.
* Proven experience leading enterprise platform migrations and large\-scale product initiatives.
* Strong understanding of retail digital commerce platforms, storefront technologies, and multi\-brand ecosystems.
* Experience managing technology migrations such as fraud systems, analytics platforms (e.g., Adobe), ratings and reviews systems, or payment/gift card integrations.
* Familiarity with API\-driven architectures, data integrations, and modern digital platform ecosystems.
* Experience working with engineering teams in Agile product environments.
**Tools, Methodologies \&amp; Leadership Skills** 
* Experience working in Agile / Scrum product development environments and managing product backlogs, epics, and release planning
* Familiarity with tools such as JIRA, Confluence, or similar product management platforms
* Strong stakeholder management and cross\-functional collaboration across business, engineering, and product teams
* Excellent communication, presentation, analytical, and problem\-solving skills
* Ability to manage complex initiatives across multiple teams and systems
**Preferred Qualifications** 
* Experience with enterprise digital analytics platforms such as Adobe
* Knowledge of fraud detection systems or payment security platforms
* Experience working with ratings and reviews or customer engagement platforms
* Experience supporting large\-scale retail digital transformation initiatives
**Perks \&amp; Benefits** 
* Competitive salary with performance bonuses
* Flexible, remote\-first work environment
* Health, dental, and vision insurance
* Annual learning and certification budget
* Opportunity to work with a mission\-driven team
**About VRIZE INC** 
 VRIZE is a Global Digital \&amp; Data Engineering company, committed to delivering end\-to\-end Digital solutions and services to its customers worldwide. We offer business\-friendly solutions across industry verticals that include Banking, Financial Services, Healthcare \&amp; Insurance, Manufacturing, and Retail. The company has strategic business alliances with industry leaders such as Adobe, IBM Sterling Commerce, IBM, Microsoft, Docker, Sisense, Competera, Snowflake, and Tableau.
 VRIZE is headquartered out of Tampa (Florida) with a team size of 410 employees globally, currently, 100% of the clients undertaken are in the United States. Delivery centers are distributed in the US, Canada, Serbia, and India. Having stellar growth and future projections of 100% YOY for the last 3 years, the company has been successfully addressing its clients’ digital disruption needs. Our continued success depends to a large extent on our ability to remain at the forefront of disruptive developments in the field of information technology and leaders/team members joining the force are expected to replicate the same.
 VRIZE is an equal\-opportunity employer. Qualified applicants will receive consideration for employment without regard to race, color, religion, sex, marital status, age, national origin, ancestry, disability, medical condition, pregnancy, genetic information, gender, sexual orientation, gender identity or expression, veteran status, or any other status protected under federal, state, or local law. Individuals with disabilities are provided reasonable accommodation.</t>
        </is>
      </c>
    </row>
    <row r="39">
      <c r="A39" t="inlineStr">
        <is>
          <t>li-4365242711</t>
        </is>
      </c>
      <c r="B39" t="inlineStr">
        <is>
          <t>Principal Product Manager - Data Fabric</t>
        </is>
      </c>
      <c r="C39" t="inlineStr">
        <is>
          <t>GE HealthCare</t>
        </is>
      </c>
      <c r="D39" t="inlineStr">
        <is>
          <t>linkedin</t>
        </is>
      </c>
      <c r="E39">
        <f>HYPERLINK("https://www.linkedin.com/jobs/view/4365242711", "https://www.linkedin.com/jobs/view/4365242711")</f>
        <v/>
      </c>
      <c r="F39">
        <f>HYPERLINK("https://careers.gehealthcare.com/global/en/job/GEVGHLGLOBALR4027823EXTERNALENGLOBAL/Principal-Product-Manager-Data-Fabric?utm_source=linkedin&amp;utm_medium=phenom-feeds&amp;urlHash=Gu06", "https://careers.gehealthcare.com/global/en/job/GEVGHLGLOBALR4027823EXTERNALENGLOBAL/Principal-Product-Manager-Data-Fabric?utm_source=linkedin&amp;utm_medium=phenom-feeds&amp;urlHash=Gu06")</f>
        <v/>
      </c>
      <c r="G39" t="inlineStr">
        <is>
          <t>California, United States</t>
        </is>
      </c>
      <c r="H39" t="inlineStr"/>
      <c r="I39" t="inlineStr">
        <is>
          <t>**Job Description Summary**
 As part of the Science and Technology Organization, we develop the common data fabric that drives the next generation of clinical and operational healthcare applications that seamlessly connect with clinical devices \&amp; sensors from Imaging, Monitoring and U/S scanners, and Enterprise health IT systems such as EMRs and PACS. We are looking for a talented and creative expert to help define, create and evolve a new generation of world\-class cloud\-based healthcare solutions \&amp; AI applications across our business portfolios powered by hundreds of existing and new purpose\-built services.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 Work backwards from customer use\-cases to define the product strategy and requirements for the connectivity and enrichment capabilities of the Data fabric.
* Develop and align product roadmap with internal stakeholders, and drive execution partnering with engineering.
* Lead the development of the data fabric connectivity and enrichment capabilities, ensuring that it is user\-friendly, intuitive, and meets the needs of our developers.
* Work closely with customers, data integration teams, architects, engineers, and external vendors to prioritize deliverables and ensure releases meet roadmap content and timelines.
* Conduct market research and stay up\-to\-date with the latest trends and best practices in health data and digital health technologies enabling precision and personalized care
* Work with cross\-functional teams to innovate and change the way software is deployed and commercialized to rapidly bring to market new solutions that help unlock, correlate, and analyze the clinical data that powers todays intelligent, precision healthcare.
* Be equally comfortable digging into business and commercial requirements and digging into operational and deployment strategies with service, architecture and design teams
* Be flexible, excel when faced with ambiguity and thrive in a fast\-paced environment. Have a bias for acting now \- then iterate point of view.
**Required Qualifications**
* Bachelor's degree in Engineering, Computer Science or related field
* Minimum 8 years of industry experience, 5 years of product management experience
* Expertise in healthcare workflows, data, interoperability standards (HL7, FHIR, DICOM) and care protocols
* Proven experience in leading cross\-functional teams and managing the development process for complex software products.
**Desired Characteristics**
* Master’s Degree in Engineering, Computer Science or related field
* 3\+ years of hands\-on software engineering experience
* Experience leading and/or managing efforts in a distributed systems environment
* Hands\-on experience building cloud\-scale applications
* Strong written and verbal communication skills
* Ability to excel in a fast\-paced, startup\-like environment
 For U.S. based positions only, the pay range for this position is $164,000\.00\-$246,000\.00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40">
      <c r="A40" t="inlineStr">
        <is>
          <t>li-4365296757</t>
        </is>
      </c>
      <c r="B40" t="inlineStr">
        <is>
          <t>Principal Product Manager - Credit</t>
        </is>
      </c>
      <c r="C40" t="inlineStr">
        <is>
          <t>Cleo</t>
        </is>
      </c>
      <c r="D40" t="inlineStr">
        <is>
          <t>linkedin</t>
        </is>
      </c>
      <c r="E40">
        <f>HYPERLINK("https://www.linkedin.com/jobs/view/4365296757", "https://www.linkedin.com/jobs/view/4365296757")</f>
        <v/>
      </c>
      <c r="F40" t="inlineStr"/>
      <c r="G40" t="inlineStr">
        <is>
          <t>New York, NY</t>
        </is>
      </c>
      <c r="H40" t="inlineStr"/>
      <c r="I40" t="inlineStr">
        <is>
          <t>**About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$300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$200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We are hiring for multiple product roles within our Credit pillar, to launch modern credit products from scratch. As a Principal Product Manager, you'll work closely with a cross\-functional squad of engineers, designers, data scientists, analysts and writers on the user experience for our credit products.
****Key Responsibilities****
* Leading on product strategy for Cleo’s Credit experiences
* Collaborating closely with engineers, data scientists and analysts to launch key new products with a global focus
* Defining and track success metrics related to customer engagement, retention, and financial well\-being
* Prioritising high\-impact opportunities and ruthlessly focus your squad on what matters most
* Ensuring your squad is aligned and involved in product direction and key decisions
* Continuously iterating on the product based on user insights, data, and testing outcomes
****What We’re Looking For****
* You should ideally have several years of relevant experience and passion for growth focused work at a senior level
* Experience in consumer\-facing credit for the US market
* You can share mobile app focused work that shows a proven track record of high quality execution in high\-growth, fast\-paced and product\-led businesses
* Strong prioritisation skills with the ability to focus your team on impactful work
* Collaborative and inclusive leadership style with a track record of empowering cross\-functional teams
* Ability to clearly communicate product decisions and trade\-offs to stakeholders
* Creativity in approaching product challenges and rethinking how people manage their finances
* High energy and ownership mindset with a focus on driving measurable outcomes
* Passion for building tools that improve users’ financial lives through engaging, meaningful conversations
**What do you get for all your hard work?**
* A competitive compensation package (base \+ equity) with bi\-annual reviews, aligned to our quarterly OKR planning cycles.
* Work at one of the fastest\-growing tech startups, backed by top VC firms, Balderton \&amp; EQT Ventures
* A clear progression plan. We want you to keep growing. That means trying new things, leading others, challenging the status quo and owning your impact. Always with our complete support.
* Flexibility. We can’t fight for the world’s financial health if we’re not healthy ourselves. We work with everyone to make sure they have the balance they need to do their best work
* Work where you work best. We’re a globally distributed team. If you live in London we have a hybrid approach, we’d love you to spend one day a week or more in our beautiful office. If you’re outside of London, we’ll encourage you to spend a couple of days with us a few times per year. And we’ll cover your travel costs, naturally
****Other Benefits****
* Company\-wide performance reviews every 6 months
* Generous pay increases for high\-performing team members
* Equity top\-ups for team members getting promoted
* 15 days annual leave a year \+ public holidays (\+ an additional day for every year you spend at Cleo)
* 401k matching
* Medical Insurance, Dental and Vision care
* Generous Parental Leave
* 1 month paid sabbatical after 4 years at Cleo
* Regular socials and activities, online and in\-person
* We'll pay for your OpenAI subscription
* Online mental health support via Spill
* And many more!
**Welcoming Everyone**
 We strongly encourage applications from people of colour, the LGBTQ\+ community, people with disabilities, neurodivergent people, parents, carers, and people from lower socio\-economic backgrounds.
 If there’s anything we can do to accommodate your specific situation, please let us know.
**Download the Test Flight**
 App access for people in the UK \&amp; Europe: If you are an iOS user, please use this link to sign up to our TestFlight version of the app, so you can have a play around with the functionality and features: https://testflight.apple.com/join/fDG9hWn
 Compensation range
* United States: $160,000 \- $200,000 gross annually\*
* Other locations: Compensation will be discussed during the interview process
* Final compensation will be determined based on the candidate's qualifications, skills, and previous experience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
 Compensation range
* United States: $160,000 \- $200,000 gross annually\*
* Other locations: Compensation will be discussed during the interview process
* Final compensation will be determined based on the candidate's qualifications, skills, and previous experience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t>
        </is>
      </c>
    </row>
    <row r="41">
      <c r="A41" t="inlineStr">
        <is>
          <t>li-4381982119</t>
        </is>
      </c>
      <c r="B41" t="inlineStr">
        <is>
          <t>Product Manager</t>
        </is>
      </c>
      <c r="C41" t="inlineStr">
        <is>
          <t>Wenham Carter</t>
        </is>
      </c>
      <c r="D41" t="inlineStr">
        <is>
          <t>linkedin</t>
        </is>
      </c>
      <c r="E41">
        <f>HYPERLINK("https://www.linkedin.com/jobs/view/4381982119", "https://www.linkedin.com/jobs/view/4381982119")</f>
        <v/>
      </c>
      <c r="F41" t="inlineStr"/>
      <c r="G41" t="inlineStr"/>
      <c r="H41" t="inlineStr"/>
      <c r="I41" t="inlineStr">
        <is>
          <t>Are you ready to
 **own a portfolio that drives growth in the heavy\-duty collision aftermarket** 
 ?
 We’re looking for a Product Segment Manager to take full ownership of our collision components line—including grilles, fenders, hoods, and windshields.
**Why this role matters:** 
 You won’t just manage a single product,you’ll own the full collision segment, responsible for volume, margin, product positioning, and overall portfolio strategy. You’ll work across dealers, distributors, national accounts, and suppliers to ensure products are available, competitive, and positioned for growth.
**What you’ll do:** 
* Lead product lifecycle and pricing strategy for OEM, genuine, and private\-label equivalents.
* Drive competitive analysis and portfolio planning
* Partner with purchasing, supply chain, finance, and distribution teams to bring products to market efficiently.
* Support product launches, dealer training, and national account engagement.
* Act as the central hub connecting data, teams, and strategy to maximize growth.
**Who we’re looking for:** 
* Experienced in
 **product or portfolio management** 
 in the heavy\-duty aftermarket.
* Understanding of the Heavy Duty OEM space
* Commercially savvy, strategic, and confident interacting with dealers, suppliers, and cross\-functional teams.</t>
        </is>
      </c>
    </row>
    <row r="42">
      <c r="A42" t="inlineStr">
        <is>
          <t>li-4372124189</t>
        </is>
      </c>
      <c r="B42" t="inlineStr">
        <is>
          <t>AVP, Product Owner, Advisor Data</t>
        </is>
      </c>
      <c r="C42" t="inlineStr">
        <is>
          <t>LPL Financial</t>
        </is>
      </c>
      <c r="D42" t="inlineStr">
        <is>
          <t>linkedin</t>
        </is>
      </c>
      <c r="E42">
        <f>HYPERLINK("https://www.linkedin.com/jobs/view/4372124189", "https://www.linkedin.com/jobs/view/4372124189")</f>
        <v/>
      </c>
      <c r="F42" t="inlineStr"/>
      <c r="G42" t="inlineStr">
        <is>
          <t>Austin, TX</t>
        </is>
      </c>
      <c r="H42" t="inlineStr"/>
      <c r="I42"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LPL Financial’s Investor Experience organization is seeking a Advisor System of Record (SOR) Product Owner to define and deliver the future of our Advisor data management ecosystem. This role bridges business strategy, data governance, and technology delivery, ensuring our advisor platform has accurate, governed, and high\-quality advisor data across systems.
 The ideal candidate combines product ownership expertise, data governance acumen, and technical literacy, enabling them to translate business needs into scalable, governed data solutions that power client and advisor experiences.
**Responsibilities:**
* Own the vision, strategy, and roadmap for Advisor SOR capabilities and integrations across the advisor platform.
* Collaborate with business, data, and technology stakeholders to ensure alignment on goals, requirements, and governance principles.
* Serve as liaison to Commonwealth and future M\&amp;A integration teams for metadata documentation, data quality, and lineage validation.
* Write and manage epics, stories, and acceptance criteria in Jira, ensuring traceability between business and technical requirements.
* Define and maintain data governance standards, including quality rules, scorecards, and SOR documentation in Confluence.
* Oversee data profiling, lineage analysis, and validation to ensure integrity across source and target systems.
* Lead and mentor team members in agile practices, sprint planning, and continuous improvement.
* Monitor and communicate project progress, risks, and dependencies, driving resolution and stakeholder transparency.
* Advocate for customer\-centric, data\-driven decision\-making and continuous improvement of data quality and usability.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 Bachelor’s degree in related field (advanced degree preferred).
* 7\+ years in data\-centric product ownership, data management, or governance roles within financial services or fintech.
* 5\+ years experience with SQL, data modeling (star/snowflake), and data governance tools.
* 5\+ years experience translating complex data concepts into business value and vice versa.
**Core Competencies:**
* Deep understanding of CRM advisor data architecture, data integration, and systems of record (SOR).
* Hands\-on experience in agile delivery, Jira, and Confluence.
* Strong analytical, communication, and stakeholder management skills.
* Product Ownership
* Analytical Thinking \&amp; Problem Solving
* Technical Acumen (SQL, Data Models, APIs)
* Communication \&amp; Leadership
* Continuous Improvement Mindset
**Preferences:**
* Experience with AWS, Snowflake, and data pipeline transformations.
* Background in wealth management or financial advisory services.
* Familiarity with API\-based \&amp; Kafka integrations, and CRM data flows.
* Proficiency in Tableau, Power BI or other visualization tools.
* Proven ability to mentor team members and drive a culture of collaboration and governance excellence.
**Pay Range:**
 $109,270\-$182,117/year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43">
      <c r="A43" t="inlineStr">
        <is>
          <t>li-4371709295</t>
        </is>
      </c>
      <c r="B43" t="inlineStr">
        <is>
          <t>Sr. Product Manager: Disruption - Core &amp; Commerce (100% Remote - USA)</t>
        </is>
      </c>
      <c r="C43" t="inlineStr">
        <is>
          <t>Hopper</t>
        </is>
      </c>
      <c r="D43" t="inlineStr">
        <is>
          <t>linkedin</t>
        </is>
      </c>
      <c r="E43">
        <f>HYPERLINK("https://www.linkedin.com/jobs/view/4371709295", "https://www.linkedin.com/jobs/view/4371709295")</f>
        <v/>
      </c>
      <c r="F43">
        <f>HYPERLINK("https://jobs.ashbyhq.com/hopper/91de5776-e187-4cfe-8e82-c8c93b1f601b/application?utm_source=LinkedIn_Job_Wrapping&amp;urlHash=4dpG", "https://jobs.ashbyhq.com/hopper/91de5776-e187-4cfe-8e82-c8c93b1f601b/application?utm_source=LinkedIn_Job_Wrapping&amp;urlHash=4dpG")</f>
        <v/>
      </c>
      <c r="G43" t="inlineStr">
        <is>
          <t>New York, NY</t>
        </is>
      </c>
      <c r="H43" t="inlineStr"/>
      <c r="I43" t="inlineStr">
        <is>
          <t>**About The Job**
 As Senior Product Manager on the Disruption Core \&amp; Commerce team, you will work at the intersection of the business, software development, data science, and user experience to create innovative solutions and intuitive user experiences to reduce the stress of traveling. You will have a competitive understanding of the travel landscape to facilitate the creation of successful new features.
 On any given day \- whether you’re weighing the tradeoffs of offering new features, scoping and specifying solutions with partners, or shepherding features through development \- your contribution will be critical to Hopper’s current and future success.
 Leveraging data science to solve customers’ problems is in Hopper’s DNA. While this began with helping customers save money by booking at the best time, we’ve also built a suite of novel Fintech products which help customers save money, retain optionality to cancel or change their trips as needed, and help them seamlessly rebook when they run into problems during their travel.
 This position is on the Disruption team, focused on solving that last problem. Hopper offers a product called Disruption Assistance for Any Reason that helps customers navigate flight delays and cancellations, and ultimately get where they want to go. If a customer experiences a disruption, they can rebook themselves on any airline – for free – or get a 100% refund of their trip cost.
 The Disruption team is expanding rapidly by offering our product in new distribution channels, and scaling the business into an enterprise. As the Senior Product Manager for the Disruption team, you are part of a cross functional team that is dedicated to this specific product; you will have immense impact, experience no gatekeeping, and no competing priorities, allowing you to truly focus on product work and your customers!
**What Would Your Day\-to\-day Look Like**
* Manage a product roadmap across several different business objectives and distribution channels, ensuring that we are executing against the highest impact items at any given time, and delivering things on time.
* Figure out how to leverage AI to improve our customer experience and internal processes to execute our implementation pipeline successfully.
* Work closely with external partners on new and existing implementations; earn and maintain trust by building good relationships.
* Work closely with internal stakeholders to understand feature gaps and solution around them; earn and maintain trust by building good relationships.
* Rapidly test sound hypotheses through new merchandising experiments at different points in the customer journey to increase revenue
* Use data to identify user behavior and purchase patterns, which directly lead to hypotheses around opportunities that can be measurably validated/invalidated through simple experiments
* Launch new partnerships, end to end: from sales pitch to design to development to customer service to optimization. This person will launch things from the ground up and grow them into mature products.
* Work with customer service to understand and identify customer problem trends
* Work with back\-end and front\-end engineers, designers, legal, and many other stakeholders to launch innovative features quickly and bug\-free
* Learn and use a diverse set of analytics and AI tools
**An ideal candidate has**
* B2B and B2C experience
* Delivered impactful and delightful features at scale
* Has incorporated AI into their product or processes to achieve business outcomes
* Strong experience, knowledge of, and/or keen interest in Fintech, Insurtech, or risk\-based products
* An innovative and detail\-oriented approach to problem\-solving
* Extreme attention to detail, and simultaneously the ability to think and operate strategically.
* Exceptional ability to grasp, manage, and articulate complex systems
* Experience connecting innovative solutions to real\-world, user problems with actual business needs of a rapidly scaling organization
* Technical depth that allows you to communicate with, understand, and earn the respect of world\-class engineers and data scientists
* A track record of being proactive and persuading colleagues by constructing a compelling narrative both in\-person and in\-writing
* Past success analyzing data, drawing accurate conclusions, and adjusting strategy accordingly
* No ego, and a strong focus on doing what is right for the customer and the company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$200K \- $450K</t>
        </is>
      </c>
    </row>
    <row r="44">
      <c r="A44" t="inlineStr">
        <is>
          <t>li-4364191205</t>
        </is>
      </c>
      <c r="B44" t="inlineStr">
        <is>
          <t>Staff Product Manager, Money</t>
        </is>
      </c>
      <c r="C44" t="inlineStr">
        <is>
          <t>Robinhood</t>
        </is>
      </c>
      <c r="D44" t="inlineStr">
        <is>
          <t>linkedin</t>
        </is>
      </c>
      <c r="E44">
        <f>HYPERLINK("https://www.linkedin.com/jobs/view/4364191205", "https://www.linkedin.com/jobs/view/4364191205")</f>
        <v/>
      </c>
      <c r="F44">
        <f>HYPERLINK("https://boards.greenhouse.io/robinhood/jobs/7587151?t=gh_src%3D&amp;gh_jid=7587151&amp;gh_src=ed898e781us&amp;source=LinkedIn&amp;urlHash=cgXN", "https://boards.greenhouse.io/robinhood/jobs/7587151?t=gh_src%3D&amp;gh_jid=7587151&amp;gh_src=ed898e781us&amp;source=LinkedIn&amp;urlHash=cgXN")</f>
        <v/>
      </c>
      <c r="G44" t="inlineStr">
        <is>
          <t>Washington, DC</t>
        </is>
      </c>
      <c r="H44" t="inlineStr"/>
      <c r="I44"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Robinhood’s Money team is building the next generation of banking and spending products for all Americans. Our team members drive never\-before\-seen products and features from concept to launch to hyperscale. As a Product Manager, you will be at the core of shaping the future of our banking product and enable us to unlock next\-generation banking products and supercharge customer operations, ultimately helping drive best\-in\-class customer experience.
**This role is based in our Menlo Park, CA, New York, NY, and Washington, DC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a team of engineers, designers, researchers, data scientists, and operators to better understand customers and their most pressing needs
* Establishing a product vision and shared set of priorities across the team and the company, which meet the most important needs of our customers
* Collaborate with cross functional stakeholders such as legal, compliance, operations, finance, and customer success to ensure products are built the right way
* Drive execution from concept through launch, including defining success metrics and iterating based on results
**What You Bring**
* Bachelor’s, Master's, or equivalent experience
* At least 5 years of direct product management experience building high\-quality products; 7\+ years preferred
* Superb product and business sense
* Excellent analytical and communication skills
* A strong sense of urgency and speed, with the ability to manage multiple priorities in a fast\-moving environment
* High standards and a strong work ethic \- you always bring your best and expect your colleagues to do the same
* Delight in bringing innovation and impact to customers, particularly in complex and dynamic environments
* Experience in fintech products is a plus, but not required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$191,000—$225,000 USD
 Zone 2 (Denver, CO; Westlake, TX; Chicago, IL)
 $168,000—$198,000 USD
 Zone 3 (Lake Mary, FL; Clearwater, FL; Gainesville, FL)
 $150,000—$176,000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45">
      <c r="A45" t="inlineStr">
        <is>
          <t>li-4381011160</t>
        </is>
      </c>
      <c r="B45" t="inlineStr">
        <is>
          <t>AVP, Product Owner</t>
        </is>
      </c>
      <c r="C45" t="inlineStr">
        <is>
          <t>Lincoln Financial</t>
        </is>
      </c>
      <c r="D45" t="inlineStr">
        <is>
          <t>linkedin</t>
        </is>
      </c>
      <c r="E45">
        <f>HYPERLINK("https://www.linkedin.com/jobs/view/4381011160", "https://www.linkedin.com/jobs/view/4381011160")</f>
        <v/>
      </c>
      <c r="F45" t="inlineStr"/>
      <c r="G45" t="inlineStr">
        <is>
          <t>Charlotte, NC</t>
        </is>
      </c>
      <c r="H45" t="inlineStr"/>
      <c r="I45" t="inlineStr">
        <is>
          <t>**Alternate Locations:** 
 Charlotte, NC (North Carolina); Omaha, NE (Nebraska)
**Work Arrangement:**
 Hybrid : Employee will work 3 days a week in a Lincoln office
**Relocation assistance:** 
 is not available for this opportunity.
**Requisition \#:** 
 75844
**The Role at a Glance**
 We are excited to bring on an
 **AVP, Product Owne** 
 r to join our Group Protection Portfolio Enablement team in a remote or hybrid environment, depending on your proximity to one of our key cities.
*Background Details*
 As the AVP \- Product Manager, you will oversee a team of roughly eleven (11\) individual contributors. You will provide direction and functional expertise to the aligned value stream, responsible for delivery of execution scope items and ongoing prioritization of business technology needs. You will also have primary responsibility for the Group Protection technology enablement intake process.
**What You'll Be Doing**
* You will be responsible for the Group Protection technology enablement intake process, including triage of requests, coordination with leadership for prioritization, and confirmation of approved business case across the business ecosystem of all functional business areas.
* You will serve as the business liaison engaging on new AI opportunities presented to the business for due diligence as part of our enterprise AI governance process.
* You will lead the team providing Group Protection organizational readiness and project management activities and execution plans, supporting various initiatives across the business as needed, and prioritizing capacity and assignment according to business strategies.
* You will maintain knowledge on current and emerging developments/trends, assess the impact, and collaborate with senior management to incorporate new trends and developments in current and future strategies.
* You will direct and enhance organizational initiatives by positively influencing and supporting change management and/or departmental/enterprise initiatives. In addition, you will identify and direct strategic process improvements that significantly reduce workloads or improve quality across the team, department and/or business unit.
* You will provide training and development opportunities, including stretch assignments, for team members and give honest and open feedback to aid in the development of talent. You will direct and evaluate departmental performance and take appropriate action to meet and/or exceed performance standards.
* You will lead the Quarterly Portfolio Review (QPR) on behalf of Value Stream, define and presents quarterly priorities in the QPR memo. In addition, you will own the Value Stream backlog and roadmap; prioritize Epics for the Value Stream.
* You will synchronize the vision with Product Owners and manage cross\-team dependencies.
**What We’re Looking For**
*Must\-have experience (Required):*
* 4 Year/Bachelor's degree or equivalent work experience (4 years of experience in lieu of Bachelor's).
* 10\+ Years of Insurance industry experience directly related to this position.
* 3\+ Years of managerial, supervisory, and/or demonstrated leadership experience including influencing senior management/critical stakeholders experience.
* Demonstrate strong transformational leadership skills including critical ability to develop and execute operational change impacting people, process, and technology.
* Ability to think critically, analyze information, evaluate the implications of a course of action or solution, and to make decisions under pressure.
* Demonstrated strong relationship management skills with internal/external stakeholders with proven ability to develop creative and collaborative approaches.
* Confident, comfortable communicator with strong written and verbal communication skills.
*Nice\-to\-have experience (Preferred):*
* Org Readiness \&amp; Project Management experience
* Group Protection/Benefits experience
**Travel Requirements**
* Travel Type: Regional Domestic
* Travel Amount: up to 10%
 Application Deadline
 Applications for this position will be accepted through March 12th, subject to earlier closure due to applicant volume.
**What’s it like to work here?**
 At Lincoln Financial,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of Lincoln's core values and leadership attributes
* Leadership development and virtual training opportunities
* PTO/parental leave
* Competitive 401K and employee benefits
* Free financial counseling, health coaching and employee assistance program
* Tuition assistance program
* Work arrangements that work for you
* Effective productivity/technology tools and training
 The pay range for this position is $127,500 \- $232,300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(NYSE: LNC) helps people to confidently plan for their version of a successful future. We focus on identifying a clear path to financial security, with products including annuities, life insurance, group protection, and retirement plan services.
 With our 120\-year track record of expertise and integrity, millions of customers trust our solutions and service to help put their goals in reach.
 Lincoln Financial Distributors, a broker\-dealer, is the wholesale distribution organization of Lincoln Financial. Lincoln Financial is the marketing name for Lincoln Financial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
 Lincoln is committed to creating an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Instagram, and YouTube.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are considered property of Lincoln Financial and are not subject to payment of agency fees.
 Lincoln Financial ("Lincoln" or "the Company") is an Equal Opportunity employer and, as such, is committed in policy and practice to recruit, hire, compensate, train and promote, in all job classifications, without regard to race, color, religion, sex, age, national origin or disability. Opportunities throughout Lincoln are available to employees and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is>
      </c>
    </row>
    <row r="46">
      <c r="A46" t="inlineStr">
        <is>
          <t>li-4381011929</t>
        </is>
      </c>
      <c r="B46" t="inlineStr">
        <is>
          <t>SAP Product Manager</t>
        </is>
      </c>
      <c r="C46" t="inlineStr">
        <is>
          <t>Data Capital Incorporation</t>
        </is>
      </c>
      <c r="D46" t="inlineStr">
        <is>
          <t>linkedin</t>
        </is>
      </c>
      <c r="E46">
        <f>HYPERLINK("https://www.linkedin.com/jobs/view/4381011929", "https://www.linkedin.com/jobs/view/4381011929")</f>
        <v/>
      </c>
      <c r="F46" t="inlineStr"/>
      <c r="G46" t="inlineStr">
        <is>
          <t>San Jose, CA</t>
        </is>
      </c>
      <c r="H46" t="inlineStr"/>
      <c r="I46" t="inlineStr">
        <is>
          <t>We are looking for an experienced
 **Senior Product Manager – SAP Finance** 
 to join our
 **Corporate Shared Services team** 
 . The ideal candidate will have deep expertise in
 **SAP S/4HANA, ECC, and financial systems** 
 and will be responsible for defining the product strategy, roadmap, and delivery of finance\-related technology solutions.
 This role requires close collaboration with
 **finance stakeholders, engineering teams, and cross\-functional partners** 
 to build scalable financial products that support business growth and operational efficiency.
 Required Qualifications
* **10\+ years of experience** 
 working with
 **SAP S/4HANA Finance applications and systems** 
 .
* Strong experience managing
 **full product lifecycle** 
 , from development through launch and post\-launch support.
* Deep expertise in
 **SAP S/4HANA / ECC Finance modules** 
 .
* Experience with
 **SAP General Ledger (GL), Accounts Payable (AP), Accounts Receivable (AR), FICA (with CC/CI), and Treasury module integrations** 
 .
* Strong understanding of
 **accounting principles, financial reporting standards, and subscription\-based business models** 
 .
* Experience integrating SAP with platforms such as
 **Salesforce, Microsoft Dynamics, Databricks, or other analytics platforms** 
 .
* Ability to
 **translate business requirements into functional specifications** 
 and collaborate with development teams to implement solutions.
* Strong
 **analytical and data\-driven decision\-making skills** 
 .</t>
        </is>
      </c>
    </row>
    <row r="47">
      <c r="A47" t="inlineStr">
        <is>
          <t>li-4309202715</t>
        </is>
      </c>
      <c r="B47" t="inlineStr">
        <is>
          <t>Digital Product Owner</t>
        </is>
      </c>
      <c r="C47" t="inlineStr">
        <is>
          <t>Deckers Brands</t>
        </is>
      </c>
      <c r="D47" t="inlineStr">
        <is>
          <t>linkedin</t>
        </is>
      </c>
      <c r="E47">
        <f>HYPERLINK("https://www.linkedin.com/jobs/view/4309202715", "https://www.linkedin.com/jobs/view/4309202715")</f>
        <v/>
      </c>
      <c r="F47" t="inlineStr"/>
      <c r="G47" t="inlineStr">
        <is>
          <t>Arizona, United States</t>
        </is>
      </c>
      <c r="H47" t="inlineStr"/>
      <c r="I47" t="inlineStr">
        <is>
          <t>At Deckers Brands, Together, Every Step is a promise kept that every employee can bring their authentic self, is valued and supported, as a whole person, at work and beyond. Together, Every Step is how we continue to deliver exceptional business results, experience an amazing place to work, and have a positive impact on the communities and world around us.
**Job Title:** 
 Digital Product Owner
**Reports to:** 
 Director, DTC Digital Product Management
**Location:** 
 United States (Remote)
 Interested applicants must reside in one of the following approved states: Arizona, California, Colorado, Minnesota, New Jersey, Texas.
**The Role**
 Are you ready to lead and innovate in the fast\-paced world of digital commerce? As the Digital Product Owner, you will be responsible for delivering value, managing the roadmap, and overseeing digital\-related projects within the Direct\-to\-Consumer Channel. You will provide vision and direction to development teams and stakeholders, ensuring that our technology platforms and third\-party integrations are built to specification. This role is pivotal in creating alignment on priority, understanding value, and delivery timing. You will collaborate heavily with key partners across the business, advocating for the product vision and driving the completion and adoption of product deliverables. Join us in shaping the future of digital commerce at Deckers Brands.
**We celebrate diversity\-\-of your background, your experiences and your unique identity. We are committed to ensuring an inclusive and equitable workplace where all of our employees can Come as They Are. We believe that when we bring our different perspectives to work, we are truly Better Together.**
**Your Impact**
* Lead Product Delivery Team: Drive maximum value through project/product best practices.
* Facilitate strategic planning: Align with key stakeholders to create and maintain product roadmap.
* Collaborate with core teams: Work with DevOps, UX, Brand, and Regional teams to ensure alignment and delivery.
* Practice continuous improvement: Adapt processes to changing environments and plan future product iterations.
* Manage product risk: Utilize internal team solutions and proper escalation paths.
* Build strong relationships: Foster collaboration with core business partners throughout DTC and the wider organization.
* Maintain and improve reporting: Evaluate success and identify opportunities within the product.
**Who You Are**
* Education/Certifications:
+ Bachelor’s degree in related field, or equivalent related work experience
+ Product Owner certification from PMP, Scrum, or similar industry
* Work Experience:
+ 5\+ years of project management and/or product owner experience
+ Previous BSA/BA or requirements writing experience
+ Experience in digital/eCommerce tech fields, familiar with top ecomm platforms
+ Experience in eCommerce retail industry, familiarity with marketplace trends
+ Knowledge in loyalty and rewards programs
* Skills/Competencies:
+ Leadership and management skills to build strong teams and foster a positive working environment
+ Ability to effectively prepare and present information and respond to questions from management, clients, and other employees
+ Thorough understanding of eCommerce business systems and web platforms
+ Estimating, budgeting, and reporting abilities
+ Creative and tactical approaches to projects in a growth company
+ Knowledge and experience with e\-commerce, retail, and omnichannel technologies
+ Proactive communicator and excellent listener
+ Strong organizational skills; can bring together resources to get the job done
+ Proactive resolution of project issues and conflict
+ Proven relationship\-management skills and ability to communicate effectively with all levels
+ Knowledge of Scrum and Waterfall best practices
**What We'll Give You –**
* Competitive Pay and Bonuses \- We’ve created a variety of competitive compensation programs to foster career development, reward success and to show our employees just how much they’re valued.
* Financial Planning and wellbeing \- No matter what financial goals our employees have set, we want to help them get there. Our plans provide powerful ways to protect income, pay for expenses and invest in the future.
* Time away from work \- Sometimes we need time away to be with family, focus on our health or just simply recharge. Our plans support our employees’ needs to get out, get healthy and come back stronger than ever.
* Extras, discounts and perks \- Being a valued member of the Deckers Brands team means more than just a paycheck. From generous discounts to community\-based programs, we offer a variety of cool extras
* Growth and Development \- Deckers Brands was built on the idea of pursuing passion. That’s why we offer extensive opportunities and support for personal and professional development.
* Health and Wellness \- There’s nothing basic about our comprehensive health and wellness programs and offerings. While at work and at play, we aim to support a healthy lifestyle.
 $120,000 \- $130,000
 The salary range posted reflects the minimum and maximum target for new hire salaries for this role in
 *our Goleta, CA location.* 
 Individual pay will be determined by location and additional factors, including job related skills, experience, and relevant education or training. Your recruiter can share more about the specific salary for your preferred location during the hiring process.
**Equal Employment Opportunity**
**Diversity and inclusion are key to our success. We are proud to be an equal opportunity employer, and our employees are people with different strengths, experiences and backgrounds who share a passion for our brands. We welcome qualified applicants regardless of their race, color, religion, sex, sexual orientation, gender identity, gender expression, national origin, age, military or veteran status, mental or physical disability, medical condition and all the other beautiful parts of your identity.**</t>
        </is>
      </c>
    </row>
    <row r="48">
      <c r="A48" t="inlineStr">
        <is>
          <t>li-4381996184</t>
        </is>
      </c>
      <c r="B48" t="inlineStr">
        <is>
          <t>Product Owner</t>
        </is>
      </c>
      <c r="C48" t="inlineStr">
        <is>
          <t>Procurement Partners</t>
        </is>
      </c>
      <c r="D48" t="inlineStr">
        <is>
          <t>linkedin</t>
        </is>
      </c>
      <c r="E48">
        <f>HYPERLINK("https://www.linkedin.com/jobs/view/4381996184", "https://www.linkedin.com/jobs/view/4381996184")</f>
        <v/>
      </c>
      <c r="F48">
        <f>HYPERLINK("https://dc1prodrecruiting.paylocity.com/Recruiting/Jobs/Apply/3977499/Procurement-Partners-LLC?source=LinkedIn_Feed&amp;urlHash=vp8c", "https://dc1prodrecruiting.paylocity.com/Recruiting/Jobs/Apply/3977499/Procurement-Partners-LLC?source=LinkedIn_Feed&amp;urlHash=vp8c")</f>
        <v/>
      </c>
      <c r="G48" t="inlineStr">
        <is>
          <t>Bloomington, IL</t>
        </is>
      </c>
      <c r="H48" t="inlineStr"/>
      <c r="I48" t="inlineStr">
        <is>
          <t>**Description**
***About Us:***
 Procurement Partners builds easy\-to\-use software that lets healthcare organizations automate their purchasing, inventory management, and invoicing. We help thousands of facilities, and their staff reduce expenses and time spent procuring items, allowing them to increase the time available where it matters most caring for their patients and residents. Procurement Partners now includes both OnCare \&amp; Hybrent product lines, making us the fastest\-growing procure\-to\-pay software company in healthcare.
 We are backed by a growth\-oriented investment firm that is scaling up rapidly, and we want you to join our organization! If you have a passion for technology, enjoy providing value to customers, and are looking for a company that will help you develop your career, we want to talk to you!
**About The Role**
 The product owner will manage the product development process by gathering feature requests, prioritizing the product backlog and collaborating with the scrum team and Product Manager. Working in a fast\-paced product development environment and employing agile disciplines, the Product Owner will focus on quality delivery of products and product features that solve real customer problems. The ideal candidate is passionate about creating products that impact healthcare delivery and making a positive difference for both patients and healthcare workers. The ideal candidate can thrive in a collaborative environment and feel empowered to contribute to the creativity of a highly dynamic team.
**What You’ll Do**
* Work closely with the Product Manager to plan and prioritize product development and product feature backlog.
* Develop detailed product feature stories and ensure they are clearly understood by the scrum team.
* Work with UX/UI team to develop mockups and story boards for validation exercises with clients and subject matter experts
* Measure and analyze feature usage to be used in product development decisions
* Mitigate roadblocks to achieving sprint/release goals
* Lead the product release plans and set expectations for delivery of new functionality
* Serve as product ambassador internally and externally, sharing knowledge and answering questions
* Work with Customers to gain insight into their needs and priorities
* Translate insights into epics and stories and developing and managing the backlog
* Partner with technical lead to continuously groom the backlog
* Work with internal stakeholders to develop educational materials, webinars and training
* Develop product documentation for new features and release notes
**Requirements**
***About You:***
* 2\-3 years of experience in product development, preferably a Product Owner role
* In\-depth knowledge of agile methodologies and practices (Product Owner Certification a plus)
* Understanding of business value related to features and functions
* Outstanding written and verbal communication, presentation and leadership skills
* Sharp analytical and problem\-solving skills
* Ability to effectively manage conflicting needs of stakeholders
***Nice\-to\-Have***
* Experience in B2B or enterprise software, especially healthcare, procurement, or inventory management
* Professional Product Owner certifications (e.g. CSPO)
* Strong working knowledge of Jira</t>
        </is>
      </c>
    </row>
    <row r="49">
      <c r="A49" t="inlineStr">
        <is>
          <t>li-4372243761</t>
        </is>
      </c>
      <c r="B49" t="inlineStr">
        <is>
          <t>Product Manager</t>
        </is>
      </c>
      <c r="C49" t="inlineStr">
        <is>
          <t>Sonar</t>
        </is>
      </c>
      <c r="D49" t="inlineStr">
        <is>
          <t>linkedin</t>
        </is>
      </c>
      <c r="E49">
        <f>HYPERLINK("https://www.linkedin.com/jobs/view/4372243761", "https://www.linkedin.com/jobs/view/4372243761")</f>
        <v/>
      </c>
      <c r="F49" t="inlineStr"/>
      <c r="G49" t="inlineStr">
        <is>
          <t>Austin, TX</t>
        </is>
      </c>
      <c r="H49" t="inlineStr"/>
      <c r="I4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As a Product Manager, you will shape our product capabilities, ensuring we deliver high\-impact solutions and provide a robust and intuitive experience for enterprise leaders. To achieve this perfect match, we need a passionate Product Manager who will research, clarify, and prioritize the needs of developers, team leads, and managers, and translate those needs across our product line. You will become an expert user of our products, from very high\-level features down to technical aspects.
 You will join the Product Management team, which is composed of other passionate Product Managers eager to collaborate with you. You will also work closely with engaged UX designers and engineering teams to ensure that the proposed solutions meet the expected outcome and that we collectively deliver the best products to help development teams write better code. Those teams are based in our Austin office, Texas.
 By joining us, you will bring your deep knowledge of development and enterprise needs, along with your experience as a Product Manager, to help Sonar reach the next level and deliver an awesome user experience for millions of developers.
**What You Will Do Daily:**
* Contribute to the product vision and communicate it internally and externally.
* Proactively conduct customer interviews and discovery sessions to deeply understand user pain points and needs, and validate new product hypotheses.
* Research, clarify, and prioritize opportunities to build and maintain an effective roadmap.
* Interact with our users and customers on our product forum to support them, integrate their feedback, and identify opportunities.
* Develop a deep understanding of the needs of developers, team leads, managers, and executives.
* Work closely with other product managers to design cross\-product features.
* Align with UX designers and engineering teams on the problems to solve, and support them throughout the end\-to\-end development of the solutions.
* Sync with the engineering teams to ensure a good balance among innovation, consolidation, and stability.
* Attend conferences and give talks if you like.
* Help the Product Management team grow in its organization, tools, and processes.
**The Experience You Will Need:**
* 5\+ years of experience as a Product Manager, with demonstrated success as a Senior\-level individual contributor in B2B software/Saas products.
* Passionate about programming and software development.
* Demonstrated curiosity and practical experience using AI tools in product development or workflow optimization.
* Deep technical acumen, able to contribute to technical decisions.
* Pragmatic mindset with the ability to zoom between big\-picture strategy and operational roadmap.
* Open, curious, and comfortable navigating ambiguity and change.
* A positive, collaborative attitude and strong communication skills.
* Leadership: You take initiative and demonstrate your ability to lead a subject from beginning to end.
**Benefits of Working with Sonar:**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0">
      <c r="A50" t="inlineStr">
        <is>
          <t>li-4371582629</t>
        </is>
      </c>
      <c r="B50" t="inlineStr">
        <is>
          <t>Product Manager Lead</t>
        </is>
      </c>
      <c r="C50" t="inlineStr">
        <is>
          <t>Capital Group</t>
        </is>
      </c>
      <c r="D50" t="inlineStr">
        <is>
          <t>linkedin</t>
        </is>
      </c>
      <c r="E50">
        <f>HYPERLINK("https://www.linkedin.com/jobs/view/4371582629", "https://www.linkedin.com/jobs/view/4371582629")</f>
        <v/>
      </c>
      <c r="F50">
        <f>HYPERLINK("https://capgroup.wd1.myworkdayjobs.com/capitalgroupcareers/job/New-York/Product-Manager-Lead_JR6216?source=srm_linkedin_jb&amp;urlHash=-qxn", "https://capgroup.wd1.myworkdayjobs.com/capitalgroupcareers/job/New-York/Product-Manager-Lead_JR6216?source=srm_linkedin_jb&amp;urlHash=-qxn")</f>
        <v/>
      </c>
      <c r="G50" t="inlineStr">
        <is>
          <t>New York, United States</t>
        </is>
      </c>
      <c r="H50" t="inlineStr"/>
      <c r="I50"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 Enjoy generous time\-away and health benefits from day one, with the opportunity for flexible work options
* Receive 2\-for\-1 matching gifts for your charitable contributions and the opportunity to secure annual grants for the organizations you love
* Access on\-demand professional development resources that allow you to hone existing skills and learn new ones
**“I can succeed as a Product Manager Lead at Capital Group.”**
 As a Product Manager Lead you will drive the journey of defining and discovering the decomposition of high\-level business outcomes into valuable strategies and viable software solutions. You will develop a deep relationship with users and stakeholders to understand and pressure\-test customer needs, opportunities, and technology capabilities, then translate them into a compelling and scalable product experience. You will inspire and lead teams by putting forth a product vision. You will help to define customer experiences in the form of features and functionality. You develop multiple product roadmaps to meet the defined vision, working across teams to act as the voice of the business to ensure that priorities are consistently understood across dependent applications. You will measure product and business metrics to understand their customers’ ongoing needs, increase adoption, and drive business value. Your team will collaborate with portfolio managers, engineers, designers, researchers, analysts, and other cross\-functional teams to deliver high\-quality products and tools to drive better decisions with Capital Group’s investment process.
**I am the right person Capital Group is looking for:**
* You possess 7 to 10 years’ experience in the development and launch of software products, inclusive of strategy, roadmap, and execution.
* You have a bachelor’s degree in business, finance, engineering, or related fields. Master’s degree is highly preferred.
* You are highly analytical and passionate about deep product discovery, with experience leading lightweight, iterative experiments to validate, test, and learn, with the goal of ensuring that we “build the right thing.”
* You have a proven track record of building technology‑driven products within asset management, wealth management, or FinTech, supported by deep financial acumen.
* You are a dynamic and inspiring leader capable of creating excitement around a compelling product vision.
* You are comfortable engaging with highly sophisticated investors.
* You have an aptitude for collaborating with and talking to technical and creative partners, including IT, Design, Operations, etc., and have led teams in the past.
* You can build relationships and influence business leaders on strategic business matters concerning product development and design.
* You have a demonstrated ability to leverage data and insights to drive product roadmap and design to enhance client experience.
* You thrive in ambiguous settings where you help define what success looks like.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
 ‎
 ‎
 New York Base Salary Range: $190,040\-$304,064
 ‎
 ‎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51">
      <c r="A51" t="inlineStr">
        <is>
          <t>li-4380698382</t>
        </is>
      </c>
      <c r="B51" t="inlineStr">
        <is>
          <t>Staff Autonomy Product Manager</t>
        </is>
      </c>
      <c r="C51" t="inlineStr">
        <is>
          <t>Rivian</t>
        </is>
      </c>
      <c r="D51" t="inlineStr">
        <is>
          <t>linkedin</t>
        </is>
      </c>
      <c r="E51">
        <f>HYPERLINK("https://www.linkedin.com/jobs/view/4380698382", "https://www.linkedin.com/jobs/view/4380698382")</f>
        <v/>
      </c>
      <c r="F51">
        <f>HYPERLINK("https://careers.rivian.com/jobs/29591?lang=en-us&amp;iis=LinkedIn&amp;urlHash=lOjM", "https://careers.rivian.com/jobs/29591?lang=en-us&amp;iis=LinkedIn&amp;urlHash=lOjM")</f>
        <v/>
      </c>
      <c r="G51" t="inlineStr">
        <is>
          <t>Palo Alto, CA</t>
        </is>
      </c>
      <c r="H51" t="inlineStr"/>
      <c r="I5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At Rivian, we're redefining sustainable mobility, and autonomy is central to our next leap forward. We believe high\-level autonomy won't just enhance the drive; it'll fundamentally give our customers their time back and transform the utility of their vehicles—a paradigm shift that will drive purchase decisions at scale.
 As a Staff Product Manager on the Autonomy team, you'll be at the forefront of this revolution. You'll define the vision, strategy, and execution for automated driving and convenience features, shaping experiences that deliver unparalleled freedom and convenience. This high\-visibility role requires empathetic leadership and exceptional communication skills to influence and engage diverse teams across engineering, senior leadership, business strategy, and marketing, driving us toward this groundbreaking future.
**Responsibilities**
**Strategy**
* Develop and champion a clear product vision and strategy for new and existing automated driving and convenience features, aligning with company goals and market opportunities.
* Effectively communicate product priorities and progress to all cross\-functional stakeholders, including executive leadership, engineering, design and marketing.
* Architect the foundational "Value Narrative" and Unique Selling Proposition (USP) for autonomous features, translating complex technical capabilities into clear, human\-centric benefits that drive consumer desire and market differentiation.
**Product Definition**
* Define complex scenarios, edge cases, user stories, and end\-to\-end journeys that ensure a safe, intuitive, and premium experience.
* Collaborate with Systems engineering, and Cloud and Data teams to analyze vehicle telematics data. You transform raw data on customer utilization and feature behaviors into a roadmap for iterative feature performance and reliability.
* Leverage deep competitive analysis and a strong understanding of global AD/ADAS regulations (US and EU) to identify upcoming trends and pain points, ensuring Rivian’s features are both compliant and market\-leading.
**Product Execution**
* Establish execution plans for the most complex, ambiguous "0\-to\-1" initiatives. You secure cross\-functional alignment across Engineering, Design, and Project Management, serving as the SME to resolve blockers and make high\-stakes trade\-offs.
* Define and track sophisticated KPIs that measure the "Real\-World Value" of features.
* Serve as the technical\-marketing bridge, providing the "source of truth" for release notes, owner’s guides, and technical publications to ensure internal teams and customers are prepared for every rollout.
**Qualifications**
* Bachelor's or Master’s in a relevant field such as Engineering, Computer Science, or Business. MBA is a plus.
* 7\+ years of Product Management experience in automated driving, driver assistance or robotics, or a mix of 3\-4 years in engineering and 3\-4 years in product management in these fields.
* Demonstrated leadership in navigating extreme ambiguity to launch 0\-to\-1 automated driving features in nascent markets, while simultaneously driving the strategic scaling (1 to 1\.x) of existing features.
* Familiarity with global regulatory frameworks.
* Strong analytical, communication, and leadership skills. Proficiency in product/project management tools and agile methodologies.
**Bonus Qualifications**
* Strong understanding of the automated driving stack.
* Experience navigating high\-volume telematics datasets and big\-data ecosystems to extract actionable insights into feature utilization, edge\-case frequency, and user intervention patterns in autonomous systems.
**Pay Disclosure**
 The salary range for this role is $206,500\-$258,100 for San Francisco Bay Area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52">
      <c r="A52" t="inlineStr">
        <is>
          <t>li-4365427734</t>
        </is>
      </c>
      <c r="B52" t="inlineStr">
        <is>
          <t>Product Owner with Twilio IVR and Insights reporting- REMOTE</t>
        </is>
      </c>
      <c r="C52" t="inlineStr">
        <is>
          <t>Perficient</t>
        </is>
      </c>
      <c r="D52" t="inlineStr">
        <is>
          <t>linkedin</t>
        </is>
      </c>
      <c r="E52">
        <f>HYPERLINK("https://www.linkedin.com/jobs/view/4365427734", "https://www.linkedin.com/jobs/view/4365427734")</f>
        <v/>
      </c>
      <c r="F52" t="inlineStr"/>
      <c r="G52" t="inlineStr"/>
      <c r="H52" t="inlineStr"/>
      <c r="I52" t="inlineStr">
        <is>
          <t>**Job Description**
 Perficient is a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Perficient has a career opportunity for a
 **Product Owner** 
 to join our team in the US. The product owner will have complete responsibility for the day\-to\-day management of the engagement, including all aspects related to managing a development team, resulting in a successful delivery and a satisfied, reference\-able client.
 The
 **Product Owner** 
 role will focus on driving the development and innovation of an internal developer platform for our client. They will lead client interactions with product managers and business stakeholders, understanding both client business requirements as well as end\-user functional requirements, and may manage multiple product owners that have delivery targeted towards a single product or solution. In situations where a product owner is supporting multiple delivery streams, that person has sole responsibility and ownership of the product in its entirety.
**Responsibilities**
* Engage with stakeholders, product managers and engineering in scope definition and requirements refinement.
* Write robust user stories that show your understanding of the product, the technical limitations, personas and acceptance criteria.
* Develop deep knowledge of users, formulating hypothesis and advocating product direction and roadmap.
* Act as the subject matter expert for your product; including awareness of the related technology stack and how the market and our customers use and extract business value from your product(s).
* Define product roadmaps and drive PI objectives.
* Assess risks and benefits of product enhancements and gain alignment with stakeholders, clients, and product managers.
* Analyze product metrics and define continuous improvement initiatives to increase the product’s business value.
* Introduce new approaches and tool sets that will allow the product development team to better understand the solution criteria and requirements.
**Qualifications**
* Seasoned PO with 5\+ years of experience as Technical PO.
* DB knowledge with hands on SQL skills to handle complex needs.
* Familiar with end\-to\-end Contact Center reporting.
* Demonstrated ability to leverage AI tools to enhance productivity, streamline workflows, and support data\-informed task execution.
* Familiarity with AI\-enhanced platforms is a plus.
* A solid understanding of AI capabilities and limitations including ethical considerations is expected.
* Interpersonal skills with the ability to handle demanding stakeholders.
* Ability to convert complex business needs into User Stories with clearly articulated acceptance criteria.
**Nice to haves:**
* Familiar with Twilio Insights
* Familiar with healthcare compliance needs for reporting.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Applications will be accepted until the position is filled or the posting is removed.
 The salary range for this position takes into consideration a variety of factors, including but not limited to skill sets, level of experience, applicable office location, training, licensure and certifications, and other business and organizational needs. The new hire salary range displays the minimum and maximum salary targets for this position across all US locations, and the range has not been adjusted for any specific state differentials. It is not typical for a candidate to be hired at or near the top of the range for their role, and compensation decisions are dependent on the unique facts and circumstances regarding each candidate. A reasonable estimate of the current salary range for this position is $64,974 to $149,880\. Please note that the salary range posted reflects the base salary only and does not include benefits or any potential variable compensation programs. Information regarding the benefits available for this position are in our benefits overview .
**About Us**
 Perficient is the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Select work authorization questions to ask when applicants apply
 1\. Are you legally authorized to work in the United States?
 2\. Will you now, or in the future, require sponsorship for employment visa status (e.g. H\-1B visa status)?</t>
        </is>
      </c>
    </row>
    <row r="53">
      <c r="A53" t="inlineStr">
        <is>
          <t>li-4309206886</t>
        </is>
      </c>
      <c r="B53" t="inlineStr">
        <is>
          <t>Sr. Product Manager, Compute Platform</t>
        </is>
      </c>
      <c r="C53" t="inlineStr">
        <is>
          <t>Databricks</t>
        </is>
      </c>
      <c r="D53" t="inlineStr">
        <is>
          <t>linkedin</t>
        </is>
      </c>
      <c r="E53">
        <f>HYPERLINK("https://www.linkedin.com/jobs/view/4309206886", "https://www.linkedin.com/jobs/view/4309206886")</f>
        <v/>
      </c>
      <c r="F53" t="inlineStr"/>
      <c r="G53" t="inlineStr">
        <is>
          <t>San Francisco, CA</t>
        </is>
      </c>
      <c r="H53" t="inlineStr"/>
      <c r="I53" t="inlineStr">
        <is>
          <t>RDQ127R236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We are looking for a
 **customer\-obsessed, strategic,** 
 and
 **action\-oriented** 
 Sr. Product Manager for the Compute Platform. What’s the Compute Platform? Simply, it’s what powers Databricks workloads \- providing customers many types of compute for different types of work \- Classic Compute, SQL Warehouses, and Serverless Compute. This platform is mission\-critical to many Databricks products and features.
 This role will be highly cross\-functional and deeply technical. It will require coordinating product activities from vision to implementation, including engaging large enterprise customers to understand their needs, developing long\-term product strategy, defining product roadmaps, working with engineering to build those products, and coordinating with various internal stakeholders (both pre\- and post\-launch) to ensure product success.
**The Impact You Will Have**
* Research, define, and own the product vision, strategy, and roadmap for compute platform features and products (Classic and Serverless)
* Work closely with engineering, design, sales, and marketing to launch new features and drive adoption.
* Engage directly with customers and partners to understand their needs and prioritize high\-impact solutions.
* Continually improve efficiency and value for internal stakeholders and external customers though measured and strategic execution.
* Drive competitive differentiation and positioning between our compute platform and competitive SaaS and IaaS products.
* Collaborate with leadership to align product initiatives with business goals.
* Use data\-driven insights to measure success, iterate, and improve user experience.
**What We Look For**
* 5\+ years of product management experience, preferably in cloud, analytics, or data platforms.
* Deep understanding of data platforms, the compute products that power them, and compute use cases.
* Educational background in computer science or related engineering practice.
* Experience working with engineers and designers to ship high\-impact and cross\-functional products.
* Exceptional communication and storytelling skills to inspire teams and stakeholders.
* Experience in working hand\-in\-hand with enterprise customers and ISV partners in the data market.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$153,000—$210,450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54">
      <c r="A54" t="inlineStr">
        <is>
          <t>li-4365380864</t>
        </is>
      </c>
      <c r="B54" t="inlineStr">
        <is>
          <t>Staff Product Manager - AI Migrations</t>
        </is>
      </c>
      <c r="C54" t="inlineStr">
        <is>
          <t>Snowflake</t>
        </is>
      </c>
      <c r="D54" t="inlineStr">
        <is>
          <t>linkedin</t>
        </is>
      </c>
      <c r="E54">
        <f>HYPERLINK("https://www.linkedin.com/jobs/view/4365380864", "https://www.linkedin.com/jobs/view/4365380864")</f>
        <v/>
      </c>
      <c r="F54">
        <f>HYPERLINK("https://careers.snowflake.com/us/en/job/SNCOUSD3E6FFC9DCEF4E5B871BF1EC0B04518AEXTERNALENUS2A605CEAB3584EFA8CAA0E547AD059B1/Staff-Product-Manager-AI-Migrations?utm_source=Q2P9NP2NNP&amp;utm_medium=phenom-feeds&amp;gh_src=ed5543a62&amp;urlHash=9Rkk", "https://careers.snowflake.com/us/en/job/SNCOUSD3E6FFC9DCEF4E5B871BF1EC0B04518AEXTERNALENUS2A605CEAB3584EFA8CAA0E547AD059B1/Staff-Product-Manager-AI-Migrations?utm_source=Q2P9NP2NNP&amp;utm_medium=phenom-feeds&amp;gh_src=ed5543a62&amp;urlHash=9Rkk")</f>
        <v/>
      </c>
      <c r="G54" t="inlineStr">
        <is>
          <t>Menlo Park, CA</t>
        </is>
      </c>
      <c r="H54" t="inlineStr"/>
      <c r="I54"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redefined the data landscape over a decade ago by building a Data Cloud with industry\-leading performance and price for data at any scale and for multiple workloads: data engineering, data analytics, and AI/ML.
 At Snowflake, our biggest opportunity is also our customers' biggest challenge: migration. For every enterprise ready to harness the power of the AI Data Cloud, there lies a complex web of legacy systems that can take years and millions of dollars to untangle. The Migrations team is tasked with a mission of strategic importance: to turn this multi\-year roadblock into a streamlined, intelligent, and automated experience. We believe Generative AI is the key. We are building products that don't just move data, but understand and rewrite the logic of entire data applications.
 We're seeking a visionary Product Manager to own this charter, define the future of cloud migration, and build the GenAI\-powered engine that will onboard the next wave of Snowflake customers. Your work will directly impact Snowflake's growth and change the way an entire industry approaches digital transformation.
**Key Responsibilities**
 As a
 **Staff** 
**Product Manager on the Migrations Team** 
 at Snowflake, you will be instrumental in developing AI\-powered tools that enable customers and partners to transition their complex data ecosystems from legacy platforms to the Snowflake AI Data Cloud. Your responsibilities will include:
* Deeply Understand Customer Data Migration Needs: Conduct detailed research and analysis to understand customer requirements, pain points, and use cases specifically related to migrating diverse data types, ensuring data integrity, performance, and completeness during and after migration. This includes understanding challenges like post\-migration validation.
* Contribute to Product Strategy \&amp; Roadmap: Contribute to the strategy and roadmap for data migration capabilities, ensuring alignment with the overall migration product vision and customer needs. For example, defining features and processes that ensure the accuracy, completeness, and consistency of migrated data, including defining validation rules, diagnostic mechanisms, and reporting capabilities. We leverage agentic AI throughout our migrations product, and require each of our PMs to understand and deliver AI capabilities effectively.
* Define Product Requirements: Translate customer needs and strategic direction into clear, concise, and detailed product requirements, user stories, and acceptance criteria for data migration features. This involves close collaboration with engineering, design, and our Professional Service teams.
* Support Product Development \&amp; Prioritization: Work day\-to\-day with engineering teams to guide the development of data migration and validation features, clarify requirements, answer questions, and assist in prioritizing tasks within your feature areas to ensure timely delivery and quality.
* Understand Ecosystem for Data: Learn and understand how data migration and validation features fit into the broader ecosystem migration (ETL pipelines, database code, consuming applications), recognizing dependencies and ensuring our offerings support a holistic migration process.
* Analyze Feature Performance: Monitor and analyze usage data, customer feedback, and success metrics specifically for data migration and validation features to identify areas for improvement, inform future iterations, and demonstrate the value delivered.
**OUR IDEAL STAFF PRODUCT MANAGER WILL HAVE:**
* Extensive experience (10\+ years) building and delivering enterprise products
* Strong familiarity with data ecosystems (databases, analytics, data engineering, ETL)
* Experience building and delivering tools or platforms for data engineers or developers
* Proven experience delivering GenAI products, particularly those involving AI\-powered code translation, developer co\-pilots, or complex semantic validation
**WHY JOIN OUR MIGRATIONS TEAM AT SNOWFLAKE?**
 Joining the Migrations product team at Snowflake offers an exceptional opportunity to be at the
 **forefront of data and application modernization** 
 , directly impacting customer success by enabling the strategic leveraging of the
 **Snowflake AI Data Cloud** 
 . You'll tackle complex, high\-value challenges, building essential products and APIs that simplify intricate data ecosystem migrations—from ETL pipelines to applications—for our customers and partners. Your contributions will directly accelerate the adoption of Snowflake, driving significant value and cementing our customers' investment in a modern, AI\-ready future.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$236,000 \- $339,200\.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55">
      <c r="A55" t="inlineStr">
        <is>
          <t>li-4371705362</t>
        </is>
      </c>
      <c r="B55" t="inlineStr">
        <is>
          <t>Sr. Product Manager: Disruption - Core &amp; Commerce (100% Remote - USA)</t>
        </is>
      </c>
      <c r="C55" t="inlineStr">
        <is>
          <t>Hopper</t>
        </is>
      </c>
      <c r="D55" t="inlineStr">
        <is>
          <t>linkedin</t>
        </is>
      </c>
      <c r="E55">
        <f>HYPERLINK("https://www.linkedin.com/jobs/view/4371705362", "https://www.linkedin.com/jobs/view/4371705362")</f>
        <v/>
      </c>
      <c r="F55">
        <f>HYPERLINK("https://jobs.ashbyhq.com/hopper/91de5776-e187-4cfe-8e82-c8c93b1f601b/application?utm_source=LinkedIn_Job_Wrapping&amp;urlHash=4dpG", "https://jobs.ashbyhq.com/hopper/91de5776-e187-4cfe-8e82-c8c93b1f601b/application?utm_source=LinkedIn_Job_Wrapping&amp;urlHash=4dpG")</f>
        <v/>
      </c>
      <c r="G55" t="inlineStr">
        <is>
          <t>Washington, DC</t>
        </is>
      </c>
      <c r="H55" t="inlineStr"/>
      <c r="I55" t="inlineStr">
        <is>
          <t>**About The Job**
 As Senior Product Manager on the Disruption Core \&amp; Commerce team, you will work at the intersection of the business, software development, data science, and user experience to create innovative solutions and intuitive user experiences to reduce the stress of traveling. You will have a competitive understanding of the travel landscape to facilitate the creation of successful new features.
 On any given day \- whether you’re weighing the tradeoffs of offering new features, scoping and specifying solutions with partners, or shepherding features through development \- your contribution will be critical to Hopper’s current and future success.
 Leveraging data science to solve customers’ problems is in Hopper’s DNA. While this began with helping customers save money by booking at the best time, we’ve also built a suite of novel Fintech products which help customers save money, retain optionality to cancel or change their trips as needed, and help them seamlessly rebook when they run into problems during their travel.
 This position is on the Disruption team, focused on solving that last problem. Hopper offers a product called Disruption Assistance for Any Reason that helps customers navigate flight delays and cancellations, and ultimately get where they want to go. If a customer experiences a disruption, they can rebook themselves on any airline – for free – or get a 100% refund of their trip cost.
 The Disruption team is expanding rapidly by offering our product in new distribution channels, and scaling the business into an enterprise. As the Senior Product Manager for the Disruption team, you are part of a cross functional team that is dedicated to this specific product; you will have immense impact, experience no gatekeeping, and no competing priorities, allowing you to truly focus on product work and your customers!
**What Would Your Day\-to\-day Look Like**
* Manage a product roadmap across several different business objectives and distribution channels, ensuring that we are executing against the highest impact items at any given time, and delivering things on time.
* Figure out how to leverage AI to improve our customer experience and internal processes to execute our implementation pipeline successfully.
* Work closely with external partners on new and existing implementations; earn and maintain trust by building good relationships.
* Work closely with internal stakeholders to understand feature gaps and solution around them; earn and maintain trust by building good relationships.
* Rapidly test sound hypotheses through new merchandising experiments at different points in the customer journey to increase revenue
* Use data to identify user behavior and purchase patterns, which directly lead to hypotheses around opportunities that can be measurably validated/invalidated through simple experiments
* Launch new partnerships, end to end: from sales pitch to design to development to customer service to optimization. This person will launch things from the ground up and grow them into mature products.
* Work with customer service to understand and identify customer problem trends
* Work with back\-end and front\-end engineers, designers, legal, and many other stakeholders to launch innovative features quickly and bug\-free
* Learn and use a diverse set of analytics and AI tools
**An ideal candidate has**
* B2B and B2C experience
* Delivered impactful and delightful features at scale
* Has incorporated AI into their product or processes to achieve business outcomes
* Strong experience, knowledge of, and/or keen interest in Fintech, Insurtech, or risk\-based products
* An innovative and detail\-oriented approach to problem\-solving
* Extreme attention to detail, and simultaneously the ability to think and operate strategically.
* Exceptional ability to grasp, manage, and articulate complex systems
* Experience connecting innovative solutions to real\-world, user problems with actual business needs of a rapidly scaling organization
* Technical depth that allows you to communicate with, understand, and earn the respect of world\-class engineers and data scientists
* A track record of being proactive and persuading colleagues by constructing a compelling narrative both in\-person and in\-writing
* Past success analyzing data, drawing accurate conclusions, and adjusting strategy accordingly
* No ego, and a strong focus on doing what is right for the customer and the company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$200K \- $450K</t>
        </is>
      </c>
    </row>
    <row r="56">
      <c r="A56" t="inlineStr">
        <is>
          <t>li-4381037159</t>
        </is>
      </c>
      <c r="B56" t="inlineStr">
        <is>
          <t>Product Manager, Digital Issuing Solutions</t>
        </is>
      </c>
      <c r="C56" t="inlineStr">
        <is>
          <t>Visa</t>
        </is>
      </c>
      <c r="D56" t="inlineStr">
        <is>
          <t>linkedin</t>
        </is>
      </c>
      <c r="E56">
        <f>HYPERLINK("https://www.linkedin.com/jobs/view/4381037159", "https://www.linkedin.com/jobs/view/4381037159")</f>
        <v/>
      </c>
      <c r="F56" t="inlineStr"/>
      <c r="G56" t="inlineStr">
        <is>
          <t>Austin, TX</t>
        </is>
      </c>
      <c r="H56" t="inlineStr"/>
      <c r="I56"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**Visa Digital Issuer Solutions Product Management** 
 team is seeking an outstanding Product Manager with the vision, passion, and commitment to drive Visa's global mobile enablement strategy.
**Key Responsibilities:**
* Reporting into a Product Management Senior Director, this is a global role that will be tasked with working closely with clients, regional product team members, and Visa technology partners across the globe and will require time zone flexibility when completing tasks and collaborating with cross functional teams.
* You will collaborate cross functionally and be responsible for the global product strategy, requirement definition, execution, and client enablement of numerous mobile and digital initiatives. This role will contribute to the product development of multiple digital products:
 *Visa Digital Commerce App, Visa Digital Enablement SDK, Visa In\-app Provisioning API and more.*
* The ideal candidate filling this role must possess a unique blend of creative, strategic, analytical, digital, payment skills. In addition, this individual must understand business, technical, and operational aspects of product management, development, and an understanding of cards, payment network processing, e\-commerce, mobile technology, digital payments.
* This individual will be a subject matter expert for assigned aspects of digital processing and enablement solutions related to mobile, payment, and commerce capabilities within the Mobile Enablement Platform which includes at a minimum the Visa mobile app, API, SDK, web, and tool capabilities across multiple development methodologies, operating systems, consumer facing channels, devices solutioning multiple geographies.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Prior work experience in product management and ownership, 0\-1 end to end.
* Experience in mobile/digital banking, payments and/or financial services industry is a strong plus.
* Strong interpersonal skills and professional presence to build credibility at executive levels within Visa and with clients.
* Team oriented, collaborative, diplomatic, and flexible style, with the ability to tailor delivery of complex topics to various audience levels.
* Ability to translate product complexities, strategic insights, and analytical findings related to digital into actionable recommendations and practical business solutions.
* Superior verbal, written, and presentation skills are required. Including the ability to author and contribute to detailed user stories, acceptance criteria, user experience wire frames, technical and business level flow diagrams, presentations, functional specifications, and client facing documentation.
* Strong business acumen, negotiation, and decision\-making skills along with a global, customer\-oriented mindset required.
* Strong ability to multi\-task and balance between multiple priorities.
* Comfort with high\-level, strategic thinking, including willingness to be an active and outspoken participant in decision\-making
* Self\-starter with a demonstrated ability to work independently as well as collaborate with cross\-functional teams around the world and across different time zones
* Demonstrated ability to collaborate and build consensus across stakeholders.
* Ability to identify, navigate, and resolve obstacles across multiple teams.
* Effective ownership, accountability, and application of problem\-solving and creative skills to manage deliverables.
* Work closely with the UI/UX design teams to create prototypes, demos, and materials to support assigned features.
* Proven experience in the area of managing multiple and competing priorities with experience planning, organizing, and managing multiple initiatives with diverse cross\-functional teams.
* Flexible and creative thinker with the ability to effectively incorporate new techniques to define business alternatives, generate out\-of\-the\-box solutions, and manage uncertainty
* Key contributor to go\-to\-market and commercialization tasks associated with assigned initiatives.
* Thrives in an environment that is fast\-paced, rapidly changing, and customer service\-oriented.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 to $210,300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57">
      <c r="A57" t="inlineStr">
        <is>
          <t>li-4372202923</t>
        </is>
      </c>
      <c r="B57" t="inlineStr">
        <is>
          <t>Senior Product Manager, Technical, Smart Glasses (Enterprise)</t>
        </is>
      </c>
      <c r="C57" t="inlineStr">
        <is>
          <t>Amazon</t>
        </is>
      </c>
      <c r="D57" t="inlineStr">
        <is>
          <t>linkedin</t>
        </is>
      </c>
      <c r="E57">
        <f>HYPERLINK("https://www.linkedin.com/jobs/view/4372202923", "https://www.linkedin.com/jobs/view/4372202923")</f>
        <v/>
      </c>
      <c r="F57">
        <f>HYPERLINK("https://www.amazon.jobs/jobs/3180000/senior-product-manager-technical-smart-glasses-enterprise?cmpid=SPLICX0248M&amp;utm_source=linkedin.com&amp;utm_campaign=cxro&amp;utm_medium=social_media&amp;utm_content=job_posting&amp;ss=paid&amp;urlHash=6Ok-", "https://www.amazon.jobs/jobs/3180000/senior-product-manager-technical-smart-glasses-enterprise?cmpid=SPLICX0248M&amp;utm_source=linkedin.com&amp;utm_campaign=cxro&amp;utm_medium=social_media&amp;utm_content=job_posting&amp;ss=paid&amp;urlHash=6Ok-")</f>
        <v/>
      </c>
      <c r="G57" t="inlineStr">
        <is>
          <t>Sunnyvale, CA</t>
        </is>
      </c>
      <c r="H57" t="inlineStr"/>
      <c r="I57" t="inlineStr">
        <is>
          <t>**Description**
 Imagine being part of a team building the future of Smart Glasses. Amazon’s Smart Delivery Glasses are just the beginning. Amazon is focused on bringing AI, technology, and design into a form that is familiar to millions of people in a way that has never been done before. If you are excited about pushing the envelope and developing brand new experiences that empower users to do more as they engage with the physical world, we would love to meet you.
 Amazon is looking for a Senior Product Manager (Technical) to join the Smart Glasses team working to build new best\-in\-class enterprise wearable products. We are a customer\-obsessed team working on big bets in an innovative environment. As a Senior Product Manager (Technical) on the Smart Glasses team, you will own and lead the definition, development, and launch of future versions of smart glasses for enterprise applications. Since this role is inherently cross\-functional and highly visible to senior leadership, you will work closely and communicate effectively with engineering/science, design, product, operations, and executive teams to drive successful outcomes across our roadmap.
 A successful candidate will have a proven track\-record of developing and shipping consumer products and features that deliver exceptional customer experiences. They are adept at both strategy and execution, and are strong communicators (written and verbal). They are customer obsessed, data\-driven, and embody a sense of urgency. They work collaboratively in a cross\-functional, fast\-paced environment, and are adept at synthesizing a variety of customer needs, technologies, and capabilities into products and experiences that customers love. They are also open to learning and working on various aspects of the product, from hardware to software to field deployment, as the need arises.
 Key job responsibilities
* Lead the development and execution for future versions of enterprise smart glasses and wearables.
* Develop crisp working backwards documents (PR\-FAQs) and detailed product requirements that can be used to create product specifications and architecture.
* Lead initiatives throughout various stages of the product lifecycle \- from ideation to development to launch \- while working cross\-functionally across product, engineering, design, program, operations, and business teams with a hands\-on, execution\-focused mindset to deliver the product to market.
* Own enterprise\-specific product requirements including device management, fleet deployment strategies, field serviceability, and operational integration with existing enterprise systems and workflows.
* Partner with operations teams to define deployment strategies, training programs, and support infrastructure for large\-scale enterprise rollouts.
* Define and drive the product roadmap based on team vision and strategy. Understand customer needs and identify opportunities to create or improve products and features. Champion and gain buy\-in for the strategy and roadmap by influencing and effectively communicating with internal stakeholders and senior management.
* Proactively identify and resolve issues that may impair the team’s ability to meet strategic, financial, operational, and technical goals.
* Drive executive\-level decision making and manage prioritization/trade\-offs throughout the product lifecycle.
* Stay closely connected to the latest developments in the smart glasses and wearable technology categories, anticipating future trends and opportunities to drive innovation.
**Basic Qualifications**
* 5\+ years of technical product or program management experience
* Bachelor's degree
* Experience with end to end product delivery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MBA
* Experience deploying hardware and software products to enterprise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\- 173,900\.00 \- 235,200\.00 USD annually
**Company** 
 \- Amazon.com Services LLC
 Job ID: A3180000</t>
        </is>
      </c>
    </row>
    <row r="58">
      <c r="A58" t="inlineStr">
        <is>
          <t>li-4379968002</t>
        </is>
      </c>
      <c r="B58" t="inlineStr">
        <is>
          <t>Product Manager - Industrial Equipment</t>
        </is>
      </c>
      <c r="C58" t="inlineStr">
        <is>
          <t>Prevalent Group - Recruiters for the Packaging and Industrial Automation industries</t>
        </is>
      </c>
      <c r="D58" t="inlineStr">
        <is>
          <t>linkedin</t>
        </is>
      </c>
      <c r="E58">
        <f>HYPERLINK("https://www.linkedin.com/jobs/view/4379968002", "https://www.linkedin.com/jobs/view/4379968002")</f>
        <v/>
      </c>
      <c r="F58" t="inlineStr"/>
      <c r="G58" t="inlineStr">
        <is>
          <t>Fort Worth, TX</t>
        </is>
      </c>
      <c r="H58" t="inlineStr"/>
      <c r="I58" t="inlineStr">
        <is>
          <t>Product Manager
 Onsite \- Fort Worth, TX
 The Company
 Our client is a global leader within the packaging industry and designs and manufactures equipment utilized to identify products, trace products, and protect company brands from counterfeiting. As a leading manufacturer of labeling, coding, and marking equipment, their products are utilized for printing logos, bar codes, lot codes, expiration dates, QR codes, etc. on consumer goods packaging.
 The Environment
* You will be part of a dynamic team with incredible camaraderie where having fun is very important.
* As a Product Manager, you will work with diverse world\-class manufacturers and will see how a wide variety of products are made.
* You will work in a leading global company, with a manager who cares about you, and will help you to develop the best possible version of yourself.
 Position Overview:
 Seeking a talented Product Manager to contribute to the success of the company by driving the growth and profitability for a specific equipment product line. The role works closely with their vendors to ensure that the products being developed and launched allow the company to compete successfully and effectively in the marketplace.
 In this role, you will:
* Work with Marketing to develop product launches, sales support, educational and promotional materials.
* Assist sales staff with product demonstrations \&amp; custom software/equipment development
* Educate sales staff on new products and/or functionality
* Write technical manuals and test new products
* Evaluate repair history and run time of existing equipment; recommend improvements
* Evaluate software tools to streamline machinery Surveys/Quoting/Order entry
* Evaluate existing machinery and recommend spare part kits and pricing
* Site Survey Development
* Provide Print Samples and Quotations
* OEM Development and Support
* Assist with pricing strategy and create a price list
* Keep the install base and reference account records
* Identify vertical markets for field follow\-up
* Project management for large installations
* Main liaison for vendor communication in price negotiations
* Assist with setting stocking levels for machines and parts
* Monitor quality issues and resolve vendor\-related problems
* Product application review \&amp; approval prior to the sale of custom/turnkey applications
* Identify \&amp; understand competitive equipment \&amp; create documentation support for sales staff
* Maintain up\-to\-date sales \&amp; technical resources for intranet
 Qualifications needed:
* Technical degree or strong technical aptitude
* Practical knowledge of packaging equipment
* Previous experience working in a product management role a plus
* Previous role conducting training or demos a plus
* Highly proficient in MS Office (excel, outlook, etc)
* Working knowledge of Syteline or other fully integrated ERP system.
* Thrives within a dynamic environment and can manage multiple priorities simultaneously.
* Possesses a strong sense of team.
* Ability to think both critically and creatively to solve problems.
* Ability to travel 25 – 30 percent of the time
* Ability to work out of the corporate office in Fort Worth when not traveling
 Benefits
 :
* Working for a leader in their industry with great opportunity for growth
* Outstanding company culture
* Salary commensurate with experience
* All travel expenses covered
* Generous paid holidays and personal time off
* Exceptional benefits including medical, dental, and vision insurance
* 401k with a company match</t>
        </is>
      </c>
    </row>
    <row r="59">
      <c r="A59" t="inlineStr">
        <is>
          <t>li-4362662425</t>
        </is>
      </c>
      <c r="B59" t="inlineStr">
        <is>
          <t>Product Manager, Business Systems</t>
        </is>
      </c>
      <c r="C59" t="inlineStr">
        <is>
          <t>Charlie Health</t>
        </is>
      </c>
      <c r="D59" t="inlineStr">
        <is>
          <t>linkedin</t>
        </is>
      </c>
      <c r="E59">
        <f>HYPERLINK("https://www.linkedin.com/jobs/view/4362662425", "https://www.linkedin.com/jobs/view/4362662425")</f>
        <v/>
      </c>
      <c r="F59">
        <f>HYPERLINK("https://www.charliehealth.com/careers/current-openings?gh_jid=5777459004&amp;urlHash=El5D", "https://www.charliehealth.com/careers/current-openings?gh_jid=5777459004&amp;urlHash=El5D")</f>
        <v/>
      </c>
      <c r="G59" t="inlineStr">
        <is>
          <t>New York, NY</t>
        </is>
      </c>
      <c r="H59" t="inlineStr"/>
      <c r="I59"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Charlie Health is seeking a Manager, Business Systems to own and evolve the core operating systems that power our admissions, scheduling, clinical access, and revenue workflows. You will be responsible for architecting, governing, and continuously improving the logic that defines how our business actually runs, using Salesforce as the backbone of our operational nervous system.
 You will partner closely with Operations, Clinical, Revenue Cycle, Data, and Engineering leaders to design deterministic, scalable systems that improve access to care, increase throughput, and protect revenue and compliance at scale.
 This role will report through Charlie Health’s Product Management team and is ideal for someone from a Strategy \&amp; Operations, BizOps, RevOps, or consulting background who wants to move from analysis and recommendations into true systems ownership, with a path towards Product Management.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impact millions of lives in a profound way, apply today.
**Responsibilities**
* Own the architecture, governance, and roadmap for Charlie Health’s Salesforce\-based operating systems
* Translate real\-world operational workflows into scalable, deterministic system logic
* Design routing, automation, case management, and capacity allocation frameworks that directly impact access to care, revenue capture, and compliance
* Partner with Operations, Clinical, Admissions, Scheduling, and RCM teams to identify bottlenecks and convert them into system\-level solutions
* Define and enforce schema design, automation standards, and change\-control governance
* Build economic and throughput models to inform prioritization and system design
* Lead cross\-functional initiatives that improve funnel performance, reduce operational friction, and increase scalability
* Partner with Salesforce Admins and Engineers to deliver clean, auditable, maintainable systems
* Serve as the single owner responsible for the quality, integrity, and evolution of Charlie Health’s operational systems
**Requirements**
* 2\+ years of experience in Strategy \&amp; Operations, Management Consulting, BizOps, RevOps, GTM Ops, Analytics, or related roles
* Strong analytical and modeling skills (SQL / Excel / Sheets / BI tools)
* Experience translating complex operational workflows into system logic
* Familiarity with CRM, workflow automation, or revenue operations systems (Salesforce strongly preferred)
* Ability to think in constraints, throughput, and operating models
* Excellent cross\-functional communication and stakeholder management skills
* Comfortable owning high\-impact systems in a fast\-growing environment
* Work authorized in the United States and native or bilingual English proficiency
* Familiarity with cloud\-based collaboration tools (Google Suite, Slack, Zoom, Salesforce)
* Must be willing to work in\-person 4 days per week in our office in Union Square, NY.
**Benefits**
 Charlie Health is pleased to offer comprehensive benefits to all full\-time, exempt employees. Read more about our benefits here.
 The total target base compensation for this role will be between $125,000 and $175,000 per year at the commencement of employment. In addition to base compensation, this role also offers a performance bonus. The expected total cash compensation range, including potential bonus, will be between $137,500 and $192,500 per year. Please note, pay will be determined on an individualized basis and will be impacted by location, experience, expertise, internal pay equity, and other relevant business considerations. Further, cash compensation is only part of the total compensation package, which, depending on the position, may include stock options and other Charlie Health\-sponsored benefits.
 Our Values
* Connection: Care deeply \&amp; inspire hope.
* Congruence: Stay curious \&amp; heed the evidence.
* Commitment: Act with urgency \&amp; don’t give up.
*Please do not call our public clinical admissions line in regard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
*By clicking "Submit application" below, you agree to Charlie Health's Privacy Policy and Terms of Service.*
*By submitting your application, you agree to receive SMS messages from Charlie Health regarding your application. Message and data rates may apply. Message frequency varies. You can reply STOP to opt out at any time. For help, reply HELP.*</t>
        </is>
      </c>
    </row>
    <row r="60">
      <c r="A60" t="inlineStr">
        <is>
          <t>li-4223660047</t>
        </is>
      </c>
      <c r="B60" t="inlineStr">
        <is>
          <t>Senior Product Manager, Post Order Experience</t>
        </is>
      </c>
      <c r="C60" t="inlineStr">
        <is>
          <t>Xometry</t>
        </is>
      </c>
      <c r="D60" t="inlineStr">
        <is>
          <t>linkedin</t>
        </is>
      </c>
      <c r="E60">
        <f>HYPERLINK("https://www.linkedin.com/jobs/view/4223660047", "https://www.linkedin.com/jobs/view/4223660047")</f>
        <v/>
      </c>
      <c r="F60">
        <f>HYPERLINK("https://job-boards.greenhouse.io/xometry/jobs/4728641007?gh_src=1d451b827us&amp;urlHash=6RD2", "https://job-boards.greenhouse.io/xometry/jobs/4728641007?gh_src=1d451b827us&amp;urlHash=6RD2")</f>
        <v/>
      </c>
      <c r="G60" t="inlineStr">
        <is>
          <t>Waltham, MA</t>
        </is>
      </c>
      <c r="H60" t="inlineStr"/>
      <c r="I60"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Product Manager, Post\-Order Experience** 
 to own and optimize the customer journey after an order is placed. From order confirmation to delivery and support resolution, your work will ensure every buyer feels informed, confident, and delighted throughout their interaction with Xometry.
**Responsibilities:**
* Define and prioritize the roadmap for all post\-order touchpoints including order tracking, status updates, delays, communications, and support workflows.
* Collaborate with engineering, design, and customer service to streamline resolution paths and improve transparency.
* Work cross\-functionally with supply chain and logistics teams to reduce turnaround times and ensure SLAs are met.
* Build and iterate on features that proactively address customer pain points and increase CSAT/NPS.
* Drive a data\-informed approach using experimentation and user research to improve retention and customer loyalty.
* Act as the voice of the customer internally and develop mechanisms to gather feedback at scale.
**Qualifications:**
* 5\+ years of product management experience, ideally with B2B or transactional platforms.
* Experience with order management, fulfillment tracking, or support tooling preferred.
* Strong customer empathy and experience with user\-centered product development.
* Familiarity with agile product development, data tools, and experimentation frameworks.
 The estimated base salary range for new hires into this role is $135,000\- $175,000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61">
      <c r="A61" t="inlineStr">
        <is>
          <t>li-4382106510</t>
        </is>
      </c>
      <c r="B61" t="inlineStr">
        <is>
          <t>Senior Product Manager, Performance Video Advertising</t>
        </is>
      </c>
      <c r="C61" t="inlineStr">
        <is>
          <t>Roku</t>
        </is>
      </c>
      <c r="D61" t="inlineStr">
        <is>
          <t>linkedin</t>
        </is>
      </c>
      <c r="E61">
        <f>HYPERLINK("https://www.linkedin.com/jobs/view/4382106510", "https://www.linkedin.com/jobs/view/4382106510")</f>
        <v/>
      </c>
      <c r="F61" t="inlineStr"/>
      <c r="G61" t="inlineStr">
        <is>
          <t>San Francisco, CA</t>
        </is>
      </c>
      <c r="H61" t="inlineStr"/>
      <c r="I61"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Ads Product team is responsible for monetizing Roku's platform through innovative advertising solutions across the Roku TV experience, including its premiere streaming service, The Roku Channel, on both Roku devices and off\-platform environments. Collectively, these products reach millions of users daily, creating valuable advertising inventory and engagement opportunities throughout the entire Roku ecosystem. 
**About the role** 
 We're looking for a Senior Product Manager to lead the development of performance\-driven video ad solutions across Roku's large\-scale in\-stream, pre\-roll, and post\-roll inventory. You will own products that help advertisers achieve measurable business outcomes by combining Roku's reach and first\-party data with predictive modeling, attribution, and incrementality measurement. 
 This role sits at the intersection of ad delivery, measurement, and optimization. You will define how performance is measured and improved on connected TV, building systems that translate exposure to outcomes, inform bidding and optimization, and prove incremental impact across channels. 
 For California Only \- The estimated annual salary for this position is between $176,163 \- $297,500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Performance video solutions: Own product capabilities that enable advertisers to drive and optimize toward performance outcomes using Roku's in\-stream, pre\-roll, and post\-roll video inventory
* Prediction and optimization models: Partner with data science and engineering to define and productize predictive models for outcomes such as conversion likelihood, response probability, and marginal lift, and integrate those models into delivery, pacing, and optimization workflows
* Attribution frameworks: Define and evolve attribution approaches for CTV performance advertising, including post\-view attribution, cross\-device and cross\-channel considerations, and measurement windows appropriate for video\-led demand generation
* Incrementality and lift measurement: Build products that enable advertisers to measure true incremental impact, including experimental design, holdouts, lift studies, and causal measurement approaches that go beyond last\-touch metrics
* Outcome\-driven product metrics: Establish success metrics that tie ad exposure and optimization to advertiser outcomes, such as incremental conversions, return on ad spend, and downstream business impact
* Scalable, advertiser\-ready products: Translate complex modeling and measurement systems into intuitive, scalable products that advertisers and sales teams can understand, trust, and adopt
* Cross\-functional leadership: Lead cross\-functional execution across product, engineering, data science, sales, and operations, aligning stakeholders on strategy, tradeoffs, and roadmap priorities
* Ecosystem\-level thinking: Anticipate how performance solutions interact with bidding, pricing, inventory allocation, and viewer experience, and make informed tradeoffs that support long\-term platform health
**We're excited if you have** 
* 5\+ years of product management experience, including ownership of complex or platform\-scale products
* Proven experience defining product strategy and driving execution in ambiguous environments
* Strong background in digital advertising, media, marketplaces, or data\-driven platforms
* Excellent analytical and decision\-making skills with a track record of delivering measurable impact
* Effective leader through influence, able to align diverse teams and stakeholders
* Passion for building scalable advertising products that deliver value to advertisers and viewers
* Experience with connected TV, programmatic advertising, or measurement platforms
* Experience leading large initiatives without direct authority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62">
      <c r="A62" t="inlineStr">
        <is>
          <t>li-4329689667</t>
        </is>
      </c>
      <c r="B62" t="inlineStr">
        <is>
          <t>Senior Product Manager</t>
        </is>
      </c>
      <c r="C62" t="inlineStr">
        <is>
          <t>Hearst Health</t>
        </is>
      </c>
      <c r="D62" t="inlineStr">
        <is>
          <t>linkedin</t>
        </is>
      </c>
      <c r="E62">
        <f>HYPERLINK("https://www.linkedin.com/jobs/view/4329689667", "https://www.linkedin.com/jobs/view/4329689667")</f>
        <v/>
      </c>
      <c r="F62">
        <f>HYPERLINK("https://eevd.fa.us6.oraclecloud.com/hcmUI/CandidateExperience/en/job/2025722/?utm_medium=jobshare&amp;urlHash=9O5P", "https://eevd.fa.us6.oraclecloud.com/hcmUI/CandidateExperience/en/job/2025722/?utm_medium=jobshare&amp;urlHash=9O5P")</f>
        <v/>
      </c>
      <c r="G62" t="inlineStr">
        <is>
          <t>Louisville, KY</t>
        </is>
      </c>
      <c r="H62" t="inlineStr"/>
      <c r="I62" t="inlineStr">
        <is>
          <t>**Job Description**
**Senior Product Manager**
**The Opportunity:**
 We are seeking a Senior Product Manager to lead the development and integration of AI\-driven, innovative solutions into our new Electronic Health Record (EHR) and platform systems. This role is pivotal in transforming healthcare workflows, improving interoperability, and enhancing patient care through cutting\-edge technology. We are seeking a person with a deep understanding of EHR functions, and the ability to quickly learn new technologies and inter\-organizational systems and dependencies.
**What You Will Do:**
**Product Strategy \&amp; Vision**
* Execute the product vision and roadmap for integrating AI into EHR systems and infrastructure platforms.
* Define and prioritize product features based on customer needs, business goals, and technical feasibility.
* Define user stories and acceptance criteria for development tasks
* Conduct user discovery to identify opportunities for innovation.
* Ensure alignment with organizational goals and priorities and healthcare industry standards.
**AI Integration \&amp; EHR Development**
* Collaborate with engineering teams to implement AI features such as predictive analytics, clinical decision support, and automated documentation.
* Leverage interoperability standards like HL7 and FHIR to ensure seamless integration with legacy EHRs (e.g., Epic, Cerner).
* Optimize workflows by incorporating AI capabilities such as natural language processing and machine learning for personalized care.
**Stakeholder Collaboration**
* Work closely with clinicians, development teams, and external partners to gather requirements and ensure product adoption.
* Communicate technical concepts effectively to non\-technical stakeholders.
* Act as a liaison between cross\-functional teams during product development cycles.
**Performance \&amp; Compliance**
* Monitor product performance using KPIs and user feedback to drive continuous improvement.
* Ensure compliance with healthcare regulations and data security standards.
**What You Will Bring:**
**Qualifications**
* 5\+ years of experience in product management, preferably in healthcare IT or AI\-driven products.
* Strong understanding of EHR systems and interoperability standards (e.g., HL7, FHIR).
* Ability to learn quickly, with a technical focus
* Excellent communication skills and the ability to manage cross\-functional teams.
**Preferred Skills**
* Experience in agile ways of working and sprint delivery cycles
* Familiarity with healthcare workflows, medical coding systems, and clinical operations.
**About Us**
 Founded in 1999, Homecare Homebase, a subsidiary of Hearst Corporation is a market leader in healthcare software development providing mobile cloud\-based solutions for clinical, operational, and financial improvement of home care, hospice and personal care agencies throughout the United States. Our software enables real time solutions for wireless information exchange and communication between office staff, field staff, and physicians.
 Our success is fueled by our talented teams that are driven by their passion to make a difference in patient care. Our employees work in a culture that is guided by
 **CARES** 
 values: Care, Act, Respect, Excel, and Smile (a positive attitude). If you want to work in a role where your skills have a direct influence on patient care, Homecare Homebase is the next step in your career. We are hiring team members who want to make a difference.
**What You Can Expect From Us**
 At Homecare Homebase, we don't just help our clients succeed; we help our employees succeed. Competitive pay, robust benefits, and professional development opportunities are a few of the many reasons that Homecare Homebase is a great place to build your career.
**Our Team Members Also Enjoy**
**Meaningful work.** 
 Our employees often tell us that their work gives them a sense of purpose because it makes a difference in the lives of clinicians and homecare staff, as well as the patients they serve.
**Leaders who care.** 
 President Luke Rutledge has continued the mission to create a culture that cares – one that appreciates and takes good care of its people. As a result, being an employee of HCHB feels like being a member of a big family.
**Flexibility.** 
 We value work\-life balance because we know that happy employees create happy clients. That's why Homecare Homebase offers both full and part\-time career opportunities to fit life's unique demands.
**A company that gives back.** 
 Every year, Homecare Homebase proudly supports numerous charitable fundraising initiatives that align with our mission of empowering exceptional care and helping others in need.
**Sound like a good fit? We’d love to hear from you.**
 This position does not provide sponsorship. All applicants should either be US Citizens or Permanent Residents eligible to work in the US without immigration restrictions.</t>
        </is>
      </c>
    </row>
    <row r="63">
      <c r="A63" t="inlineStr">
        <is>
          <t>li-4362189055</t>
        </is>
      </c>
      <c r="B63" t="inlineStr">
        <is>
          <t>Senior Product Manager</t>
        </is>
      </c>
      <c r="C63" t="inlineStr">
        <is>
          <t>Five Star Bank</t>
        </is>
      </c>
      <c r="D63" t="inlineStr">
        <is>
          <t>linkedin</t>
        </is>
      </c>
      <c r="E63">
        <f>HYPERLINK("https://www.linkedin.com/jobs/view/4362189055", "https://www.linkedin.com/jobs/view/4362189055")</f>
        <v/>
      </c>
      <c r="F63">
        <f>HYPERLINK("https://workforcenow.adp.com/mascsr/default/mdf/recruitment/recruitment.html?cid=d041dd25-4cbf-4fcd-bf77-ecd856f31f0f&amp;ccId=19000101_000001&amp;type=MP&amp;lang=en_US&amp;jobId=583569&amp;source=LI&amp;urlHash=4XZ_", "https://workforcenow.adp.com/mascsr/default/mdf/recruitment/recruitment.html?cid=d041dd25-4cbf-4fcd-bf77-ecd856f31f0f&amp;ccId=19000101_000001&amp;type=MP&amp;lang=en_US&amp;jobId=583569&amp;source=LI&amp;urlHash=4XZ_")</f>
        <v/>
      </c>
      <c r="G63" t="inlineStr">
        <is>
          <t>Buffalo, NY</t>
        </is>
      </c>
      <c r="H63" t="inlineStr"/>
      <c r="I63" t="inlineStr">
        <is>
          <t>**Purpose:** 
 The Senior Product Manager of Consumer Deposits is responsible for the development, design, pricing and management of our Consumer Deposit product set. This includes reporting and insights related to activity, pricing, profitability, customer growth and product mix within their portfolio of focus. Additionally, the Senior Product Manager will provide continued evaluation and recommendation of new product features/functionality and process enhancements to help us meet customer needs, enterprise goals and remain competitive.
 The Senior Product Manager partners with key stakeholders including line of business leadership, Finance, Marketing, Risk, Operations, Technology and others on the concept, build and delivery of new products, as well as changes to existing products – all in support of a positive customer experience, sound product governance and successful outcomes. This includes engaging with our governance bodies, such as New Product Approval and ALCO, and adhering to all processes and procedures related to change management.
 This role supervises the Deposit Product Analyst and directs their workflow to deliver the appropriate reporting, analysis and insights to manage the product portfolio. The Senior Product Manager will also work closely with the rest of the Product team and provide counsel and support as needed to teammates with other product portfolios.
**Essential Functions:**
* Product Strategy: Maintain a roadmap for the product portfolio that aligns with enterprise objectives. This includes understanding market trends, customer needs, and the competitive landscape. Able to articulate how our products fit into the broader strategy of the bank and address specific client segments.
* Product Development and Management: Responsible for overseeing the development and enhancement of Consumer Deposit products. This involves working closely with Operations, Technology, Line of Business and Compliance to ensure that the products are user\-friendly and can be successfully deployed within our environment.
* Analysis and Insights: Conduct market research and gather customer feedback to understand the needs and pain points of clients. Develop KPIs and perform user research to inform decisions about product development, marketing, and positioning.
* Regulatory Compliance: Work with stakeholder to ensure that product design complies with relevant laws and regulations. Adhere to change management processes, including following all required steps and obtaining all necessary approvals. This includes staying updated on changes in the banking regulatory environment and working with legal and compliance teams to navigate these complexities. This also includes taking a leading role in facilitating agreements and disclosures related to product launches and changes.
* Financial Management: Help manage the budget for product development and assist with forecasting and analyzing the financial performance of the product portfolio. Ensure that the products are profitable and contribute positively to the bank's bottom line.
* Cross\-functional Collaboration: The role requires collaboration with various departments within the bank such as marketing, compliance, risk management, operations, and business leaders. The Senior Product Manager needs to ensure that all teams are aligned with the product strategy and have the necessary tools and information to effectively sell and support the products. Demonstrate the standards and principles of the Five Star Bank experience in every interaction with internal and external customers, associates, and stakeholders. Incorporate the high\-performance behaviors of teamwork, leading by example, and service in every facet of work.
* Sales, Marketing and Communication Support: Provide support to Marketing, Sales and Communications to ensure effective outreach, promotion and change communications for product launches or changes. This could involve training sales teams, procedures, user guides, fact sheets, FAQ’s, sales documents, agreements, and customer election forms.
* Customer Experience and Service: Ensure that the product offers a high\-quality customer experience. This includes keeping abreast of the customer service touch points related to the product, addressing any issues or feedback, and continuously seeking ways to enhance customer satisfaction.
* Product Lifecycle Management: Responsible for managing the entire lifecycle of each product, from inception to retirement. This includes making decisions about when to update, enhance, or discontinue products.
* SME: Serves as a product subject matter expert for our Consumer Deposit product set.
**Job Related Qualifications:**
**Required:**
* Education: Bachelor’s Degree in Business Administration, Finance, Marketing or related field
* Prior Experience: 7\+ years Product Management, or a combination of Consumer Banking experience in Banker, Marketing, or Customer Experience functions.
* Licenses or Accreditation: N/A
* OR\-
**Preferred:**
* Education: Master’s Degree
* Prior Experience: 10\+ years’ experience in Consumer Banking Product Management, including roles supporting deposit products, managing vendor relationships, and developing product pricing strategy.
* Licenses or Accreditation: N/A
**Competencies:**
* Product Competency: Embraces the role of a product manager in a multi\-stakeholder ecosystem with a demonstrable understanding of product, pricing, placement, and promotion. Has demonstrated understanding of Consumer Deposit products and services, including digital banking features and technologies.
* Analytical ability to interpret data and present it in a meaningful and easily understood form. Work extensively with spreadsheets to analyze financial data, predict future costs, revenue and profitability with support from internal finance team.
* Excellent written and verbal communication skills. Able to tailor communication to unique audiences at all levels of the organization, as well as with external vendors.
* Excellent project management and collaboration skills. Ability to support projects from end\-to\-end and understand how to support and lead the following: solution discovery, business requirement construction, technology specifications support, project launch, internal approval management, testing, communication, delivery, and post\-project review.
* Excellent organizational skills with ability to manage multiple priorities and meet established deadlines.
* Fluent in standard Microsoft Office tools, in particular Excel.
* Coaching and team\-building skills, or experience managing direct reports.
* Risk\-minded, possessing a firm understanding of risk, compliance, and audit functions to support the identification, assessment, mitigation, and control management of identified risks.
* Team player with a desire to advance the organization’s vision for meeting cultural and community objectives.
**Physical Requirements:**
* Able to regularly sit for prolonged periods of time.
* Able to regularly stand for prolonged periods of time.
* Able to travel:
+ occasionally
* Extensive computer usage is required.
* Ability to work:
* Evenings
+ Occasionally
* Weekends
+ Occasionally
**Benefits:**
* Medical, Dental, and Vision Insurance
* Health Savings Account
* Flexible Spending Account(s)
* Company Paid Life Insurance, Long\-Term Disability, and Short\-Term Disability
* Voluntary Offerings: Life, Critical Illness/Specified Disease, Accident, Hospital Indemnity, Legal Insurance \&amp; Personal Accident
* Tuition Reimbursement
* Employee Referral Program
* Wellness Reimbursement Program
* Star Volunteer Program
* Employee Banking and Financial Perks
* Flexible Hybrid Work Schedule
* Paid Time Off (PTO)
* Company Paid Holidays
 This job description is not exhaustive. The Senior Product Manager may be required to perform other duties as assigned.
 The expected rate of pay for this position is shown above. Compensation offers are based on a wide range of factors including relevant skills, training, experience, education and, where applicable, licenses or certifications obtained. Market and organizational factors are also considered. In addition to your base rate of pay and a competitive benefits package, successful candidates may be eligible to receive cash or equity\-based incentives based on the role and performance.</t>
        </is>
      </c>
    </row>
    <row r="64">
      <c r="A64" t="inlineStr">
        <is>
          <t>li-4381010692</t>
        </is>
      </c>
      <c r="B64" t="inlineStr">
        <is>
          <t>Commercial Product Manager</t>
        </is>
      </c>
      <c r="C64" t="inlineStr">
        <is>
          <t>PAI Pharma</t>
        </is>
      </c>
      <c r="D64" t="inlineStr">
        <is>
          <t>linkedin</t>
        </is>
      </c>
      <c r="E64">
        <f>HYPERLINK("https://www.linkedin.com/jobs/view/4381010692", "https://www.linkedin.com/jobs/view/4381010692")</f>
        <v/>
      </c>
      <c r="F64" t="inlineStr"/>
      <c r="G64" t="inlineStr">
        <is>
          <t>Parsippany, NJ</t>
        </is>
      </c>
      <c r="H64" t="inlineStr"/>
      <c r="I64" t="inlineStr">
        <is>
          <t>**Job Summary:** 
 To provide product management, modeling and commercial analytics to support PAI’s strategic product development and life cycle management. This role will manage the functions including product forecasting, 5YSP/Budget, competitive analytics, business management and insights reporting and product launch coordination to support growth and sales operations.
 • Responsible for supporting business case development, business development modeling, and modeling new product targets
 • Responsible for performing commercial analytics, insight generation and competitive analysis
 • Supports launch planning
 • Contributes to Finance quarterly planning cycle for 5YSP/Budget
 • Supports portfolio sales economics
 • Provides holistic support to Finance \&amp; Leadership teams
**Duties and Responsibilities:** 
 1\. Lead commercial business insights and reporting to support growth and commercial execution, to include but not limited to competitive and market share analysis, business and competitive intelligence reporting, product performance and ad\-hoc.
 2\. Lead the product forecasting/modeling for all commercial products which supports business case development, demand planning, manufacturing readiness, and financial budgeting.
 3\. Contributes to finance quarterly planning cycle, including owning commercial re\-forecasting model and supporting portfolio sales economics.
 4\. Manages various in support of overall analysis of PAI Pharma’s revenue, including holistic support of the finance and leadership teams in understanding portfolio changes, even those driven outside the commercial team (BD, R\&amp;D, etc.)
 5\. Delivers adhoc analysis in conjunction with finance team in support of commercial, executive, \&amp; finance leadership
 6\. Be the product expert.
 7\. Support the development of marketing materials to support existing and new product launches, including sell sheets, product catalog, PR, advertising, podium, white papers, etc.
 8\. Support and coordinate the execution of new product launch plans.
 9\. Support commercial and market assessment to drive execution of new product launches and achieve product targets.
 10\. Support the management and reporting of pipeline postmortem and launch success tracking.
 11\. Nurtures a team environment of accountability, continuous improvement and best\-in\-class performance.
 12\. Assist and manage projects to meet organizational and customer requirements.
 ACCOUNTABILITY
 For the accuracy and timeliness of all work performed.
 SUPERVISORY RESPONSIBILITIES
 Manage the product management for assigned products and business analytics process to drive commercial execution.
**Education and Experience:** 
 Proven working experience in marketing and product management, preferably in the generic pharmaceutical industry
 • Working knowledge of data management and business analytics to derive business and competitive insights
 • Ability to think strategically and to lead
 • Strong client\-facing and communication skills
 • Advanced troubleshooting and multi\-tasking skills
 • Skilled in Excel, PowerPoint and Word
 • Solid proficiency and knowledge of commonly used pharmaceutical industry databases like IQVIA, ProspectoRx, First Databank, etc.
 • Knowledge of FDA websites
 • BS degree in Business Administration or related field
 • Minimum 5\-7 years of industry related experience
 The pay range for this position at commencement of employment is expected to be between $100,000\-$140,000; however, base pay offered may vary depending on multiple individualized factors, including market location, job\-related knowledge, skills, and experience. The total compensation package for this position will also include benefits such as medical, prescription drug, dental and vision insurance, flexible spending accounts, participation in 401(k) savings plan, and various paid time off benefits, such as PTO, short\- and long\-term disability and parental leave, dependent on the position offered. Details of participation in these benefit plans will be provided to employees who receive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**Physical Requirements/ Working Conditions:** 
 EQUIPMENT AND MACHINES
 Personal computer and standard office equipment.
 WORKING CONDITIONS
 Office environment. Occasional business travel may be required.
 To perform this job successfully, an individual must be able to perform the essential job functions satisfactorily. PAI is an Equal Opportunity Employer. In compliance with the Americans with Disabilities Act, PAI will provide reasonable accommodations to qualified individuals with disabilities and encourages both prospective and current employees to discuss potential accommodations with the employer. PAI uses E\-Verify.
 PAI Pharma is a nicotine\-free campus, meaning the use of nicotine products—including cigarettes, vaping, chewing tobacco, and any other nicotine\-containing substances—is strictly prohibited on company property. All employees should be able to complete their full shift without the need to use nicotine. By joining PAI Pharma, you agree to adhere to our nicotine\-free workplace policy, which supports a healthier environment for all employees.
 EEO Employer / Veteran / Disabled</t>
        </is>
      </c>
    </row>
    <row r="65">
      <c r="A65" t="inlineStr">
        <is>
          <t>li-4362197985</t>
        </is>
      </c>
      <c r="B65" t="inlineStr">
        <is>
          <t>Senior Product Manager</t>
        </is>
      </c>
      <c r="C65" t="inlineStr">
        <is>
          <t>Five Star Bank</t>
        </is>
      </c>
      <c r="D65" t="inlineStr">
        <is>
          <t>linkedin</t>
        </is>
      </c>
      <c r="E65">
        <f>HYPERLINK("https://www.linkedin.com/jobs/view/4362197985", "https://www.linkedin.com/jobs/view/4362197985")</f>
        <v/>
      </c>
      <c r="F65" t="inlineStr"/>
      <c r="G65" t="inlineStr">
        <is>
          <t>Rochester, NY</t>
        </is>
      </c>
      <c r="H65" t="inlineStr"/>
      <c r="I65" t="inlineStr">
        <is>
          <t>**Purpose:** 
 The Senior Product Manager of Consumer Deposits is responsible for the development, design, pricing and management of our Consumer Deposit product set. This includes reporting and insights related to activity, pricing, profitability, customer growth and product mix within their portfolio of focus. Additionally, the Senior Product Manager will provide continued evaluation and recommendation of new product features/functionality and process enhancements to help us meet customer needs, enterprise goals and remain competitive.
 The Senior Product Manager partners with key stakeholders including line of business leadership, Finance, Marketing, Risk, Operations, Technology and others on the concept, build and delivery of new products, as well as changes to existing products – all in support of a positive customer experience, sound product governance and successful outcomes. This includes engaging with our governance bodies, such as New Product Approval and ALCO, and adhering to all processes and procedures related to change management.
 This role supervises the Deposit Product Analyst and directs their workflow to deliver the appropriate reporting, analysis and insights to manage the product portfolio. The Senior Product Manager will also work closely with the rest of the Product team and provide counsel and support as needed to teammates with other product portfolios.
**Essential Functions:**
* Product Strategy: Maintain a roadmap for the product portfolio that aligns with enterprise objectives. This includes understanding market trends, customer needs, and the competitive landscape. Able to articulate how our products fit into the broader strategy of the bank and address specific client segments.
* Product Development and Management: Responsible for overseeing the development and enhancement of Consumer Deposit products. This involves working closely with Operations, Technology, Line of Business and Compliance to ensure that the products are user\-friendly and can be successfully deployed within our environment.
* Analysis and Insights: Conduct market research and gather customer feedback to understand the needs and pain points of clients. Develop KPIs and perform user research to inform decisions about product development, marketing, and positioning.
* Regulatory Compliance: Work with stakeholder to ensure that product design complies with relevant laws and regulations. Adhere to change management processes, including following all required steps and obtaining all necessary approvals. This includes staying updated on changes in the banking regulatory environment and working with legal and compliance teams to navigate these complexities. This also includes taking a leading role in facilitating agreements and disclosures related to product launches and changes.
* Financial Management: Help manage the budget for product development and assist with forecasting and analyzing the financial performance of the product portfolio. Ensure that the products are profitable and contribute positively to the bank's bottom line.
* Cross\-functional Collaboration: The role requires collaboration with various departments within the bank such as marketing, compliance, risk management, operations, and business leaders. The Senior Product Manager needs to ensure that all teams are aligned with the product strategy and have the necessary tools and information to effectively sell and support the products. Demonstrate the standards and principles of the Five Star Bank experience in every interaction with internal and external customers, associates, and stakeholders. Incorporate the high\-performance behaviors of teamwork, leading by example, and service in every facet of work.
* Sales, Marketing and Communication Support: Provide support to Marketing, Sales and Communications to ensure effective outreach, promotion and change communications for product launches or changes. This could involve training sales teams, procedures, user guides, fact sheets, FAQ’s, sales documents, agreements, and customer election forms.
* Customer Experience and Service: Ensure that the product offers a high\-quality customer experience. This includes keeping abreast of the customer service touch points related to the product, addressing any issues or feedback, and continuously seeking ways to enhance customer satisfaction.
* Product Lifecycle Management: Responsible for managing the entire lifecycle of each product, from inception to retirement. This includes making decisions about when to update, enhance, or discontinue products.
* SME: Serves as a product subject matter expert for our Consumer Deposit product set.
**Job Related Qualifications:**
**Required:**
* Education: Bachelor’s Degree in Business Administration, Finance, Marketing or related field
* Prior Experience: 7\+ years Product Management, or a combination of Consumer Banking experience in Banker, Marketing, or Customer Experience functions.
* Licenses or Accreditation: N/A
* OR\-
**Preferred:**
* Education: Master’s Degree
* Prior Experience: 10\+ years’ experience in Consumer Banking Product Management, including roles supporting deposit products, managing vendor relationships, and developing product pricing strategy.
* Licenses or Accreditation: N/A
**Competencies:**
* Product Competency: Embraces the role of a product manager in a multi\-stakeholder ecosystem with a demonstrable understanding of product, pricing, placement, and promotion. Has demonstrated understanding of Consumer Deposit products and services, including digital banking features and technologies.
* Analytical ability to interpret data and present it in a meaningful and easily understood form. Work extensively with spreadsheets to analyze financial data, predict future costs, revenue and profitability with support from internal finance team.
* Excellent written and verbal communication skills. Able to tailor communication to unique audiences at all levels of the organization, as well as with external vendors.
* Excellent project management and collaboration skills. Ability to support projects from end\-to\-end and understand how to support and lead the following: solution discovery, business requirement construction, technology specifications support, project launch, internal approval management, testing, communication, delivery, and post\-project review.
* Excellent organizational skills with ability to manage multiple priorities and meet established deadlines.
* Fluent in standard Microsoft Office tools, in particular Excel.
* Coaching and team\-building skills, or experience managing direct reports.
* Risk\-minded, possessing a firm understanding of risk, compliance, and audit functions to support the identification, assessment, mitigation, and control management of identified risks.
* Team player with a desire to advance the organization’s vision for meeting cultural and community objectives.
**Physical Requirements:**
* Able to regularly sit for prolonged periods of time.
* Able to regularly stand for prolonged periods of time.
* Able to travel:
+ occasionally
* Extensive computer usage is required.
* Ability to work:
* Evenings
+ Occasionally
* Weekends
+ Occasionally
**Benefits:**
* Medical, Dental, and Vision Insurance
* Health Savings Account
* Flexible Spending Account(s)
* Company Paid Life Insurance, Long\-Term Disability, and Short\-Term Disability
* Voluntary Offerings: Life, Critical Illness/Specified Disease, Accident, Hospital Indemnity, Legal Insurance \&amp; Personal Accident
* Tuition Reimbursement
* Employee Referral Program
* Wellness Reimbursement Program
* Star Volunteer Program
* Employee Banking and Financial Perks
* Flexible Hybrid Work Schedule
* Paid Time Off (PTO)
* Company Paid Holidays
 This job description is not exhaustive. The Senior Product Manager may be required to perform other duties as assigned.
 The expected rate of pay for this position is shown above. Compensation offers are based on a wide range of factors including relevant skills, training, experience, education and, where applicable, licenses or certifications obtained. Market and organizational factors are also considered. In addition to your base rate of pay and a competitive benefits package, successful candidates may be eligible to receive cash or equity\-based incentives based on the role and performance.</t>
        </is>
      </c>
    </row>
    <row r="66">
      <c r="A66" t="inlineStr">
        <is>
          <t>li-4372123522</t>
        </is>
      </c>
      <c r="B66" t="inlineStr">
        <is>
          <t>Senior Product Manager</t>
        </is>
      </c>
      <c r="C66" t="inlineStr">
        <is>
          <t>Monks</t>
        </is>
      </c>
      <c r="D66" t="inlineStr">
        <is>
          <t>linkedin</t>
        </is>
      </c>
      <c r="E66">
        <f>HYPERLINK("https://www.linkedin.com/jobs/view/4372123522", "https://www.linkedin.com/jobs/view/4372123522")</f>
        <v/>
      </c>
      <c r="F66">
        <f>HYPERLINK("https://www.monks.com/careers/florida/senior-product-manager?gh_src=a9b949034us&amp;urlHash=F8La", "https://www.monks.com/careers/florida/senior-product-manager?gh_src=a9b949034us&amp;urlHash=F8La")</f>
        <v/>
      </c>
      <c r="G66" t="inlineStr">
        <is>
          <t>Florida, United States</t>
        </is>
      </c>
      <c r="H66" t="inlineStr"/>
      <c r="I66" t="inlineStr">
        <is>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**Role Overview**
 As a Senior Product Manager you identify and solve problems using your deep experience in product management. You lead cross\-functional teams to define and develop product strategies aligning them with market opportunities, deliver innovative solutions that meet the customers' needs and support business goals. Additionally, you are responsible for steering the product's overall strategy to ensure it aligns with long\-term vision and promotes future growth.
 This is a remote position that can be done from anywhere. You may be expected to travel occasionally.
**Responsibilities**
**CONSULTING**
* Serve as a Trusted Advisor to Our Clients: Build trusting relationships with client stakeholders, providing strategic insight and guidance, serving as the primary point of contact for product\-related inquiries, updates and decisions.
* Conduct Market, Business and User Research: Conduct thorough market research, competitive analysis, business analysis and/or user interviews to identify opportunities and inform product decisions, translating collected insights into actionable strategies.
* Manage Risk: Proactively identify potential risks and challenges that may have an impact on product delivery or performance. Develop contingency plans and mitigation strategies to address these risks effectively.
**WORKFLOW MANAGEMENT**
* Lead Workflow Discovery: Partner with business stakeholders to map end‑to‑end workflows and surface the true rationale behind how work is done.
* Challenge Assumptions: Distinguish legacy practice from required process and validate whether each step delivers business value.
* Standardize and Reuse: Identify cross‑facility commonalities for consolidation, reuse, or shared automation while preserving necessary local variance.
* Design Future State: Define scalable, compliant, and user‑centric future workflows that balance efficiency with operational realities.
* Negotiate and Align: Facilitate stakeholder trade‑offs, build consensus, and secure commitment to changed processes.
* Document and Iterate: Produce clear, actionable workflow artifacts and continuously refine them through stakeholder feedback and pilot outcomes.
**PRODUCT DELIVERY**
* Display Strategic Leadership: Define and articulate the long\-term product vision and strategy in alignment with company goals. Drive product roadmap initiatives that reflect market trends, customer, feedback and business priorities.
* Promote Cross\-Functional Collaboration: Collaborate closely with Engineering, Design, Delivery and other key participants to ensure successful product development, launch and adoption. Facilitate communication and alignment across diverse teams, ensuring all efforts are focused on accomplishing the product’s vision and satisfying end users needs across product iterations.
* Manage the Product Lifecycle: Oversee the entire product lifecycle from ideation through launch, adoption and beyond. Define product requirements, prioritize features and manage trade\-offs to deliver high\-value and high\-quality products on time and within budget.
* Establish a Metrics Driven Approach: Define key performance indicators (KPIs) and metrics to effectively measure product success. Analyze data to gain insights, identify areas for improvement, and drive iterative enhancements that continuously add value to the product and user experience.
* Champion Continuous Improvement: Promote a culture of continuous improvement and innovation within the product team. Encourage experimentation, feedback loops and agile methodologies to drive iterative development and optimization.
**INNOVATION \&amp; IMPROVEMENT**
* Thought Leadership: Stay up to date on industry trends, emerging technologies and best practices in the field of product management. Share knowledge and insights with the team to spark creative solutions and drive excellence.
* Provide Mentorship: Foster the professional growth and development of associate and Mid\-level Product Managers within the team. Provide constructive feedback, guidance and mentorship to help them succeed in their roles and advance in their careers.
* Improve Foundry Processes: Continuously evaluate and refine product management processes, methodologies and tools to enhance team efficiency, effectiveness and collaboration. Implement best practices and standards to guarantee consistent and high quality outcomes across projects and internal initiatives.
* Share Knowledge: Promote a culture of knowledge sharing, collaboration and cross\-pollination of ideas within the Product Foundry. Encourage team members to share learnings, insights and experiences to foster collective growth and innovation.
* Evangelize Leadership in Product Culture: Serve as a champion for a strong product culture within the organization. Promote values such as customer\-centricity, experimentation, agility and continuous improvement, inspiring team members to embody these principles in their work.
**Must Have Skills**
* 5\+ years of professional experience in technological projects related to digital products, software design and/or development.
* Proven experience leading end‑to‑end workflow discovery and process redesign in complex, multi‑site organizations.
* Track record of taking a solution from 0 to 1 (concept through training/release and post\-release adoption/monitoring)
* Strong stakeholder facilitation and negotiation skills; able to translate operational needs into scalable product requirements.
* Proven track record managing the end to end software product lifecycle (building and shipping) of a product or suite of small products with multiple features, complex requirements, diverse stakeholder needs, and a dedicated team.
* Understanding of, or experience with, web technologies, technical concepts, software development (coding) and APIs.
* Experience leading discovery sessions in which prioritization and requirements elicitation workshops are conducted.
* Can quickly ramp up on a new business domain.
* Goal\-oriented, autonomous and organized; must like teamwork but also who can work independently with minimal supervision to obtain the information needed to perform product management responsibilities.
* Strong consulting, communication skills, and ability to establish and maintain a high level of credibility with internal and external partners.
* Ability to pitch and articulate value to different audiences.
* Experience using agile development methodologies with globally\-distributed teams.
* Experience using Sketch, Miro or other modern collaborative design tools to make or make changes to wireframes and designs.
* Experience using Jira or other requirements management tools.
**Nice\-to\-Have Skills**
* Previous consulting experience.
* Agile processes certification (Scrum Master or Product Owner).
* Experience mentoring and team building.
*At.Monks,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**What We Offer**
* Monks has provided a compensation range that represents its good faith estimate of what Media.Monks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**About Monks**
 Monks is the global, digital\-first, data\-driven, unitary operating brand of S4 Capital plc. With a legacy of innovation and specialized expertise, Monks combines an extraordinary range of global Marketing and Technology Services to redefine how brands interact with the world. Through Monks.Flow, its flagship AI ecosystem for marketing orchestration, Monks transforms marketing into a growth engine, collapsing timelines and connecting brands to culture in real time. By deploying bespoke intelligent agents across disciplines and delivering culturally relevant, high\-impact creative and digital solutions, Monks solves key critical business challenges across the entire brand enterprise to help brands sustain long\-term impact.
 Monks was named a Contender in The Forrester Wave™: Global Marketing Services, ranks among Cannes Lions' Top 10 Creative Companies (2022\-25\) and remains the only partner featured in AdExchanger’s Programmatic Power Players list every year (2020\-24\). Named Adweek’s first AI Agency of the Year (2023\) and The One Show’s inaugural AI Pioneer Organization, Monks was also awarded Business Intelligence Group’s 2025 Excellence in Artificial Intelligence Award in both the Organizational and AI Product categories. As a trusted partner to cutting\-edge innovators in tech, Monks earned titles such as Optimizely Experimentation Partner of the Year (2025\), runner\-up for the Adobe Firefly Partner Award (2024\), and Workato’s AI Visionary Customer Impact Award (2024\). Additionally, Monks achieved a record\-breaking number of FWAs and continues to hold the most of any partner.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is>
      </c>
    </row>
    <row r="67">
      <c r="A67" t="inlineStr">
        <is>
          <t>li-4371572031</t>
        </is>
      </c>
      <c r="B67" t="inlineStr">
        <is>
          <t>Lead Product Manager, Global</t>
        </is>
      </c>
      <c r="C67" t="inlineStr">
        <is>
          <t>Exact Sciences</t>
        </is>
      </c>
      <c r="D67" t="inlineStr">
        <is>
          <t>linkedin</t>
        </is>
      </c>
      <c r="E67">
        <f>HYPERLINK("https://www.linkedin.com/jobs/view/4371572031", "https://www.linkedin.com/jobs/view/4371572031")</f>
        <v/>
      </c>
      <c r="F67" t="inlineStr"/>
      <c r="G67" t="inlineStr">
        <is>
          <t>Cambridge, MA</t>
        </is>
      </c>
      <c r="H67" t="inlineStr"/>
      <c r="I67" t="inlineStr">
        <is>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Lead Product Manager is a global\-facing role that partners closely with product and business stakeholders across multiple regions to define solutions aligned with customer needs and global business objectives. This role supports product teams by contributing to high\-complexity, high\-impact initiatives, ensuring alignment across markets, geographies, and technology platforms. The Lead Product Manager ensures business, user, and technology needs are met through continuous analysis, iteration, solution design, and delivery at a global scale.
 As a Lead Product Manager, you will lead business requirements gathering and develop a deep understanding of the problem space to ensure solutions meet stakeholder expectations across regions. Post\-delivery, you will drive global product lifecycle management activities to sustain product\-market fit and support continued market success worldwide.
**This role requires strong cross\-regional collaboration skills and the ability to work effectively across multiple time zones. Flexibility to participate in meetings or working sessions outside of standard local business hours may be necessary to support global teams.**
**Essential Duties**
 Include, but are not limited to, the following:
* Owns product strategy and delivery across multiple product areas or customer journeys, creating comprehensive product roadmaps that drive strategic objectives.
* Leads service design efforts across touchpoints, utilizing roadmaps to guide strategic decision making and product innovation aligned with user needs and business outcomes.
* Leads cross\-functional teams in the development and execution of the business cases and roadmaps, engaging senior stakeholders to secure buy\-in for goals, priorities, and execution plans.
* Establishes measurable objectives and monitors performance to guide iteration and success.
* Manages product scope and backlog across initiatives, balancing new development with on market product enhancements
* Provides leadership and mentorship to elevate team capabilities and collaboration.
* Uphold company mission and values through accountability, innovation, integrity, quality, and teamwork.
* Support and comply with the company’s Quality Management System policies and procedures.
* Maintain regular and reliable attendance.
* Ability to act with an inclusion mindset and model these behaviors for the organization.
* Ability to work on a mobile device, tablet, or in front of a computer screen and/or perform typing for approximately 90% of a typical working day.
* Ability to travel 10% of working time away from work location, may include overnight/weekend travel.
**Minimum Qualifications**
* Bachelor’s Degree in relevant field.
* 6\+ years of experience leading product initiatives, such as managing multiple product areas, driving strategic initiatives, and influencing cross\-functional teams and senior stakeholders.
* Demonstrated ability to perform the essential duties of the position with or without accommodation.
* Applicants must be currently authorized to work in country where work will be performed on a full or part\-time basis. We are unable to sponsor or take over sponsorship of employment visas at this time.
**Preferred Qualifications**
* MS in Lifesciences, business or related field.
* 8\+ years of experience supporting product launches, lifecycle management, or market expansion initiatives.
* Experience working with cross\-functional partners in regulated environments (including CLIA, FDA, CE, IVDR)
* Experience supporting global teams and working effectively across regions, including navigating cultural nuances and market\-specific considerations
* Understanding of the complexities associated with entering and scaling in new markets
 Salary Range:
 $112,000\.00 \- $190,000\.00
 The annual base salary shown is for this position located in US \- WI \- Madison on a full\-time basis and may differ by hiring location. In addition, this position is bonus eligible.
 Exact Sciences is proud to offer an employee experience that includes paid time off (including days for vacation, holidays, volunteering, and personal time), paid leave for parents and caregivers, a retirement savings plan, wellness support, and health benefits including medical, prescription drug, dental, and vision coverage. Learn more about our benefits.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We are an equal employment opportunity employer. All qualified applicants will receive consideration for employment without regard to disability, protected veteran status, and any other status protected by applicable local, state, or federal law.
 To view the Right to Work, E\-Verify Employer, and Pay Transparency notices and Federal, Federal Contractor, and State employment law posters, visit our compliance hub. The documents summarize important details of the law and provide key points that you have a right to know.</t>
        </is>
      </c>
    </row>
    <row r="68">
      <c r="A68" t="inlineStr">
        <is>
          <t>li-4380252977</t>
        </is>
      </c>
      <c r="B68" t="inlineStr">
        <is>
          <t>Director, Digital Product Manager, Clinical Execution</t>
        </is>
      </c>
      <c r="C68" t="inlineStr">
        <is>
          <t>myGwork - LGBTQ+ Business Community</t>
        </is>
      </c>
      <c r="D68" t="inlineStr">
        <is>
          <t>linkedin</t>
        </is>
      </c>
      <c r="E68">
        <f>HYPERLINK("https://www.linkedin.com/jobs/view/4380252977", "https://www.linkedin.com/jobs/view/4380252977")</f>
        <v/>
      </c>
      <c r="F68">
        <f>HYPERLINK("https://mygwork.com/jobs/thermo-fisher-scientific-director-digital-product-manager-clinical-execution-1?src=linkedin&amp;utm_source=linkedin&amp;utm_medium=referral&amp;utm_campaign=jobs&amp;urlHash=KWb4", "https://mygwork.com/jobs/thermo-fisher-scientific-director-digital-product-manager-clinical-execution-1?src=linkedin&amp;utm_source=linkedin&amp;utm_medium=referral&amp;utm_campaign=jobs&amp;urlHash=KWb4")</f>
        <v/>
      </c>
      <c r="G68" t="inlineStr"/>
      <c r="H68" t="inlineStr"/>
      <c r="I68" t="inlineStr">
        <is>
          <t>**This job is with Thermo Fisher Scientific, an inclusive employer and a member of myGwork – the largest global platform for the LGBTQ\+ business community. Please do not contact the recruiter directly.**
**Work Schedule**
 Standard (Mon\-Fri)
**Environmental Conditions**
 Office
**Job Description**
 At Thermo Fisher’s PPD clinical research business, we’re using digital innovation, data science, and AI to reimagine how life\-changing therapies reach patients. Our teams combine deep scientific expertise with advanced analytics, automation, and digital platforms to make research smarter, faster, and more connected.
 At PPD we know that innovation happens when diverse minds meet. Our Digital Science, Data, and AI professionals collaborate closely with scientists, clinicians, and operational experts to solve real\-world challenges in clinical research. Alongside our partnership with Open AI, you can be part of the collaboration that will help to improve the speed and success of drug development, enabling customers to get medicines to patients faster and more cost effectively.
 You’ll join a culture that values experimentation, learning, and collaboration — where your ideas can help shape how we deliver life\-saving solutions and improve global health outcomes. Whether you’re a data engineer, product manager, software developer, or AI scientist, you’ll find opportunities here to apply your skills to work that truly matters — improving global health outcomes.
**Position Summary**
 The
 **Director, Digital Product Manager, Clinical Execution,** 
 will be responsible for driving the product strategy, vision, and execution of the product roadmap in our clinical execution domain. This role owns the product roadmap from concept through scale, modernization, and when appropriate, responsible transition or sunsetting. You will define and execute a unified strategy that enables real\-time visibility, performance optimization, and cross\-functional coordination across digital products. This role ensures alignment with business objectives and customer needs.
 You will lead cross\-functional teams to deliver innovative, impactful, and user\-centric solutions that enhance clinical trial operations, improve delivery outcomes, and shape the future of clinical research. This position requires hands\-on experience in translating complex business requirements into exceptional software features, along with deep knowledge of clinical operations (Data management and bio statistician), and emerging data and AI technologies.
**Key Responsibilities**
**Product Roadmap and Vision:**
* Develop and communicate a clear, compelling product vision and roadmap aligned with organizational goals.
* Conduct detailed industry research, competitor analysis, and customer/end user discovery to uncover opportunities and translate them into actionable product initiatives.
* Proactively monitor industry trends, regulatory changes, and advancements in clinical research technology, especially related to AI\-driven data solutions.
**Detailed Product Definition And Execution**
* Translate complex business requirements into detailed product specifications, features, and user stories that lead to exceptional software experiences and business outcomes.
* Work closely with engineering, data analytics, AI, UX/UI, PMO, business leaders, quality and validation, and clinical operations teams ensuring precise and effective execution of product initiatives.
* Drive agile product development, ensuring clarity in requirements, rapid iteration, and continuous delivery of high\-quality, impactful features.
* Work closely with quality and regulatory teams in ensure compliance, security and maintenance of the product throughout the lifecycle.
* Apply deep knowledge of clinical operations and management processes, regulatory standards, and best practices to guide feature design and implementation.
**Predictive Modeling And Machine Learning**
* Comfortable working with data scientists and AI/ML engineers; able to understand model types (regression, classification, NLP, and deep learning) and their limitations.
* Leverage AI and advanced analytics to enhance clinical data capabilities, improve operational efficiencies, and deliver innovative solutions to complex research challenges.
**User\-Centric Product Development**
* Champion exceptional user experience, consistently validating solutions through rigorous user research, analytics, and testing.
* Continuously refine and enhance features based on direct user feedback and analytics\-driven insights to maximize customer satisfaction and adoption.
**Stakeholder Management And Communication**
* Closely collaborate with internal stakeholders, clinical experts, data scientists, and external partners to ensure products exceed expectations and deliver measurable value.
* Clearly articulate complex product concepts and progress updates to stakeholders, including senior management and external clients.
* Influence decisions through data\-driven insights and compelling justifications of product investments.
**Leadership And Mentorship**
* Guide and mentor product managers and product owners, emphasizing practical skills in product execution, detailed feature design, and data\-driven decision\-making.
* Foster a culture of collaboration, innovation, accountability, and continuous improvement within the product team.
**Education And Experience**
* Bachelor’s degree or advanced degree in healthcare, life sciences, computer science, business, or related field preferred. Masters degree preferred.
* Previous product management experience specifically delivering detailed software features, data and AI capabilities) that provides the knowledge, skills, and abilities to perform the job (comparable to 12\+ years’ experience)
* 5\+ years leading products in clinical research, pharmaceutical or healthcare industries preferred.
* In some cases, an equivalency, consisting of appropriate education, training, and/or directly related experience will be considered sufficient for an individual to meet the requirements of the role.
**Knowledge, Skills And Abilities**
* Sharp intuition for what makes products great and the ability to prioritize features that move the needle vs noise.
* Skilled at managing up and aligning with stakeholders.
* Innovation Scouting: Inject emerging tech (AI/ML, decentralized trials) into roadmap through structured discovery.
* Skilled at executive\-level storytelling, roadmaps, and tradeoff discussions.
* Exceptional skill in translating complex business requirements into intuitive, impactful software features that exceed customer expectations.
* Deep understanding of clinical trial processes, clinical data management, and leveraging AI technologies to address data complexities.
* Proven ability to leverage user insights and data analytics to drive feature development and continuous improvement.
* Outstanding communication and stakeholder management abilities, capable of clearly articulating detailed product requirements and vision.
**Qualifications**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Location: Remote US (East Coast preferred). Relocation assistance is NOT provided.
* Must be legally authorized to work in the United States without sponsorship.
* Must be able to pass a comprehensive background check, which includes a drug screening.
 The annual salary range estimated for this position in North Carolina is $185,000\- $215,000 USD. This position may also be eligible to receive a variable annual bonus based on company, team, and/or individual performance results in accordance with company policy.
 ]]\&gt;</t>
        </is>
      </c>
    </row>
    <row r="69">
      <c r="A69" t="inlineStr">
        <is>
          <t>li-4332890785</t>
        </is>
      </c>
      <c r="B69" t="inlineStr">
        <is>
          <t>Senior Data Product Manager, GTM</t>
        </is>
      </c>
      <c r="C69" t="inlineStr">
        <is>
          <t>MongoDB</t>
        </is>
      </c>
      <c r="D69" t="inlineStr">
        <is>
          <t>linkedin</t>
        </is>
      </c>
      <c r="E69">
        <f>HYPERLINK("https://www.linkedin.com/jobs/view/4332890785", "https://www.linkedin.com/jobs/view/4332890785")</f>
        <v/>
      </c>
      <c r="F69">
        <f>HYPERLINK("http://boards.greenhouse.io/mongodb/jobs/7187739?gh_src=ircv7l&amp;source=LinkedIn&amp;urlHash=IAdU", "http://boards.greenhouse.io/mongodb/jobs/7187739?gh_src=ircv7l&amp;source=LinkedIn&amp;urlHash=IAdU")</f>
        <v/>
      </c>
      <c r="G69" t="inlineStr">
        <is>
          <t>Boston, MA</t>
        </is>
      </c>
      <c r="H69" t="inlineStr"/>
      <c r="I69" t="inlineStr">
        <is>
          <t>Our Internal Data team powers decisions and applications across MongoDB, supporting teams in Go\-to\-Market (GTM), Product and Technology, Finance, and HR. For this role, we are focused on building scalable and impactful data\-as\-a\-product solutions for Sales, Marketing, and Customer Success. These products help teams make smarter decisions, automate workflows, enable AI\-driven applications, and uncover insights that accelerate growth.
 This role can be based in one of our major U.S. offices (New York City, Austin, Palo Alto, or San Francisco) under our hybrid working model, or remotely within the United States.
 As a Senior Data Product Manager, you will work closely with our Data Pipeline, Platform Engineering, Data Architecture, and Data Governance teams to build and scale the internal data products MongoDB teams rely on every day. These products include data pipelines, datasets, dashboards, APIs, ML models, and frameworks that power analytics, AI, and business decision\-making across the company.
 This role is ideal for someone who thrives in fast\-growing environments, understands the operational needs of GTM teams, and has experience building modern data platforms and products.
**Responsibilities**
* Define and drive the product vision, strategy, and roadmap for internal data products that support GTM teams
* Partner closely with Sales, Marketing, and Customer Success teams to identify opportunities where data can improve decision\-making and operational efficiency
* Work with engineers, analysts, and business stakeholders to translate business needs into scalable data products such as datasets, pipelines, dashboards, and APIs
* Define success metrics and use data to continuously improve product adoption and impact
* Drive delivery through agile processes including backlog prioritization, sprint planning, and cross\-functional coordination
* Promote adoption of new data products through clear documentation, enablement, and stakeholder engagement
**Requirements**
* 5\+ years of product management experience, including experience building or managing data products or data platforms
* Experience partnering with GTM organizations such as Sales, Marketing, or Customer Success
* Strong understanding of modern data ecosystems, including data pipelines, analytics platforms, and scalable data architecture
* Ability to translate complex technical concepts into clear product strategies and user\-focused solutions
* Strong prioritization and execution skills in fast\-paced, cross\-functional environments
* Excellent communication and stakeholder management skills
**Nice to Have** 
* 
+ Experience working with modern data platforms such as lakehouse or medallion\-style architectures
+ Background in analytics, data science, or data engineering Experience driving adoption of internal data products through enablement, documentation, and training
+ Familiarity with metadata management or data discoverability tools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3263226175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$136,000—$266,000 USD</t>
        </is>
      </c>
    </row>
    <row r="70">
      <c r="A70" t="inlineStr">
        <is>
          <t>li-4380268308</t>
        </is>
      </c>
      <c r="B70" t="inlineStr">
        <is>
          <t>Director, Digital Product Manager, Clinical Execution</t>
        </is>
      </c>
      <c r="C70" t="inlineStr">
        <is>
          <t>myGwork - LGBTQ+ Business Community</t>
        </is>
      </c>
      <c r="D70" t="inlineStr">
        <is>
          <t>linkedin</t>
        </is>
      </c>
      <c r="E70">
        <f>HYPERLINK("https://www.linkedin.com/jobs/view/4380268308", "https://www.linkedin.com/jobs/view/4380268308")</f>
        <v/>
      </c>
      <c r="F70">
        <f>HYPERLINK("https://mygwork.com/jobs/thermo-fisher-scientific-director-digital-product-manager-clinical-execution?src=linkedin&amp;utm_source=linkedin&amp;utm_medium=referral&amp;utm_campaign=jobs&amp;urlHash=ABs5", "https://mygwork.com/jobs/thermo-fisher-scientific-director-digital-product-manager-clinical-execution?src=linkedin&amp;utm_source=linkedin&amp;utm_medium=referral&amp;utm_campaign=jobs&amp;urlHash=ABs5")</f>
        <v/>
      </c>
      <c r="G70" t="inlineStr"/>
      <c r="H70" t="inlineStr"/>
      <c r="I70" t="inlineStr">
        <is>
          <t>**This job is with Thermo Fisher Scientific, an inclusive employer and a member of myGwork – the largest global platform for the LGBTQ\+ business community. Please do not contact the recruiter directly.**
**Work Schedule**
 Standard (Mon\-Fri)
**Environmental Conditions**
 Office
**Job Description**
 At Thermo Fisher’s PPD clinical research business, we’re using digital innovation, data science, and AI to reimagine how life\-changing therapies reach patients. Our teams combine deep scientific expertise with advanced analytics, automation, and digital platforms to make research smarter, faster, and more connected.
 At PPD we know that innovation happens when diverse minds meet. Our Digital Science, Data, and AI professionals collaborate closely with scientists, clinicians, and operational experts to solve real\-world challenges in clinical research. Alongside our partnership with Open AI, you can be part of the collaboration that will help to improve the speed and success of drug development, enabling customers to get medicines to patients faster and more cost effectively.
 You’ll join a culture that values experimentation, learning, and collaboration — where your ideas can help shape how we deliver life\-saving solutions and improve global health outcomes. Whether you’re a data engineer, product manager, software developer, or AI scientist, you’ll find opportunities here to apply your skills to work that truly matters — improving global health outcomes.
**Position Summary**
 The
 **Director, Digital Product Manager, Clinical Execution,** 
 will be responsible for driving the product strategy, vision, and execution of the product roadmap in our clinical execution domain. This role owns the product roadmap from concept through scale, modernization, and when appropriate, responsible transition or sunsetting. You will define and execute a unified strategy that enables real\-time visibility, performance optimization, and cross\-functional coordination across digital products. This role ensures alignment with business objectives and customer needs.
 You will lead cross\-functional teams to deliver innovative, impactful, and user\-centric solutions that enhance clinical trial operations, improve delivery outcomes, and shape the future of clinical research. This position requires hands\-on experience in translating complex business requirements into exceptional software features, along with deep knowledge of clinical operations (Data management and bio statistician), and emerging data and AI technologies.
**Key Responsibilities**
**Product Roadmap and Vision:**
* Develop and communicate a clear, compelling product vision and roadmap aligned with organizational goals.
* Conduct detailed industry research, competitor analysis, and customer/end user discovery to uncover opportunities and translate them into actionable product initiatives.
* Proactively monitor industry trends, regulatory changes, and advancements in clinical research technology, especially related to AI\-driven data solutions.
**Detailed Product Definition And Execution**
* Translate complex business requirements into detailed product specifications, features, and user stories that lead to exceptional software experiences and business outcomes.
* Work closely with engineering, data analytics, AI, UX/UI, PMO, business leaders, quality and validation, and clinical operations teams ensuring precise and effective execution of product initiatives.
* Drive agile product development, ensuring clarity in requirements, rapid iteration, and continuous delivery of high\-quality, impactful features.
* Work closely with quality and regulatory teams in ensure compliance, security and maintenance of the product throughout the lifecycle.
* Apply deep knowledge of clinical operations and management processes, regulatory standards, and best practices to guide feature design and implementation.
**Predictive Modeling And Machine Learning**
* Comfortable working with data scientists and AI/ML engineers; able to understand model types (regression, classification, NLP, and deep learning) and their limitations.
* Leverage AI and advanced analytics to enhance clinical data capabilities, improve operational efficiencies, and deliver innovative solutions to complex research challenges.
**User\-Centric Product Development**
* Champion exceptional user experience, consistently validating solutions through rigorous user research, analytics, and testing.
* Continuously refine and enhance features based on direct user feedback and analytics\-driven insights to maximize customer satisfaction and adoption.
**Stakeholder Management And Communication**
* Closely collaborate with internal stakeholders, clinical experts, data scientists, and external partners to ensure products exceed expectations and deliver measurable value.
* Clearly articulate complex product concepts and progress updates to stakeholders, including senior management and external clients.
* Influence decisions through data\-driven insights and compelling justifications of product investments.
**Leadership And Mentorship**
* Guide and mentor product managers and product owners, emphasizing practical skills in product execution, detailed feature design, and data\-driven decision\-making.
* Foster a culture of collaboration, innovation, accountability, and continuous improvement within the product team.
**Education And Experience**
* Bachelor’s degree or advanced degree in healthcare, life sciences, computer science, business, or related field preferred. Masters degree preferred.
* Previous product management experience specifically delivering detailed software features, data and AI capabilities) that provides the knowledge, skills, and abilities to perform the job (comparable to 12\+ years’ experience)
* 5\+ years leading products in clinical research, pharmaceutical or healthcare industries preferred.
* In some cases, an equivalency, consisting of appropriate education, training, and/or directly related experience will be considered sufficient for an individual to meet the requirements of the role.
**Knowledge, Skills And Abilities**
* Sharp intuition for what makes products great and the ability to prioritize features that move the needle vs noise.
* Skilled at managing up and aligning with stakeholders.
* Innovation Scouting: Inject emerging tech (AI/ML, decentralized trials) into roadmap through structured discovery.
* Skilled at executive\-level storytelling, roadmaps, and tradeoff discussions.
* Exceptional skill in translating complex business requirements into intuitive, impactful software features that exceed customer expectations.
* Deep understanding of clinical trial processes, clinical data management, and leveraging AI technologies to address data complexities.
* Proven ability to leverage user insights and data analytics to drive feature development and continuous improvement.
* Outstanding communication and stakeholder management abilities, capable of clearly articulating detailed product requirements and vision.
**Qualifications**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Location: Remote US (East Coast preferred). Relocation assistance is NOT provided.
* Must be legally authorized to work in the United States without sponsorship.
* Must be able to pass a comprehensive background check, which includes a drug screening.
 The annual salary range estimated for this position in North Carolina is $185,000\- $215,000 USD. This position may also be eligible to receive a variable annual bonus based on company, team, and/or individual performance results in accordance with company policy.
 ]]\&gt;</t>
        </is>
      </c>
    </row>
    <row r="71">
      <c r="A71" t="inlineStr">
        <is>
          <t>li-4354297882</t>
        </is>
      </c>
      <c r="B71" t="inlineStr">
        <is>
          <t>Technical Program Manager II</t>
        </is>
      </c>
      <c r="C71" t="inlineStr">
        <is>
          <t>Sony Interactive Entertainment</t>
        </is>
      </c>
      <c r="D71" t="inlineStr">
        <is>
          <t>linkedin</t>
        </is>
      </c>
      <c r="E71">
        <f>HYPERLINK("https://www.linkedin.com/jobs/view/4354297882", "https://www.linkedin.com/jobs/view/4354297882")</f>
        <v/>
      </c>
      <c r="F71" t="inlineStr"/>
      <c r="G71" t="inlineStr">
        <is>
          <t>San Mateo, CA</t>
        </is>
      </c>
      <c r="H71" t="inlineStr"/>
      <c r="I71"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Sony Interactive Entertainment LLC seeks a Technical Program Manager II in San Mateo, CA to develop strategies and coordinate projects to establish automated infrastructure for data collection using Agile and Quality Assurance (QA) tools. Requires a Master’s degree in Business Analytics or related field or equivalent and three (3\) years of experience utilizing data visualization and data collection tools, including ELK stack (Elasticsearch, Logstash, and Kibana), Tableau, Domo, Adobe Analytics, Imply, Jira, and qTest to create data tables, perform data visualization, create and maintain visual dashboards, and build prediction models; performing Agile software development, including Python scripting within QA environments; utilizing SQL, Jira, JQL, Confluence, Google Suite, and Microsoft Excel formulas to summarize software quality data and create quality analysis dashboards; designing and implementing automated data pipelines to track key metrics; and applying Machine Learning (ML) and Natural Language Processing (NLP) techniques, including Tokenization and Term Frequency\-Inverse Document Frequency (TF\-IDF), to categorize issues and enhance search capabilities for QA test automation and tool improvement. Telecommuting and/or working from home may be permissible pursuant to company policies. Sony is an EOE.
 Salary range: $187,533\.00 – $243,100\.00/year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72">
      <c r="A72" t="inlineStr">
        <is>
          <t>li-4382110343</t>
        </is>
      </c>
      <c r="B72" t="inlineStr">
        <is>
          <t>Data Product Manager - EDA</t>
        </is>
      </c>
      <c r="C72" t="inlineStr">
        <is>
          <t>American Modern Insurance Group</t>
        </is>
      </c>
      <c r="D72" t="inlineStr">
        <is>
          <t>linkedin</t>
        </is>
      </c>
      <c r="E72">
        <f>HYPERLINK("https://www.linkedin.com/jobs/view/4382110343", "https://www.linkedin.com/jobs/view/4382110343")</f>
        <v/>
      </c>
      <c r="F72" t="inlineStr"/>
      <c r="G72" t="inlineStr">
        <is>
          <t>Carmel, IN</t>
        </is>
      </c>
      <c r="H72" t="inlineStr"/>
      <c r="I72" t="inlineStr">
        <is>
          <t>Join our team as a Data Product Manager, where you'll play a key role in enabling data\-informed decision making across the organization
 Location: Open to remote with a monthly visit to the home office (Amelia, OH 45102\)
 American Modern Insurance Group, Inc., a Munich Re company, is a widely recognized specialty insurance leader that delivers products and services for residential property – such as manufactured homes and specialty dwellings – and the recreational market, including boats, personal watercraft, classic cars, and more. We provide specialty product solutions that cover what the competition often can’t. We write admitted products in all 50 states and have a premium volume of $2\.2 billion.
 Headquartered in Amelia, Ohio, and with associates located across the United States, we are part of Munich Re’s Global Specialty Insurance division. Our employees receive boundless opportunity to grow their careers and make a difference every day \- all in a flexible environment that helps them succeed both at work and at home.
**Purpose:**
 Develops and implements long range data and analytic strategy in alignment with corporate strategy, goals, and tactics enabling data driven decision making and insight generation.
**Roles \&amp; Responsibilities:**
* Closely collaborate with partners and stakeholders to mature our data driven road map and associated data\-driven investments and governance processes or policies.
* Creates strategic direction and roadmaps for the line of business supported.
* Manage projects as requested, utilizing a standard project management methodology.
+ Analyze and develop new data assets, procedures, and workflows to continuously improve efficiencies, working environments, and system support services.
+ Takes responsibility for the definition, approach, facilitation, and satisfactory completion of projects and reports to management.
**Required Technical Skills:**
* Expert knowledge of data\-oriented programing languages (e.g. SQL, Python).
* Broad understanding of statistical reporting demands, requirements, and compliance implications.
* Expert knowledge of Analytics tools (e.g. MS Excel, Planning Analytics, Power BI).
* Familiar with logical and/or physical data modeling techniques and Data Warehousing concepts.
**Required Core Competencies:**
* Communicates Effectively
* Customer Focus
* Drives Results
* Tech Savvy
* Collaborates
* Decision Quality
**Education, Certifications \&amp; Designations:**
* Required:
+ Graduate degree in Information Systems, Analytics, Data or related field. OR Equivalent experience and bachelor degree in Information Systems, Analytics, Data or related field.
* Preferred:
+ Associate in General Insurance (AINS)
+ Project Management Certificate (PMP)
 We are proud to offer our employees, their domestic partners, and their children, a wide range of insurance benefits:
* Two options for your health insurance plan (PPO or High Deductible)
* Prescription drug coverage (included in your health insurance plan)
* Vision and dental insurance plans
* Short and Long Term Disability coverage
* Supplemental Life and AD\&amp;D plans that you can purchase for yourself and dependents (includes spouse/domestic partner and children)
* Voluntary Benefit plans that supplement your health and life insurance plans (Accident, Critical Illness and Hospital Indemnity)
 In addition to the above insurance offerings, our employees also enjoy:
* A robust 401k plan with up to a 5% employer match
* A retirement savings plan that is 100% company funded
* Paid time off that begins with 24 days each year, with more days added when you celebrate milestone service anniversaries
* Eligibility to receive a yearly bonus as a Munich Re employee
* A variety of health and wellness programs provided at no cost
* A hybrid environment that gives you a choice in where and how you get work done
* A corporately subsidized on\-site cafeteria as well as a We Proudly Serve coffee shop
* An on\-site complimentary workout facility as well as walking trails on campus grounds
* On\-site wellness center complete with nurse practitioner
* Financial assistance for adoptions and infertility treatment
* Paid time off for eligible family care needs
* Tuition assistance and educational achievement bonuses
* Free parking
* A corporate matching gifts program that further enhances your charitable donation
* Paid time off to volunteer in your community
 At American Modern, a subsidiary of Munich Re,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Applicants requiring employer sponsorship of a visa will not be considered for this position.</t>
        </is>
      </c>
    </row>
    <row r="73">
      <c r="A73" t="inlineStr">
        <is>
          <t>li-4371386845</t>
        </is>
      </c>
      <c r="B73" t="inlineStr">
        <is>
          <t>Technical Program Manager, Efficiency Metrics</t>
        </is>
      </c>
      <c r="C73" t="inlineStr">
        <is>
          <t>Google</t>
        </is>
      </c>
      <c r="D73" t="inlineStr">
        <is>
          <t>linkedin</t>
        </is>
      </c>
      <c r="E73">
        <f>HYPERLINK("https://www.linkedin.com/jobs/view/4371386845", "https://www.linkedin.com/jobs/view/4371386845")</f>
        <v/>
      </c>
      <c r="F73" t="inlineStr"/>
      <c r="G73" t="inlineStr">
        <is>
          <t>Sunnyvale, CA</t>
        </is>
      </c>
      <c r="H73" t="inlineStr"/>
      <c r="I73" t="inlineStr">
        <is>
          <t>**Minimum qualifications:**
* Bachelor's degree in a technical field, or equivalent practical experience.
* 8 years of experience in program management.
**Preferred qualifications:**
* 8 years of experience managing cross\-functional or cross\-team projects.
* Understanding of the areas of opportunity and metrics/challenges in utilization and efficiency of the infrastructure.
* Excellent program management skills, with the ability to successfully drive and land complex cross\-functional programs, in the area of compute, storage, and ML hardware/software resource efficiency programs for the data center.
* Excellent verbal and written communication and presentation skills, with the ability to interact with both technical and non\-technical audiences
* Strong problem\-solving, negotiation and organizational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large programs within efficiency with a strong focus on metrics, that deliver towards measurable impact and a more efficient use of resources in the Google fleet, and deliver towards Google's 2030 sustainability goals.
* Develop processes and tools, in partnership with the Engineering and Data Science teams, to measure top\-level metrics for the portfolio of efficiency and sustainability initiatives in AI2\.
* Partner with finance and key stakeholders in areas adjacent to efficiency to build robust and auditable mechanisms to track and report impact at the company level, scaling the existing processes we have today.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li-4379115865</t>
        </is>
      </c>
      <c r="B74" t="inlineStr">
        <is>
          <t>Technical Program Manager</t>
        </is>
      </c>
      <c r="C74" t="inlineStr">
        <is>
          <t>Bedrock Robotics</t>
        </is>
      </c>
      <c r="D74" t="inlineStr">
        <is>
          <t>linkedin</t>
        </is>
      </c>
      <c r="E74">
        <f>HYPERLINK("https://www.linkedin.com/jobs/view/4379115865", "https://www.linkedin.com/jobs/view/4379115865")</f>
        <v/>
      </c>
      <c r="F74" t="inlineStr"/>
      <c r="G74" t="inlineStr">
        <is>
          <t>New York, NY</t>
        </is>
      </c>
      <c r="H74" t="inlineStr"/>
      <c r="I74" t="inlineStr">
        <is>
          <t>Join the team bringing advanced autonomy to the built world
 At Bedrock, we’re moving AI out of the lab and into the real world. Our team is composed of industry veterans who helped launch Waymo, scaled Segment to a $3\.2B acquisition, and grew Uber Freight to $5B in revenue. Today, we’re deploying autonomous systems on heavy construction machinery across the country, accelerating project schedules of billion\-dollar infrastructure projects and improving safety on job sites. Backed by $350M in funding, we’re working quickly to close the gap between America's surging demand for housing, data centers, manufacturing hubs, and the construction industry's growing labor shortage.
 This is where algorithms meet steel\-toed boots. You’ll collaborate with construction veterans and world\-class engineers to solve physical\-world problems that simulations can’t touch. If you're ready to apply cutting\-edge technology to solve meaningful problems alongside a talented team—we'd love to have you join us.
 We’re seeking a stellar Technical Program Manager to drive some of Bedrock’s most critical initiatives, spanning Deployments, Infrastructure Platforms, and Interfaces. This pivotal role is at the heart of our mission, driving programs that bridge Engineering, Commercial, and Operations. You will partner intensely with world\-class engineering teams to deliver the next generation of autonomous\-capable construction machinery. This is a hands\-on, high impact role for someone who thrives in early\-stage environments and wants to shape durable processes that help a fast\-growing company scale
**What You’ll Do**
* Manage execution across Engineering, Commercial, and Operations, aligning deeply interdependent work\-streams into a single, coherent plan.
* Anticipate and mitigate program and technical risk, surfacing issues early and providing leadership with clear options and recommendations.
* Balance tactical implementation with strategic execution, shaping roadmaps and dependencies while adapting quickly to a fast\-moving environment.
* Define and evolve lightweight program management practices that scale with the company and enable teams to move faster without compromising safety or quality.
* Translate complex technical interdependencies—from cloud infrastructure to field operations—into aligned, actionable program plans, mastering cross\-functional coordination.
* Use excellent communication skills to facilitate high\-stakes technical decision\-making and help teams navigate tradeoffs across diverse engineering and operations work\-streams.
* Operate with a relentless sense of ownership for the success of programs you work on.
**What You’ll Bring**
* 5\+ years of experience as a Technical Program Manager or in a comparable technical leadership role, with a proven ability to deliver complex, multi\-disciplinary systems involving cloud infrastructure, software applications, and physical deployments.
* Deep domain experience in Infrastructure and Cloud Platforms, including familiarity with release, ML/Simulation loops, data storage, and security protocols required to support autonomous systems.
* Experience delivering User\-Facing Applications (Apps), such as partner\-facing apps, task planning tools, or remote assistance platforms, ensuring a seamless interface between complex backend autonomy and end\-user needs.
* Operational expertise in Deployments, with a track record of managing release cycles, incident response programs, and the rollout of technical products to customer sites or new territories.
* 2\+ years of professional experience leading programs involving safety\-critical or high\-reliability systems, understanding the rigor and validation required for systems operating in the physical world.
* Bachelor’s or Master’s degree in Computer Science, Engineering, or a related field, or equivalent practical experience.
* Thrive in fast\-paced, high\-ownership environments, with a strong bias toward building lightweight structures and durable processes that help a growing company scale through complexity.
*Our roles are often flexible. If you don't fit all the criteria, or are in another location (especially one where we have an office like SF or NY) please apply anyway! We'd love to consider you.*</t>
        </is>
      </c>
    </row>
    <row r="75">
      <c r="A75" t="inlineStr">
        <is>
          <t>li-4363430983</t>
        </is>
      </c>
      <c r="B75" t="inlineStr">
        <is>
          <t>Program Manager II</t>
        </is>
      </c>
      <c r="C75" t="inlineStr">
        <is>
          <t>Boost Mobile</t>
        </is>
      </c>
      <c r="D75" t="inlineStr">
        <is>
          <t>linkedin</t>
        </is>
      </c>
      <c r="E75">
        <f>HYPERLINK("https://www.linkedin.com/jobs/view/4363430983", "https://www.linkedin.com/jobs/view/4363430983")</f>
        <v/>
      </c>
      <c r="F75" t="inlineStr"/>
      <c r="G75" t="inlineStr">
        <is>
          <t>Littleton, CO</t>
        </is>
      </c>
      <c r="H75" t="inlineStr"/>
      <c r="I75"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Retail Wireless team, serving our Boost Mobile and Gen Mobile brands, is redefining consumer expectations through new platforms, new business models and new ways of thinking. Equipped with a passion for change and the power to drive it, we continue to push boundaries and be a disruptive force in the market.
**Job Duties And Responsibilities**
 Our Retail Wireless team, serving our Boost Mobile and Gen Mobile brands, is redefining consumer expectations through new platforms, new business models and new ways of thinking. Equipped with a passion for change and the power to drive it, we continue to push boundaries and be a disruptive force in the market.
 As a Senior Program Manager within the Retail Wireless Operations team, you will play a pivotal role in leading the execution of high\-impact programs that directly influence Boost Mobile’s ability to efficiently and effectively serve our Retail Wireless Customer. You’ll oversee complex project portfolios, drive go\-to\-market efforts, and champion projects supporting operational efficiency across Boost Mobile. This role demands a Program manager who can drive clarity in ambiguous environments, navigate cross\-functional interdependencies, and maintain team momentum while managing stakeholder expectations. You’ll work closely with internal departments—including Marketing, Sales, Product, IT, Legal, and Customer Care—to ensure priorities and execution align.
**Key Responsibilities**
* Develop and manage program plans outlining prioritization, scope, timelines, resources, and dependencies
* Define clear milestones and deliverables, ensuring timely execution and stakeholder satisfaction
* Oversee the end\-to\-end execution of initiatives across multiple teams and business functions
* Maintain control over scope changes by establishing and reinforcing cross\-functional guardrails
* Act as the primary point of contact for Program stakeholders, providing consistent updates and ensuring alignment across Boost Mobile and supporting EchoStar teams
* Lead cross\-functional meetings to track progress, gather feedback, and secure consensus—even among teams that don’t report directly to you
* Influence and align teams across departments including Sales Channels, Product, Network, Fraud, Billing, Order Orchestration, and Customer Support
* Serve as the first line of escalation for project blockers, scope misalignment, or cross\-team conflict
* Break through logjams by driving clarity in objectives– keeping momentum across the assigned project portfolio
* Collaborate with both the technical and go\-to\-market teams
* Quickly diagnose and resolve project risks, leveraging structured problem\-solving methods and escalation when necessary
* Champion the use of collaboration and project management tools (e.g., Jira, Hive, Google Suite, AI productivity platforms) to foster scalable, transparent workflows
* Promote a high\-performance culture grounded in collaboration, accountability, and continuous improvement
**Skills, Experience And Requirements**
**Education \&amp; Experience:**
* 3 years of experience in Program Management, Product Management, Business Analysis, or related roles
**Skills And Qualifications**
* Demonstrated ability to manage large\-scale, cross\-functional initiatives with business and technical stakeholders
* Proficiency in project management and productivity tools such as Jira/Atlassian, Hive, and Google Workspace
* Experience working within wireless, telecommunications, or retail operations strongly preferred
* Proven success managing complex programs and cross\-functional teams in fast\-paced environments
* Ability to bring a calm, analytical approach to resolving blockers and managing ambiguity
* Ability to communicate clearly and persuasively across all organizational levels, including executives
* Ability to build trust\-based relationships that align cross\-departmental goals and drive execution
* Ability to thrive in fast\-moving environments with shifting priorities and complex interdependencies
* Ability to demonstrate an understanding of business objectives, ensuring projects deliver measurable value and align with Boost Mobile’s business goals
* Can maintain urgency and focus on delivery, quality, and stakeholder outcomes
 Visa sponsorship not available for this role
**Salary Ranges**
 Compensation: $72,350\.00/Year \- $103,400\.00/Year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76">
      <c r="A76" t="inlineStr">
        <is>
          <t>li-4380279168</t>
        </is>
      </c>
      <c r="B76" t="inlineStr">
        <is>
          <t>Senior Program Manager</t>
        </is>
      </c>
      <c r="C76" t="inlineStr">
        <is>
          <t>Real Time Recruitment Solutions (RTRS)</t>
        </is>
      </c>
      <c r="D76" t="inlineStr">
        <is>
          <t>linkedin</t>
        </is>
      </c>
      <c r="E76">
        <f>HYPERLINK("https://www.linkedin.com/jobs/view/4380279168", "https://www.linkedin.com/jobs/view/4380279168")</f>
        <v/>
      </c>
      <c r="F76" t="inlineStr"/>
      <c r="G76" t="inlineStr">
        <is>
          <t>Westbury, NY</t>
        </is>
      </c>
      <c r="H76" t="inlineStr"/>
      <c r="I76" t="inlineStr">
        <is>
          <t>**Senior Program Manager (Mechanical/Defense)** 
**Location:** 
 Woodbury, Long Island, NY (On\-site)
 **Industry:** 
 Defense \&amp; Aerospace Engineering
 **Experience Level:** 
 Senior (7–10\+ years)
 **Compensation:** 
 Competitive; targeting $120k–$150k based on experience
**The Opportunity** 
 We are a rapidly growing, high\-tech defense manufacturer specializing in ruggedized computing and unmanned systems control. We aren't just looking for "paper\-pushers"—we need program leaders who thrive in high\-stakes, fast\-paced environments. If you are a technically grounded manager who wants to lead projects that aren't permitted to be shared on a public website, this is your next challenge.
**The "Zero Ego" Mission** 
 Our culture is built on "we," not "I". We need independent, proactive leaders who arrive with a smile, take full ownership of their projects, driving innovation and execution.
**Key Responsibilities** 
* **End\-to\-End Program Ownership:** 
 Manage multiple projects from the initial quotation/kick\-off phase through to final production and delivery.
* **Technical Documentation:** 
 Create and oversee critical production files, including drawings, manual instructions, ATP, and ATR.
* **BOM \&amp; Supply Chain:** 
 Build and manage complex Bill of Materials (BOM) while developing and visiting key suppliers.
* **Continuous Improvement:** 
 Identify and implement cost\-reductive design changes and lean manufacturing optimizations.
* **Team Leadership:** 
 Guide and mentor technicians, ensuring a collaborative, high\-output environment.
**The Ideal Candidate** 
* **Technical Foundation:** 
 Bachelor’s degree in Mechanical or Electrical Engineering (Mechanical preferred).
* **Defense Pedigree:** 
 7–10 years of experience in regulated manufacturing (Aerospace, Defense, or Medical Device).
* **CAD Proficiency:** 
 Working knowledge of
 **SolidWorks** 
 or
 **Solid Edge** 
 to review and modify designs.
* **Manufacturing Depth:** 
 Solid understanding of machining, sheet metal, coatings, and electronics assembly.
* **Compliance:** 
 Must be a
 **US Citizen** 
 or
 **Green Card Holder** 
 .
**Why Apply?** 
 This is a rare opportunity to join a company experiencing massive growth with a backlog of high\-priority defense contracts. We offer a hands\-on environment where your engineering expertise is as valued as your management skills.</t>
        </is>
      </c>
    </row>
    <row r="77">
      <c r="A77" t="inlineStr">
        <is>
          <t>li-4380268356</t>
        </is>
      </c>
      <c r="B77" t="inlineStr">
        <is>
          <t>Senior Transformation Program Manager</t>
        </is>
      </c>
      <c r="C77" t="inlineStr">
        <is>
          <t>myGwork - LGBTQ+ Business Community</t>
        </is>
      </c>
      <c r="D77" t="inlineStr">
        <is>
          <t>linkedin</t>
        </is>
      </c>
      <c r="E77">
        <f>HYPERLINK("https://www.linkedin.com/jobs/view/4380268356", "https://www.linkedin.com/jobs/view/4380268356")</f>
        <v/>
      </c>
      <c r="F77">
        <f>HYPERLINK("https://mygwork.com/jobs/fisher-investments-senior-transformation-program-manager-2?src=linkedin&amp;utm_source=linkedin&amp;utm_medium=referral&amp;utm_campaign=jobs&amp;urlHash=4iln", "https://mygwork.com/jobs/fisher-investments-senior-transformation-program-manager-2?src=linkedin&amp;utm_source=linkedin&amp;utm_medium=referral&amp;utm_campaign=jobs&amp;urlHash=4iln")</f>
        <v/>
      </c>
      <c r="G77" t="inlineStr">
        <is>
          <t>Camas, WA</t>
        </is>
      </c>
      <c r="H77" t="inlineStr"/>
      <c r="I77" t="inlineStr">
        <is>
          <t>**This job is with Fisher Investments, an inclusive employer and a member of myGwork – the largest global platform for the LGBTQ\+ business community. Please do not contact the recruiter directly.**
 Are you looking to join a global technology department for an industry\-leading financial advisory firm? Fisher Investments is looking for a motivated program manager to lead technology delivery and execution.
**The Opportunity**
 As the Senior Transformation Program Manager, you will work as the delivery lead to help execute our key technology initiatives by partnering with teams across the business and technology. You will drive day\-to\-day project execution by ensuring teams are aligned on requirements, design, and roadmaps to achieve delivery goals. You will report to the Vice President of Enterprise Transformation.
**The Day\-to\-Day**
* Manage all phases of the program or project from discovery through deployment, by driving accountability, structure and transparency
* Define program or project scope, goals, deliverables, and a value\-driven roadmap in collaboration with senior management and stakeholders
* Work closely with the project teams to identify, understand and track key risks and issues for the program that need to be escalated
* Assess the health and status of the project or program, and highlight opportunities for improvement to stakeholders and senior management
* Make recommendations to management regarding solutions to resolve business problems and drive execution of those solutions
* Assess requirements to deliver program or project components and sub\-components, which may include implementation of solution, staffing, timelines, etc.
* Coordinate all departments related to the program or project which may include IT, Finance, Third\-party Vendors and Business Users
* Work with Business Analysts and Project Managers to evaluate current business processes and requirements
* Identify and manage program and project dependencies
* Coach, mentor, motivate and supervise team members and consultants
* Influence teams to take positive action and accountability for their assigned work
* Develop best practices and tools for program or project execution and management
**Your Qualifications**
* 5\+ years' experience in project or program management
* Experience working both independently and in a team\-oriented collaborative environment
* Ability to conform to shifting priorities, demands and timelines
* Ability to elicit cooperation from several sources, including senior management, internal clients, and other departments
* Experience with JIRA
* Strong familiarity with Waterfall and Agile delivery methods
* Bachelor's Degree or equivalent combination of education and experience required
**Compensation**
* $140,000 \- $200,000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
 ]]\&gt;</t>
        </is>
      </c>
    </row>
    <row r="78">
      <c r="A78" t="inlineStr">
        <is>
          <t>li-4382119371</t>
        </is>
      </c>
      <c r="B78" t="inlineStr">
        <is>
          <t>Operations Program Manager</t>
        </is>
      </c>
      <c r="C78" t="inlineStr">
        <is>
          <t>Swooped</t>
        </is>
      </c>
      <c r="D78" t="inlineStr">
        <is>
          <t>linkedin</t>
        </is>
      </c>
      <c r="E78">
        <f>HYPERLINK("https://www.linkedin.com/jobs/view/4382119371", "https://www.linkedin.com/jobs/view/4382119371")</f>
        <v/>
      </c>
      <c r="F78" t="inlineStr"/>
      <c r="G78" t="inlineStr"/>
      <c r="H78" t="inlineStr"/>
      <c r="I78" t="inlineStr">
        <is>
          <t>Swooped is a Talent Platform (not a staffing agency). We are not the employer for this role and do not make hiring decisions. Clicking "Apply" takes you to Swooped to review the role and hiring company details.
**About Our Client** 
 Our client is growing its team of passionate creatives and builders on a mission to make design accessible to all. The platform helps teams bring ideas to life—whether you're brainstorming, creating a prototype, translating designs into code, or iterating with AI. From idea to product, the organization empowers teams to streamline workflows, move faster, and work together in real time from anywhere in the world. If you're excited to shape the future of design and collaboration, join the team!
 Program management goes beyond tracking timelines—it’s about enabling scale, driving clarity, and delivering meaningful outcomes in a fast\-moving, product\-led organization. The company is looking for a strong individual contributor to lead complex, cross\-functional programs that help Product Support scale while maintaining a high\-quality customer and specialist
 **experience** 
 .
**About The Role** 
 As an
 **Operations Program Manager** 
 on Product Support, you’ll own high\-impact initiatives that sit at the intersection of support operations, tooling, and process improvement. You’ll work closely with partners across Product Support, Engineering, Product, Analytics, Legal, and Security to turn ambiguous problems into structured plans and shipped outcomes. This role has real impact both internally—by enabling specialists to do their best work—and externally—by improving how customers experience support as the organization
 **grows** 
 .
 This is a full time role that can be held from one of our US hubs or remotely in the United
 **States** 
 .
**Key Responsibilities** 
* Own and drive complex, cross\-functional programs that improve the scalability, efficiency, and quality of Product
 **Support** 
 .
* Lead initiatives end\-to\-end, from problem definition and planning through execution, rollout, and
 **iteration** 
 .
* Partner closely with Engineering, Product, Data, and Support teams to deliver tooling, workflow, and process
 **improvements** 
 .
* Bring structure to ambiguous problem spaces by defining scope, success metrics, milestones, risks, and operating
 **rhythms** 
 .
* Support change management and adoption for new tools and processes, ensuring teams are set up for success through
 **transitions** 
 .
* Identify and surface insights from support data, customer feedback, and operational signals to inform prioritization and
 **improvements** 
 .
* Communicate progress, tradeoffs, and decisions clearly to stakeholders and
 **leadership** 
 .
**Required Qualifications** 
* Proven ability to lead complex programs as a Program Manager or similar role, with clear ownership from start to
 **finish** 
 .
* Experience working with Customer Support, Product Support, or Customer Operations
 **teams** 
 .
* Comfort partnering with technical teams and operating across both operational and technical problem
 **spaces** 
 .
* Strong communication and influencing skills, with the ability to drive alignment without direct
 **authority** 
 .
* A high\-ownership mindset, strong attention to detail, and comfort navigating ambiguity in fast\-paced
 **environments** 
 .
**Preferred Qualifications** 
* Worked on support tooling, internal tools, or operational
 **workflows** 
 .
* Supported community, social, or forum\-based support
 **channels** 
 .
* Exposure to global or multi\-language support
 **environments** 
 .
* Partnered with workforce management, vendor operations, or analytics
 **functions** 
 .
**Compensation and Benefits** 
 If based in the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
**Salary Range** 
**$122,000—$178,000 USD** 
 Examples of accommodations include but are not
 **limited to** 
 :
* Holding interviews in an
 **accessible** 
 location
* Enabling closed captioning on video
 **conferencing**
* Ensuring all written communication be compatible with
 **screen readers**
* Changing the mode or format of
 **interviews**</t>
        </is>
      </c>
    </row>
    <row r="79">
      <c r="A79" t="inlineStr">
        <is>
          <t>li-4381951966</t>
        </is>
      </c>
      <c r="B79" t="inlineStr">
        <is>
          <t>AI Delivery Product Manager - Tax Transformation</t>
        </is>
      </c>
      <c r="C79" t="inlineStr">
        <is>
          <t>Deloitte</t>
        </is>
      </c>
      <c r="D79" t="inlineStr">
        <is>
          <t>linkedin</t>
        </is>
      </c>
      <c r="E79">
        <f>HYPERLINK("https://www.linkedin.com/jobs/view/4381951966", "https://www.linkedin.com/jobs/view/4381951966")</f>
        <v/>
      </c>
      <c r="F79">
        <f>HYPERLINK("https://ars2.equest.com/?response_id=73dddbf03b57b66918ee02d995ec7163&amp;urlHash=Vhcm", "https://ars2.equest.com/?response_id=73dddbf03b57b66918ee02d995ec7163&amp;urlHash=Vhcm")</f>
        <v/>
      </c>
      <c r="G79" t="inlineStr">
        <is>
          <t>Boston, MA</t>
        </is>
      </c>
      <c r="H79" t="inlineStr"/>
      <c r="I79" t="inlineStr">
        <is>
          <t>If you are a technology leader excited to transform global tax services with AI and platform innovation, join Deloitte's US Tax Transformation technology team. In this role, you will shape product vision and delivery for AI\-enabled tax platforms that reimagine how we serve clients, operate our business, and create value. You will partner with business and technology leaders, translate outcomes into prioritized product features, and lead cross\-functional and vendor teams to deliver high\-quality capabilities on schedule. You will drive roadmap execution, track milestones and dependencies, manage risks and issues, and ensure transparent reporting to leadership that advances our technology transformation.
 Recruiting for this role ends on May 31, 2026\.
**Work you'll do**
 As a Deloitte Tax AI Delivery Product Manager on the Tax Transformation team, you will be responsible for:
* Leading product delivery from problem definition through release planning, execution, and measurement across cross\-functional and vendor teams
* Translating stakeholder outcomes into prioritized backlogs, acceptance criteria, and release plans using Agile practices
* Overseeing platform quality through hands\-on testing, user experience reviews, and defect/issue management with timely escalation
* Coordinating scope, sequencing, and sprint planning with Technical Product Owners and engineering to achieve delivery standards and dates
* Identifying and mitigating delivery risks, dependencies, and blockers; reporting status, milestones, and budget/variance to leadership
* Serve as the primary client\-facing product delivery lead, facilitating executive readouts and working sessions to align stakeholders on roadmap priorities, manage expectations, resolve conflicts, and ensure delivery progress, risks, and decisions are transparently communicated
**The team**
 Deloitte Tax LLP's Tax Transformation Office (TTO) designs, develops, and deploys innovative enterprise technology, tools, and standard processes that support the delivery of tax services. The team enhances Deloitte Tax LLP's ability to deliver comprehensive, value\-added, and efficient tax services to our clients. It is a dynamic group with professionals from tax, technology development, change management, Six Sigma, and project management. The team consults on and executes a wide range of initiatives involving process and tool development and implementation, including training development, engagement management, tool design, and implementation.
**Qualifications**
 Required:
* Ability to perform responsibilities in a hybrid work model with in\-person presence 2\-3 days per week
* Bachelor's degree in Computer Science, Engineering, Information Technology, Business Administration, or other relevant degree
* 5\+ years experience leading product delivery teams in a software or platform environment with demonstrated stakeholder management
* Proven ability to lead complex, client\-facing stakeholder management\-aligning executives and delivery teams on outcomes, scope, priorities, and trade\-offs, and driving timely decisions through clear, proactive communication
* Experience applying artificial intelligence solutions, including large language models (LLMs), retrieval\-augmented generation (RAG), and optical character recognition (OCR), to business use cases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Experience with Azure DevOps and delivery in a software development environment
* 2\+ years experience with Agile methodologies, backlog management, and risk management techniques
* 1\+ years experience coordinating cross\-functional teams across time zones
* Experience designing or reviewing user experience and conducting hands\-on testing
* Certified Azure AI Fundamentals or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80">
      <c r="A80" t="inlineStr">
        <is>
          <t>li-4371589416</t>
        </is>
      </c>
      <c r="B80" t="inlineStr">
        <is>
          <t>Program Manager</t>
        </is>
      </c>
      <c r="C80" t="inlineStr">
        <is>
          <t>Workwear Outfitters</t>
        </is>
      </c>
      <c r="D80" t="inlineStr">
        <is>
          <t>linkedin</t>
        </is>
      </c>
      <c r="E80">
        <f>HYPERLINK("https://www.linkedin.com/jobs/view/4371589416", "https://www.linkedin.com/jobs/view/4371589416")</f>
        <v/>
      </c>
      <c r="F80">
        <f>HYPERLINK("https://workwear.wd503.myworkdayjobs.com/Careers/job/Nashville-TN/Program-Manager_JR103469?source=LinkedIn&amp;urlHash=p57q", "https://workwear.wd503.myworkdayjobs.com/Careers/job/Nashville-TN/Program-Manager_JR103469?source=LinkedIn&amp;urlHash=p57q")</f>
        <v/>
      </c>
      <c r="G80" t="inlineStr">
        <is>
          <t>Nashville, TN</t>
        </is>
      </c>
      <c r="H80" t="inlineStr"/>
      <c r="I80" t="inlineStr">
        <is>
          <t>Workwear Outfitters has a strong legacy of building innovative and authentic market\-right products and is a leading supplier of work apparel and footwear for diverse occupations in industries such as automotive, manufacturing, oil and gas, utilities, government, food services, telecommunications, hospitality, and many more. Workwear Outfitters is based in Nashville, Tennessee with more than 5,500 employees in facilities spanning the globe.
 Brands under the Workwear Outfitters umbrella include Red Kap®, Bulwark®, Image Authority®, Kodiak®, Terra®, Liberty ®, Work Authority®, Workrite® Fire Service, Chef Designs®, Horace Small®, CritiCore®, and OOBE®. Workwear Outfitters is also the exclusive licensee for Dickies® apparel in the B2B channel.
 Our Purpose: “We champion and empower workers who make our world work better”
 Major benefits include medical, vision and dental, Life and Disability coverage.
 Other benefits included: 401K, Tuition reimbursement, Employee Assistance Program, Flexible Spending Accounts, and many others.
**What You Will Do As a Program Manager**
 The primary responsibility of the Program Manager is to manage their assigned uniform program contracts to ensure profitability, contract compliance, and to meet customer's requirements. Applies expertise in Image Authority to develop growth strategies within existing contracts and ensure successful renewals. Establishes and maintains control\-related standards and procedures to support operational excellence.
**How You Will Make a Difference**
* Manages contract compliance: Ensures compliance in all areas of the contract to prevent noncompliance penalties. This includes managing allowances as prescribed, timely reporting, completion of sales materials, and annual closeouts.
* Manages customer relations: Conducts meetings with customers to share product updates and changes, address complaints, and develop action plans to resolve issues and improve overall customer satisfaction. This helps ensure contract continuity and increases the likelihood of renewal.
* Manages inventory and accounts receivable: Accurately forecasts for optimal inventory management and minimizes exposure for sell\-off of discontinued items. Ensures invoices are correct and payments are timely to properly manage company assets and maximize sales opportunities. Collaborates with merchandising, planning, and sourcing teams to develop products as required by the customer, minimizing inventory exposure for both parties.
* Forecasts sales: Projects each lot number to be sold to the customer on a monthly basis to ensure planning has the
* Responsible for achieving budgeted sales: Meets assigned regional or account sales goals and achieves maximum sales volume consistent with projections. Typically, accounts are at the division or national level and moderately sophisticated in terms of category management. proper amount of inventory available for orders.
* Manages internal communications: Provides information related to contract changes and issues to various departments as needed to ensure compliance.
**Skills For Success**
* 3–5 years of experience in program management, contract administration, or client services
* Strong background in customer relationship management and account oversight
* Ability to fulfill contracts and consistently meet client expectations
* Exceptional communication skills (verbal, written, and presentation) for internal and external interactions
* Skilled in managing multiple projects and prioritizing in a fast\-paced environment
* Proficient in Mainframe systems, Excel, and Word
* Bachelor’s degree required
* Willingness to travel</t>
        </is>
      </c>
    </row>
    <row r="81">
      <c r="A81" t="inlineStr">
        <is>
          <t>li-4380695681</t>
        </is>
      </c>
      <c r="B81" t="inlineStr">
        <is>
          <t>Manager, Product Manager - Marketing Incentive Structures</t>
        </is>
      </c>
      <c r="C81" t="inlineStr">
        <is>
          <t>Capital One</t>
        </is>
      </c>
      <c r="D81" t="inlineStr">
        <is>
          <t>linkedin</t>
        </is>
      </c>
      <c r="E81">
        <f>HYPERLINK("https://www.linkedin.com/jobs/view/4380695681", "https://www.linkedin.com/jobs/view/4380695681")</f>
        <v/>
      </c>
      <c r="F81">
        <f>HYPERLINK("https://dsp.prng.co/MZTROOb&amp;urlHash=KAgd", "https://dsp.prng.co/MZTROOb&amp;urlHash=KAgd")</f>
        <v/>
      </c>
      <c r="G81" t="inlineStr">
        <is>
          <t>New York, NY</t>
        </is>
      </c>
      <c r="H81" t="inlineStr"/>
      <c r="I81"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Retail Bank Marketing team is expanding, with a focus on delivering outstanding marketing experiences. Critical to this endeavor is the Marketing Technology that powers these experiences. This role, Manager of Product Management for Incentive Structures, spearheads a key component of the marketing technology and is essential for achieving the desired marketing outcomes.
 This highly collaborative and user\-centric position involves defining new incentive marketing structures that support business growth objectives and increases optionality for our customers. The individual will work closely with business strategists, designers, marketers, engineers, and leaders to inform the backlog of new incentive structures and capabilities. Additionally, this role will coordinate with a dedicated software development team to implement these optimizations.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2">
      <c r="A82" t="inlineStr">
        <is>
          <t>li-4382106255</t>
        </is>
      </c>
      <c r="B82" t="inlineStr">
        <is>
          <t>Clinical Quality Program Manager</t>
        </is>
      </c>
      <c r="C82" t="inlineStr">
        <is>
          <t>Elevance Health</t>
        </is>
      </c>
      <c r="D82" t="inlineStr">
        <is>
          <t>linkedin</t>
        </is>
      </c>
      <c r="E82">
        <f>HYPERLINK("https://www.linkedin.com/jobs/view/4382106255", "https://www.linkedin.com/jobs/view/4382106255")</f>
        <v/>
      </c>
      <c r="F82" t="inlineStr"/>
      <c r="G82" t="inlineStr">
        <is>
          <t>Costa Mesa, CA</t>
        </is>
      </c>
      <c r="H82" t="inlineStr"/>
      <c r="I82" t="inlineStr">
        <is>
          <t>**Shift:** 
 Monday \- Friday; 8:00am \- 5:00pm PST
**Location:** 
 Walnut Creek, CA preferred
 *Candidates must be within the state of California*
**Hybrid 1:** 
 This role requires associates to be in\-office
 **1** 
 day per week, fostering collaboration and connectivity, while providing flexibility to support productivity and work\-life balance. This approach combines structured office engagement with the autonomy of virtual work, promoting a dynamic and adaptable workplace. Internal candidates may be considered with a confirmed virtual exception on file.
*Please note that per our policy on hybrid/virtual work, candidates not within a reasonable commuting distance from the posting location(s) will not be considered for employment, unless an accommodation is granted as required by law*
 The
 **Clinical Quality Program Manager** 
 is responsible for serving as a liaison with and overseeing the quality improvement activities/projects/programs for one or more states within a major line of business.
**How You Will Make An Impact**
* Leads state level quality strategy meetings, develops a quality plan, and ensures integration of quality into the overall business process.
* Works with the clinical intervention team to design studies to identify barriers to medical interventions.
* Ensures that study methodology is sound and appropriate reporting is in place.
* Develops performance improvement plans and oversees the clinical quality improvement activities/projects to improve the quality of care for members.
* Assures compliance with corporate QI work plans.
* Assures that all QI activities are relevant to the needs of targeted population.
* Maintains effective documentation of research programs to meet regulatory and Accreditation Standards.
* Provides oversight to assure accurate and complete quantitative analysis of clinical data and presentation of data analysis results.
* Participates in and provides input to the development of new product designs for major line of business.
* Oversees the implementation of new initiatives.
* Leads interactions with regulators or oversight entities.
* Oversees quality improvement activities for the largest, most complex state programs.
**Minimum Requirements**
* Requires a BS in health administration, nursing, or a related clinical field; 4 years of health care quality or data analysis experience; or any combination of education and experience, which would provide an equivalent background.
**Preferred Skills, Capabilities, And Experiences**
* Current unrestricted license, certification in applicable field (i.e. CPHQ) and/or a MS in the health field (i.e. Nursing) is preferred.
* Experience with NCQA and HEDIS strongly preferred
* Knowledge of DMHC and/or DHCS health plan regulations strongly preferred
**For candidates working in person or virtually in the below location(s), the salary* 
 range for this specific position is $98,808\.00 to $154,656\.00* 
 \*
**Locations: California**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83">
      <c r="A83" t="inlineStr">
        <is>
          <t>li-4381964468</t>
        </is>
      </c>
      <c r="B83" t="inlineStr">
        <is>
          <t>AI Delivery Product Manager - Tax Transformation</t>
        </is>
      </c>
      <c r="C83" t="inlineStr">
        <is>
          <t>Deloitte</t>
        </is>
      </c>
      <c r="D83" t="inlineStr">
        <is>
          <t>linkedin</t>
        </is>
      </c>
      <c r="E83">
        <f>HYPERLINK("https://www.linkedin.com/jobs/view/4381964468", "https://www.linkedin.com/jobs/view/4381964468")</f>
        <v/>
      </c>
      <c r="F83">
        <f>HYPERLINK("https://ars2.equest.com/?response_id=73dddbf03b57b66918ee02d995ec7163&amp;urlHash=Vhcm", "https://ars2.equest.com/?response_id=73dddbf03b57b66918ee02d995ec7163&amp;urlHash=Vhcm")</f>
        <v/>
      </c>
      <c r="G83" t="inlineStr">
        <is>
          <t>Minneapolis, MN</t>
        </is>
      </c>
      <c r="H83" t="inlineStr"/>
      <c r="I83" t="inlineStr">
        <is>
          <t>If you are a technology leader excited to transform global tax services with AI and platform innovation, join Deloitte's US Tax Transformation technology team. In this role, you will shape product vision and delivery for AI\-enabled tax platforms that reimagine how we serve clients, operate our business, and create value. You will partner with business and technology leaders, translate outcomes into prioritized product features, and lead cross\-functional and vendor teams to deliver high\-quality capabilities on schedule. You will drive roadmap execution, track milestones and dependencies, manage risks and issues, and ensure transparent reporting to leadership that advances our technology transformation.
 Recruiting for this role ends on May 31, 2026\.
**Work you'll do**
 As a Deloitte Tax AI Delivery Product Manager on the Tax Transformation team, you will be responsible for:
* Leading product delivery from problem definition through release planning, execution, and measurement across cross\-functional and vendor teams
* Translating stakeholder outcomes into prioritized backlogs, acceptance criteria, and release plans using Agile practices
* Overseeing platform quality through hands\-on testing, user experience reviews, and defect/issue management with timely escalation
* Coordinating scope, sequencing, and sprint planning with Technical Product Owners and engineering to achieve delivery standards and dates
* Identifying and mitigating delivery risks, dependencies, and blockers; reporting status, milestones, and budget/variance to leadership
* Serve as the primary client\-facing product delivery lead, facilitating executive readouts and working sessions to align stakeholders on roadmap priorities, manage expectations, resolve conflicts, and ensure delivery progress, risks, and decisions are transparently communicated
**The team**
 Deloitte Tax LLP's Tax Transformation Office (TTO) designs, develops, and deploys innovative enterprise technology, tools, and standard processes that support the delivery of tax services. The team enhances Deloitte Tax LLP's ability to deliver comprehensive, value\-added, and efficient tax services to our clients. It is a dynamic group with professionals from tax, technology development, change management, Six Sigma, and project management. The team consults on and executes a wide range of initiatives involving process and tool development and implementation, including training development, engagement management, tool design, and implementation.
**Qualifications**
 Required:
* Ability to perform responsibilities in a hybrid work model with in\-person presence 2\-3 days per week
* Bachelor's degree in Computer Science, Engineering, Information Technology, Business Administration, or other relevant degree
* 5\+ years experience leading product delivery teams in a software or platform environment with demonstrated stakeholder management
* Proven ability to lead complex, client\-facing stakeholder management\-aligning executives and delivery teams on outcomes, scope, priorities, and trade\-offs, and driving timely decisions through clear, proactive communication
* Experience applying artificial intelligence solutions, including large language models (LLMs), retrieval\-augmented generation (RAG), and optical character recognition (OCR), to business use cases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Experience with Azure DevOps and delivery in a software development environment
* 2\+ years experience with Agile methodologies, backlog management, and risk management techniques
* 1\+ years experience coordinating cross\-functional teams across time zones
* Experience designing or reviewing user experience and conducting hands\-on testing
* Certified Azure AI Fundamentals or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84">
      <c r="A84" t="inlineStr">
        <is>
          <t>li-4350749666</t>
        </is>
      </c>
      <c r="B84" t="inlineStr">
        <is>
          <t>IT Program Manager</t>
        </is>
      </c>
      <c r="C84" t="inlineStr">
        <is>
          <t>Cosm</t>
        </is>
      </c>
      <c r="D84" t="inlineStr">
        <is>
          <t>linkedin</t>
        </is>
      </c>
      <c r="E84">
        <f>HYPERLINK("https://www.linkedin.com/jobs/view/4350749666", "https://www.linkedin.com/jobs/view/4350749666")</f>
        <v/>
      </c>
      <c r="F84" t="inlineStr"/>
      <c r="G84" t="inlineStr">
        <is>
          <t>Detroit, MI</t>
        </is>
      </c>
      <c r="H84" t="inlineStr"/>
      <c r="I84" t="inlineStr">
        <is>
          <t>Cosm is a global technology company that brings experiences to life in immersive environments. We help our partners create spaces and content that blur the lines of real and virtual across three primary markets: Sports and Entertainment, Science and Education, and Parks and Attractions. Cosm was born from the fusion of some of the greatest innovators in the history of technology. Evans \&amp; Sutherland, Spitz, Inc., and Cosm Immersive combined forces to power the immersive experiences of the future as Cosm. Innovation is in our DNA.
 IMPORTANT NOTICE FROM THE COSM HUMAN RESOURCES \&amp; RECRUITING TEAM REGARDING A RECRUITING SCAM: Your security and trust matter to us. Please note that Cosm Recruiters will ALWAYS communicate with you from an official "@Cosm.com" email address or through authorized platforms such as LinkedIn. We will NEVER request payments, banking details, or personal financial information during the recruitment process. If you receive a suspicious communication or job offer claiming to be from Cosm, please do not respond or share personal information. For official Cosm opportunities, always visit www.cosm.com/careers.
**Summary**
 We are seeking a results\-driven IT Program Manager to oversee and coordinate a live event technology\-focused program and initiatives within our organization. This individual will be responsible for ensuring that the Venue IT team is efficiently operationalized and focused on continuous improvement. Additionally, the IT Program Manager will facilitate and ensure all projects are delivered on time, within scope, and on budget, while meeting high\-quality standards and operational KPI’s. The ideal candidate will have strong leadership, communication, and problem\-solving skills, with a proven track record of managing complex, cross\-functional programs in fast\-paced environments with a focus on identifying process improvement opportunities and the innate ability to manage people who are not direct reports.
**Responsibilities**
* Define program goals, objectives, and success metrics (KIP’s) aligned with overall business strategy and goals.
* Develop comprehensive program roadmaps, timelines, and deliverables.
* Identify and assess program risks, dependencies, and impact on other business areas.
* Coordinate and monitor Venue IT operations and multiple concurrent IT projects within the program’s portfolio.
* Manage resource schedules to ensure optimal use of personnel, budgets, and technology tools.
* Oversee budgeting, forecasting, and financial analysis for program\-related costs.
* Lead cross\-functional teams where necessary, technical teams, and external vendors.
* Facilitate regular status meetings, ensuring clear communication of operational progress, risks, and issues.
* Promote a collaborative environment, encouraging knowledge sharing and teamwork.
* Serve as the primary point of contact for program\-related communication with executive leadership and business stakeholders.
* Provide regular updates on program status, KPIs, and potential risks or issues.
* Align program deliverables with stakeholder expectations and business objectives.
* Establish and maintain program governance processes to ensure compliance with organizational standards.
* Continuously evaluate and refine program management methodologies and best practices.
* Drive lessons learned reviews and implement improvements for future programs.
* Optimize IT department operations by surfacing processes for further automation and potential efficiency improvements.
**Experience**
* Bachelor’s degree in Computer Science, Information Technology, Business, or a related field (Master’s degree a plus).
* PMP, PgMP, Scrum Master or related project/program management certification preferred.
* 5\+ years of experience in leading and managing large\-scale IT programs or projects.
* Demonstrated success in managing complex operational programs. Hospitality or Live Event experience is a plus.
* Demonstrated success in delivering complex, cross\-functional initiatives on\-time and within budget.
* Hands\-on experience with both traditional (Waterfall) and Agile/Scrum methodologies.
* Familiarity with IT infrastructure, software development lifecycles, and cloud\-based solutions.
* Strong understanding of support ticketing and project management tools (e.g., ServiceNow, MS Project, Smartsheets, JIRA, Trello, Asana).
* Excellent knowledge of budgeting and resource allocation procedures.
* Exceptional communication and presentation skills, with the ability to convey technical concepts to non\-technical stakeholders.
* Strong leadership and interpersonal skills, capable of motivating cross\-functional teams.
* Solid analytical and problem\-solving abilities to anticipate and mitigate risks effectively.
* Previous experience working in an IT service role.
* Previous experience managing a team of people
* Previous experience working in live entertainment, large scale hospitality or venue environments.
* Strong working knowledge of ServiceNow for IT Service Management and IT Operations Management.
*All applicants must be at least 18 years of age at the time of employment. This requirement is in accordance with applicable federal, state, and local labor laws. Cosm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85">
      <c r="A85" t="inlineStr">
        <is>
          <t>li-4372249598</t>
        </is>
      </c>
      <c r="B85" t="inlineStr">
        <is>
          <t>Principal Technical Program Manager</t>
        </is>
      </c>
      <c r="C85" t="inlineStr">
        <is>
          <t>Microsoft</t>
        </is>
      </c>
      <c r="D85" t="inlineStr">
        <is>
          <t>linkedin</t>
        </is>
      </c>
      <c r="E85">
        <f>HYPERLINK("https://www.linkedin.com/jobs/view/4372249598", "https://www.linkedin.com/jobs/view/4372249598")</f>
        <v/>
      </c>
      <c r="F85">
        <f>HYPERLINK("https://apply.careers.microsoft.com/careers/job/1970393556753643?utm_source=linkedin&amp;domain=microsoft.com&amp;src=LinkedIn&amp;urlHash=D5jd", "https://apply.careers.microsoft.com/careers/job/1970393556753643?utm_source=linkedin&amp;domain=microsoft.com&amp;src=LinkedIn&amp;urlHash=D5jd")</f>
        <v/>
      </c>
      <c r="G85" t="inlineStr">
        <is>
          <t>Redmond, WA</t>
        </is>
      </c>
      <c r="H85" t="inlineStr"/>
      <c r="I85" t="inlineStr">
        <is>
          <t>**Overview**
 The Microsoft AI Monetization team is responsible for driving innovative monetization strategies across Microsoft's AI products including Copilot, Bing, Edge, and Microsoft Advertising. We focus on delivering highly relevant and engaging experiences for consumers while maximizing value for advertisers and partners.
 We are seeking an accomplished Principal Technical Program Manager to drive critical monetization initiatives for Bing Search. This execution\-focused role requires a seasoned leader who can orchestrate complex, cross\-organizational programs involving multiple CVPs, finance partners, and engineering teams to unlock new revenue opportunities while delivering exceptional user experiences.
 The ideal candidate will bring deep expertise in monetization and experimentation and analysis, with proven ability to drive results across highly matrixed organizations. You will build end\-to\-end user experiences across platforms and lead data\-driven experimentation to improve relevance, engagement, and overall product performance. Experience with Search and Ads ecosystems is highly valued.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Own end\-to\-end execution of large\-scale monetization programs, driving delivery against aggressive timelines and measurable business outcomes.
* Define execution strategy, milestones, and success metrics for complex technical programs across ad delivery, AI/ML\-driven targeting and bidding, traffic optimization, whole\-page monetization, and cross\-platform user experiences.
* Orchestrate execution across multiple engineering, product, and partner teams, proactively managing dependencies, risks, and tradeoffs in highly matrixed environments.
* Establish solid operational rigor through clear review cadences, executive\-level communication, and cross\-team alignment to maintain velocity and quality at scale.
* Partner closely with Finance, Product, Engineering, Data Science, and Design to model revenue impact, track performance, and translate technical complexity into business\-aligned outcomes.
* Lead data\-driven experimentation and analysis to validate monetization hypotheses, measure incremental impact, and inform prioritization across initiatives.
* Apply deep understanding of the Search and Ads ecosystem—including SERP rendering, ad marketplaces, ranking systems, and monetization infrastructure—to guide technical and product decisions.
* Influence senior stakeholders across Bing, Microsoft Advertising, AI Platform, and partner organizations to drive alignment, unblock decisions, and deliver cohesive solutions.
**Qualifications**
**Required Qualifications:**
* Bachelor's Degree AND 6\+ years experience in engineering, product/technical program management, data analysis, or product development
+ OR equivalent experience.
* 3\+ years of experience managing cross\-functional and/or cross\-team projects.
**Additional Or Preferred Qualifications**
* Bachelor's Degree AND 12\+ years experience engineering, product/technical program management, data analysis, or product development
+ OR equivalent experience.
* Experience with Search and Ads ecosystems including search engines (Bing, Google), advertising platforms (Microsoft Advertising, Google Ads), ad serving systems, or related technologies.
* 8\+ years of experience managing cross\-functional and/or cross\-team projects.
* 1\+ year(s) of experience reading and/or writing code (e.g., sample documentation, product demos)
 \#MicrosoftAI \#MAI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6">
      <c r="A86" t="inlineStr">
        <is>
          <t>li-4381953937</t>
        </is>
      </c>
      <c r="B86" t="inlineStr">
        <is>
          <t>AI Delivery Product Manager - Tax Transformation</t>
        </is>
      </c>
      <c r="C86" t="inlineStr">
        <is>
          <t>Deloitte</t>
        </is>
      </c>
      <c r="D86" t="inlineStr">
        <is>
          <t>linkedin</t>
        </is>
      </c>
      <c r="E86">
        <f>HYPERLINK("https://www.linkedin.com/jobs/view/4381953937", "https://www.linkedin.com/jobs/view/4381953937")</f>
        <v/>
      </c>
      <c r="F86">
        <f>HYPERLINK("https://ars2.equest.com/?response_id=73dddbf03b57b66918ee02d995ec7163&amp;urlHash=Vhcm", "https://ars2.equest.com/?response_id=73dddbf03b57b66918ee02d995ec7163&amp;urlHash=Vhcm")</f>
        <v/>
      </c>
      <c r="G86" t="inlineStr">
        <is>
          <t>Columbus, OH</t>
        </is>
      </c>
      <c r="H86" t="inlineStr"/>
      <c r="I86" t="inlineStr">
        <is>
          <t>If you are a technology leader excited to transform global tax services with AI and platform innovation, join Deloitte's US Tax Transformation technology team. In this role, you will shape product vision and delivery for AI\-enabled tax platforms that reimagine how we serve clients, operate our business, and create value. You will partner with business and technology leaders, translate outcomes into prioritized product features, and lead cross\-functional and vendor teams to deliver high\-quality capabilities on schedule. You will drive roadmap execution, track milestones and dependencies, manage risks and issues, and ensure transparent reporting to leadership that advances our technology transformation.
 Recruiting for this role ends on May 31, 2026\.
**Work you'll do**
 As a Deloitte Tax AI Delivery Product Manager on the Tax Transformation team, you will be responsible for:
* Leading product delivery from problem definition through release planning, execution, and measurement across cross\-functional and vendor teams
* Translating stakeholder outcomes into prioritized backlogs, acceptance criteria, and release plans using Agile practices
* Overseeing platform quality through hands\-on testing, user experience reviews, and defect/issue management with timely escalation
* Coordinating scope, sequencing, and sprint planning with Technical Product Owners and engineering to achieve delivery standards and dates
* Identifying and mitigating delivery risks, dependencies, and blockers; reporting status, milestones, and budget/variance to leadership
* Serve as the primary client\-facing product delivery lead, facilitating executive readouts and working sessions to align stakeholders on roadmap priorities, manage expectations, resolve conflicts, and ensure delivery progress, risks, and decisions are transparently communicated
**The team**
 Deloitte Tax LLP's Tax Transformation Office (TTO) designs, develops, and deploys innovative enterprise technology, tools, and standard processes that support the delivery of tax services. The team enhances Deloitte Tax LLP's ability to deliver comprehensive, value\-added, and efficient tax services to our clients. It is a dynamic group with professionals from tax, technology development, change management, Six Sigma, and project management. The team consults on and executes a wide range of initiatives involving process and tool development and implementation, including training development, engagement management, tool design, and implementation.
**Qualifications**
 Required:
* Ability to perform responsibilities in a hybrid work model with in\-person presence 2\-3 days per week
* Bachelor's degree in Computer Science, Engineering, Information Technology, Business Administration, or other relevant degree
* 5\+ years experience leading product delivery teams in a software or platform environment with demonstrated stakeholder management
* Proven ability to lead complex, client\-facing stakeholder management\-aligning executives and delivery teams on outcomes, scope, priorities, and trade\-offs, and driving timely decisions through clear, proactive communication
* Experience applying artificial intelligence solutions, including large language models (LLMs), retrieval\-augmented generation (RAG), and optical character recognition (OCR), to business use cases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AWS Certified Solutions Architect
- CBAP® \- Certified Business Analysis Professional
- Certified SAFe® Advanced Scrum Master
- Certified SAFe® Agilist
- Certified SAFe® Lean Portfolio Manager
- Certified SAFe® Product Owner / Product Manager
- Certified SAFe® Scrum Master
- Certified Scrum Developer (CSD)
- Certified Scrum Product Owner (CSPO)
- IASA's Certified IT Architect (CITA) (Level F or A)
- Microsoft Azure
- Professional Scrum Product Owner™(PSCPO) \- SCRUM.org
- Program Management Professional (PgMP)
- Project Management Professional (PMP)
- Six Sigma (Green or Black Belt)
- UX or UX Master Certification
 Preferred:
* Experience with Azure DevOps and delivery in a software development environment
* 2\+ years experience with Agile methodologies, backlog management, and risk management techniques
* 1\+ years experience coordinating cross\-functional teams across time zones
* Experience designing or reviewing user experience and conducting hands\-on testing
* Certified Azure AI Fundamentals or Azure Azure AI Engineer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$103,320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87">
      <c r="A87" t="inlineStr">
        <is>
          <t>li-4372154826</t>
        </is>
      </c>
      <c r="B87" t="inlineStr">
        <is>
          <t>Staff Program Manager</t>
        </is>
      </c>
      <c r="C87" t="inlineStr">
        <is>
          <t>Omnicell</t>
        </is>
      </c>
      <c r="D87" t="inlineStr">
        <is>
          <t>linkedin</t>
        </is>
      </c>
      <c r="E87">
        <f>HYPERLINK("https://www.linkedin.com/jobs/view/4372154826", "https://www.linkedin.com/jobs/view/4372154826")</f>
        <v/>
      </c>
      <c r="F87" t="inlineStr"/>
      <c r="G87" t="inlineStr">
        <is>
          <t>Pittsburgh, PA</t>
        </is>
      </c>
      <c r="H87" t="inlineStr"/>
      <c r="I87" t="inlineStr">
        <is>
          <t>The Business Operations’ team’s mission is to shape the strategic direction of major company or organizational priorities, and accelerate the outcomes of Omnicell’s Platform \&amp; Cloud Engineering by driving programs and uniting multi\-organizational functional teams. We are looking for a best\-in\-class Staff Program Manager who will manage complex programs through the development and/or operational processes at Omnicell. This position requires a solid understanding of program requirements as well as the technologies used in the program. Scope of responsibilities range from building scalable program frameworks to focused projects to multi\-dimensional programs involving multiple disciplines and cross\-functions.
**Responsibilities**
* Identify and secure commitment from teams across the company for new initiatives, drive consensus on the technical approach, set timelines, and lead cross\-functional development teams from design through delivery
* Coordinate between various groups at Omnicell, including product, engineering, marketing, manufacturing, operations, compliance, regulatory, legal, supply chain, quality, procurement, finance etc.
* Anticipate needs and proactively identify aspects of the project that may be going off track, develop a recovery plan, and communicate the plan to all stakeholders
* Ensure outstanding communication across teams; manage actionable information up to the executive level in Engineering
* Develop and drive high\-level strategic initiatives
* Review deliverables against requirements defined by product management
**Required Knowledge And Skills**
* Strong technical Project Manager skills in Platform and Cloud
* Excellent communication skills, coupled with the ability to interact with all levels of the organization, including executive level.
* Demonstrated success at public speaking and detailed report writing.
* Team Player and Self Starter; Drives teams and self to meet commitments in order to achieve success.; Accountable for results.
* Adept at creating effective presentations, visuals and outputs.
* Possesses strong business acumen
* Experience in budget tracking
* Track record in creating technical specifications by analyzing requirements and digesting product management needs
* Ability to deal with ambiguity and can digest complex problem. Experience in articulating possible paths forward with pro(s) and con(s)
* Deep background with Agile Iterative development process
* Very familiar with Operational process (Procurement, Proof of Concept to a ready to scale offering)
**Basic Qualifications**
* Bachelor’s Degree in business, technical discipline, finance, healthcare
* 10\+ years of Technical Program Management experience
* 10\+ years in Project / Program / Development / Product Management
* Strong background in Agile development process
**Preferred Qualifications**
* MBA preferred
* Project Management certification or certificate (PMP, PgMP, CPM, DAU, etc.)
**Work Conditions**
* Office Environment
* Up to 20% travel</t>
        </is>
      </c>
    </row>
    <row r="88">
      <c r="A88" t="inlineStr">
        <is>
          <t>li-4380297125</t>
        </is>
      </c>
      <c r="B88" t="inlineStr">
        <is>
          <t>Principal Technical Program Manager</t>
        </is>
      </c>
      <c r="C88" t="inlineStr">
        <is>
          <t>Oracle</t>
        </is>
      </c>
      <c r="D88" t="inlineStr">
        <is>
          <t>linkedin</t>
        </is>
      </c>
      <c r="E88">
        <f>HYPERLINK("https://www.linkedin.com/jobs/view/4380297125", "https://www.linkedin.com/jobs/view/4380297125")</f>
        <v/>
      </c>
      <c r="F88" t="inlineStr"/>
      <c r="G88" t="inlineStr">
        <is>
          <t>Nashville, TN</t>
        </is>
      </c>
      <c r="H88" t="inlineStr"/>
      <c r="I88" t="inlineStr">
        <is>
          <t>**Job Description**
 Manage the development and implementation process of a specific company product.
**Responsibilities**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9">
      <c r="A89" t="inlineStr">
        <is>
          <t>li-4380230789</t>
        </is>
      </c>
      <c r="B89" t="inlineStr">
        <is>
          <t>Trust and Privacy Technical Program Manager, Devices &amp; Services Trust, Privacy, and Accessibility (TPA)</t>
        </is>
      </c>
      <c r="C89" t="inlineStr">
        <is>
          <t>Amazon</t>
        </is>
      </c>
      <c r="D89" t="inlineStr">
        <is>
          <t>linkedin</t>
        </is>
      </c>
      <c r="E89">
        <f>HYPERLINK("https://www.linkedin.com/jobs/view/4380230789", "https://www.linkedin.com/jobs/view/4380230789")</f>
        <v/>
      </c>
      <c r="F89">
        <f>HYPERLINK("https://www.amazon.jobs/jobs/3168920/trust-and-privacy-technical-program-manager-devices\u002d\u002dservices-trust-privacy-and-accessibility-tpa?cmpid=SPLICX0248M&amp;utm_source=linkedin.com&amp;utm_campaign=cxro&amp;utm_medium=social_media&amp;utm_content=job_posting&amp;ss=paid&amp;urlHash=K6I_", "https://www.amazon.jobs/jobs/3168920/trust-and-privacy-technical-program-manager-devices\u002d\u002dservices-trust-privacy-and-accessibility-tpa?cmpid=SPLICX0248M&amp;utm_source=linkedin.com&amp;utm_campaign=cxro&amp;utm_medium=social_media&amp;utm_content=job_posting&amp;ss=paid&amp;urlHash=K6I_")</f>
        <v/>
      </c>
      <c r="G89" t="inlineStr">
        <is>
          <t>Arlington, VA</t>
        </is>
      </c>
      <c r="H89" t="inlineStr"/>
      <c r="I89" t="inlineStr">
        <is>
          <t>**Description**
 Devices \&amp; Services Trust, Privacy and Accessibility (DSTPA) is responsible for maintaining and raising the trust bar for Amazon customers across a diverse set of 30\+ Devices and Services. We offer horizontal services for builders to ensure trust, privacy, and accessibility is built into our products and services. We also build customer\-facing capabilities that provide customers with control and transparency while reducing trustbusting risks, and enable partner teams to innovate with appropriate guardrails for content moderation, privacy, customer promises, accessibility, fairness, and trust.
 The DSTPA team is seeking a Technical Program Manager with privacy, data protection, risk management expertise, and strong technical capabilities. This position requires detail\-oriented risk event handling, technical system understanding, and high\-judgment decision\-making from event intake through incident containment or risk mitigation. You will work with builder, engineering, product, legal, PR, Marketing, and other teams to handle large scale, often urgent, escalated events, create processes for incident containment and risk remediation, investigate escalated events that are potentially high or critical risk, and support post\-mortem analysis. You will support continuous reporting, testing and assurance, campaign operations, and metrics to inform stakeholders and management of key risk trends and patterns across D\&amp;S.
 Key job responsibilities
* Manage escalated technical events and cases from start to finish; write detailed case notes, technical reports, summaries, and recommendations for various audiences, including leadership
* Execute trust and privacy compliance campaigns and initiatives with technical requirements, ensuring timely remediation within established SLAs
* Monitor and maintain operational scorecards and metrics dashboards using SQL, Python, and data visualization tools, performing trend analysis and identifying systemic issues
* Respond to and manage high\-severity technical incidents, conducting root cause analysis and coordinating cross\-functional response efforts
* Conduct technical controls testing and validation activities to ensure compliance with policies, standards, and legal and regulatory requirements
* Perform closed loop validation on remediated risks and issues, verifying corrective actions have been properly implemented through technical testing
* Create and maintain Standard Operating Procedures (SOPs), technical runbooks, and training materials for operational processes
* Identify opportunities to automate and simplify operational processes through scripting, tooling, and workflow automation to improve efficiency
* Partner with engineering teams to define technical requirements for privacy automation tools, policy enforcement, and incident response systems
* Track assessment, validation, and remediation actions, ensuring teams prioritize and execute tasks in a timely fashion
* Understand system architectures, data flows, and technical dependencies to effectively assess privacy and trust risks
* Communicate technical remediation plans, status, and critical issues clearly and effectively to both technical and non\-technical stakeholders
* Support technical deep dive assessments and ad\-hoc data analysis requests related to privacy and trust incidents and risks
 A day in the life
 You'll start your day reviewing open campaigns and triaging newly reported issues using SQL queries and automated dashboards. Throughout the day, you'll collaborate with engineering teams to validate technical requirements, review system architectures, update scorecards, and respond to escalations. You will test technical controls, conduct validation on remediated issues through code reviews or system testing, or coordinate incident response efforts. You'll write scripts to automate repetitive tasks and analyze data to identify patterns. The role requires flexibility as priorities shift quickly, balancing multiple technical workstreams while maintaining attention to detail and meeting SLA commitments.
**About The Team**
 Trust Fundamentals Operations (TrustFunOps) is a "horizontal" organization responsible for building technologies, programs, and services at Amazon scale that instill and grow customer trust, create mechanisms to confidently attain existing and ever\-evolving regulatory objectives, and ensure the efficiency and effectiveness of our business partners and stakeholders to meet their obligations without disruption.
 Our team values collaboration, continuous learning, and operational excellence. As a Technical Program Manager, you'll play an important role in driving technical best practices and contributing to team culture. TrustFunOps is dedicated to supporting new members with a broad mix of experience levels and tenures, building an environment that celebrates knowledge sharing and mentorship.
**Basic Qualifications**
* Bachelor's degree in engineering, computer science or equivalent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Must be a good human
* Must work well with others and be a team player, have high moral standards, lead with integrity and empathy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\- 127,100\.00 \- 172,000\.00 USD annually
 USA, CA, San Francisco \- 146,200\.00 \- 197,800\.00 USD annually
 USA, VA, Arlington \- 127,100\.00 \- 172,000\.00 USD annually
 USA, WA, Bellevue \- 127,100\.00 \- 172,000\.00 USD annually
 USA, WA, Seattle \- 127,100\.00 \- 172,000\.00 USD annually
**Company** 
 \- Amazon.com Services LLC
 Job ID: A3168920</t>
        </is>
      </c>
    </row>
    <row r="90">
      <c r="A90" t="inlineStr">
        <is>
          <t>li-4381013878</t>
        </is>
      </c>
      <c r="B90" t="inlineStr">
        <is>
          <t>Pre-Teen Program Manager</t>
        </is>
      </c>
      <c r="C90" t="inlineStr">
        <is>
          <t>Boys and Girls Clubs of Boston</t>
        </is>
      </c>
      <c r="D90" t="inlineStr">
        <is>
          <t>linkedin</t>
        </is>
      </c>
      <c r="E90">
        <f>HYPERLINK("https://www.linkedin.com/jobs/view/4381013878", "https://www.linkedin.com/jobs/view/4381013878")</f>
        <v/>
      </c>
      <c r="F90">
        <f>HYPERLINK("https://bgcbma.rec.pro.ukg.net/BOY1500BGCB/JobBoard/2914e573-af64-4022-ad58-c2fcde6119d0/OpportunityDetail?opportunityId=1489f0b2-58b6-4b62-a1b3-f7789609edff&amp;source=LinkedIn&amp;urlHash=8y62", "https://bgcbma.rec.pro.ukg.net/BOY1500BGCB/JobBoard/2914e573-af64-4022-ad58-c2fcde6119d0/OpportunityDetail?opportunityId=1489f0b2-58b6-4b62-a1b3-f7789609edff&amp;source=LinkedIn&amp;urlHash=8y62")</f>
        <v/>
      </c>
      <c r="G90" t="inlineStr">
        <is>
          <t>Boston, MA</t>
        </is>
      </c>
      <c r="H90" t="inlineStr"/>
      <c r="I90" t="inlineStr">
        <is>
          <t>**About Boys \&amp; Girls Clubs Of Boston**
 Since 1893, Boys \&amp; Girls Clubs of Boston have played an essential role in opening doors and creating opportunities for young people across this city. For every youth in Boston and Chelsea, Boys \&amp; Girls Clubs of Boston are a life\-changing force for opportunity and empowerment that enables future talent to reach their full individual potential as productive citizens and leaders, inspired to make a difference in the Greater Boston community.
 **By reaching 22 of 23 communities throughout Boston and Chelsea, no other youth serving organization engages more young people and families.** 
 Learn more at www.bgcb.org and join us in transforming our members, our communities, our city!
**Position Overview**
 The Pre\-Teen Program Manager is responsible for overseeing the planning, implementation and ongoing evaluation of quality and developmentally appropriate programs, activities, services, and special events for youth between the ages of 10 – 14\. Additionally, the individual in this role will have the responsibility for oversight of program staff, department budget, and a dedicated program space (Pre\-Teen Center).
**ESSENTIAL DUTIES And RESPONSIBILITIES**
**Pre\-Teen Programming, Collaboration \&amp; Partnership Development**
* In collaboration with pre\-teen department staff, provide a variety of programming options reflective of the BGCB Program, ensuring that youth can participate in activities representative of all BGCB core program areas: arts, education, leadership and life skills, sports, fitness and recreation, and technology. Programming may take the form of daily activities, projects, multi\-week programs, and clubs.
* Develop and implement collaborative programs and events with staff from other clubhouse departments as well as staff from other BGCB clubhouses and community organizations as appropriate.
* Delivery of BGCB core programs, activities, and workforce readiness opportunities, including BGCB’s Ready to Work Academy for middle schoolers, Young Leaders, and Torch Club.
* Delivery of targeted specialty programs such as Stand Strong (in partnership with Boston Sports Museum) and Passport to Manhood (BGCA).
* Run/implement Club 13, Yawkey Club of Roxbury’s tween to teen transition program.
* Secure, maintain and monitor budget, materials, equipment, and other resources belonging to the program area.
* Coordinate program partners and consultants who can offer related instruction, support, and guidance to members.
**Standards, Assessment, and Evaluation**
* Manage and oversee BGCB pre\-teen program activity standards as determined each year.
* Maintain knowledge of trends in pre\-teen education.
* Participate in various evaluation efforts throughout each program year, including the annual member survey.
**Members Discipline and Support**
* Supervise and discipline club members participating in programs and services within the program area as well as throughout the clubhouse (as appropriate).
* Prioritize positive behavior management, social\-emotional development and incorporating a DEI (diversity, equity and inclusion) lens in discipline and support.
* Maintain a clean and safe Pre\-Teen program area.
**Management, Communication and Training**
* Orient, train and supervise pre\-teen department staff.
* Provide annual performance evaluations for applicable staff in a timely manner.
* Participate in on – going professional development (trainings, education team meetings, 1 to 1 coaching sessions, observations, and supervision).
* Maintain a high level of professional communication both internally and externally
* Travel between sites and to activities as needed.
* Other related duties (as specified by Club Leadership)
 GENERAL BGCB EXPECTATIONS
* Healthy Behavior Modeling – Teaching youth/teens the importance of living an active, healthy lifestyle is a BGCB priority. As a result, all staff is expected to model healthy behavior while working with our members.
* Inclusive Environment – BGCB values creating child\-friendly environments, where youth/teens of all abilities can be successful and participate. BGCB expects employees to embrace its focus on inclusion of all members, regardless of disability or developmental challenge.
* Continuous Learning – Building the capacity of staff is central to BGCB. The organization encourages and requires that all staff participates in annual professional development opportunities that continue to cultivate their skills in the youth development field.
* Safe Spaces – Every staff member shares the responsibility for ensuring BGCB is, and remains, an environment free of sexual, physical, or emotional abuse.
**Qualifications**
***Required***
* Bachelor’s degree with a minimum of 3\-5 years direct experience developing and delivering programs for youth.
* Knowledge of youth development principles and trends in pre\-teen programming and activities.
* Demonstrated experience providing recreation programs for youth.
* Must be or become CPR / FA certified.
* Strong interpersonal and communication skills.
* Ability to work with youth and families from a variety of backgrounds.
* Ability to work independently and as part of a team.
* Flexibility to work clubhouse hours especially as seasons and service needs change.
**Preferred**
* Experience in out\-of\-school time settings
* Valid Massachusetts driver's license (strongly preferred)
* A minimum of 1\-2 years supervisory experience
* Multilingual ability (especially English, Spanish and Haitian Creole)
 TRAVEL
 Travel between sites and to activities as needed
 START DATE
 April 6th (
 *desired start date yet position open until filled)*
 LOCATION (s)
 Roxbury, MA (Yawkey Club)
**Salary \&amp; Benefits**
 Salary \- $‎60,114\.60/year\-$70,798\.00/year \- commensurate with experience; along with competitive benefits and a great work environment
 TO APPLY
 Please complete an online application at https://www.bgcb.org/aboutu/careers/. Both a cover letter and resume are required to complete your application. Applications without a cover letter may not be considered. Candidates will be reviewed on an on\-going basis. Please upload/attach your resume to your applicant profile as well as your cover letter.
*Boys and Girls Clubs of Boston is an equal opportunity employer and does not discriminate on the basis of race, color, national origin, religion or creed, gender, gender identity, gender expression, sexual orientation, sexual and reproductive health choices, marital status, age, pregnancy, veteran status, disability or any other legally protected status recognized by federal, state or local law with respect to employment opportunities. Please visit our website at* 
 https://www.bgcb.org
*Consistent with the Americans with Disabilities Act, applicants may request accommodations needed to participate in the application process.*</t>
        </is>
      </c>
    </row>
    <row r="91">
      <c r="A91" t="inlineStr">
        <is>
          <t>li-4382102003</t>
        </is>
      </c>
      <c r="B91" t="inlineStr">
        <is>
          <t>Program Manager</t>
        </is>
      </c>
      <c r="C91" t="inlineStr">
        <is>
          <t>Connections In Ohio Inc</t>
        </is>
      </c>
      <c r="D91" t="inlineStr">
        <is>
          <t>linkedin</t>
        </is>
      </c>
      <c r="E91">
        <f>HYPERLINK("https://www.linkedin.com/jobs/view/4382102003", "https://www.linkedin.com/jobs/view/4382102003")</f>
        <v/>
      </c>
      <c r="F91" t="inlineStr"/>
      <c r="G91" t="inlineStr">
        <is>
          <t>Cleveland, OH</t>
        </is>
      </c>
      <c r="H91" t="inlineStr"/>
      <c r="I91" t="inlineStr">
        <is>
          <t>Connections in Ohio, Inc. is a growing, 27 year old company that provides community supports to individuals with intellectual disabilities in community settings. We are seeking an energetic and creative Intellectual Disabilities Program Developer to oversee the training, program development, and operation of several sites in Cuyahoga County. This person will be responsible for ensuring that the individuals receive high quality services.
 We offer generous paid leave, paid health benefits and 401k with great matching! The position starts at $27\.00 per hour. We offer a high energy work environment with a stable and successful team. This position has a varied schedule which may require working nights and weekends.
**Job Duties:** 
**Programmatic/Service Provision:** 
 · Individual Service Plan implementation and documentation (for each person served)
 · Training of Home Managers and Direct Care Staff in program implementation and documentation
 · Regular on\-site assessment of contracted services, modifications of the ISP contract
**Health \&amp; Safety:** 
 · Meeting weekly requirements for home visits and on\-site presence to assess consumer health \&amp; safety
 · Coordinate/resolve issues related to unusual and/or major unusual incidents
 · Communicate with guardians and SSAs regarding medical needs or changes for consumer
**Consumer Funding:** 
 · Final authorization on staffing schedules to ensure that staffing schedules and ratios are meeting the prescribed need per the approved ISP
 · Communicate with CEO regarding funding changes
**Partnership Building:** 
 · Regular interaction (email, face\-to\-face and/or telephone) with SSAs, other county officials, family members \&amp; guardians
 · Regular interaction with the consumer Support Team per needs, issues \&amp; progress
**Other Job Duties:** 
 · Administrator\-On\-Call rotations (Rotation of every 6 weeks)
 Requirements:
 · Must be at least 21 years old
 · Bachelor’s Degree 
 · Valid Ohio Driver’s License (with 4 or less points)
 · Auto Insurance w/Liability Coverage
 · Safe and Reliable Vehicle
 · Ability to pass a criminal background check
 Powered by JazzHR
**Compensation details:** 
 27 Hourly Wage</t>
        </is>
      </c>
    </row>
    <row r="92">
      <c r="A92" t="inlineStr">
        <is>
          <t>li-4382118454</t>
        </is>
      </c>
      <c r="B92" t="inlineStr">
        <is>
          <t>Equine Program Manager</t>
        </is>
      </c>
      <c r="C92" t="inlineStr">
        <is>
          <t>Kansas 4-H Foundation</t>
        </is>
      </c>
      <c r="D92" t="inlineStr">
        <is>
          <t>linkedin</t>
        </is>
      </c>
      <c r="E92">
        <f>HYPERLINK("https://www.linkedin.com/jobs/view/4382118454", "https://www.linkedin.com/jobs/view/4382118454")</f>
        <v/>
      </c>
      <c r="F92" t="inlineStr"/>
      <c r="G92" t="inlineStr">
        <is>
          <t>Junction City, KS</t>
        </is>
      </c>
      <c r="H92" t="inlineStr"/>
      <c r="I92" t="inlineStr">
        <is>
          <t>**General Description**
 Kansas 4\-H Foundation's Rock Springs Ranch is looking for a dedicated and enthusiastic individual to lead our horse herd care and equine program. As part of the Kansas 4\-H Foundation, this role is key to shaping unforgettable experiences for campers and guests through thoughtful program design and hands\-on herd management. We’re seeking someone who is highly organized, knowledgeable in horse care and pasture management, and an excellent communicator. If you’re excited about creating meaningful connections between people and horses in a beautiful ranch setting, we’d love to hear from you!
 The Kansas 4\-H Foundation is the 501(c)(3\) fundraising arm for Kansas 4\-H, the state’s largest positive youth development program, as well as Rock Springs Ranch, the state 4\-H camp and conference center. The Foundation works with businesses, organizations, individuals and families who share a common desire to support a statewide effort of growing future leaders. Rock Springs Ranch is a 735\-acre property located in the heart of the flint hills and is accredited by the American Camp Association.
**Primary Responsibilities**
- Ranch \&amp; Herd Management:
- Day\-to\-day care and support of the horse herd; feed, first aid, grooming, etc and keep horses in working condition
- Update and facilitate Herd Management, Trail Management, and Pasture \&amp; Barn Management Plans outlined in collaboration with the Camp Director.
- Manage pasture rotation and water management to preserve our natural prairie surroundings
- Identifying health and behavioral changes of the herd and communicating with staff any changes in care and/or procedures
- Turning out and moving of horses as needed
- Ensure equipment maintenance and safety
- Ability to learn and handle basic machinery needed to perform job (e.g. skid steer)
- Maintain Equine Stables and Equine areas in conjunction with Facilities and Grounds Dept.
- Collaborate with Camp Director and other departments as needed
- Develop \&amp; Enhance Equine Program:
- Coordinate and teach trail riding and ground lessons
- Work with all guests to provide a combination of trail rides, pony rides, horse meet \&amp; greets, etc.
- Maintain and update staff training materials
- Administration:
- In collaboration with the Camp Director, build and monitor the equine budget
- Scheduling of staff to support horse programming with feeding, vet and farrier visits, etc.
- Maintain herd and program records
- Assist in producing special events and programs as needed
- Hospitality Management
* Serve in Manager on Duty (MOD) rotation for RSR guests
* Assist Camp Director as needed
* Other duties as assigned by the Camp Director or Executive Director
**Requirements**
* Bachelor’s degree in animal science, equestrian science or equine administration or 5 years of recent related work experience
* Valid driver’s license and ability to drive with a trailer
* Basic computer skills in Word, Excel and navigating the Internet
* Certified Horsemanship Association (CHA) Level 3 Herd Manager, CHA Day Ride Trail Guide, or higher certification(s). Or ability to obtain within first 90 days of employment
* Current certification in American Red Cross First\-aid and CPR, or ability to obtain certification
* Minimum of two years facilitating instruction in horseback riding
* Minimum of two years caring for 8 or more horses in a herd environment
* Ability to live on site or within 10 miles
* Lift and carry a 50\-pound bag of feed for a set distance of 30 feet.
* Must be able to ride a horse for at least 8 hours per day.
* Successful completion of criminal background check \&amp; drug test.
**Qualifications**
* Ability to be flexible and adapt to changing priorities, work on multiple projects concurrently, prioritize own workload, and consistently meet deadlines.
* Demonstrated ability to remain composed and deliver high\-quality service in dynamic and occasionally high\-pressure customer environments.
* Professional, well\-developed interpersonal and communication skills.
* Self\-driven, proactive, energetic, and enthusiastic personality.
* Strong conflict resolution and customer service skills.
**Benefits**
* $44,000 \- $48,000
* Private onsite housing \&amp; utilities
* Meals provided when group is on site
* Medical, dental and vision insurance
* Paid Time Off (PTO) including parental leave
* 403b retirement plan with employer contribution and matching
* Be a part of a positive and energetic work environment.
* As the largest positive youth development organization, we value continuous learning and professional development opportunities.</t>
        </is>
      </c>
    </row>
    <row r="93">
      <c r="A93" t="inlineStr">
        <is>
          <t>li-4379955466</t>
        </is>
      </c>
      <c r="B93" t="inlineStr">
        <is>
          <t>Program Manager</t>
        </is>
      </c>
      <c r="C93" t="inlineStr">
        <is>
          <t>Cook Medical</t>
        </is>
      </c>
      <c r="D93" t="inlineStr">
        <is>
          <t>linkedin</t>
        </is>
      </c>
      <c r="E93">
        <f>HYPERLINK("https://www.linkedin.com/jobs/view/4379955466", "https://www.linkedin.com/jobs/view/4379955466")</f>
        <v/>
      </c>
      <c r="F93">
        <f>HYPERLINK("https://americas-cookmedical.icims.com/jobs/18062/program-manager/job?mode=apply&amp;iis=LinkedIn&amp;urlHash=pLhu", "https://americas-cookmedical.icims.com/jobs/18062/program-manager/job?mode=apply&amp;iis=LinkedIn&amp;urlHash=pLhu")</f>
        <v/>
      </c>
      <c r="G93" t="inlineStr">
        <is>
          <t>Bloomington, IN</t>
        </is>
      </c>
      <c r="H93" t="inlineStr"/>
      <c r="I93" t="inlineStr">
        <is>
          <t>**Overview**
 The Program Manager leads cross‑functional initiatives that support the strategy, delivery, and continuous improvement of Cook’s customer‑facing capabilities, with Salesforce serving as the central Business Hub. Partnering closely with a strategic Business Lead, this role is jointly accountable for program success, outcomes, and value realization—ensuring alignment across business objectives, customer experience, and operational execution.
 As the primary driver of program planning, governance, and execution, the Program Manager collaborates as part of the program leadership team to translate strategic priorities into actionable initiatives. This role facilitates strong engagement across CRM, Commercial, Marketing, Customer Support, and IT teams. Success requires strong business acumen, a customer‑centric mindset, and a sense of urgency to deliver measurable business value—balancing strategic intent with operational execution to enable data‑driven solutions that enhance customer intimacy and business performance.
* This position will need to travel to Bloomington,IN at least 1x per month\*
* This position is perferred to be Hybrid, but a remote opportunity will potentially be considered\*
**Responsibilities**
* Provide a single point of contact for all aspects of the assigned programs and projects, interacting as necessary with team members and stakeholders at all levels of management.
* Work with key stakeholders in the divisions, entities and functions to define full program scope and lead the operational planning for assigned the projects at a program level.
* Establish meeting agendas, facilitate team discussions, and drive clear and timely team actions and decisions.
* Multi\-project coordination.
* Pro\-actively addresses barriers and risks to program progress, keeping leadership informed of critical considerations.
* Lead and facilitate team discussion and documentation of new information, including pros, cons, and risks.
* Ensure that program deliverables are achieved on or ahead of schedule, within budget, and with quality that meets or exceeds business needs.
* Work with project teams and leadership to aggregate and synthesize program KPIs and organizational metrics.
* Manages scheduled and ad\-hoc program status reporting
* Must work and interact effectively and professionally with and for others
 throughout various levels of the global organization
* Expert in listening and understanding what motivates team members and stakeholders to establish and maintain engagement and support.
* Must strictly adhere to safety requirements
* Maintain regular and punctual attendance
* Must maintain company quality and quantity standards
* Must have effective oral and written communication skills
* Excellent problem solving skills and ability to work in collaborative and
 independent work situations and environments with minimal supervision
* Ability to remain calm and receptive in fast paced situations
**Education**
**Qualifications**
* B.S. Degree or experience of such kind and amount as to provide a
 comparable background
* A minimum of 5 years project management experience or leadership capacity handling multiple projects
* Experience with managing and directing project team members towards a defined objective
* Strong analytical and problem solving skills
* Proficiency in Microsoft suite of software tools
* Good communication and interpersonal skills
**Physical Requirements/Work Environment**
* The employee is occasionally required to stand for extended periods
* The employee is occasionally required to walk and stoop, kneel or
 crouch
* Attends and leads various strategic and informational meetings
* Works under general office environmental conditions
* Requires close visual acuity when working with computers, etc.
* Requires occasional early morning or late evening teleconferences
* Domestic and global travel as required
**Other Requirements**
 Employee signs a non\-competition and confidentiality agreements in relation to his/her employment with Cook. Employee acts in compliance with company policies including but not limited to, the Cook Employee Manual, Cook Code of Conduct, Cook Electronic Information Policy, Product Complaints, HIPAA regulations and Cook Policy \&amp; Guidance On Interaction with Healthcare Professionals.</t>
        </is>
      </c>
    </row>
    <row r="94">
      <c r="A94" t="inlineStr">
        <is>
          <t>li-4354226935</t>
        </is>
      </c>
      <c r="B94" t="inlineStr">
        <is>
          <t>AEWS Program Manager</t>
        </is>
      </c>
      <c r="C94" t="inlineStr">
        <is>
          <t>BAE Systems, Inc.</t>
        </is>
      </c>
      <c r="D94" t="inlineStr">
        <is>
          <t>linkedin</t>
        </is>
      </c>
      <c r="E94">
        <f>HYPERLINK("https://www.linkedin.com/jobs/view/4354226935", "https://www.linkedin.com/jobs/view/4354226935")</f>
        <v/>
      </c>
      <c r="F94">
        <f>HYPERLINK("https://jobs.baesystems.com/global/en/job/BAE1US120286BREXTERNAL/AEWS-Program-Manager?utm_source=linkedin&amp;utm_medium=phenom-feeds&amp;urlHash=83Vc", "https://jobs.baesystems.com/global/en/job/BAE1US120286BREXTERNAL/AEWS-Program-Manager?utm_source=linkedin&amp;utm_medium=phenom-feeds&amp;urlHash=83Vc")</f>
        <v/>
      </c>
      <c r="G94" t="inlineStr">
        <is>
          <t>Nashua, NH</t>
        </is>
      </c>
      <c r="H94" t="inlineStr"/>
      <c r="I94"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Electronic Combat Solutions (ECS) has technology, engineering and program teams that educate and mentor colleagues to deliver leading Electronic Warfare capabilities. We welcome all those who have big ideas, crave innovation, want to drive fielding velocity and have the passion to bring the warfighter home safe.
 The Advanced Electronic Warfare Solutions product line is seeking a highly experienced Program Manager to provide strategic leadership across multi\-disciplined development programs as well as new business capture efforts focused on winning positions in a competitive acquisition landscape.
 This individual will be responsible for managing complex programs, pursuing new business opportunities, driving program execution rigor, and fostering strong customer engagements. Success in this role relies on applying disciplined risk management principles in an agile environment while also cultivating strong external and internal relationships at various levels with the US government, prime contractors, and BAE Systems executive ranks to understand customer needs and make market driven decisions.
**Responsibilities**
* Provide proactive project management for assigned program activities, ensuring program commitments are met, including achievement of financial, schedule, technical, and new business performance objectives.
* Proactively identify and mitigate risks.
* Develop program/project plans specifying goals, staffing needs, schedule milestones, risks and contingency plans.
* Assist with managing customer and supplier relationships to maintain a win\-win of program execution and future business and maintain a high level of customer engagement and satisfaction.
* Measure and regularly report out on program results.
* Lead through inspiration and encouragement and foster a culture of innovative problem solving, performance excellence, and continuous improvement on the program team to deliver affordable, effective, and dependable outcomes.
* Demonstrate a leading role in promoting adherence to the company’s ethical standards and business practices; ensure compliance with the BAE Systems Operational Assurance Framework and all other policies and requirements; provide for good stewardship of the assets of the business.
**Required Education, Experience, \&amp; Skills**
* Ability to lead cross functional teams in the execution of complex technical tasks
* Experience with life cycle management
* Experience integrating scope, schedule and budget for the successful execution of program objectives
* Proven track record with Earned Value Management, Integrated Master Schedules and Risk Management tools.
* Exhibit sound interpersonal skills to interface, coordinate, and negotiate with company personnel, customers, and suppliers
* Exercise discretion and independent judgement in the performance of Program Management duties
* Ability to develop and execute a program schedule and subsequently track status against that schedule
* Actively manage customer relationships to maintain a win\-win of program execution and future business
**Preferred Education, Experience, \&amp; Skills**
* Master’s degree and 10 years work experience
* Project Management Professional (PMP) Certification or equivalent certification
* Developing strategies and proposals for new business pursuits
**Pay Information**
 Full\-Time Salary Range: $149603 \- $254317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95">
      <c r="A95" t="inlineStr">
        <is>
          <t>li-4365408348</t>
        </is>
      </c>
      <c r="B95" t="inlineStr">
        <is>
          <t>Program Manager, Strategic Workforce Planning</t>
        </is>
      </c>
      <c r="C95" t="inlineStr">
        <is>
          <t>Velociti</t>
        </is>
      </c>
      <c r="D95" t="inlineStr">
        <is>
          <t>linkedin</t>
        </is>
      </c>
      <c r="E95">
        <f>HYPERLINK("https://www.linkedin.com/jobs/view/4365408348", "https://www.linkedin.com/jobs/view/4365408348")</f>
        <v/>
      </c>
      <c r="F95">
        <f>HYPERLINK("http://recruitingbypaycor.com/career/JobIntroduction.action?id=8a78859f9b80e758019be770780e71a8&amp;source=LinkedIn%2BLimited&amp;urlHash=56Mj", "http://recruitingbypaycor.com/career/JobIntroduction.action?id=8a78859f9b80e758019be770780e71a8&amp;source=LinkedIn%2BLimited&amp;urlHash=56Mj")</f>
        <v/>
      </c>
      <c r="G95" t="inlineStr">
        <is>
          <t>Riverside, MO</t>
        </is>
      </c>
      <c r="H95" t="inlineStr"/>
      <c r="I95" t="inlineStr">
        <is>
          <t>**Build the workforce engine that powers Velociti’s growth.**
 Velociti is growing fast—and our ability to scale depends on building a strong, skilled, future\-ready workforce for field operations.
 We’re hiring a Director, Strategic Workforce Planning, to design and lead the enterprise workforce strategy that aligns labor capacity, capability requirements, and operational demand with long\-term business growth. This leader will build planning frameworks, forecasting models, and operating structures that ensure the organization can scale efficiently and sustainably.
 This is a build\-from\-scratch opportunity for a strategic, hands\-on leader with a background in management consulting, internal strategy, transformation, or cross\-functional program leadership. You’ll work closely with Operations, Recruiting, HR, Safety, and Solutions to design a workforce strategy that is data\-driven, measurable, and tightly linked to business performance.
 The first major initiative will focus on workforce development and technician readiness. But this is not a traditional 'workforce development' role—it is a strategic planning and capability\-building role, with significant runway to expand into broader enterprise initiatives over time.
 If you’re energized by complex organizational problems, love building systems from the ground up, and want real ownership with visible business impact—this role is for you.
 What You’ll Do
 Build the Strategic Workforce Plan
* Design and lead Velociti’s long\-term workforce planning strategy aligned with business growth and field operations demand.
* Partner with Operations leadership to translate growth goals into workforce supply and capability plans.
* Establish the workforce planning framework: role families, skill architecture, progression paths, and readiness standards.
* Define and track key metrics including time\-to\-productivity, readiness, internal mobility, retention, and pipeline health.
 Design the Workforce Operating Model
* Build the cross\-functional operating model connecting workforce planning, recruiting, onboarding, training, field deployment, and career progression.
* Create repeatable processes, governance, and planning cadences across Operations, HR, Recruiting, Safety, and Solutions.
* Develop scalable processes and playbooks for workforce planning nationally across a distributed field environment.
 Launch the First Flagship Initiative: Workforce Capability \&amp; Capacity Strategy
* Build structured career pathways for field and technician roles with clear milestones and progression.
* Stand up training and certification ecosystems tied directly to performance, safety, and field readiness.
* Partner with internal teams to ensure workforce capability requirements align with operational needs.
 Build External Pipelines \&amp; Strategic Partnerships
* Develop long\-term labor supply strategies through partnerships with technical schools, colleges, training providers, and community organizations.
* Collaborate with partners to shape coursework and certifications aligned with Velociti’s workforce needs.
* Represent Velociti externally through advisory boards and strategic workforce initiatives.
 Drive Execution, Change, and Continuous Improvement
* Lead cross\-functional workstreams and deliver measurable outcomes in a fast\-moving environment.
* Build momentum through structured project execution and clear stakeholder communication.
* Continuously improve workforce strategy based on data, field feedback, and business performance.
 How Success Is Measured
* A clear, scalable workforce strategy adopted by field operations leadership.
* Improved workforce productivity and capacity utilization.
* Reduced time\-to\-readiness for field roles.
* Increased internal mobility and progression for field roles.
* Strong, sustainable external pipelines aligned to hiring needs.
* Measurable improvement in workforce stability, retention, and capability over time.
* A repeatable workforce planning model extendable to future strategic initiatives.
 What You Bring
* 7\+ years of experience in management consulting, operations strategy, analytics, enterprise transformation, or large\-scale cross\-functional program leadership.
* Experience building strategy forecasting models, capacity plans, or operational planning frameworks.
* Strong operating model thinking—connecting people, processes, systems, and metrics into scalable solutions.
* Exceptional stakeholder management skills, including influencing senior leaders without formal authority.
* Strong analytical and problem\-solving skills with comfort working through ambiguity.
* Ability to operate across corporate offices and field environments.
* Bachelor’s degree required (MBA preferred).
 Why This Role, Why Velociti
 This is a rare opportunity to build a workforce planning and capability function at a company with real scale, growth, and operational complexity. The work will be visible, meaningful, and directly tied to business performance.
* Ownership and the ability to build from scratch.
* Strategic scope with hands\-on execution.
* Direct influence on operational performance and growth strategy.
* A path into broader enterprise leadership initiatives over time.
 Location \&amp; Travel
 This role will require travel to field locations, partner sites, and corporate offices as needed to ensure alignment with operations and program effectiveness.</t>
        </is>
      </c>
    </row>
    <row r="96">
      <c r="A96" t="inlineStr">
        <is>
          <t>li-4372161597</t>
        </is>
      </c>
      <c r="B96" t="inlineStr">
        <is>
          <t>PROGRAM MANAGER, ENVIRONMENTAL MANAGEMENT, Environmental Management</t>
        </is>
      </c>
      <c r="C96" t="inlineStr">
        <is>
          <t>Boston University</t>
        </is>
      </c>
      <c r="D96" t="inlineStr">
        <is>
          <t>linkedin</t>
        </is>
      </c>
      <c r="E96">
        <f>HYPERLINK("https://www.linkedin.com/jobs/view/4372161597", "https://www.linkedin.com/jobs/view/4372161597")</f>
        <v/>
      </c>
      <c r="F96" t="inlineStr"/>
      <c r="G96" t="inlineStr">
        <is>
          <t>Boston, MA</t>
        </is>
      </c>
      <c r="H96" t="inlineStr"/>
      <c r="I96" t="inlineStr">
        <is>
          <t>Category
 Boston University Medical Campus \-\-\&gt; Professional
 Job Location
 Boston, MA, United States
 Tracking Code
 26500110950212
 Posted Date
 2/12/2026
 Salary Grade
 Grade 50
 Expected Hiring Range Minimum
 $85,000\.00
 Expected Hiring Range Maximum
 $100,000\.00
 The salary of the finalist selected for this role will be set based on a variety of factors, including but not limited to departmental budgets, qualifications, experience, education, licenses, specialty, training and internal pay comparison. The above hiring range represents the University's good faith and reasonable estimate of the range of possible compensation at the time of posting.
 Position Type
 Full\-Time/Regular
 The Environmental Program Manager is responsible for the management of environmental programs and assisting the Associate Director in all environmental management programs across the enterprise. The duties include: providing for the safe and compliant management of radioactive, universal, and hazardous waste conducting audits of environmental programs across BU and BMC departments to assess compliance with institutional, local, state and federal regulations. Inspections include oil tanks, chemical storage areas, water treatment systems, generators, and many other environmentally sensitive operations.
**Required Skills**
 B.A./B.S. in a related field, master's preferred, and at least five years of related experience preferably in an academic research or health care setting, Experience in hazardous waste management, environmental management, mechanical skills, or other relevant work experience may substitute for some or all of the required education. Valid Driver's License, basic computer skills (business systems, Microsoft office, word, excel, PowerPoint), OSHA Hazwoper 40 hour Certificate. Ability to respond to emergencies on campus during off hours. Should have or be able to obtain the 24 or 40\-hour OSHA hazardous waste operations and emergency response training. This position requires successful completion of a pre\-placement physical.
*We are an equal opportunity employer, and all qualified applicants will receive consideration for employment without regard to race, color, natural or protective hairstyle, religion, sex, age, national origin, physical or mental disability, sexual orientation, gender identity, genetic information, military service, pregnancy or pregnancy\-related condition, or because of marital, parental, or veteran status. We are a VEVRAA Federal Contractor.*</t>
        </is>
      </c>
    </row>
    <row r="97">
      <c r="A97" t="inlineStr">
        <is>
          <t>li-4380001285</t>
        </is>
      </c>
      <c r="B97" t="inlineStr">
        <is>
          <t>Curriculum Program Manager</t>
        </is>
      </c>
      <c r="C97" t="inlineStr">
        <is>
          <t>The CCIM Institute</t>
        </is>
      </c>
      <c r="D97" t="inlineStr">
        <is>
          <t>linkedin</t>
        </is>
      </c>
      <c r="E97">
        <f>HYPERLINK("https://www.linkedin.com/jobs/view/4380001285", "https://www.linkedin.com/jobs/view/4380001285")</f>
        <v/>
      </c>
      <c r="F97" t="inlineStr"/>
      <c r="G97" t="inlineStr">
        <is>
          <t>Chicago, IL</t>
        </is>
      </c>
      <c r="H97" t="inlineStr"/>
      <c r="I97" t="inlineStr">
        <is>
          <t>Compensation: $80,000\-$100,000
 The CCIM Institute’s education team is looking to add a talented Curriculum Program Manager to join a dynamic group of professionals that are dedicated to advancing the commercial real estate profession. e CCIM Institute’s education team is looking to add a talented Curriculum Program Manager to join a dynamic group of professionals that are dedicated to advancing the commercial real estate profession.
 Headquartered in Chicago, The CCIM Institute is a global professional association of more than 12,000 members dedicated to advancing excellence in commercial real estate. Through education, technology, and networking, CCIM equips professionals to make smarter investment decisions and close more deals.
 And, while work experience and educational preparation are certainly important, we don’t hire resumes. We hire talented individuals based on our culture and values – the core of which centers around our commitment to uphold a supportive work environment that fosters trust and mutual respect.
**Your Core Contributions To The Team** 
 The Curriculum Program Manager is responsible for leading the design, management, and continuous improvement of an internationally recognized professional credential program. This role owns the curriculum lifecycle for a single, high\-value designation, ensuring that all courses, assessments, learning tools, and instructional materials are aligned, current, defensible, and outcomes\-driven.
 We are seeking a senior instructional design professional who can manage an existing curriculum system while helping to inform and shape the future state of the credential experience. This is a high\-impact role working at the intersection of curriculum strategy, instructional design, governance, and operational execution.
 Responsibilities include but are not limited to the following:
**Curriculum Leadership** 
* Own and manage the full lifecycle of a credential\-aligned curriculum.
* Maintain and evolve competency frameworks, learning objectives, and exam alignment.
* Establish standards for updating, revising, and retiring content.
* Ensure alignment across textbooks, digital tools, eLearning, instructor materials, and assessments.
**Instructional Design \&amp; Learning Architecture** 
* Apply adult learning theory and instructional design best practices across multiple delivery formats.
* Lead curriculum architecture decisions and guide subject matter experts in content development.
* Ensure learning experiences are rigorous, applied, and aligned to professional standards.
**Governance \&amp; Cross\-Functional Collaboration** 
* Serve as staff liaison to curriculum governance committees.
* Translate governance decisions into actionable implementation plans.
* Partner closely with learning experience delivery, credentialing, marketing, and technology teams.
**Continuous Improvement \&amp; Quality Control** 
* Monitor curriculum performance using learner, instructor, and assessment data.
* Recommend improvements based on evidence and industry trends.
* Maintain documentation, version control, and audit\-ready records.
**About You** 
* Bachelor’s degree required; Master’s in Instructional Design, Adult Education, or related field preferred
* 7\+ years of experience in instructional design, curriculum management, or professional education.
* Experience working in credentialing, certification, continuing education, or association environments strongly preferred.
* Demonstrated ability to manage complex, multi\-component curriculum systems.
* Strong project management and stakeholder collaboration skills.
* Experience working with subject matter experts and governance committees.
* Familiarity with LMS platforms and adult learning principles.
* Experience with competency\-based education and exam blueprinting.
* Background in professional associations or regulated credential programs
**What We Provide You** 
 The CCIM Institute works hard to provide benefits that make your life better. We offer a comprehensive benefit program that features:
* Health coverage for you and your family through medical, dental, and vision
* Financial protection through disability, life, accidental death and dismemberment, and business travel insurance.
* A 401(k) plan with company
* Tax advantages through flexible spending accounts that allow you to pay for specific healthcare and dependent care expenses with pre\-tax dollars.
* To help you manage your work and life needs we offer a life assistance program, free gym access, and professional development opportunities.
* A generous paid time off program, including vacation, sick, personal, summer flex time, and volunteer days.
**All The Other Stuff** 
 This position reports to our Vice President of Education and is an exempt position. The job functions listed above represent the primary duties and responsibilities of this job and in no way states or implies that these are the only duties to be performed by you. Other duties and responsibilities within the scope of this job may be assigned. You will be required to follow all instructions and to perform all duties requested by your manager; subject to reasonable accommodations and within the scope of the position.
 The CCIM Institute is proud to be an equal opportunity workplace dedicated to pursuing and hiring a diverse workforce.</t>
        </is>
      </c>
    </row>
    <row r="98">
      <c r="A98" t="inlineStr">
        <is>
          <t>li-4371727908</t>
        </is>
      </c>
      <c r="B98" t="inlineStr">
        <is>
          <t>Deputy Program Manager (Value Stream Leader) - THAAD (Onsite)</t>
        </is>
      </c>
      <c r="C98" t="inlineStr">
        <is>
          <t>Collins Aerospace</t>
        </is>
      </c>
      <c r="D98" t="inlineStr">
        <is>
          <t>linkedin</t>
        </is>
      </c>
      <c r="E98">
        <f>HYPERLINK("https://www.linkedin.com/jobs/view/4371727908", "https://www.linkedin.com/jobs/view/4371727908")</f>
        <v/>
      </c>
      <c r="F98">
        <f>HYPERLINK("https://careers.rtx.com/global/en/job/RAYTGLOBAL01824116EXTERNALENGLOBAL/Deputy-Program-Manager-Value-Stream-Leader-THAAD-Onsite?utm_source=linkedin&amp;utm_medium=phenom-feeds&amp;urlHash=XAlo", "https://careers.rtx.com/global/en/job/RAYTGLOBAL01824116EXTERNALENGLOBAL/Deputy-Program-Manager-Value-Stream-Leader-THAAD-Onsite?utm_source=linkedin&amp;utm_medium=phenom-feeds&amp;urlHash=XAlo")</f>
        <v/>
      </c>
      <c r="G98" t="inlineStr">
        <is>
          <t>Rockford, IL</t>
        </is>
      </c>
      <c r="H98" t="inlineStr"/>
      <c r="I98" t="inlineStr">
        <is>
          <t>**Date Posted:**
 2026\-02\-12
**Country:**
 United States of America
**Location:**
 US\-IL\-ROCKFORD\-P6 \~ 4747 Harrison Ave \~ 4747 HARRISON AVE\-P6
**Position Role Type:**
 Onsite
**U.S. Citizen, U.S. Person, or Immigration Status Requirements:**
 U.S. citizenship is required, as only U.S. citizens are authorized to access information under this program/contract.
**Security Clearance Type:**
 None/Not Required
**Security Clearance Status:**
 Not Required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searching for a Deputy Program Manager (DPM) to join our Program Management Leadership team located in Rockford, IL. The individual will be responsible for supporting the THAAD product team.
 The DPM will assist the Program Manager in leading and growing the Actuation product lines. The DPM will work closely with the program management team (PMT) to ensure achievement of the strategic objectives and customer commitments.
 An ideal candidate will contain the following attibutes:
* Persistence – Dealing with program issues requires the ability to be tenacious to get the answers needed to make decisions and take action
* Detail\-oriented multitasker – The successful candidate will be able to handle multiple issues that affect multiple tasks at the same time
* Analysis – Demonstrates the ability to provide a logical, in\-depth analysis of a problem or situation
* Cooperation – Takes personal initiative to proactively serve as team motivator creating strong morale and common purpose
* Coordinating – Ensures that information has been received and accurately understood by all parties
* Decisiveness – Exhibits the personal confidence necessary to make critical decisions, even amidst controversy and doubt
* Dependability – Ensures that all details of a project are accurate
* Drive – Displays energy, persistence, and a positive attitude when working on most projects
* Judgment – Bases decisions on factual information and considers alternative courses of action before reaching decisions
* Relationships – Develops relationships with others that are based on trust
* Communication \- Must be able to effectively communicate with people across multiple organizations
**What You Will Do**
* Responsible for tracking and reporting on Profit and Loss of the programs
* Leads risk and opportunity management for the programs and drive mitigating strategies
* Participates in the negotiation of contracts and contractual changes, including coordinating preparation of proposals, business plans, proposal work statements, operational budgets, specifications, and financial conditions of contracts to ensure legal compliance and to protect the organization’s interests
* Develops, maintains and presents plans and progress reports relating to business aspects of the project/program to internal executive leadership and customers, including but not limited to Program Management Reviews
* Implements continuous improvement initiatives to optimize efficiency and quality, specifically utilizing CORE (Customer Oriented Results and Excellence), lean, or six sigma methodology
* Identifies and addresses program problems and recommends resolutions to ensure the successful completion of programs Leads program work with the various functional organizations to ensure alignment with the customer program objectives
* Manages suppliers, when necessary, to support the program
* Travel Requirements: 10\-20%, includes domestic
**Qualifications You Must Have**
* Typically requires a University Degree and minimum 8 years prior relevant experience or an Advanced Degree in a related field and minimum 5 years of experience
* Experience working with operations, quality, manufacturing, and engineering organizations
* Continuous Improvement experience – CORE, Lean, Six Sigma or equivalent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99">
      <c r="A99" t="inlineStr">
        <is>
          <t>li-4365376398</t>
        </is>
      </c>
      <c r="B99" t="inlineStr">
        <is>
          <t>NIF Sustainment Deputy Program Manager, NIF and Laser Systems</t>
        </is>
      </c>
      <c r="C99" t="inlineStr">
        <is>
          <t>Lawrence Livermore National Laboratory</t>
        </is>
      </c>
      <c r="D99" t="inlineStr">
        <is>
          <t>linkedin</t>
        </is>
      </c>
      <c r="E99">
        <f>HYPERLINK("https://www.linkedin.com/jobs/view/4365376398", "https://www.linkedin.com/jobs/view/4365376398")</f>
        <v/>
      </c>
      <c r="F99">
        <f>HYPERLINK("https://jobs.smartrecruiters.com/LLNL/3743990011297166-nif-sustainment-deputy-program-manager-nif-and-laser-systems-?trid=2d92f286-613b-4daf-9dfa-6340ffbecf73&amp;urlHash=xYYS", "https://jobs.smartrecruiters.com/LLNL/3743990011297166-nif-sustainment-deputy-program-manager-nif-and-laser-systems-?trid=2d92f286-613b-4daf-9dfa-6340ffbecf73&amp;urlHash=xYYS")</f>
        <v/>
      </c>
      <c r="G99" t="inlineStr">
        <is>
          <t>Livermore, CA</t>
        </is>
      </c>
      <c r="H99" t="inlineStr"/>
      <c r="I99" t="inlineStr">
        <is>
          <t>**Company Description**
**Join us and make YOUR mark on the World!**
 Lawrence Livermore National Laboratory (LLNL) has turned bold ideas into world\-changing impact advancing science and technology to strengthen U.S. security and promote global stability.
 Our mission spans four critical national security areas nuclear deterrence, threat preparedness, energy security, and multi\-domain defense empowering teams to take on the toughest challenges of today and tomorrow. With a culture built on innovation and operational excellence, LLNL is a place where your expertise can make a real impact.
**Job Description**
 Are you ready to lead a multi\-year, $600M program advancing the world’s most powerful laser systems in support of national security science? The National Ignition Facility (NIF) Sustainment team is seeking a
 **Deputy Program Manager** 
 to help oversee a portfolio of complex, interdependent projects focused on NIF and advanced laser systems. In this role, you will apply your technical expertise and strategic vision to deliver mission\-critical outcomes, optimize resources, and ensure operational readiness in a highly regulated environment.
 As the Deputy Program Manager, you will provide strategic and operational leadership to a dynamic team of 75–120 personnel across engineering, operations, procurement, quality, safety, and scientific disciplines. You will coordinate and integrate multiple sub\-projects, ensuring technical coherence, safety, and schedule performance across the entire portfolio. You will partner with program leadership, technical staff, and external stakeholders to drive execution, manage risks, and achieve long\-range goals for NIF and laser systems. This position is part of the Laser Systems Engineering \&amp; Operations (LSEO) Division within the Engineering Directorate.
**You will**
* Lead and manage teams, programs, and functions with a technical focus, operating under broad consultative direction and significant autonomy, using expert knowledge and extensive team leadership experience, and exercise judgment within established policies to monitor workflow, allocate resources, ensure timely completion of projects, and influence and direct high\-level strategic plans to achieve objectives while managing organizational and operational impact and attaining long\-range goals.
* Provide strategic technical and operational leadership for a large, multi\-disciplinary team, setting vision and strategy for reliability, quality, and mission delivery in NIF and laser systems.
* Lead, execute, and/or coordinate recruiting, hiring, training, career development, and performance and salary management activities as needed to meet programmatic staffing, employee development, and performance and salary related needs, including providing career counseling, mentoring, and technical guidance.
* Lead and oversee highly complex, interdependent sub\-projects, establishing program governance, cadence, and controls, including IMS, risk register, change control board, phase gates, and readiness reviews to ensure technical, safety, and regulatory compliance.
* Develop and maintain Work Breakdown Structure (WBS), cost accounts, and earned value management (EVM) practices; direct financial planning, budget control, and resource allocation for a $600M portfolio, including procurement strategies and vendor management.
* Lead program planning and execution, managing rolling IMS, baselines, and recovery plans, and coordinating system engineering V\-model activities, requirements traceability, ICDs, and configuration management.
* Champion reliability and lifecycle sustainment by developing and applying highly advanced systems engineering and asset management methods, and integrating upgrades, new technologies, and process improvements.
* Align technical baselines with operational objectives, ensuring laser safety, QA/QC, test plans, and validation criteria are embedded; drive design reviews, hazard analyses, FMEA, and readiness assessments.
* Scale and balance staffing across phases (75–120 FTEs), coordinate cross\-functional teams, develop RACI matrices and succession plans, and mentor project managers and team leads.
* Develop and maintain effective relationships and transparent communication with sponsors, lab leadership, safety authorities, and internal partners; lead risk and opportunity management, issue resolution, change requests, and scope discipline.
* Direct commissioning, ramp\-up, and transition to operations, ensuring training, SOPs, spares, reliability, and sustainment plans are in place for long\-term success.
* Perform other duties as assigned.
**Qualifications**
* Ability to secure and maintain a U.S. DOE Q level security clearance, which requires U.S. citizenship.
* Bachelor’s degree in Physics, Engineering, or related technical field, or the equivalent combination of education and related experience.
* Extensive technical leadership and management experience directing large, multi\-disciplinary technical and operations teams in a highly complex industrial, laboratory, or defense\-related environment.
* Extensive experience, expert level knowledge and skills, and demonstrated success with EVM, IMS, WBS, cost account management, and phase\-gate governance in a regulated environment.
* Extensive experience, expert level knowledge and skills, and demonstrated success in strategic planning, resource optimization, and driving innovation in technical settings.
* Extensive experience in effectively managing multi\-million\-dollar budgets, allocating resources strategically, collaborating with leadership to align annual priorities with organizational goals, and applying expert\-level knowledge of systems and engineering principles, infrastructure sustainment strategies, and asset management.
* Demonstrated extensive experience in facility operations involving cleanliness, stability, controls, and specialized laser systems.
* Demonstrated expert level skills and extensive experience in successfully resolving highly complex technical issues, tackling unique challenges, and sustaining critical infrastructure.
* Expert communication, facilitation, and collaboration skills necessary to effectively present, explain, influence, and advise professional colleagues, senior management, and external collaborators.
**Qualifications We Desire**
* Master’s degree in Physics, Engineering, or a related technical field, or the equivalent combination of education and related experience.
* PMP, PgMP, or equivalent program management certification.
* Experience in national laboratory, defense, nuclear, or high\-energy physics environments.
* Background in laser safety, QA/QC systems, and commissioning of complex facilities.
* Contract management experience with large vendors and specialized suppliers; familiarity with FAR/DFAR or similar frameworks.
**Pay Range**
 $272,970 \- $346,140 Annually
 This is the lowest to highest salary we in good faith believe we would pay for this role at the time of this posting; pay will not be below any applicable local minimum wage.  An employee’s position within the salary range will be based on several factors including, but not limited to, specific competencies, relevant education, qualifications, certifications, experience, skills, seniority, geographic location, performance, and business or organizational needs.
**Additional Information**
**Position Information**
 This is a Career Indefinite position, open to Lab employees and external candidates.
**Why Lawrence Livermore National Laboratory?**
* Included in 2026 Best Places to Work by Glassdoor!
* Flexible Benefits Package
* 401(k)
* Relocation Assistance
* Education Reimbursement Program
* Flexible schedules (\*depending on project needs)
* Our values \- visit https://www.llnl.gov/inclusion/our\-values
**Security Clearance**
 This position requires a Department of Energy (DOE) Q\-level clearance. If you are selected, we will initiate a Federal background investigation to determine if you meet eligibility requirements for access to classified information or matter. Also, all L or Q cleared employees are subject to random drug testing. Q\-level clearance requires U.S. citizenship.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row>
    <row r="100">
      <c r="A100" t="inlineStr">
        <is>
          <t>li-4358453665</t>
        </is>
      </c>
      <c r="B100" t="inlineStr">
        <is>
          <t>Senior Program Manager - Talent Development</t>
        </is>
      </c>
      <c r="C100" t="inlineStr">
        <is>
          <t>Atlas Healthcare Partners</t>
        </is>
      </c>
      <c r="D100" t="inlineStr">
        <is>
          <t>linkedin</t>
        </is>
      </c>
      <c r="E100">
        <f>HYPERLINK("https://www.linkedin.com/jobs/view/4358453665", "https://www.linkedin.com/jobs/view/4358453665")</f>
        <v/>
      </c>
      <c r="F100" t="inlineStr"/>
      <c r="G100" t="inlineStr">
        <is>
          <t>Phoenix, AZ</t>
        </is>
      </c>
      <c r="H100" t="inlineStr"/>
      <c r="I100" t="inlineStr">
        <is>
          <t>Atlas Healthcare Partners exists to form strategic partnerships with health systems across the nation to develop, manage and operate Ambulatory Surgery Centers (ASCs) in their markets. As a key player in this rapidly growing healthcare segment, we are committed to providing exceptional care and outstanding customer service to every patient, every physician, every time. Our daily focus revolves around our core values of Integrity, Culture, Teamwork, Respect, and Results.
 In addition to fostering a workplace that encourages professional growth and advancement, we provide industry\-leading health and dental benefits, paired with a matching retirement package. We look forward to you being a vital part of our journey in shaping the future of healthcare.
**Position Summary**
 The Senior Program Manager – Talent Development is a strategic and high\-impact role responsible for designing, implementing, and scaling enterprise\-wide talent development initiatives that build leadership capability, accelerate career growth, and enhance organizational performance. This position serves as the architect of learning and development strategies, performance enablement programs, and talent solutions that align with our mission, vision, values, and culture. The role partners closely with senior leaders and HR teams to ensure programs drive measurable outcomes and foster an engaged, high\-performing workforce.
**Essential Functions**
* Strategy \&amp; Design: Develop and execute a comprehensive talent development strategy, including leadership development, career pathways, succession planning, and enterprise learning programs.
* Program Management: Lead end\-to\-end program lifecycle, from needs assessment and design to implementation, evaluation, and continuous improvement.
* Stakeholder Engagement: Partner with executives, HR business partners, and department leaders to identify capability gaps and deliver targeted solutions.
* Learning Solutions: Oversee the creation and delivery of innovative learning experiences (e.g., workshops, e\-learning, coaching, mentoring) that support organizational priorities.
* Data \&amp; Insights: Analyze engagement surveys, performance metrics, and talent data to inform program enhancements and demonstrate ROI.
* Technology Enablement: Leverage learning management systems (LMS), talent platforms, and digital tools to optimize program delivery and scalability.
* Culture \&amp; Engagement: Champion initiatives that reinforce organizational values, recognition frameworks, and employee engagement strategies.
* Compliance \&amp; Standards: Ensure all programs adhere to regulatory, accreditation, and professional standards.
* Service Excellence: Consistently demonstrate core and leadership behaviors to deliver an exceptional experience for all stakeholders.
* Performs other duties as assigned.
 Performs all functions according to established policies, procedures, regulatory and accreditation requirements, as well as applicable professional standards. Provides all customers with an excellent service experience by consistently demonstrating our core and leader behaviors each and every day.
**NOTE:** 
 The essential functions are intended to describe the general content of and requirements of this position and are not intended to be an exhaustive statement of duties. Specific tasks or responsibilities will be documented as outlined by the incumbent's immediate manager.
**Minimum Qualifications** 
* 
+ Bachelor’s degree in Human Resources, Business Administration, Organizational Development, or related field, or equivalent experience.
+ Minimum of 5 years of progressive experience in talent acquisition, learning and development, or related HR functions.
+ Demonstrated success in designing and managing leadership development, career growth, performance, and engagement programs.
+ Strong facilitation, interpersonal, and communication skills with the ability to influence and partner effectively at all organizational levels.
+ Proven ability to analyze survey results, track metrics, and use insights to drive program improvements and strategic decisions.
**Preferred Qualifications** 
* 
+ Master’s degree in Human Resources, Business, or Organizational Development.
+ Experience in healthcare or Ambulatory Surgery Center (ASC) environments.
+ Certification in HR or talent\-related fields (e.g., SHRM\-CP/SCP, PHR/SPHR, CPLP).
+ Expertise in recognition frameworks, engagement surveys, or talent assessment tools.
+ Experience with graphic design or proficiency in Adobe Creative Suite.
**PHYSICAL DEMANDS/ENVIRONMENT FACTORS**
 OE \- Typical Office Environment: (Accountant, Administrative Assistant, Consultant, Program Manager)
* Requires extensive sitting with periodic standing and walking.
* May be required to lift up to 20 pounds.
* Requires significant use of personal computer, phone and general office equipment.
* May require off\-site travel
**Supervisory Responsibilities**
 None
**DIRECTLY REPORTING**
 Reports to Associate Vice President – Human Resources
**Type Of Supervisory Responsibilities**
 None
**SCOPE AND COMPLEXITY**
 This role operates at an enterprise level, influencing talent development strategies across multiple departments and functions. The Senior Program Manager serves as a key strategic advisor to senior leadership, providing insights and recommendations that shape organizational capability and workforce planning. Requires strong business acumen, strategic thinking, and the ability to manage complex projects with multiple stakeholders in a fast\-paced environment. The position demands a balance of visionary leadership and hands\-on execution to ensure programs deliver measurable impact and align with long\-term organizational goals.</t>
        </is>
      </c>
    </row>
    <row r="101">
      <c r="A101" t="inlineStr">
        <is>
          <t>li-4382111805</t>
        </is>
      </c>
      <c r="B101" t="inlineStr">
        <is>
          <t>Program Manager - Construction &amp; Infrastructure, Project Solutions</t>
        </is>
      </c>
      <c r="C101" t="inlineStr">
        <is>
          <t>Aon</t>
        </is>
      </c>
      <c r="D101" t="inlineStr">
        <is>
          <t>linkedin</t>
        </is>
      </c>
      <c r="E101">
        <f>HYPERLINK("https://www.linkedin.com/jobs/view/4382111805", "https://www.linkedin.com/jobs/view/4382111805")</f>
        <v/>
      </c>
      <c r="F101" t="inlineStr"/>
      <c r="G101" t="inlineStr">
        <is>
          <t>Phoenix, AZ</t>
        </is>
      </c>
      <c r="H101" t="inlineStr"/>
      <c r="I101" t="inlineStr">
        <is>
          <t>**Aon is looking for a Program Manager for our Construction \&amp; Infrastructure team**
 As part of an industry\-leading team, you will help empower results for our clients by delivering innovative and effective solutions as part of our Construction Service business group within Aon Risk Solutions.
 This role will be a hybrid role based out of our office in Denver, Los Angeles, San Francisco or Seattle.
**Your impact as a Program Manager**
**Job Responsibilities**
* Assists Account Executives and/or Brokers on assigned accounts, managing key wrap\-up processes that serve clients and undertaking the client\-facing and internal activities related to these processes. Program Managers will also assist Brokers as necessary particularly on Commercial Risk business.
* Maintains effective and productive relationships with clients.
* Primary focus is on the management of wrap\-ups from inception to closure.
* Serves independently in a client\-facing capacity on matters of moderate importance and complexity. May act as the Account Executive for assigned non\-complex accounts.
* May act as placing broker on simple routine placements or renewals.
* When not performed within a broking unit, gathers and analyzes data on exposures, loss history and standard and unique coverage needs for submissions with the Brokerage Unit.
* Performs submission assembly/creation where assigned.
* Facilitates the timely and accurate flow of information between clients, AE and Broker account team members.
* Manages client open items lists and responds to client ad\-hoc requests.
* Produces regular management reports on wrap\-up status.
* Gathers and analyzes data and drafts assigned elements of client service plans, stewardship reports and other convincing presentations tailored to the needs of the audience and the circumstances of the presentation.
* Actively supports and monitors the renewal process. At the direction of the Broker, drafts quote comparisons and follows up for binders, policies and endorsements.
**You Bring Knowledge and Expertise**
**Required Experience**
* Typically at least 5 plus years of successful insurance experience, preferably with construction accounts/customers.
* Proficiency in PC office products such as Word, PowerPoint, Excel and Outlook is required.
* Evidence of ability to become proficient in the use of Aon specific software tools.
**Education**
* Bachelor’s Degree or equivalent with Risk Management / Business related curriculum preferred
* Brokers license CIC, CPCU, or ARM preferred
**How We Support Our Colleagues**
 In addition to our comprehensive benefits package, we encourage an inclusive workforce. Plus, our agile environment allows you to manage your wellbeing and work/life balance, ensuring you can be your best self at Aon. Furthermore, all colleagues enjoy two “Global Wellbeing Days” each year, encouraging you to take time to focus on yourself. We offer a variety of working style solutions for our colleagues as well.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People with criminal histories are encouraged to apply.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For positions in San Francisco and Los Angeles, we will consider for employment qualified applicants with arrest and conviction record in accordance with local Fair Chance ordinances.
**Aon is not accepting unsolicited resumes from search firms for this position. If you are a search firm, you will not be compensated in any way for your submission of a candidate, even if Aon hires that candidate.**
 Nothing in this job description restricts management's right to assign or reassign duties and responsibilities to this job at any time.
**Pay Transparency Laws**
 The salary range for this position (intended for U.S. applicants) is $90,000 to $146,000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varies and is subject to the terms and conditions of the applicable incentive plan.
**A summary of all the benefits offered for this position:**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2573882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2026-03-06T17:05:45Z</dcterms:created>
  <dcterms:modified xsi:type="dcterms:W3CDTF">2026-03-06T17:05:45Z</dcterms:modified>
</cp:coreProperties>
</file>