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in-1b87d4c6ad6f56b0</t>
        </is>
      </c>
      <c r="B2" t="inlineStr">
        <is>
          <t>Staff Software Engineer</t>
        </is>
      </c>
      <c r="C2" t="inlineStr">
        <is>
          <t>ServiceNow</t>
        </is>
      </c>
      <c r="D2" t="inlineStr">
        <is>
          <t>indeed</t>
        </is>
      </c>
      <c r="E2">
        <f>HYPERLINK("https://www.indeed.com/viewjob?jk=1b87d4c6ad6f56b0", "https://www.indeed.com/viewjob?jk=1b87d4c6ad6f56b0")</f>
        <v/>
      </c>
      <c r="F2">
        <f>HYPERLINK("https://jobs.smartrecruiters.com/ServiceNow/744000113219518-staff-software-engineer", "https://jobs.smartrecruiters.com/ServiceNow/744000113219518-staff-software-engineer")</f>
        <v/>
      </c>
      <c r="G2" t="inlineStr">
        <is>
          <t>Santa Clara, CA, US</t>
        </is>
      </c>
      <c r="H2" s="1" t="n">
        <v>46087</v>
      </c>
      <c r="I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engineering organization is a dynamic group of builders, thinkers, and problem\-solvers dedicated to delivering scalable, AI\-powered software products that elevate how organizations work. We value clean architecture, intuitive user experiences, and a culture of continuous improvement. Every engineer here plays a key role in shaping the quality and reliability of our products.
The ITSM organization builds intelligent, scalable, data‑driven services that strengthen ServiceNow’s platform capabilities and power next‑generation workflow experiences across the Now Platform. This team develops and scales GenAI‑powered capabilities—including agentic AI, automation, operational intelligence, routing, clustering, evaluation frameworks, and governance systems—to deliver trustworthy, high‑performance enterprise solutions. Operating at the intersection of platform engineering, product execution, and customer transformation, the team not only architects distributed, highly available services but also partners directly with customers to drive adoption and measurable value.
A Staff Software Engineer (IC4\) in this group will influence platform‑level architecture, design resilient distributed systems, champion engineering excellence, mentor talent, and help evolve ServiceNow’s AI and analytics ecosystem into a cohesive platform that enables enterprise‑grade intelligence and execution.
**What you get to do in this role:**
* Design and develop scalable, maintainable, and reusable software components with a strong emphasis on performance and reliability.
* Drive the architecture and implementation of GenAI\-driven features across our products.
* Design and build scalable and reusable platform services that leverage LLMs to power user experiences.
* Collaborate cross\-functionally with product, research, and platform teams to translate business goals into GenAI solutions.
* Define best practices for prompt engineering, fine\-tuning, and evaluating LLM performance across different use cases.
* Serve as a thought leader in Generative AI adoption, guiding teams through design patterns, performance trade\-offs, and ethical AI considerations.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 Build integrations with third\-party applications using their cutting\-edge frameworks.
 **Qualifications** **To be successful in this role you have:**
* Experience in leveraging critical thinking about how to integrate AI into work processes, decision\-making, or problem\-solving. This may include using AI\-powered tools, automating workflows, analyzing AI\-driven insights, or exploring AI’s potential impact on the function or industry.
* Typically requires a minimum of 8 years of related experience with a Bachelor's degree; or 6 years and a Master's degree; or a PhD with 3 years experience; or equivalent experience.
* Proficiency in Java or similar object\-oriented languages.
* Hands\-on experience with GenAI technologies, including working with LLMs (e.g., OpenAI, Anthropic, Gemini, Mistral, etc.)
* Strong understanding of prompt engineering techniques and experience in prompt tuning, retrieval\-augmented generation (RAG), or fine\-tuning LLMs for domain\-specific applications.
* Ability to critically evaluate and integrate GenAI into workflows, decision\-making, and customer\-facing capabilities.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Nice\-to\-have:
* ServiceNow platform knowledge
FD21
For positions in this location, we offer a base pay of $166,500 \- $291,400,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
      <c r="A3" t="inlineStr">
        <is>
          <t>in-93995acd6e42c28f</t>
        </is>
      </c>
      <c r="B3" t="inlineStr">
        <is>
          <t>Staff Software Engineer</t>
        </is>
      </c>
      <c r="C3" t="inlineStr">
        <is>
          <t>ServiceNow</t>
        </is>
      </c>
      <c r="D3" t="inlineStr">
        <is>
          <t>indeed</t>
        </is>
      </c>
      <c r="E3">
        <f>HYPERLINK("https://www.indeed.com/viewjob?jk=93995acd6e42c28f", "https://www.indeed.com/viewjob?jk=93995acd6e42c28f")</f>
        <v/>
      </c>
      <c r="F3">
        <f>HYPERLINK("https://jobs.smartrecruiters.com/ServiceNow/744000113219626-staff-software-engineer", "https://jobs.smartrecruiters.com/ServiceNow/744000113219626-staff-software-engineer")</f>
        <v/>
      </c>
      <c r="G3" t="inlineStr">
        <is>
          <t>San Diego, CA, US</t>
        </is>
      </c>
      <c r="H3" s="1" t="n">
        <v>46087</v>
      </c>
      <c r="I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ITSM organization builds intelligent, scalable, data‑driven services that strengthen ServiceNow’s platform capabilities and power next‑generation workflow experiences across the Now Platform. This team develops and scales GenAI‑powered capabilities—including agentic AI, automation, operational intelligence, routing, clustering, evaluation frameworks, and governance systems—to deliver trustworthy, high‑performance enterprise solutions. Operating at the intersection of platform engineering, product execution, and customer transformation, the team not only architects distributed, highly available services but also partners directly with customers to drive adoption and measurable value.
A Staff Software Engineer (IC4\) in this group will influence platform‑level architecture, design resilient distributed systems, champion engineering excellence, mentor talent, and help evolve ServiceNow’s AI and analytics ecosystem into a cohesive platform that enables enterprise‑grade intelligence and execution.
**What you get to do in this role:**
* Design and develop scalable, maintainable, and reusable software components with a strong emphasis on performance and reliability.
* Drive the architecture and implementation of GenAI\-driven features across our products.
* Design and build scalable and reusable platform services that leverage LLMs to power user experiences.
* Collaborate cross\-functionally with product, research, and platform teams to translate business goals into GenAI solutions.
* Define best practices for prompt engineering, fine\-tuning, and evaluating LLM performance across different use cases.
* Serve as a thought leader in Generative AI adoption, guiding teams through design patterns, performance trade\-offs, and ethical AI considerations.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 Build integrations with third\-party applications using their cutting\-edge frameworks.
 **Qualifications** **To be successful in this role you have:**
* Experience in leveraging critical thinking about how to integrate AI into work processes, decision\-making, or problem\-solving. This may include using AI\-powered tools, automating workflows, analyzing AI\-driven insights, or exploring AI’s potential impact on the function or industry.
* Typically requires a minimum of 8 years of related experience with a Bachelor's degree; or 6 years and a Master's degree; or a PhD with 3 years experience; or equivalent experience.
* Proficiency in Java or similar object\-oriented languages.
* Hands\-on experience with GenAI technologies, including working with LLMs (e.g., OpenAI, Anthropic, Gemini, Mistral, etc.)
* Strong understanding of prompt engineering techniques and experience in prompt tuning, retrieval\-augmented generation (RAG), or fine\-tuning LLMs for domain\-specific applications.
* Ability to critically evaluate and integrate GenAI into workflows, decision\-making, and customer\-facing capabilities.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Nice\-to\-have:
* ServiceNow platform knowledge
FD21
For positions in this location, we offer a base pay of $149,800 \- $262,200,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
      <c r="A4" t="inlineStr">
        <is>
          <t>in-b055d25e510f862a</t>
        </is>
      </c>
      <c r="B4" t="inlineStr">
        <is>
          <t>Software Engineer, Backend - Fandango</t>
        </is>
      </c>
      <c r="C4" t="inlineStr">
        <is>
          <t>Versant</t>
        </is>
      </c>
      <c r="D4" t="inlineStr">
        <is>
          <t>indeed</t>
        </is>
      </c>
      <c r="E4">
        <f>HYPERLINK("https://www.indeed.com/viewjob?jk=b055d25e510f862a", "https://www.indeed.com/viewjob?jk=b055d25e510f862a")</f>
        <v/>
      </c>
      <c r="F4">
        <f>HYPERLINK("https://jobs.smartrecruiters.com/Versant3/744000113211267-software-engineer-backend-fandango", "https://jobs.smartrecruiters.com/Versant3/744000113211267-software-engineer-backend-fandango")</f>
        <v/>
      </c>
      <c r="G4" t="inlineStr">
        <is>
          <t>Orlando, FL, US</t>
        </is>
      </c>
      <c r="H4" s="1" t="n">
        <v>46087</v>
      </c>
      <c r="I4"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**Position Summary:**
As a Backend Software Engineer on the Fandango ticketing platform, build and maintain the services that power our mobile app, website, and back\-office tools. You’ll work closely with product managers, designers, and fellow engineers to deliver scalable, secure, and high\-performing systems that support millions of customers and partners.
You will contribute directly to the evolution of the Fandango platform, helping to build partner\-focused and white\-label capabilities through an API\-first architecture. As part of your day\-to\-day work, you’ll develop and enhance integration points across internal and external systems, including emerging AI\-driven features such as LLM\-powered workflows and intelligent agents.
This role requires strong technical execution, thoughtful system design, and a commitment to writing clean, reliable, and maintainable code. You’ll play a key role in delivering seamless ticketing experiences while continuously improving platform performance, resiliency, and scalability.
**Responsibilities:**
* Develop, enhance, test, deploy, and maintain back end software and services in accordance with established SDLC practices for applications/APIs written in C\#/node.js
* Perform code reviews and collaborate with peers on software solutions
* Interact with Product Managers and Quality Engineers to deliver high quality, high profile software and user experiences
* Participate in Agile ceremonies (standups, retros, sprint planning, etc.)
* Assist in troubleshooting exercises
**Desired Characteristics:**
* Passionate about software development and high\-quality engineering
* Collaborative. Works well in a team. Excited to succeed and to help others succeed
* Enthusiastic about expanding one’s skillset, learning and leveraging new technologies
* Open to new approaches and new ideas
* Takes initiative to solve issues and knows when to solicit help
* Communicates effectively with peers and colleagues
**Qualifications** **Minimum Qualifications:**
* BS degree in Computer Science, Computer Engineering or related technical field, or equivalent practical experience
* A strong understanding of software development practices and principles
* Practical experience in one or more of the following programming languages
	+ JavaScript/Node
	+ C\#/.NET
	+ Java
* Experience working and coding with relational databases
* Familiarity with version control systems (Git or similar)
* Working knowledge of common networking, infrastructure, and technical security fundamentals
**Preferred / Useful Qualifications:**
* Professional experience as a software engineer working in a back end or full\-stack capacity
* Experience developing consumer\-facing software
* Experience working in an Agile/Scrum environment
* Experience with a variety of data stores: Document databases, columnar data stores, Redis, Elasticsearch, etc.
* Experience with cloud technologies (AWS, GCP, Azure or similar)
* Familiarity with software build, release, deployment, and monitoring tools and practices
* Familiarity with RESTful APIs, microservices, and/or service\-oriented architectures
**Fully Remote:** This position has been designated as fully remote, meaning that the position is expected to contribute from a non\-Versant worksite, most commonly an employee’s residence.
This position may require up to 10% travel for onsite collaboration and meetings at a Versant office location, based on the needs of the business. The final round of the interview process will be conducted in person. \#LI\-remote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5">
      <c r="A5" t="inlineStr">
        <is>
          <t>in-28aba5e6081e21af</t>
        </is>
      </c>
      <c r="B5" t="inlineStr">
        <is>
          <t>Sr. Software Engineer</t>
        </is>
      </c>
      <c r="C5" t="inlineStr">
        <is>
          <t>The Walt Disney Company</t>
        </is>
      </c>
      <c r="D5" t="inlineStr">
        <is>
          <t>indeed</t>
        </is>
      </c>
      <c r="E5">
        <f>HYPERLINK("https://www.indeed.com/viewjob?jk=28aba5e6081e21af", "https://www.indeed.com/viewjob?jk=28aba5e6081e21af")</f>
        <v/>
      </c>
      <c r="F5">
        <f>HYPERLINK("https://jobs.disneycareers.com/job/orlando/sr-software-engineer/391/92455313104", "https://jobs.disneycareers.com/job/orlando/sr-software-engineer/391/92455313104")</f>
        <v/>
      </c>
      <c r="G5" t="inlineStr">
        <is>
          <t>Orlando, FL, US</t>
        </is>
      </c>
      <c r="H5" s="1" t="n">
        <v>46086</v>
      </c>
      <c r="I5" t="inlineStr">
        <is>
          <t>**Job ID** 10143970 **Location** Orlando, Florida, United States **Business** Disney Experiences **Date posted** Mar. 06, 2026
#### **Job Summary:**
At Disney Experiences, we craft world\-class digital guest experiences—from the magic of our theme parks to the seamless functionality of our resort platforms. We are looking for a Full Stack Senior Software Engineer who isn't just a "coder," but a creative problem\-solver.
This role is unique: you will lead the development of complex capabilities on the Salesforce platform while bridging the gap with modern full\-stack technologies (Node, Angular, Java). We value aptitude over a specific checklist. If you are a technical polyglot who views a new framework not as a hurdle, but as a playground, you’ll fit right in.
**What You’ll Do**
* Architect \&amp; Build: Design and develop robust, scalable capabilities on the Salesforce platform using Apex Classes, Lightning Web Components (LWC), and complex integrations.
* Full Stack Integration: Extend Salesforce functionality by building supporting microservices and UI components using Node.js, Angular, and Java.
* Modern Cloud Ecosystems: Leverage and implement solutions within Service Cloud and Data Cloud to create a unified, 360\-degree view of the Guest journey.
* AI\-Augmented Development: Lead the charge in "Next\-Gen" engineering by leveraging GenAI tools (e.g., Cursor, ClaudeCode, GitHub Copilot) to accelerate velocity and improve code quality.
* Technical Leadership: Drive excellence through Test\-Driven Development (TDD) and maintain a high bar for code reviews, documentation, and architectural integrity.
* Agile Collaboration: Thrive in an Agile environment, partnering with Product Managers and Designers to turn "what if" into "here's how."
**Who You Are**
* Optimistic Problem Solver: You approach every technical debt or complex bug with an open mind and a "can\-do" attitude. You believe there is always a great solution waiting to be found.
* Rapid Learner: You aren't intimidated by new tech. You have a proven track record of diving into unfamiliar stacks and becoming proficient quickly. We hire for aptitude; your ability to learn and adapt is just as important as your current toolkit.
* Team Player: You understand that "The Magic" is a team sport. You communicate clearly, mentor junior devs, and check your ego at the door.
* Excellence\-Driven: You hold yourself and your team to a high standard, always striving for excellence and maintaining a high bar for success.
**Required Qualifications**
* 5\+ years of relevant experience, preferred professional software development experience in a senior role.
* Full Stack Proficiency: Solid experience with Java, Node.js, and modern frontend frameworks like Angular.
* TDD Mindset: Experience writing unit tests and following Test\-Driven Development patterns to ensure long\-term stability.
* Agile Fluency**:** Comfortable with Scrum/Kanban cycles and CI/CD pipelines.
**Preferred Qualifications**
* Salesforce Experience: Expertise in Apex (triggers, controllers, asynchronous processing), Lightning Web Components (LWC), and a strong understanding of Salesforce architecture.
* Cloud Expertise: Hands\-on experience with Service Cloud and Data Cloud implementation.
* GenAI Savvy: Experience using development tools such as Cursor, ClaudeCode, or other AI\-driven IDEs to streamline workflows.
* Salesforce DX**:** Familiarity with scratch orgs and modern DevOps workflows for Salesforce.
**Required Education**
* Bachelor's or foreign equivalent degree in Computer Science, Information Systems, Software, Electrical or Electronics Engineering, or comparable field of study, and/or equivalent work experience
\#DISNEYTECH</t>
        </is>
      </c>
    </row>
    <row r="6">
      <c r="A6" t="inlineStr">
        <is>
          <t>in-129a55b428878c19</t>
        </is>
      </c>
      <c r="B6" t="inlineStr">
        <is>
          <t>Software Engineer</t>
        </is>
      </c>
      <c r="C6" t="inlineStr">
        <is>
          <t>Amazon.com</t>
        </is>
      </c>
      <c r="D6" t="inlineStr">
        <is>
          <t>indeed</t>
        </is>
      </c>
      <c r="E6">
        <f>HYPERLINK("https://www.indeed.com/viewjob?jk=129a55b428878c19", "https://www.indeed.com/viewjob?jk=129a55b428878c19")</f>
        <v/>
      </c>
      <c r="F6">
        <f>HYPERLINK("https://www.amazon.jobs/jobs/3145977/software-engineer?cmpid=DA_INAD200785B", "https://www.amazon.jobs/jobs/3145977/software-engineer?cmpid=DA_INAD200785B")</f>
        <v/>
      </c>
      <c r="G6" t="inlineStr">
        <is>
          <t>San Francisco, CA, US</t>
        </is>
      </c>
      <c r="H6" s="1" t="n">
        <v>46008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in-194b5e07a3a31d0c</t>
        </is>
      </c>
      <c r="B7" t="inlineStr">
        <is>
          <t>Software Engineer</t>
        </is>
      </c>
      <c r="C7" t="inlineStr">
        <is>
          <t>Amazon.com</t>
        </is>
      </c>
      <c r="D7" t="inlineStr">
        <is>
          <t>indeed</t>
        </is>
      </c>
      <c r="E7">
        <f>HYPERLINK("https://www.indeed.com/viewjob?jk=194b5e07a3a31d0c", "https://www.indeed.com/viewjob?jk=194b5e07a3a31d0c")</f>
        <v/>
      </c>
      <c r="F7">
        <f>HYPERLINK("https://www.amazon.jobs/jobs/3145977/software-engineer?cmpid=DA_INAD200785B", "https://www.amazon.jobs/jobs/3145977/software-engineer?cmpid=DA_INAD200785B")</f>
        <v/>
      </c>
      <c r="G7" t="inlineStr">
        <is>
          <t>Seattle, WA, US</t>
        </is>
      </c>
      <c r="H7" s="1" t="n">
        <v>46008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in-ce627f24aad47fca</t>
        </is>
      </c>
      <c r="B8" t="inlineStr">
        <is>
          <t>Software Engineer II</t>
        </is>
      </c>
      <c r="C8" t="inlineStr">
        <is>
          <t>Amazon.com</t>
        </is>
      </c>
      <c r="D8" t="inlineStr">
        <is>
          <t>indeed</t>
        </is>
      </c>
      <c r="E8">
        <f>HYPERLINK("https://www.indeed.com/viewjob?jk=ce627f24aad47fca", "https://www.indeed.com/viewjob?jk=ce627f24aad47fca")</f>
        <v/>
      </c>
      <c r="F8">
        <f>HYPERLINK("https://www.amazon.jobs/jobs/3104730/software-engineer-ii?cmpid=DA_INAD200785B", "https://www.amazon.jobs/jobs/3104730/software-engineer-ii?cmpid=DA_INAD200785B")</f>
        <v/>
      </c>
      <c r="G8" t="inlineStr">
        <is>
          <t>Irvine, CA, US</t>
        </is>
      </c>
      <c r="H8" s="1"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in-f961d669037b7f54</t>
        </is>
      </c>
      <c r="B9" t="inlineStr">
        <is>
          <t>Software Engineer II</t>
        </is>
      </c>
      <c r="C9" t="inlineStr">
        <is>
          <t>Amazon.com</t>
        </is>
      </c>
      <c r="D9" t="inlineStr">
        <is>
          <t>indeed</t>
        </is>
      </c>
      <c r="E9">
        <f>HYPERLINK("https://www.indeed.com/viewjob?jk=f961d669037b7f54", "https://www.indeed.com/viewjob?jk=f961d669037b7f54")</f>
        <v/>
      </c>
      <c r="F9">
        <f>HYPERLINK("https://www.amazon.jobs/jobs/3104730/software-engineer-ii?cmpid=DA_INAD200785B", "https://www.amazon.jobs/jobs/3104730/software-engineer-ii?cmpid=DA_INAD200785B")</f>
        <v/>
      </c>
      <c r="G9" t="inlineStr">
        <is>
          <t>San Francisco,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in-e543b79668aeeef2</t>
        </is>
      </c>
      <c r="B10" t="inlineStr">
        <is>
          <t>Software Engineer II</t>
        </is>
      </c>
      <c r="C10" t="inlineStr">
        <is>
          <t>Amazon.com</t>
        </is>
      </c>
      <c r="D10" t="inlineStr">
        <is>
          <t>indeed</t>
        </is>
      </c>
      <c r="E10">
        <f>HYPERLINK("https://www.indeed.com/viewjob?jk=e543b79668aeeef2", "https://www.indeed.com/viewjob?jk=e543b79668aeeef2")</f>
        <v/>
      </c>
      <c r="F10">
        <f>HYPERLINK("https://www.amazon.jobs/jobs/3104734/software-engineer-ii?cmpid=DA_INAD200785B", "https://www.amazon.jobs/jobs/3104734/software-engineer-ii?cmpid=DA_INAD200785B")</f>
        <v/>
      </c>
      <c r="G10" t="inlineStr">
        <is>
          <t>San Francisco,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in-40075c86fa5a36c9</t>
        </is>
      </c>
      <c r="B11" t="inlineStr">
        <is>
          <t>Software Engineer II</t>
        </is>
      </c>
      <c r="C11" t="inlineStr">
        <is>
          <t>Amazon.com</t>
        </is>
      </c>
      <c r="D11" t="inlineStr">
        <is>
          <t>indeed</t>
        </is>
      </c>
      <c r="E11">
        <f>HYPERLINK("https://www.indeed.com/viewjob?jk=40075c86fa5a36c9", "https://www.indeed.com/viewjob?jk=40075c86fa5a36c9")</f>
        <v/>
      </c>
      <c r="F11">
        <f>HYPERLINK("https://www.amazon.jobs/jobs/3104734/software-engineer-ii?cmpid=DA_INAD200785B", "https://www.amazon.jobs/jobs/3104734/software-engineer-ii?cmpid=DA_INAD200785B")</f>
        <v/>
      </c>
      <c r="G11" t="inlineStr">
        <is>
          <t>Culver City,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in-34a311534fc3a8d8</t>
        </is>
      </c>
      <c r="B12" t="inlineStr">
        <is>
          <t>Software Engineer II</t>
        </is>
      </c>
      <c r="C12" t="inlineStr">
        <is>
          <t>Amazon.com</t>
        </is>
      </c>
      <c r="D12" t="inlineStr">
        <is>
          <t>indeed</t>
        </is>
      </c>
      <c r="E12">
        <f>HYPERLINK("https://www.indeed.com/viewjob?jk=34a311534fc3a8d8", "https://www.indeed.com/viewjob?jk=34a311534fc3a8d8")</f>
        <v/>
      </c>
      <c r="F12">
        <f>HYPERLINK("https://www.amazon.jobs/jobs/3104734/software-engineer-ii?cmpid=DA_INAD200785B", "https://www.amazon.jobs/jobs/3104734/software-engineer-ii?cmpid=DA_INAD200785B")</f>
        <v/>
      </c>
      <c r="G12" t="inlineStr">
        <is>
          <t>Irvine,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in-5d6c724b6e372c61</t>
        </is>
      </c>
      <c r="B13" t="inlineStr">
        <is>
          <t>Software Engineer II</t>
        </is>
      </c>
      <c r="C13" t="inlineStr">
        <is>
          <t>Amazon.com</t>
        </is>
      </c>
      <c r="D13" t="inlineStr">
        <is>
          <t>indeed</t>
        </is>
      </c>
      <c r="E13">
        <f>HYPERLINK("https://www.indeed.com/viewjob?jk=5d6c724b6e372c61", "https://www.indeed.com/viewjob?jk=5d6c724b6e372c61")</f>
        <v/>
      </c>
      <c r="F13">
        <f>HYPERLINK("https://www.amazon.jobs/jobs/3090680/software-engineer-ii?cmpid=DA_INAD200785B", "https://www.amazon.jobs/jobs/3090680/software-engineer-ii?cmpid=DA_INAD200785B")</f>
        <v/>
      </c>
      <c r="G13" t="inlineStr">
        <is>
          <t>San Francisco, CA, US</t>
        </is>
      </c>
      <c r="H13" s="1" t="n">
        <v>45921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in-0314bc7726fa61b8</t>
        </is>
      </c>
      <c r="B14" t="inlineStr">
        <is>
          <t>Software Engineer II</t>
        </is>
      </c>
      <c r="C14" t="inlineStr">
        <is>
          <t>Amazon.com</t>
        </is>
      </c>
      <c r="D14" t="inlineStr">
        <is>
          <t>indeed</t>
        </is>
      </c>
      <c r="E14">
        <f>HYPERLINK("https://www.indeed.com/viewjob?jk=0314bc7726fa61b8", "https://www.indeed.com/viewjob?jk=0314bc7726fa61b8")</f>
        <v/>
      </c>
      <c r="F14">
        <f>HYPERLINK("https://www.amazon.jobs/jobs/3090680/software-engineer-ii?cmpid=DA_INAD200785B", "https://www.amazon.jobs/jobs/3090680/software-engineer-ii?cmpid=DA_INAD200785B")</f>
        <v/>
      </c>
      <c r="G14" t="inlineStr">
        <is>
          <t>Irvine, CA, US</t>
        </is>
      </c>
      <c r="H14" s="1" t="n">
        <v>45921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in-fc77a3841011d9da</t>
        </is>
      </c>
      <c r="B15" t="inlineStr">
        <is>
          <t>Software Engineer I- Ad Demand</t>
        </is>
      </c>
      <c r="C15" t="inlineStr">
        <is>
          <t>Amazon.com</t>
        </is>
      </c>
      <c r="D15" t="inlineStr">
        <is>
          <t>indeed</t>
        </is>
      </c>
      <c r="E15">
        <f>HYPERLINK("https://www.indeed.com/viewjob?jk=fc77a3841011d9da", "https://www.indeed.com/viewjob?jk=fc77a3841011d9da")</f>
        <v/>
      </c>
      <c r="F15">
        <f>HYPERLINK("https://www.amazon.jobs/jobs/3082168/software-engineer-i-ad-demand?cmpid=DA_INAD200785B", "https://www.amazon.jobs/jobs/3082168/software-engineer-i-ad-demand?cmpid=DA_INAD200785B")</f>
        <v/>
      </c>
      <c r="G15" t="inlineStr">
        <is>
          <t>San Francisco, CA, US</t>
        </is>
      </c>
      <c r="H15" s="1" t="n">
        <v>45908</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in-12415badb3710ff0</t>
        </is>
      </c>
      <c r="B16" t="inlineStr">
        <is>
          <t>Software Engineer I- Ad Demand</t>
        </is>
      </c>
      <c r="C16" t="inlineStr">
        <is>
          <t>Amazon.com</t>
        </is>
      </c>
      <c r="D16" t="inlineStr">
        <is>
          <t>indeed</t>
        </is>
      </c>
      <c r="E16">
        <f>HYPERLINK("https://www.indeed.com/viewjob?jk=12415badb3710ff0", "https://www.indeed.com/viewjob?jk=12415badb3710ff0")</f>
        <v/>
      </c>
      <c r="F16">
        <f>HYPERLINK("https://www.amazon.jobs/jobs/3082168/software-engineer-i-ad-demand?cmpid=DA_INAD200785B", "https://www.amazon.jobs/jobs/3082168/software-engineer-i-ad-demand?cmpid=DA_INAD200785B")</f>
        <v/>
      </c>
      <c r="G16" t="inlineStr">
        <is>
          <t>New York, NY, US</t>
        </is>
      </c>
      <c r="H16" s="1" t="n">
        <v>45908</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in-3ef981994e7ad6cb</t>
        </is>
      </c>
      <c r="B17" t="inlineStr">
        <is>
          <t>Senior Software Engineer, Twitch</t>
        </is>
      </c>
      <c r="C17" t="inlineStr">
        <is>
          <t>Amazon.com</t>
        </is>
      </c>
      <c r="D17" t="inlineStr">
        <is>
          <t>indeed</t>
        </is>
      </c>
      <c r="E17">
        <f>HYPERLINK("https://www.indeed.com/viewjob?jk=3ef981994e7ad6cb", "https://www.indeed.com/viewjob?jk=3ef981994e7ad6cb")</f>
        <v/>
      </c>
      <c r="F17">
        <f>HYPERLINK("https://www.amazon.jobs/jobs/3138042/senior-software-engineer-twitch?cmpid=DA_INAD200785B", "https://www.amazon.jobs/jobs/3138042/senior-software-engineer-twitch?cmpid=DA_INAD200785B")</f>
        <v/>
      </c>
      <c r="G17" t="inlineStr">
        <is>
          <t>San Francisco, CA, US</t>
        </is>
      </c>
      <c r="H17" s="1" t="n">
        <v>45995</v>
      </c>
      <c r="I1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in-558b499048ae8201</t>
        </is>
      </c>
      <c r="B18" t="inlineStr">
        <is>
          <t>Senior Software Engineer, Twitch</t>
        </is>
      </c>
      <c r="C18" t="inlineStr">
        <is>
          <t>Amazon.com</t>
        </is>
      </c>
      <c r="D18" t="inlineStr">
        <is>
          <t>indeed</t>
        </is>
      </c>
      <c r="E18">
        <f>HYPERLINK("https://www.indeed.com/viewjob?jk=558b499048ae8201", "https://www.indeed.com/viewjob?jk=558b499048ae8201")</f>
        <v/>
      </c>
      <c r="F18">
        <f>HYPERLINK("https://www.amazon.jobs/jobs/3138042/senior-software-engineer-twitch?cmpid=DA_INAD200785B", "https://www.amazon.jobs/jobs/3138042/senior-software-engineer-twitch?cmpid=DA_INAD200785B")</f>
        <v/>
      </c>
      <c r="G18" t="inlineStr">
        <is>
          <t>Seattle, WA, US</t>
        </is>
      </c>
      <c r="H18" s="1" t="n">
        <v>45995</v>
      </c>
      <c r="I1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in-10184eb274c67a24</t>
        </is>
      </c>
      <c r="B19" t="inlineStr">
        <is>
          <t>Diagnostics Software Engineer</t>
        </is>
      </c>
      <c r="C19" t="inlineStr">
        <is>
          <t>Trane Technologies</t>
        </is>
      </c>
      <c r="D19" t="inlineStr">
        <is>
          <t>indeed</t>
        </is>
      </c>
      <c r="E19">
        <f>HYPERLINK("https://www.indeed.com/viewjob?jk=10184eb274c67a24", "https://www.indeed.com/viewjob?jk=10184eb274c67a24")</f>
        <v/>
      </c>
      <c r="F19">
        <f>HYPERLINK("https://d.hodes.com/r/tp2?e=se&amp;tv=pixel_tracker&amp;aid=tranetech&amp;p=web&amp;se_ca=indeed&amp;se_ac=click&amp;se_la=23103067&amp;u=https%3A%2F%2Fcareers.tranetechnologies.com%2Fglobal%2Fen%2Fjob%2FTRTEGLOBAL2601542EXTERNALENGLOBAL%2FDiagnostics-Software-Engineer%3Futm_source%3Dsymphonytalent%26utm_medium%3Dphenom-feeds%26utm_medium%3D%252522mcloud%25252Djobads%252522%26utm_campaign%3DDefault%252520Campaign%26utm_content%3DDiagnostics%252520Software%252520Engineer%26utm_term%3DTRTEGLOBAL2601542EXTERNALENGLOBAL&amp;se_pr=85705796603a9b0a&amp;se_va=13657&amp;tr_af=organic&amp;ti_id=2344_2601542&amp;signature=7J15vRPOipxtrr9xrU4Qp75H8JW09Yak9r5Ql3cD77s", "https://d.hodes.com/r/tp2?e=se&amp;tv=pixel_tracker&amp;aid=tranetech&amp;p=web&amp;se_ca=indeed&amp;se_ac=click&amp;se_la=23103067&amp;u=https%3A%2F%2Fcareers.tranetechnologies.com%2Fglobal%2Fen%2Fjob%2FTRTEGLOBAL2601542EXTERNALENGLOBAL%2FDiagnostics-Software-Engineer%3Futm_source%3Dsymphonytalent%26utm_medium%3Dphenom-feeds%26utm_medium%3D%252522mcloud%25252Djobads%252522%26utm_campaign%3DDefault%252520Campaign%26utm_content%3DDiagnostics%252520Software%252520Engineer%26utm_term%3DTRTEGLOBAL2601542EXTERNALENGLOBAL&amp;se_pr=85705796603a9b0a&amp;se_va=13657&amp;tr_af=organic&amp;ti_id=2344_2601542&amp;signature=7J15vRPOipxtrr9xrU4Qp75H8JW09Yak9r5Ql3cD77s")</f>
        <v/>
      </c>
      <c r="G19" t="inlineStr">
        <is>
          <t>Tyler, TX, US</t>
        </is>
      </c>
      <c r="H19" s="1" t="n">
        <v>46070</v>
      </c>
      <c r="I19"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**What’s in it for you:**  
Be a part of our mission! As a world leader in creating comfortable, sustainable, and efficient environments, it’s our responsibility to put the planet first. For us at Trane Technologies, sustainability is not just how we do business—it is our business. Do you dare to look at the world's challenges and see impactful possibilities? Do you want to contribute to making a better future? If the answer is yes, we invite you to consider joining us in boldly challenging what’s possible for a sustainable world. **Job Summary：**  
We are seeking a highly motivated software engineer who is passionate about working on the leading edge of technology and advancing state‑of‑the‑art solutions for the HVAC industry. In this role, you will work with large data sets and develop automated diagnostics for HVAC systems. The ideal candidate brings strong software design and development skills and thrives in a collaborative environment alongside HVAC experts, data scientists, and software engineers. This position plays a key role in creating the next generation of intelligent HVAC technology for Trane Technologies. **Thrive at work and at home:*** Benefits kick in on DAY ONE for you and your family, including health insurance and holistic wellness programs that include generous incentives – WE DARE TO CARE!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Learn more about our benefits here!
**Where is the work:**
* From Monday to Thursday, work onsite with your colleagues. On Fridays, choose your work location, balancing what your work requires
**What you will do:*** Provide software engineering expertise to a multidisciplinary team with HVAC and data science backgrounds.
* Develop algorithms to detect issues in residential HVAC systems using sensor and performance data.
* Support and enhance infrastructure for analyzing large IoT data sets.
* Adapt existing algorithms to evolving software architectures and platforms.
* Validate algorithm performance through automation, testing frameworks, and extensive data analysis.
* Collaborate with local and remote software teams to develop, integrate, and deploy algorithms.
* Mentor junior engineering staff and support knowledge‑sharing across the team.
* Interface with customers, technicians, dealers, and homeowners as needed to support product development and issue resolution.
**What you will bring"*** Bachelor’s or advanced degree in Computer Science or related field.
* Proven background in real‑world software design and implementation.
* Minimum of 4 years of software development experience.
* Experience with databases, SQL, and big‑data technologies.
* Strong knowledge of software design principles and development best practices.
* Experience integrating software into real‑world applications and systems.
* Ability to visualize data and perform engineering‑oriented data analysis.
* Knowledge of database design and SQL.
 **Compensation:**
Base Pay Range: $88,000\-$137,000
Disclaimer: We strive to provide competitive compensation for this position, tailored to a variety of factors. The actual compensation will depend on elements such as seniority, merit, geographic location, education, experience, travel requirements, and union designation. Our compensation range is generally based on the national average for the country. Additionally, benefits may vary depending on the region, business alignment, union involvement, and employee status.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row>
    <row r="20">
      <c r="A20" t="inlineStr">
        <is>
          <t>in-8546ed294a317df4</t>
        </is>
      </c>
      <c r="B20" t="inlineStr">
        <is>
          <t>Sr. Software Engineer, Manager</t>
        </is>
      </c>
      <c r="C20" t="inlineStr">
        <is>
          <t>Amazon.com</t>
        </is>
      </c>
      <c r="D20" t="inlineStr">
        <is>
          <t>indeed</t>
        </is>
      </c>
      <c r="E20">
        <f>HYPERLINK("https://www.indeed.com/viewjob?jk=8546ed294a317df4", "https://www.indeed.com/viewjob?jk=8546ed294a317df4")</f>
        <v/>
      </c>
      <c r="F20">
        <f>HYPERLINK("https://www.amazon.jobs/jobs/3144309/sr-software-engineer-manager?cmpid=DA_INAD200785B", "https://www.amazon.jobs/jobs/3144309/sr-software-engineer-manager?cmpid=DA_INAD200785B")</f>
        <v/>
      </c>
      <c r="G20" t="inlineStr">
        <is>
          <t>San Francisco,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in-71d80ed31e530c27</t>
        </is>
      </c>
      <c r="B21" t="inlineStr">
        <is>
          <t>Sr. Software Engineer, Manager</t>
        </is>
      </c>
      <c r="C21" t="inlineStr">
        <is>
          <t>Amazon.com</t>
        </is>
      </c>
      <c r="D21" t="inlineStr">
        <is>
          <t>indeed</t>
        </is>
      </c>
      <c r="E21">
        <f>HYPERLINK("https://www.indeed.com/viewjob?jk=71d80ed31e530c27", "https://www.indeed.com/viewjob?jk=71d80ed31e530c27")</f>
        <v/>
      </c>
      <c r="F21">
        <f>HYPERLINK("https://www.amazon.jobs/jobs/3144309/sr-software-engineer-manager?cmpid=DA_INAD200785B", "https://www.amazon.jobs/jobs/3144309/sr-software-engineer-manager?cmpid=DA_INAD200785B")</f>
        <v/>
      </c>
      <c r="G21" t="inlineStr">
        <is>
          <t>Seattle, WA,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in-fe8d61155254d5ef</t>
        </is>
      </c>
      <c r="B22" t="inlineStr">
        <is>
          <t>Sr. Software Engineer, Manager</t>
        </is>
      </c>
      <c r="C22" t="inlineStr">
        <is>
          <t>Amazon.com</t>
        </is>
      </c>
      <c r="D22" t="inlineStr">
        <is>
          <t>indeed</t>
        </is>
      </c>
      <c r="E22">
        <f>HYPERLINK("https://www.indeed.com/viewjob?jk=fe8d61155254d5ef", "https://www.indeed.com/viewjob?jk=fe8d61155254d5ef")</f>
        <v/>
      </c>
      <c r="F22">
        <f>HYPERLINK("https://www.amazon.jobs/jobs/3144309/sr-software-engineer-manager?cmpid=DA_INAD200785B", "https://www.amazon.jobs/jobs/3144309/sr-software-engineer-manager?cmpid=DA_INAD200785B")</f>
        <v/>
      </c>
      <c r="G22" t="inlineStr">
        <is>
          <t>Culver City, CA,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in-44a3459fd775c2e1</t>
        </is>
      </c>
      <c r="B23" t="inlineStr">
        <is>
          <t>Sr. Software Engineer, Manager</t>
        </is>
      </c>
      <c r="C23" t="inlineStr">
        <is>
          <t>Amazon.com</t>
        </is>
      </c>
      <c r="D23" t="inlineStr">
        <is>
          <t>indeed</t>
        </is>
      </c>
      <c r="E23">
        <f>HYPERLINK("https://www.indeed.com/viewjob?jk=44a3459fd775c2e1", "https://www.indeed.com/viewjob?jk=44a3459fd775c2e1")</f>
        <v/>
      </c>
      <c r="F23">
        <f>HYPERLINK("https://www.amazon.jobs/jobs/3144309/sr-software-engineer-manager?cmpid=DA_INAD200785B", "https://www.amazon.jobs/jobs/3144309/sr-software-engineer-manager?cmpid=DA_INAD200785B")</f>
        <v/>
      </c>
      <c r="G23" t="inlineStr">
        <is>
          <t>New York, NY,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in-3063daef7c32a0cc</t>
        </is>
      </c>
      <c r="B24" t="inlineStr">
        <is>
          <t>Sr. Software Engineer, Manager</t>
        </is>
      </c>
      <c r="C24" t="inlineStr">
        <is>
          <t>Amazon.com</t>
        </is>
      </c>
      <c r="D24" t="inlineStr">
        <is>
          <t>indeed</t>
        </is>
      </c>
      <c r="E24">
        <f>HYPERLINK("https://www.indeed.com/viewjob?jk=3063daef7c32a0cc", "https://www.indeed.com/viewjob?jk=3063daef7c32a0cc")</f>
        <v/>
      </c>
      <c r="F24">
        <f>HYPERLINK("https://www.amazon.jobs/jobs/3144309/sr-software-engineer-manager?cmpid=DA_INAD200785B", "https://www.amazon.jobs/jobs/3144309/sr-software-engineer-manager?cmpid=DA_INAD200785B")</f>
        <v/>
      </c>
      <c r="G24" t="inlineStr">
        <is>
          <t>Irvine,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in-f17a5a23ddef5382</t>
        </is>
      </c>
      <c r="B25" t="inlineStr">
        <is>
          <t>Software Engineer, Monetization ML</t>
        </is>
      </c>
      <c r="C25" t="inlineStr">
        <is>
          <t>Amazon.com</t>
        </is>
      </c>
      <c r="D25" t="inlineStr">
        <is>
          <t>indeed</t>
        </is>
      </c>
      <c r="E25">
        <f>HYPERLINK("https://www.indeed.com/viewjob?jk=f17a5a23ddef5382", "https://www.indeed.com/viewjob?jk=f17a5a23ddef5382")</f>
        <v/>
      </c>
      <c r="F25">
        <f>HYPERLINK("https://www.amazon.jobs/jobs/3113621/software-engineer-monetization-ml?cmpid=DA_INAD200785B", "https://www.amazon.jobs/jobs/3113621/software-engineer-monetization-ml?cmpid=DA_INAD200785B")</f>
        <v/>
      </c>
      <c r="G25" t="inlineStr">
        <is>
          <t>New York, NY, US</t>
        </is>
      </c>
      <c r="H25" s="1" t="n">
        <v>45944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6">
      <c r="A26" t="inlineStr">
        <is>
          <t>in-acfb053f1fb166fa</t>
        </is>
      </c>
      <c r="B26" t="inlineStr">
        <is>
          <t>Software Engineer, Monetization ML</t>
        </is>
      </c>
      <c r="C26" t="inlineStr">
        <is>
          <t>Amazon.com</t>
        </is>
      </c>
      <c r="D26" t="inlineStr">
        <is>
          <t>indeed</t>
        </is>
      </c>
      <c r="E26">
        <f>HYPERLINK("https://www.indeed.com/viewjob?jk=acfb053f1fb166fa", "https://www.indeed.com/viewjob?jk=acfb053f1fb166fa")</f>
        <v/>
      </c>
      <c r="F26">
        <f>HYPERLINK("https://www.amazon.jobs/jobs/3113621/software-engineer-monetization-ml?cmpid=DA_INAD200785B", "https://www.amazon.jobs/jobs/3113621/software-engineer-monetization-ml?cmpid=DA_INAD200785B")</f>
        <v/>
      </c>
      <c r="G26" t="inlineStr">
        <is>
          <t>Seattle, WA, US</t>
        </is>
      </c>
      <c r="H26" s="1" t="n">
        <v>45944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7">
      <c r="A27" t="inlineStr">
        <is>
          <t>in-a986728ea6293a55</t>
        </is>
      </c>
      <c r="B27" t="inlineStr">
        <is>
          <t>Embedded Software Engineer, Annapurna ML Software</t>
        </is>
      </c>
      <c r="C27" t="inlineStr">
        <is>
          <t>Amazon Web Services</t>
        </is>
      </c>
      <c r="D27" t="inlineStr">
        <is>
          <t>indeed</t>
        </is>
      </c>
      <c r="E27">
        <f>HYPERLINK("https://www.indeed.com/viewjob?jk=a986728ea6293a55", "https://www.indeed.com/viewjob?jk=a986728ea6293a55")</f>
        <v/>
      </c>
      <c r="F27">
        <f>HYPERLINK("https://www.amazon.jobs/jobs/3196274/embedded-software-engineer-annapurna-ml-software?cmpid=DA_INAD200785B", "https://www.amazon.jobs/jobs/3196274/embedded-software-engineer-annapurna-ml-software?cmpid=DA_INAD200785B")</f>
        <v/>
      </c>
      <c r="G27" t="inlineStr">
        <is>
          <t>Cupertino, CA, US</t>
        </is>
      </c>
      <c r="H27" s="1" t="n">
        <v>46084</v>
      </c>
      <c r="I2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8">
      <c r="A28" t="inlineStr">
        <is>
          <t>in-4a5c099f2c66c4f7</t>
        </is>
      </c>
      <c r="B28" t="inlineStr">
        <is>
          <t>Embedded Software Engineer, Annapurna ML Software</t>
        </is>
      </c>
      <c r="C28" t="inlineStr">
        <is>
          <t>Amazon Web Services</t>
        </is>
      </c>
      <c r="D28" t="inlineStr">
        <is>
          <t>indeed</t>
        </is>
      </c>
      <c r="E28">
        <f>HYPERLINK("https://www.indeed.com/viewjob?jk=4a5c099f2c66c4f7", "https://www.indeed.com/viewjob?jk=4a5c099f2c66c4f7")</f>
        <v/>
      </c>
      <c r="F28">
        <f>HYPERLINK("https://www.amazon.jobs/jobs/3196274/embedded-software-engineer-annapurna-ml-software?cmpid=DA_INAD200785B", "https://www.amazon.jobs/jobs/3196274/embedded-software-engineer-annapurna-ml-software?cmpid=DA_INAD200785B")</f>
        <v/>
      </c>
      <c r="G28" t="inlineStr">
        <is>
          <t>Austin, TX, US</t>
        </is>
      </c>
      <c r="H28" s="1" t="n">
        <v>46084</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in-bc90d79e2993761f</t>
        </is>
      </c>
      <c r="B29" t="inlineStr">
        <is>
          <t>Sr Embedded Software Engineer, Annapurna ML Software</t>
        </is>
      </c>
      <c r="C29" t="inlineStr">
        <is>
          <t>Amazon Web Services</t>
        </is>
      </c>
      <c r="D29" t="inlineStr">
        <is>
          <t>indeed</t>
        </is>
      </c>
      <c r="E29">
        <f>HYPERLINK("https://www.indeed.com/viewjob?jk=bc90d79e2993761f", "https://www.indeed.com/viewjob?jk=bc90d79e2993761f")</f>
        <v/>
      </c>
      <c r="F29">
        <f>HYPERLINK("https://www.amazon.jobs/jobs/3190880/sr-embedded-software-engineer-annapurna-ml-software?cmpid=DA_INAD200785B", "https://www.amazon.jobs/jobs/3190880/sr-embedded-software-engineer-annapurna-ml-software?cmpid=DA_INAD200785B")</f>
        <v/>
      </c>
      <c r="G29" t="inlineStr">
        <is>
          <t>Austin, TX, US</t>
        </is>
      </c>
      <c r="H29" s="1" t="n">
        <v>46070</v>
      </c>
      <c r="I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0">
      <c r="A30" t="inlineStr">
        <is>
          <t>in-2fa760909088e9b9</t>
        </is>
      </c>
      <c r="B30" t="inlineStr">
        <is>
          <t>Sr Embedded Software Engineer, Annapurna ML Software</t>
        </is>
      </c>
      <c r="C30" t="inlineStr">
        <is>
          <t>Amazon Web Services</t>
        </is>
      </c>
      <c r="D30" t="inlineStr">
        <is>
          <t>indeed</t>
        </is>
      </c>
      <c r="E30">
        <f>HYPERLINK("https://www.indeed.com/viewjob?jk=2fa760909088e9b9", "https://www.indeed.com/viewjob?jk=2fa760909088e9b9")</f>
        <v/>
      </c>
      <c r="F30">
        <f>HYPERLINK("https://www.amazon.jobs/jobs/3190880/sr-embedded-software-engineer-annapurna-ml-software?cmpid=DA_INAD200785B", "https://www.amazon.jobs/jobs/3190880/sr-embedded-software-engineer-annapurna-ml-software?cmpid=DA_INAD200785B")</f>
        <v/>
      </c>
      <c r="G30" t="inlineStr">
        <is>
          <t>Cupertino, CA, US</t>
        </is>
      </c>
      <c r="H30" s="1" t="n">
        <v>46070</v>
      </c>
      <c r="I3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1">
      <c r="A31" t="inlineStr">
        <is>
          <t>in-653b40c1acf2e03b</t>
        </is>
      </c>
      <c r="B31" t="inlineStr">
        <is>
          <t>Software Engineer</t>
        </is>
      </c>
      <c r="C31" t="inlineStr">
        <is>
          <t>Alphanumeric Systems Inc</t>
        </is>
      </c>
      <c r="D31" t="inlineStr">
        <is>
          <t>indeed</t>
        </is>
      </c>
      <c r="E31">
        <f>HYPERLINK("https://www.indeed.com/viewjob?jk=653b40c1acf2e03b", "https://www.indeed.com/viewjob?jk=653b40c1acf2e03b")</f>
        <v/>
      </c>
      <c r="F31">
        <f>HYPERLINK("https://alphanumericsystemsinc.betterteam.com/software-engineer-4?utm_source=indeed&amp;utm_medium=web_xmlfeed&amp;utm_campaign=indeed_organic", "https://alphanumericsystemsinc.betterteam.com/software-engineer-4?utm_source=indeed&amp;utm_medium=web_xmlfeed&amp;utm_campaign=indeed_organic")</f>
        <v/>
      </c>
      <c r="G31" t="inlineStr">
        <is>
          <t>Richmond, VA, US</t>
        </is>
      </c>
      <c r="H31" s="1" t="n">
        <v>46087</v>
      </c>
      <c r="I31" t="inlineStr">
        <is>
          <t>Alphanumeric is hiring a SOFTWARE ENGINEER to work in Richmond, VA with an established stronghold in the financial and insurance industries.  
**Pay Range:** $62 \- $66\.  
We are seeking a hands\-on Web UI Developer / Software Engineer to enhance and support the web application, an Azure\-hosted modernization platform that consolidates Python\-based illustration modules into a secure web application through app service and API layer. The application's data is stored in Azure PostgreSQL and synchronized from upstream sources via Azure Synapse Pipelines and Delta Lake. The engineer will contribute to feature delivery, bug fixes, and steady\-state operations, partnering closely with architecture and security, to deliver releases through GitLab CI/CD.
You will be part of a cross functional squad that designs, builds and supports data workflows and pipelines that power analytics, possible AI and operational insights.  
**Key Responsibilities:*** Develop and enhance the Flask\-based web application that consolidates multiple Python functions/modules into a cohesive web experience.
* Maintain/support the JavaScript layer of the Flask\-based UI, ensuring modular, maintainable code that integrates cleanly with backend APIs
* Build and maintain backend API endpoints used for orchestration of application traffic and business workflows.
* Implement secure database access patterns (parameterized SQL, safe query practices) against Azure PostgreSQL
* Conduct and/or participate in design sessions to gather enhanced/updated requirements and translate them into implementable UI/API stories and technical tasks.
* Maintain and refine current solution design in alignment with evolving business needs and security constraints.
* Support and maintain the containerized Flask application and underlying Python scripts for consistent deployment across environments.
* Support Azure App Service Environment (ASE) deployment patterns and app connectivity to PostgreSQL and storage services as required by the platform architecture.
* Contribute to CI/CD design and implementation using GitLab pipelines, including build, test, security scanning, and automated deployments.
* Partner with DevOps/platform teams on gated promotions across environments and release readiness practices.
* Provide ongoing support to troubleshoot and resolve UI, backend, and cloud\-related issues: triage defects, implement fixes, and deliver incremental enhancements.
* Collaborate on operational readiness: logging/monitoring hooks, smoke tests, and deployment validation in support of reliable releases.
* Own your work: from development through testing and deployment.
* Document requirements, logic, and enhancement details for knowledge sharing and support.
**Preferred skills/Technologies:*** Hands\-on experience with Flask for building web applications and APIs (UI \+ backend orchestration).
* Experience in API design/integration, including request/response modeling, validation, error handling, and integration patterns.
* Experience in JavaScript for Flask based UIs and python scripts.
* Working knowledge of HTML, CSS, and JavaScript for Flask based UIs.
* Experience with modern JS frameworks (React, Angular, Vue).
* Experience deploying and supporting applications on Azure App Service.
* Understanding of application configuration, environment separation, and cloud runtime behavior.
* Hands\-on experience with GitLab CI/CD pipelines, build, test, security gates, deployment, and promotion.
* Ability to work independently, mentor junior engineers, and influence technical decisions.
* Familiarity with Azure Synapse Pipelines and data ingestion patterns (awareness of upstream dependencies).
SJ8333  
**About Alphanumeric Systems Inc.:**  
Alphanumeric is a dynamic company born of a diverse mindset and held to a distinctly high standard. You may know us as a tech and communications firm established in 1979, but we also lead life science and healthcare organizations toward a more efficient future across the globe, bringing patients and providers together to build personalized relationships that fit their needs.But at our core, we are a family with a shared and passionate dedication to our customers. We treat our candidates as amazing (because they are!)Apply today to join our family and Make Your Mark!</t>
        </is>
      </c>
    </row>
    <row r="32">
      <c r="A32" t="inlineStr">
        <is>
          <t>in-a5d034bb5318062f</t>
        </is>
      </c>
      <c r="B32" t="inlineStr">
        <is>
          <t>Senior Software Engineer</t>
        </is>
      </c>
      <c r="C32" t="inlineStr">
        <is>
          <t>Administrative Concepts, Inc</t>
        </is>
      </c>
      <c r="D32" t="inlineStr">
        <is>
          <t>indeed</t>
        </is>
      </c>
      <c r="E32">
        <f>HYPERLINK("https://www.indeed.com/viewjob?jk=a5d034bb5318062f", "https://www.indeed.com/viewjob?jk=a5d034bb5318062f")</f>
        <v/>
      </c>
      <c r="F32">
        <f>HYPERLINK("http://www.indeed.com/job/senior-software-engineer-a5d034bb5318062f", "http://www.indeed.com/job/senior-software-engineer-a5d034bb5318062f")</f>
        <v/>
      </c>
      <c r="G32" t="inlineStr">
        <is>
          <t>Remote, US</t>
        </is>
      </c>
      <c r="H32" s="1" t="n">
        <v>46087</v>
      </c>
      <c r="I32" t="inlineStr">
        <is>
          <t>Are you looking for a career with an established company who values its employees? Administrative Concepts, Inc. (ACI) is a growing company that offers its employees meaningful work and a positive environment. If you’re looking for a rewarding career, not just another job, then come join our team as a Senior Software Engineer!
Founded in 1997, ACI is a nationally licensed, full\-service, Third\-Party Administrator providing enrollment, fulfillment, and claims processing services for various insurance lines in the medical claims industry. This will be a remote based position, and our office is in Collegeville, PA.
**Department**
IT – Product Development
**Reports To**
Chief Technology Officer
**Core Responsibilities**
**Platform Architecture**
* Design and implement stateless microservices using .NET Core
* Replace Legacy stack with new scalable SOA
* Develop APIs supporting claims intake, validation, and adjudication
* Deploy services in Azure
* Build CI/CD pipelines in Azure DevOps
* Implement containerization (Docker/Kubernetes) where appropriate
* Design Service Specific SQL Server schemas and Databases
* Implement indexing strategies for high\-read workloads
**Security \&amp; Compliance**
* Implement HIPAA\-compliant data handling
* Enforce role\-based access control
* Support audit logging and traceability
**Collaboration**
* Work closely with CTO and Product leadership on domain modeling
* Participate in architectural decision\-making
* Mentor junior developers
* Document decisions and design patterns
**Required Technical Skills**
* 5\+ years professional development experience
* C\#, .NET Core / .NET 8\+
* ASP.NET Web API
* SQL
* Entity Framework Core
* Angular, React or Vue experience (Currently MVC focused UI)
* Azure (App Services, Azure SQL, Storage, DevOps pipelines)
* Docker (Kubernetes experience a plus)
* REST API design and OpenAPI documentation
* Experience building and consuming microservices
**Strongly Preferred Experience**
* Healthcare, TPA, or Insurtech systems
* Claims processing systems
* EDI 837 familiarity
* Claims data ingestion
* Refactoring monolith → microservices
* Experience in regulated industries
**Ideal Candidate Profile**
* Thinks in systems, not tickets
* Understands separation of concerns at architecture level
* Writes clean, testable, predictable code
* Can independently drive a platform component from design → production
* Comfortable working directly with CTO on architecture
This is not a junior role. We are looking for someone who can own foundational services.
**Education / Qualifications**
* Bachelor’s degree in Computer Science, Engineering, or equivalent experience
* 5\+ years full\-stack or backend\-heavy experience
* Demonstrated ability to ship production systems
**Why This Role Matters**
This engineer will help build the core platform that replaces our current Claims Adjudication System and becomes the backbone of our next\-generation adjudication engine.
This is infrastructure that will be used for the next decade.
Job Type: Full\-time
Pay: $100,000\.00 \- $130,000\.00 per year
Benefits:
* 401(k)
* 401(k) matching
* Dental insurance
* Employee assistance program
* Flexible schedule
* Flexible spending account
* Health insurance
* Health savings account
* Life insurance
* Paid time off
* Vision insurance
Schedule:
* Monday to Friday
Experience:
* Service\-oriented architecture: 3 years (Required)
Work Location: Remote</t>
        </is>
      </c>
    </row>
    <row r="33">
      <c r="A33" t="inlineStr">
        <is>
          <t>in-a09707f3384d6b44</t>
        </is>
      </c>
      <c r="B33" t="inlineStr">
        <is>
          <t>Senior Web3 Software Engineer</t>
        </is>
      </c>
      <c r="C33" t="inlineStr">
        <is>
          <t>mLabs</t>
        </is>
      </c>
      <c r="D33" t="inlineStr">
        <is>
          <t>indeed</t>
        </is>
      </c>
      <c r="E33">
        <f>HYPERLINK("https://www.indeed.com/viewjob?jk=a09707f3384d6b44", "https://www.indeed.com/viewjob?jk=a09707f3384d6b44")</f>
        <v/>
      </c>
      <c r="F33">
        <f>HYPERLINK("https://apply.workable.com/j/80F4EE93D0", "https://apply.workable.com/j/80F4EE93D0")</f>
        <v/>
      </c>
      <c r="G33" t="inlineStr">
        <is>
          <t>US</t>
        </is>
      </c>
      <c r="H33" s="1" t="n">
        <v>46087</v>
      </c>
      <c r="I33" t="inlineStr">
        <is>
          <t>Senior Web3 Software Engineer**Location:** Europe/US/Latam
**Remote \| Full\-time**
**Compensation:** $170K \- $195K
Our client is a pioneer in the blockchain sector, developing a high\-performance operating system designed to redefine scalability and throughput for Ethereum. By combining parallel transaction execution with advanced state minimization, our client’s platform overcomes traditional protocol limitations to provide a groundbreaking environment for decentralized development.
Since its initial launch in 2019, the organization has remained dedicated to enhancing Ethereum's ecosystem through technical innovation, including the creation of a bespoke virtual machine and a specialized programming language. The team is a globally dispersed group of innovators committed to shaping the future of blockchain technology through secure, decentralized, and high\-throughput solutions.
Our client is seeking a **Senior Web3 Software Engineer** to lead the development of high\-performance decentralized applications (dapps). This individual will own major product surfaces end\-to\-end—from frontend interfaces to on\-chain integrations—collaborating across product, design, and smart contract teams to deliver secure and intuitive experiences for traders and users.
**Key Responsibilities**
* **Dapp Development:** Design, build, and maintain modern, responsive frontend applications integrated with blockchain protocols for core DeFi products and exchanges.
* **Protocol Integration:** Implement integrations with blockchain infrastructure (e.g., EVM chains, custom VMs), wallet extensions (MetaMask, Phantom, WalletConnect), and on\-chain data sources such as subgraphs and indexers.
* **Security \&amp; User Flow:** Execute secure user flows for transactions, multi\-sig approvals, cross\-chain bridging, and account abstraction.
* **Infrastructure Collaboration:** Contribute to API design (REST/GraphQL), RPC optimization, and indexer queries to ensure high\-performance, real\-time data delivery.
* **Technical Leadership:** Establish frontend architecture, design systems, and Web3 best practices, including gas optimization, reentrancy guards, and accessibility.
* **Mentorship \&amp; Code Quality:** Perform rigorous code reviews (including Solidity/Sway), mentor engineering staff, and drive strategic decisions regarding stack interoperability and scalability.
* **UX Optimization:** Translate complex DeFi requirements, such as MEV protection and oracle feeds, into intuitive UI/UX for professional trading interfaces.
* **Roadmap Strategy:** Proactively identify technical debt, propose infrastructure upgrades, and technically shape the product roadmap.
**Interview Process**
* **Hiring Manager Interview:** Initial alignment on experience and role expectations.
* **Technical Interview I:** Assessment of core engineering skills and Web3 proficiency.
* **Technical Interview II:** Deep dive into architecture, security, and specialized DeFi knowledge.
* **Final Interview:** Comprehensive evaluation of leadership qualities and cultural fit.
**Requirements**  
* **Professional Experience:** 5\+ years of software engineering experience, with at least 2 years in a senior or lead capacity specifically building Web3 or blockchain applications.
* **Frontend Expertise:** Deep proficiency in modern frameworks (React, Next.js, or Vue) using TypeScript/JavaScript, alongside Web3 libraries (ethers.js, viem, wagmi).
* **Dapp Specialization:** Strong experience developing complex, data\-intensive dapps that handle real\-time streams, such as order books or AMM curves.
* **On\-Chain Interaction:** Proven ability to manage browser wallet connections and execute on\-chain interactions via providers (Alchemy, Infura) and libraries for reads, writes, and calls.
* **Security Literacy:** A solid grasp of Web3 security principles, including private key management, blind signing risks, and mitigation of sandwich attacks or phishing.
* **Full\-Stack Awareness:** Experience with Node services (Express, FastAPI), off\-chain indexers (The Graph), and event listening mechanisms.
* **Data Management:** Proficiency in REST/GraphQL, data fetching (SWR, TanStack Query), and state management (Zustand, Redux) within volatile market contexts.
**Preferred Qualifications**
* Previous experience at a Centralized (CEX) or Decentralized Exchange (DEX).
* Experience building trading UIs featuring order books, candlestick charts, and PnL calculators.
* Performance tuning for high\-throughput DeFi applications (sub\-ms latency, WebSockets).
* Prior work in fintech or DeFi involving tokenomics or audited protocols.
**Benefits**  
* **High\-Impact Ownership:** The opportunity to lead the development of critical dapps at the intersection of Web2 and Web3\.
* **Full\-System Autonomy:** Freedom to architect complete systems, spanning from UI to smart contracts and off\-chain bots.
* **Expert Collaboration:** Work alongside a globally dispersed team of deep blockchain experts focused on network and DeFi innovation.
* **Innovative Environment:** Access to cutting\-edge tools and a mission\-driven culture dedicated to shaping the future of decentralized finance.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4">
      <c r="A34" t="inlineStr">
        <is>
          <t>in-7d4feedbfaee2c17</t>
        </is>
      </c>
      <c r="B34" t="inlineStr">
        <is>
          <t>Backend Engineer</t>
        </is>
      </c>
      <c r="C34" t="inlineStr">
        <is>
          <t>F45 Carlsbad Village</t>
        </is>
      </c>
      <c r="D34" t="inlineStr">
        <is>
          <t>indeed</t>
        </is>
      </c>
      <c r="E34">
        <f>HYPERLINK("https://www.indeed.com/viewjob?jk=7d4feedbfaee2c17", "https://www.indeed.com/viewjob?jk=7d4feedbfaee2c17")</f>
        <v/>
      </c>
      <c r="F34">
        <f>HYPERLINK("http://www.indeed.com/job/backend-engineer-7d4feedbfaee2c17", "http://www.indeed.com/job/backend-engineer-7d4feedbfaee2c17")</f>
        <v/>
      </c>
      <c r="G34" t="inlineStr">
        <is>
          <t>Carlsbad, CA, US</t>
        </is>
      </c>
      <c r="H34" s="1" t="n">
        <v>46087</v>
      </c>
      <c r="I34" t="inlineStr">
        <is>
          <t>**Overview**
Kaylus is building a next\-generation consumer platform enabling brands to deliver post\-purchase rebates, loyalty rewards, and targeted offers through a mobile application. Our platform is being built to processes millions of potential transactions through OCR receipt ingestion, fraud detection systems, and cloud\-based redemption workflows.
We are seeking a Senior Backend Engineer to design and build the core infrastructure powering the Kaylus ecosystem. This role will focus on backend architecture, data systems, and fraud\-resistant transaction processing built on Google Cloud Platform (GCP).
You will work directly with the CTO and mobile/web engineers to build scalable infrastructure supporting offer redemption, campaign targeting, fraud scoring, and financial reconciliation.
**Key Responsibilities**
Platform Infrastructure
Design and build backend systems powering the Kaylus consumer rewards platform, including:
· Receipt ingestion and processing pipelines
· Offer redemption and validation workflows
· Fraud detection and anomaly scoring systems
· Consumer activity and event ledgers
· Campaign and offer rule engines
Architect scalable cloud infrastructure using GCP services such as BigQuery, Firestore, Cloud Run, and Pub/Sub.
**Data Systems**
Develop and optimize high\-performance data pipelines supporting:
· Consumer activity tracking
· Offer targeting
· Campaign analytics
· Redemption validation
Design database schemas and event models supporting both real\-time operations and downstream analytics.
**Fraud and Trust Infrastructure**
Work with the engineering team to implement systems that detect and prevent fraud, including:
· Receipt validation pipelines
· Anomaly detection signals
· Trust scoring models
· Behavioral fraud indicators
**Collaboration**
Collaborate closely with:
· Mobile engineering (React Native)
· Web platform development
· Data science
· Product leadership
Translate product concepts into scalable backend infrastructure.
**Required Qualifications**
5\+ years backend engineering experience building scalable systems.
Strong experience with:
· Python, Node, or Go
· SQL and NoSQL databases
· Distributed systems or event\-driven architecture
· API development and backend services
Experience with cloud platforms (GCP preferred) including services such as:
· BigQuery
· Firestore
· Pub/Sub
· Cloud Run
Strong ability to design systems from first principles. Comfort working in a startup environment with evolving requirements.
**Preferred Qualifications**
Experience building:
· Fintech platforms
· Ad tech systems
· Loyalty or rewards platforms
· Fraud detection infrastructure
· Experience with machine learning pipelines or anomaly detection systems.
**What We Offer**
Opportunity to build core infrastructure for a new consumer platform at the intersection of:
· Fintech
· Ad tech
· Loyalty
· Consumer data
Early role with high technical ownership and architectural impact.
Startup environment combining product innovation with real\-world scale.
Competitive salary, 401K, health, dental, and vision benefits.
Job Type: Full\-time
Pay: $120,000\.00 \- $135,000\.00 per year
Benefits:
* 401(k)
* 401(k) matching
* Dental insurance
* Flexible schedule
* Health insurance
* Health savings account
* Paid time off
* Parental leave
Application Question(s):
* Do you live in California
Work Location: Hybrid remote in Carlsbad, CA 92008</t>
        </is>
      </c>
    </row>
    <row r="35">
      <c r="A35" t="inlineStr">
        <is>
          <t>in-3ae64f195e517fbc</t>
        </is>
      </c>
      <c r="B35" t="inlineStr">
        <is>
          <t>Staff Software Engineer</t>
        </is>
      </c>
      <c r="C35" t="inlineStr">
        <is>
          <t>Avance Services</t>
        </is>
      </c>
      <c r="D35" t="inlineStr">
        <is>
          <t>indeed</t>
        </is>
      </c>
      <c r="E35">
        <f>HYPERLINK("https://www.indeed.com/viewjob?jk=3ae64f195e517fbc", "https://www.indeed.com/viewjob?jk=3ae64f195e517fbc")</f>
        <v/>
      </c>
      <c r="F35">
        <f>HYPERLINK("http://www.indeed.com/job/staff-software-engineer-3ae64f195e517fbc", "http://www.indeed.com/job/staff-software-engineer-3ae64f195e517fbc")</f>
        <v/>
      </c>
      <c r="G35" t="inlineStr">
        <is>
          <t>New York, NY, US</t>
        </is>
      </c>
      <c r="H35" s="1" t="n">
        <v>46087</v>
      </c>
      <c r="I35" t="inlineStr">
        <is>
          <t>**Description**
We are looking for a Staff Software Engineer to join our early engineering team. The ideal candidate is eager to join an early stage company with strong product\-market fit and excited to build a robust platform capable of powering billions of dollars of payment volume. As an early engineering team member, you will be critical to the development of our clients core platform and help support the business through its hyper growth phase. You will collaborate closely with the CTO and the rest of the team, owning key projects from inception through implementation. Our ideal candidate is someone who is excited by our mission and the opportunity to continually take on more responsibility as the company scales. Responsibilities include owning and shipping core components of our payments platform, designing robust system architectures, contributing to customer\-facing APIs, and maintaining high standards of engineering excellence.
**Requirements**
5\+ years of software engineering experience, experience with Python is a must have.  
Skills
**Required**
PythonDjango (bonus)AWS services (bonus)PostgreSQL (bonus)Redis (bonus)
**Nice to Have**
Prior fintech/payments experienceExperience building, maintaining, and debugging backend systems
**Ideal Candidate**
The ideal candidate is someone with a strong software engineering background, particularly in Python, who thrives in fast\-paced startup environments. They should be eager to take ownership of projects and contribute to the growth of a cutting\-edge payments platform.
Pay: $200,000\.00 \- $225,000\.00 per year
Application Question(s):
* Can you describe a project where you took ownership from start to finish?
* How do you approach learning new technologies?
* What excites you about working in a startup environment?
* This is Direct Hire role only W2 role, Areyou ready for Ready?
Experience:
* Python: 5 years (Required)
* Staff ofEngineer: 5 years (Required)
Work Location: Remote</t>
        </is>
      </c>
    </row>
    <row r="36">
      <c r="A36" t="inlineStr">
        <is>
          <t>in-68a95c729e390835</t>
        </is>
      </c>
      <c r="B36" t="inlineStr">
        <is>
          <t>Principal Software Engineer</t>
        </is>
      </c>
      <c r="C36" t="inlineStr">
        <is>
          <t>SalesWizards</t>
        </is>
      </c>
      <c r="D36" t="inlineStr">
        <is>
          <t>indeed</t>
        </is>
      </c>
      <c r="E36">
        <f>HYPERLINK("https://www.indeed.com/viewjob?jk=68a95c729e390835", "https://www.indeed.com/viewjob?jk=68a95c729e390835")</f>
        <v/>
      </c>
      <c r="F36">
        <f>HYPERLINK("http://www.indeed.com/job/principal-software-engineer-68a95c729e390835", "http://www.indeed.com/job/principal-software-engineer-68a95c729e390835")</f>
        <v/>
      </c>
      <c r="G36" t="inlineStr">
        <is>
          <t>New York, NY, US</t>
        </is>
      </c>
      <c r="H36" s="1" t="n">
        <v>46087</v>
      </c>
      <c r="I36" t="inlineStr">
        <is>
          <t>We’re hiring a hands\-on Principal Java Engineer to help modernize and scale a critical enterprise platform at a leading global bank. This is a senior individual contributor role for someone who enjoys shaping architecture and writing production code — not managing people.
You’ll play a key role in defining technical direction, accelerating delivery, and solving complex engineering problems across distributed, enterprise\-scale systems.
**What You’ll Do**
* Design and evolve architecture for large\-scale, distributed platforms
* Write high\-quality, production code in Java (Spring Boot)\- at least Java 17
* Lead modernization, re\-architecture, scaling, and greenfield initiatives
* Build prototypes and reference implementations that set engineering standards
* Partner with product, platform, and business teams to translate requirements into solutions
* Present architectural designs and influence platform\-wide technical decisions
* Mentor engineers through technical leadership and best practices
**What We’re Looking For**
* 10\+ years of software engineering experience with strong architectural depth
* Expertise in Java, SQL, REST APIs, streaming APIs
* Experience with cloud platforms, microservices, containers, and NoSQL
* Strong understanding of performance, scalability, resiliency, and security
* Experience with enterprise platforms and complex environments
* Clear communicator who can influence across teams
* Exposure to emerging technologies, including GenAI, is a plus
**Why This Role**
* Senior, high\-impact IC role — no people management
* Hands\-on architecture \+ real coding
* Work on complex, mission\-critical systems at scale
Pay: $200,000\.00 \- $400,000\.00 per year
Benefits:
* 401(k)
* 401(k) 10% Match
* AD\&amp;D insurance
* Adoption assistance
* Bereavement leave
* Caregiver leave
* Childcare
* Dental insurance
* Dependent care reimbursement
* Dependent health insurance coverage
* Disability insurance
* Employee assistance program
* Employee mentoring program
* Family leave
* Flexible schedule
* Flexible spending account
* Flextime
* Food provided
* Free fitness classes
* Free health screenings
* Free parking
* Green card sponsorship
* Gym membership
* Happy hour
* Health insurance
* Health savings account
* Housing allowance
* Internet reimbursement
* Language training provided
* Life insurance
* Lunch \&amp; learns
* Military leave
* On\-site gym
* On\-the\-job training
* Paid holidays
* Paid jury duty
* Paid military leave
* Paid parental leave
* Paid sick time
* Paid time off
* Paid training
* Parental leave
* Partner benefits
* Pet insurance
* Prescription drug insurance
* Professional development assistance
* Referral program
* Retirement plan
* Sabbatical
* Snacks provided
* Tuition reimbursement
* Unlimited paid time off
* Visa sponsorship
* Vision insurance
* Volunteer time off
* Wellness program
* Work from home
* Work from home stipend
Work Location: In person</t>
        </is>
      </c>
    </row>
    <row r="37">
      <c r="A37" t="inlineStr">
        <is>
          <t>in-57ca39ac78aaf655</t>
        </is>
      </c>
      <c r="B37" t="inlineStr">
        <is>
          <t>C++ Software engineer</t>
        </is>
      </c>
      <c r="C37" t="inlineStr">
        <is>
          <t>Talan</t>
        </is>
      </c>
      <c r="D37" t="inlineStr">
        <is>
          <t>indeed</t>
        </is>
      </c>
      <c r="E37">
        <f>HYPERLINK("https://www.indeed.com/viewjob?jk=57ca39ac78aaf655", "https://www.indeed.com/viewjob?jk=57ca39ac78aaf655")</f>
        <v/>
      </c>
      <c r="F37">
        <f>HYPERLINK("https://jobs.smartrecruiters.com/Talan/744000113212609-c-software-engineer", "https://jobs.smartrecruiters.com/Talan/744000113212609-c-software-engineer")</f>
        <v/>
      </c>
      <c r="G37" t="inlineStr">
        <is>
          <t>New York, NY, US</t>
        </is>
      </c>
      <c r="H37" s="1" t="n">
        <v>46087</v>
      </c>
      <c r="I37" t="inlineStr">
        <is>
          <t>**Company Description**  
Talan is an international consulting and technology expertise group supporting high regulatory industry such as Corporate and Investment Banking, Hedge Funds, and Energy clients through large\-scale transformation programs driven by data, technology, and innovation.
In North America, Talan delivering high\-value expertise across front\-office, risk, finance, regulatory, and technology domains.
With over 20 years of experience, a presence across five continents and 21 countries, and Great Place to Work® certification, the Group is on track to reach 8,000 employees worldwide, including 600 in North America.
 **Job Description** *Location: NYC (Hybrid – at least 3 days onsite/week)*
*Visa Sponsorship: We offer sponsorship under specific treaty\-based U.S. work visas, including TN and E\-2 (for eligible Canadian, Mexican, and French citizens). We do not support or transfer other visa types (e.g., H\-1B).*
We are looking for a **Senior C\+\+ Developer** to join a Front Office technology team supporting a trading and quantitative environment.
The role focuses on the development and optimization of components used for pricing models, risk calculations, and analytics, with an emphasis on performance improvements and GPU\-based acceleration. You will work closely with quantitative and technology teams to enhance system performance and stability.
Experience with Murex or similar trading platforms is a plus but not required.
**Key Responsibilities**
* Perform C\+\+ development
* Increase delivery capacity within the existing setup
* Contribute to system improvements, performance optimization, and platform stability
* Ensure continuity of the platform
* Contribute to ongoing development and maintenance efforts
* Maintain and enhance existing functionalities
* Deliver marginal functional extensions
* Participate in testing, releases, and upgrade cycles
* Ensure alignment with established processes and technical constraints
* Work effectively within a complex and sometimes temperamental platform
\#LI\-ASD
 **Qualifications**  
* Bachelor degree in Computer science, Engineering, Finance or Quantitative finance
* 5\+ years of strong C\+\+ development experience
* Strong understanding of object\-oriented programming
* Experience integrating quantitative or pricing libraries into trading or risk platforms
* Experience with GPU programming or hardware acceleration (CUDA, GPU computing, or similar technologies)
* Ability to collaborate with Quant teams and translate quantitative concepts into robust C\+\+ implementations
* Strong debugging skills in Linux / Unix environments
* Experience supporting UAT and production environments
**Nice to Have**
* Experience working with trading systems or financial platforms
* Murex Flex exposure is a plus
* Knowledge of Equity Derivatives
* Understanding of pricing models, Greeks, sensitivities, and risk calculations
* Exposure to Python for tooling or collaboration with Quant teams
**Company’s Benefits**
At Talan, we invest in our employees' well\-being and empower them with benefits, including:
* Competitive salary between USD $110,000 \- USD $160,000
* 401(k) retirement plan with company matching
* 15 days of paid vacation per year at hire and up to 27 according to seniority (annual untaken vacation days are cashed out)
* 8 paid holidays \+ 5 sick days \+ 2 personal days per year
* ❤️‍Company health, dental, and vision insurance plans \+ FSA
* Voluntary STD and LTD
* Commuter/transit benefits
All your information will be kept confidential according to EEO guidelines.</t>
        </is>
      </c>
    </row>
    <row r="38">
      <c r="A38" t="inlineStr">
        <is>
          <t>in-931daa2509e88e14</t>
        </is>
      </c>
      <c r="B38" t="inlineStr">
        <is>
          <t>Software Engineer II</t>
        </is>
      </c>
      <c r="C38" t="inlineStr">
        <is>
          <t>TransCore</t>
        </is>
      </c>
      <c r="D38" t="inlineStr">
        <is>
          <t>indeed</t>
        </is>
      </c>
      <c r="E38">
        <f>HYPERLINK("https://www.indeed.com/viewjob?jk=931daa2509e88e14", "https://www.indeed.com/viewjob?jk=931daa2509e88e14")</f>
        <v/>
      </c>
      <c r="F38">
        <f>HYPERLINK("https://recruiting2.ultipro.com/TRA1034TNSC/JobBoard/0885e26f-46c3-45cc-8f3a-b849c09d3bdd/OpportunityDetail?opportunityId=e9d7a1ee-65bf-47ec-9319-4698f63a93f2&amp;postingId=e81f9f04-b41d-43bb-97d6-600a9a9d0a9e", "https://recruiting2.ultipro.com/TRA1034TNSC/JobBoard/0885e26f-46c3-45cc-8f3a-b849c09d3bdd/OpportunityDetail?opportunityId=e9d7a1ee-65bf-47ec-9319-4698f63a93f2&amp;postingId=e81f9f04-b41d-43bb-97d6-600a9a9d0a9e")</f>
        <v/>
      </c>
      <c r="G38" t="inlineStr">
        <is>
          <t>Round Rock, TX, US</t>
        </is>
      </c>
      <c r="H38" s="1" t="n">
        <v>46087</v>
      </c>
      <c r="I38" t="inlineStr">
        <is>
          <t>**TransCore (TRN), a subsidiary of ST Engineering, is seeking a talented Software Engineer II to join our Software Development team in Round Rock, Texas.**
**Summary**: The Software Engineer II will participate in software development team responsibilities focusing on .net projects with an exciting level of risk, complexity and visibility. As a member of a small and focused Solutions Development Team, you may be required to perform various duties within the software development lifecycle – analysis, designer, developer and unit tester. This is a unique opportunity to work in all areas of the software development lifecycle and have view and participation in the entire process. We are building a team of energetic, self\-motivated and passionate developers who strive to be the absolute best and enjoy working with other team members towards a common goal. Our company has an entrepreneurial spirit and welcomes individuals with a can\-do attitude, the drive to succeed, and the desire to make an impact within our company.
**Essential Duties and Responsibilities**  
Include the following. Other duties may be assigned.
* Design, develop, test, and enhance software systems that perform critical, real\-time processing of data collected from toll collection equipment, executing business logic and decision\-making based on incoming data.
* Build and maintain robust, scalable, multi\-threaded services and applications using C\#, modern .NET frameworks, and various APIs.
* Participate in daily Scrum meetings, provide updates on task progress and collaborate closely with the team to ensure timely delivery of sprint goals.
* Contribute to design discussions for new toll system features and performance improvements to existing functionality.
* Assist in system installations and provide post deployment support for customer reported issues
* Assist in trouble shooting customer reported bugs and update the program code base for bug resolutions
* Provide experience\-based timelines and estimates for delivering high\-quality products based on requirements and specifications.
* Demonstrate hands\-on experience building and deploying containerized applications, contributing to modernized and portable deployment workflows.
* Document program code thoroughly and assist in preparing or updating user manuals and technical guides.
**Requirements and Qualifications**  
To perform this job successfully, an individual must be able to perform each essential duty satisfactorily. The requirements listed below represent the knowledge, skill, and/or ability required.
* Bachelor’s degree in computer science or a related Engineering field required, or equivalent experience.
* 3\+ years professional software development experience building multi\-threaded applications in C\# using.NET Core (now .NET), primarily on Linux based systems
* Strong foundation in Object\-Oriented Architecture (OOA) and Service\-Oriented Architecture (SOA) principles, with the ability to design modular, maintainable, and scalable systems.
* Proven ability to design and implement scalable, secure and high\-performance APIs.
* Experience with database development using Microsoft SQL Server and MySQL.
* Working knowledge of message queues and asynchronous/event\-driven communication patterns. Practical experience developing, packaging, and deploying applications using Docker or similar containerization technologies.
* Demonstrated passion for software design, problem solving, and hands\-on development, with a commitment to delivering high\-quality, maintainable software solutions.
* Advanced experience developing applications using .NET Core (now .NET), and modern .NET technologies.
* Experience working in web and desktop/application environments is beneficial for understanding end\-to\-end system behavior, though primary responsibilities focus on backend services running in Linux\-based production environment understanding end\-to\-end system behavior, though primary responsibilities focus on backend services and APIs.
* Ability to build, deploy, and troubleshoot applications running in Linux\-based production environments.
* Hands\-on experience implementing CI/CD pipelines using tools such as GitHub Actions, Azure DevOps, Jenkins, or GitLab CI.
* Strong commitment to unit testing, code quality, and delivering maintainable, high‑reliability software.
* Excellent analytical and problem‑solving skills, especially in diagnosing technical challenges.
**Physical Demands/Work Environment**  
While performing the duties of this job, the employee is regularly required to talk or hear. The employee is frequently required to sit. The employee is occasionally required to stand, walk; use hands to finger, handle, or feel and reach with hands and arms. The employee must occasionally lift and/or move up to 10 pounds. While performing the duties of this job, the employee is occasionally exposed to fumes or airborne particles; outside weather conditions and moving traffic. The noise level in the work environment is usually moderate.
* TransCore complies with federal and state disability laws and provides reasonable accommodation for employees with disabilities.</t>
        </is>
      </c>
    </row>
    <row r="39">
      <c r="A39" t="inlineStr">
        <is>
          <t>in-4005f889b43a0b15</t>
        </is>
      </c>
      <c r="B39" t="inlineStr">
        <is>
          <t>Principal Software Engineer</t>
        </is>
      </c>
      <c r="C39" t="inlineStr">
        <is>
          <t>Versant</t>
        </is>
      </c>
      <c r="D39" t="inlineStr">
        <is>
          <t>indeed</t>
        </is>
      </c>
      <c r="E39">
        <f>HYPERLINK("https://www.indeed.com/viewjob?jk=4005f889b43a0b15", "https://www.indeed.com/viewjob?jk=4005f889b43a0b15")</f>
        <v/>
      </c>
      <c r="F39">
        <f>HYPERLINK("https://jobs.smartrecruiters.com/Versant3/744000113207496-principal-software-engineer", "https://jobs.smartrecruiters.com/Versant3/744000113207496-principal-software-engineer")</f>
        <v/>
      </c>
      <c r="G39" t="inlineStr">
        <is>
          <t>Orlando, FL, US</t>
        </is>
      </c>
      <c r="H39" s="1" t="n">
        <v>46087</v>
      </c>
      <c r="I39"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Versant Media’s Data Platforms team is the central hub for metadata and core data services across O\&amp;T. We unify disparate systems into a secure, well\-governed, real\-time data environment that powers downstream products, analytics, and content delivery experiences.
We are seeking a Principal Software Engineer to play a pivotal role in shaping the architecture, design patterns, and engineering standards of our modern data platform. This is a hands\-on, highly technical individual contributor role focused on building scalable backend and data\-driven services using modern engineering practices.
This role is ideal for an engineer who thrives at the intersection of software engineering excellence and data platform design, and who enjoys setting direction while remaining deeply hands\-on.
**Responsbilities**
* Design, build, and evolve backend services and data platform components using Node.js and TypeScript
* Define and implement modular, service\-oriented architectures that support scalable data ingestion, transformation, and access patterns
* Partner with data engineering, platform, and governance stakeholders to enable:
	+ Lakehouse\-style architectures
	+ ELT pipelines
	+ Metadata management, lineage, and governance capabilities
* Establish and evangelize engineering best practices, including:
	+ Object\-oriented design and proven design patterns
	+ Test\-driven development (TDD) and strong automated test coverage
	+ Secure development lifecycle (SDL) principles
* Build and maintain CI/CD pipelines that support safe, repeatable, and observable deployments
* Evaluate and integrate modern data storage and processing technologies where appropriate
* Act as a technical leader and collaborator:
	+ Contribute to architectural decisions
	+ Review designs and code
	+ Mentor other engineers through influence, not authority
* Work effectively in a matrixed enterprise environment with both legacy systems and modern platforms
**Qualifications**  
* Deep proficiency with Node.js and TypeScript in production environments
* Strong foundation in software engineering fundamentals, including:
	+ Object\-oriented programming
	+ Design patterns API and service design
* Solid understanding of data engineering concepts, including:
	+ Lakehouse architectures
	+ ELT pipelines
* Data governance, metadata, and lineage
	+ Experience building modular or microservice\-based systems
* Strong commitment to TDD, automated testing, and code quality
* Hands\-on experience with CI/CD pipelines and modern DevOps practices
* Familiarity with secure development lifecycle (SDL) concepts
* Self\-directed, proactive, and comfortable operating with a high degree of ownership
* Strong collaborator who communicates effectively across engineering and non\-engineering partners
**Nice to Have**
* Exposure to ML platforms or services (e.g., Databricks, AWS Bedrock)
* Familiarity with analytics and BI tools (Tableau, Power BI, or similar)
* Experience working in media, streaming, or large\-scale enterprise environments
* Prior experience modernizing or integrating legacy systems within a cloud\-native architecture
**Additional Requirements:**
* **Fully Remote:** This position has been designated as fully remote, meaning that the position is expected to contribute from a non\-Versant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We are accepting applications for this position on an ongoing basis.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40">
      <c r="A40" t="inlineStr">
        <is>
          <t>in-1754dc6fb4be6e92</t>
        </is>
      </c>
      <c r="B40" t="inlineStr">
        <is>
          <t>Entry-Level Software Engineer</t>
        </is>
      </c>
      <c r="C40" t="inlineStr"/>
      <c r="D40" t="inlineStr">
        <is>
          <t>indeed</t>
        </is>
      </c>
      <c r="E40">
        <f>HYPERLINK("https://www.indeed.com/viewjob?jk=1754dc6fb4be6e92", "https://www.indeed.com/viewjob?jk=1754dc6fb4be6e92")</f>
        <v/>
      </c>
      <c r="F40">
        <f>HYPERLINK("https://techoauth-solutions-llc.careerplug.com/j/02wr4hs", "https://techoauth-solutions-llc.careerplug.com/j/02wr4hs")</f>
        <v/>
      </c>
      <c r="G40" t="inlineStr">
        <is>
          <t>US</t>
        </is>
      </c>
      <c r="H40" s="1" t="n">
        <v>46087</v>
      </c>
      <c r="I40" t="inlineStr">
        <is>
          <t>**Benefits:**
* Bonus based on performance
**About the job**  
**Job Title: Entry\-Level Software Engineer \- Entry Level \- exp \- (0\-3 year)**
**Location \- United States**
**Job type \- Fulltime/W2**  
**Job Summary**
We are seeking a motivated and detail\-oriented Entry\-Level Software Engineer to join our development team. In this role, you will assist in designing, developing, testing, and maintaining software applications under the guidance of senior engineers. This position is ideal for recent graduates or early\-career professionals eager to build hands\-on experience in software development.
**Key Responsibilities**
* Write clean, maintainable, and efficient code under supervision
* Assist in developing new features and enhancing existing applications
* Participate in code reviews and team meetings
* Excellent problem\- solving and debugging skills
* Debug and troubleshoot software issues
* Create and execute unit and integration tests
* Collaborate with cross\-functional teams (QA, Product, DevOps)
* Maintain technical documentation
* Follow best practices in software development and version control
**Required Qualifications**
* Masters' degree in Computer Science, Software Engineering, or related field (or equivalent experience)
* Programming skills in Python , JavaScript, Bash , C/C\+\+, Go/ Golang , git, and Linux.
* Understanding of data structures and algorithms
* Familiarity with object\-oriented programming concepts
* Basic knowledge of databases (SQL or NoSQL)
* Strong problem\-solving and analytical skills
* Good written and verbal communication skills
* Must be 100% open to relocation for project assignments across the US.
**Preferred Qualifications**
* Internship or academic project experience in software development
* Familiarity with version control systems like Git
* Exposure to development frameworks (e.g., Spring Boot, .NET, React)
* Basic understanding of the Software Development Life Cycle (SDLC)
* Knowledge of Agile methodologies
This is a remote position.</t>
        </is>
      </c>
    </row>
    <row r="41">
      <c r="A41" t="inlineStr">
        <is>
          <t>in-a67ee6e41f0da8e7</t>
        </is>
      </c>
      <c r="B41" t="inlineStr">
        <is>
          <t>Senior Software Engineer</t>
        </is>
      </c>
      <c r="C41" t="inlineStr">
        <is>
          <t>ServiceNow</t>
        </is>
      </c>
      <c r="D41" t="inlineStr">
        <is>
          <t>indeed</t>
        </is>
      </c>
      <c r="E41">
        <f>HYPERLINK("https://www.indeed.com/viewjob?jk=a67ee6e41f0da8e7", "https://www.indeed.com/viewjob?jk=a67ee6e41f0da8e7")</f>
        <v/>
      </c>
      <c r="F41">
        <f>HYPERLINK("https://jobs.smartrecruiters.com/ServiceNow/744000113224290-senior-software-engineer", "https://jobs.smartrecruiters.com/ServiceNow/744000113224290-senior-software-engineer")</f>
        <v/>
      </c>
      <c r="G41" t="inlineStr">
        <is>
          <t>San Diego, CA, US</t>
        </is>
      </c>
      <c r="H41" s="1" t="n">
        <v>46087</v>
      </c>
      <c r="I4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engineering organization is a dynamic group of builders, thinkers, and problem\-solvers dedicated to delivering scalable, AI\-powered software products that elevate how organizations work. We value clean architecture, intuitive user experiences, and a culture of continuous improvement. Every engineer here plays a key role in shaping the quality and reliability of our products.
The ITSM organization builds intelligent, scalable, data‑driven services that strengthen ServiceNow’s platform capabilities and power next‑generation workflow experiences across the Now Platform. This team develops and scales GenAI‑powered capabilities—including agentic AI, automation, operational intelligence, routing, clustering, evaluation frameworks, and governance systems—to deliver trustworthy, high‑performance enterprise solutions. Operating at the intersection of platform engineering, product execution, and customer transformation, the team not only architects distributed, highly available services but also partners directly with customers to drive adoption and measurable value.
A Senior Software Engineer (IC3\) in this group will influence platform‑level architecture, design resilient distributed systems, champion engineering excellence, mentor talent, and help evolve ServiceNow’s AI and analytics ecosystem into a cohesive platform that enables enterprise‑grade intelligence and execution.
**What you get to do in this role:**
* Design and develop scalable, maintainable, and reusable software components with a strong emphasis on performance and reliability.
* Drive the architecture and implementation of GenAI\-driven features across our products.
* Design and build scalable and reusable platform services that leverage LLMs to power user experiences.
* Collaborate cross\-functionally with product, research, and platform teams to translate business goals into GenAI solutions.
* Define best practices for prompt engineering, fine\-tuning, and evaluating LLM performance across different use cases.
* Serve as a thought leader in Generative AI adoption, guiding teams through design patterns, performance trade\-offs, and ethical AI considerations.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 Build integrations with third\-party applications using their cutting\-edge frameworks.
 **Qualifications** **To be successful in this role you have:**
* Experience in leveraging critical thinking about how to integrate AI into work processes, decision\-making, or problem\-solving. This may include using AI\-powered tools, automating workflows, analyzing AI\-driven insights, or exploring AI’s potential impact on the function or industry.
* Typically requires a minimum of 4 years of related experience with a Bachelor's degree; or 2 years and a Master's degree; or a PhD with 1 years experience; or equivalent experience.
* Proficiency in Java or similar object\-oriented languages.
* Hands\-on experience with GenAI technologies, including working with LLMs (e.g., OpenAI, Anthropic, Gemini, Mistral, etc.)
* Strong understanding of prompt engineering techniques and experience in prompt tuning, retrieval\-augmented generation (RAG), or fine\-tuning LLMs for domain\-specific applications.
* Ability to critically evaluate and integrate GenAI into workflows, decision\-making, and customer\-facing capabilities.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Nice\-to\-have:
* ServiceNow platform knowledge
FD21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2">
      <c r="A42" t="inlineStr">
        <is>
          <t>in-a42b22daadd61db1</t>
        </is>
      </c>
      <c r="B42" t="inlineStr">
        <is>
          <t>Senior Software Engineer</t>
        </is>
      </c>
      <c r="C42" t="inlineStr">
        <is>
          <t>Arivo Acceptance</t>
        </is>
      </c>
      <c r="D42" t="inlineStr">
        <is>
          <t>indeed</t>
        </is>
      </c>
      <c r="E42">
        <f>HYPERLINK("https://www.indeed.com/viewjob?jk=a42b22daadd61db1", "https://www.indeed.com/viewjob?jk=a42b22daadd61db1")</f>
        <v/>
      </c>
      <c r="F42">
        <f>HYPERLINK("http://www.indeed.com/job/senior-software-engineer-a42b22daadd61db1", "http://www.indeed.com/job/senior-software-engineer-a42b22daadd61db1")</f>
        <v/>
      </c>
      <c r="G42" t="inlineStr">
        <is>
          <t>Salt Lake City, UT, US</t>
        </is>
      </c>
      <c r="H42" s="1" t="n">
        <v>46087</v>
      </c>
      <c r="I42" t="inlineStr">
        <is>
          <t>**J**Description
**TITLE: Senior Software Engineer** 
**REPORTS TO: Software Engineering Manager**
**THE KEY COMPETENCIES FOR THIS ROLE INCLUDE:** 
* **Technical**
* **Writing high quality, testable, maintainable, and observable code**
* **Providing constructive feedback**
* **Designing and testing distributed software platforms**
* **Communication \&amp; Interpersonal Skills**
* **Working and communicating well with other team members and engineers**
* **Conflict resolution**
* **We want people who will tell us how to do it better, but not be a jerk about it**
**DUTIES AND RESPONSIBILITIES:** 
* **Write high quality, tested, and monitorable GoLang for a distributed architecture**
* **Work closely with third party vendors and users to develop a resilient system**
* **Provide code reviews and feedback for other engineers**
* **Enforce and contribute to code standards and other best practices**
* **Contribute to architectural design and planning**
* **Participate in scrum ceremonies and project planning**
* **Mentor others and provide formal and informal training to other engineers**
**QUALIFICATIONS**
**To perform this job successfully, an individual must be able to perform each essential duty satisfactorily. The requirements listed here are representative of the knowledge, skill, and/or ability required. Reasonable accommodations may be made to enable individuals with disabilities to perform the essential functions. Applicants must be 18 years or older and be authorized to work in the U.S., have a valid driver license and professional appearance.**
* **BS degree in a related technical discipline, or the equivalent combination of education, technical certifications, training and/or work experience.**
* **5\+ years of software development experience**
* **Ability to assume on\-call responsibilities on rare occasions**
* **Experience with GoLang and MySQL preferred**
* **Experience with Javascript/Typescript and front end frameworks(especially VueJS) is a plus**
**All employees must adhere to the below Company Values:**
* **Ideas over hierarchy: It doesn’t matter if an intern suggested the idea, we’ll use it if it’s the best**
* **Customer Advocacy: We are always looking to improve our customer’s experience**
* **Transparency \&amp; Alignment: Be open about your objectives, and bring others on board**
* **Value Each Other: Treat others with respect and recognize the value they bring to the company**
* **Community Commitment: We provide service opportunities and seek to be good citizens**
* **Continuous Learning: Sharpen your skills and bring that back to us**
* **Challenge Mediocrity: Help us improve by point out where things can be done better**
**WORK ENVIRONMENT:**
* **Helping good people build better credit through automotive loans**
* **Management believes in individual empowerment, flexibility, and personal development**
* **This is a high impact role, you will have significant amount of say in the assigned project**
* **Remote work is allowed every Wednesday and Friday. Remote is allowed occasionally for special circumstances**
* **Our offices are relatively open encouraging a collaborative effort but individual work spaces are provided with locking drawers**
* **The building is secured as the information being handled is sensitive and confidential**
* **We have an in office cafe, ping pong tables, foosball, and WIIs to facilitate team building and camaraderie**
* **Ambient noise will consist of phone calls, discussions, and other office\-related work, but the overall noise level is not excessive**
* **Dress is relatively casual but employees are expected to dress and act in a professional manner**
**NOTE:**
**This is not necessarily an exhaustive list of responsibilities, skills, duties, requirements, efforts or working conditions associated with this job. While this list is intended to be an accurate reflection of the current job, the Company reserves the right to revise the functions and duties of the job and to require that additional or different tasks be performed as circumstances dictate.**
**I have carefully read and understand the contents of this Job Description. I understand the responsibilities, requirements and duties expected of me. I also understand that this Job Description does not constitute a contract of employment nor alter my status as an at\-will employee. I have the right to terminate my employment at any time and for any reason, and the Company has the same right.**
Job Type: Full\-time
Pay: $117,000\.00 \- $140,000\.00 per year
Benefits:
* 401(k) matching
* AD\&amp;D insurance
* Bereavement leave
* Dental insurance
* Dependent health insurance coverage
* Disability insurance
* Employee assistance program
* Flexible spending account
* Health insurance
* Health savings account
* Life insurance
* Paid holidays
* Paid time off
* Parental leave
* Prescription drug insurance
* Retirement plan
* Vision insurance
Application Question(s):
* Do you now or will you in the future require employment\-based visa sponsorship
Location:
* Salt Lake City, UT 84118 (Required)
Work Location: In person</t>
        </is>
      </c>
    </row>
    <row r="43">
      <c r="A43" t="inlineStr">
        <is>
          <t>in-8ab95f4a0c794750</t>
        </is>
      </c>
      <c r="B43" t="inlineStr">
        <is>
          <t>Senior Software Engineer</t>
        </is>
      </c>
      <c r="C43" t="inlineStr">
        <is>
          <t>ServiceNow</t>
        </is>
      </c>
      <c r="D43" t="inlineStr">
        <is>
          <t>indeed</t>
        </is>
      </c>
      <c r="E43">
        <f>HYPERLINK("https://www.indeed.com/viewjob?jk=8ab95f4a0c794750", "https://www.indeed.com/viewjob?jk=8ab95f4a0c794750")</f>
        <v/>
      </c>
      <c r="F43">
        <f>HYPERLINK("https://jobs.smartrecruiters.com/ServiceNow/744000113222888-senior-software-engineer", "https://jobs.smartrecruiters.com/ServiceNow/744000113222888-senior-software-engineer")</f>
        <v/>
      </c>
      <c r="G43" t="inlineStr">
        <is>
          <t>Santa Clara, CA, US</t>
        </is>
      </c>
      <c r="H43" s="1" t="n">
        <v>46087</v>
      </c>
      <c r="I4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engineering organization is a dynamic group of builders, thinkers, and problem\-solvers dedicated to delivering scalable, AI\-powered software products that elevate how organizations work. We value clean architecture, intuitive user experiences, and a culture of continuous improvement. Every engineer here plays a key role in shaping the quality and reliability of our products.
The ITSM organization builds intelligent, scalable, data‑driven services that strengthen ServiceNow’s platform capabilities and power next‑generation workflow experiences across the Now Platform. This team develops and scales GenAI‑powered capabilities—including agentic AI, automation, operational intelligence, routing, clustering, evaluation frameworks, and governance systems—to deliver trustworthy, high‑performance enterprise solutions. Operating at the intersection of platform engineering, product execution, and customer transformation, the team not only architects distributed, highly available services but also partners directly with customers to drive adoption and measurable value.
A Senior Software Engineer (IC3\) in this group will influence platform‑level architecture, design resilient distributed systems, champion engineering excellence, mentor talent, and help evolve ServiceNow’s AI and analytics ecosystem into a cohesive platform that enables enterprise‑grade intelligence and execution.
 **What you get to do in this role:**
* Design and develop scalable, maintainable, and reusable software components with a strong emphasis on performance and reliability.
* Drive the architecture and implementation of GenAI\-driven features across our products.
* Design and build scalable and reusable platform services that leverage LLMs to power user experiences.
* Collaborate cross\-functionally with product, research, and platform teams to translate business goals into GenAI solutions.
* Define best practices for prompt engineering, fine\-tuning, and evaluating LLM performance across different use cases.
* Serve as a thought leader in Generative AI adoption, guiding teams through design patterns, performance trade\-offs, and ethical AI considerations.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 Build integrations with third\-party applications using their cutting\-edge frameworks.
 **Qualifications** **To be successful in this role you have:**
* Experience in leveraging critical thinking about how to integrate AI into work processes, decision\-making, or problem\-solving. This may include using AI\-powered tools, automating workflows, analyzing AI\-driven insights, or exploring AI’s potential impact on the function or industry.
* Typically requires a minimum of 5 years of related experience with a Bachelor's degree; or 4 years and a Master's degree; or a PhD with 1 years experience; or equivalent experience.
* Proficiency in Java or similar object\-oriented languages.
* Hands\-on experience with GenAI technologies, including working with LLMs (e.g., OpenAI, Anthropic, Gemini, Mistral, etc.)
* Strong understanding of prompt engineering techniques and experience in prompt tuning, retrieval\-augmented generation (RAG), or fine\-tuning LLMs for domain\-specific applications.
* Ability to critically evaluate and integrate GenAI into workflows, decision\-making, and customer\-facing capabilities.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Nice\-to\-have:
* ServiceNow platform knowledge
FD21
For positions in this location, we offer a base pay of $143,200 \- $243,400,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4">
      <c r="A44" t="inlineStr">
        <is>
          <t>in-b117bfd993ecd98d</t>
        </is>
      </c>
      <c r="B44" t="inlineStr">
        <is>
          <t>Senior Software Engineer</t>
        </is>
      </c>
      <c r="C44" t="inlineStr">
        <is>
          <t>ServiceNow</t>
        </is>
      </c>
      <c r="D44" t="inlineStr">
        <is>
          <t>indeed</t>
        </is>
      </c>
      <c r="E44">
        <f>HYPERLINK("https://www.indeed.com/viewjob?jk=b117bfd993ecd98d", "https://www.indeed.com/viewjob?jk=b117bfd993ecd98d")</f>
        <v/>
      </c>
      <c r="F44">
        <f>HYPERLINK("https://jobs.smartrecruiters.com/ServiceNow/744000113224256-senior-software-engineer", "https://jobs.smartrecruiters.com/ServiceNow/744000113224256-senior-software-engineer")</f>
        <v/>
      </c>
      <c r="G44" t="inlineStr">
        <is>
          <t>San Diego, CA, US</t>
        </is>
      </c>
      <c r="H44" s="1" t="n">
        <v>46087</v>
      </c>
      <c r="I4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engineering organization is a dynamic group of builders, thinkers, and problem\-solvers dedicated to delivering scalable, AI\-powered software products that elevate how organizations work. We value clean architecture, intuitive user experiences, and a culture of continuous improvement. Every engineer here plays a key role in shaping the quality and reliability of our products.
The ITSM organization builds intelligent, scalable, data‑driven services that strengthen ServiceNow’s platform capabilities and power next‑generation workflow experiences across the Now Platform. This team develops and scales GenAI‑powered capabilities—including agentic AI, automation, operational intelligence, routing, clustering, evaluation frameworks, and governance systems—to deliver trustworthy, high‑performance enterprise solutions. Operating at the intersection of platform engineering, product execution, and customer transformation, the team not only architects distributed, highly available services but also partners directly with customers to drive adoption and measurable value.
A Senior Software Engineer (IC3\) in this group will influence platform‑level architecture, design resilient distributed systems, champion engineering excellence, mentor talent, and help evolve ServiceNow’s AI and analytics ecosystem into a cohesive platform that enables enterprise‑grade intelligence and execution.
**What you get to do in this role:**
* Design and develop scalable, maintainable, and reusable software components with a strong emphasis on performance and reliability.
* Drive the architecture and implementation of GenAI\-driven features across our products.
* Design and build scalable and reusable platform services that leverage LLMs to power user experiences.
* Collaborate cross\-functionally with product, research, and platform teams to translate business goals into GenAI solutions.
* Define best practices for prompt engineering, fine\-tuning, and evaluating LLM performance across different use cases.
* Serve as a thought leader in Generative AI adoption, guiding teams through design patterns, performance trade\-offs, and ethical AI considerations.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 Build integrations with third\-party applications using their cutting\-edge frameworks.
 **Qualifications** **To be successful in this role you have:**
* Experience in leveraging critical thinking about how to integrate AI into work processes, decision\-making, or problem\-solving. This may include using AI\-powered tools, automating workflows, analyzing AI\-driven insights, or exploring AI’s potential impact on the function or industry.
* Typically requires a minimum of 5 years of related experience with a Bachelor's degree; or 4 years and a Master's degree; or a PhD with 1 years experience; or equivalent experience.
* Proficiency in Java or similar object\-oriented languages.
* Hands\-on experience with GenAI technologies, including working with LLMs (e.g., OpenAI, Anthropic, Gemini, Mistral, etc.)
* Strong understanding of prompt engineering techniques and experience in prompt tuning, retrieval\-augmented generation (RAG), or fine\-tuning LLMs for domain\-specific applications.
* Ability to critically evaluate and integrate GenAI into workflows, decision\-making, and customer\-facing capabilities.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Nice\-to\-have:
* ServiceNow platform knowledge
FD21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5">
      <c r="A45" t="inlineStr">
        <is>
          <t>in-a3aefb1c50d9cf74</t>
        </is>
      </c>
      <c r="B45" t="inlineStr">
        <is>
          <t>Embedded Software Engineer</t>
        </is>
      </c>
      <c r="C45" t="inlineStr">
        <is>
          <t>Moog, Inc</t>
        </is>
      </c>
      <c r="D45" t="inlineStr">
        <is>
          <t>indeed</t>
        </is>
      </c>
      <c r="E45">
        <f>HYPERLINK("https://www.indeed.com/viewjob?jk=a3aefb1c50d9cf74", "https://www.indeed.com/viewjob?jk=a3aefb1c50d9cf74")</f>
        <v/>
      </c>
      <c r="F45">
        <f>HYPERLINK("https://moog.wd5.myworkdayjobs.com/en-US/MOOG_External_Career_Site/job/Torrance-CA/Software-Engineer_R-26-16578", "https://moog.wd5.myworkdayjobs.com/en-US/MOOG_External_Career_Site/job/Torrance-CA/Software-Engineer_R-26-16578")</f>
        <v/>
      </c>
      <c r="G45" t="inlineStr">
        <is>
          <t>Torrance, CA, US</t>
        </is>
      </c>
      <c r="H45" s="1" t="n">
        <v>46086</v>
      </c>
      <c r="I45"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Embedded Software Engineer
Reporting To:
Manager, Engineering
Work Schedule:
Hybrid – Torrance, CA
Moog’s Military Aircraft Group is a global leader in designing primary and secondary flight control actuation systems (FCAS) for military aircraft. We design and integrate FCAS systems for cutting edge aircraft like the F\-35 Lightning II and the V280 Valor next generation tiltrotor Aircraft. Headquartered in East Aurora, NY, Moog employs 14,000 employees in 24 countries. Working with us can mean deeper job satisfaction, better rewards, and a great quality of life, inside and outside of work.  
We are seeking an Embedded Software Engineer to join our Military Aircraft Team. You will develop and verify software for flight critical components. Reporting to an Engineering Manager, you can choose a 9/80 work schedule with a hybrid work option (3 days/week in the office) in Torrance, CA.
We are unable to provide U.S Sponsorship for this role.  
As an Embedded Software Engineer, you will:* Design and implement embedded software for use in real\-time aircraft control systems.
* Perform software integration and verification activities using both real and simulated hardware in system level testing.
* Maintain and support software in the target environment, including debugging and corrective updates.
* Collaborate on requirements and system design, authoring and refining software requirements.
* Drive continuous improvement by keeping up to date with technology and process improvements that increase accuracy, reliability, or reduce cost.
* Domestic travel may be required as needed (up to 5%)
To be considered for the role, here’s what you’ll need to bring with you:* Bachelor of Science Degree in Engineering or other technical discipline, preferably Computer Engineering, Electrical Engineering, Computer Science or similar.
* 3\+ yrs of experience in embedded software engineering.
* Proficient in the C programming language for embedded software development.
* Familiarity with real\-time operating systems (RTOS), device drivers, and hardware\-in\-the\-loop (HIL) testing.
* This position requires access to United States export\-controlled information.
* The ability to obtain a U.S. Security Clearance.
It would be great if you also had:* Experience with DO\-178 Level A Development and Verification activities.
* Experience or internship in the aerospace/defense industry.
* Experience in a Test/Development Lab environment.
* Familiarity with Python, MATLAB/Simulink, or similar tools.
* OS experience, especially RTOS (bare metal a plus).
* Strong analytical and problem\-solving abilities.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Salary Range Transparency:
Torrance, CA $80,000\.00–$110,000\.00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46">
      <c r="A46" t="inlineStr">
        <is>
          <t>in-35b7065878c6a1bd</t>
        </is>
      </c>
      <c r="B46" t="inlineStr">
        <is>
          <t>Software Developer</t>
        </is>
      </c>
      <c r="C46" t="inlineStr">
        <is>
          <t>Tech Army</t>
        </is>
      </c>
      <c r="D46" t="inlineStr">
        <is>
          <t>indeed</t>
        </is>
      </c>
      <c r="E46">
        <f>HYPERLINK("https://www.indeed.com/viewjob?jk=35b7065878c6a1bd", "https://www.indeed.com/viewjob?jk=35b7065878c6a1bd")</f>
        <v/>
      </c>
      <c r="F46">
        <f>HYPERLINK("https://www2.jobdiva.com/candidates/myjobs/openjob_outside.jsp?a=lrjdnwd2q8cc0mo6fd04xnkoet2t6l0b2ax178zvao7988olqs9iwwbkymq8wkwf&amp;SearchString=&amp;StatesString=&amp;source=indeed.com&amp;id=27722326&amp;compid=-1", "https://www2.jobdiva.com/candidates/myjobs/openjob_outside.jsp?a=lrjdnwd2q8cc0mo6fd04xnkoet2t6l0b2ax178zvao7988olqs9iwwbkymq8wkwf&amp;SearchString=&amp;StatesString=&amp;source=indeed.com&amp;id=27722326&amp;compid=-1")</f>
        <v/>
      </c>
      <c r="G46" t="inlineStr">
        <is>
          <t>Miami, FL, US</t>
        </is>
      </c>
      <c r="H46" s="1" t="n">
        <v>46086</v>
      </c>
      <c r="I46" t="inlineStr">
        <is>
          <t>INTERVIEW\= Onsite / Virtual
JOB TYPE\= Onsite
**MINIMUM SKILLS REQUIRED:**  
Front End
Programming in HTML 5/CSS 3\.0, ability to develop client\-side web developers in:
HTML, CSS, and JavaScript Mobile Application Development
Responsive Design
**Back End:**  
I\=
Developing Web Application Using NET6 Framework Developing ASP.NET Core MVC Web Applications
Application Development in C\#
Dependency Injection
RESTful API(SON/XML)
Azure Active Directory
Azure Service Bus Messaging
Full Stack Developer
Familiarity with the full Entra/Pipelines Deployment to include Development/Test/Production Setup of application on host server to include Development/Test/Production
**MINIMUM EDUCATION \&amp; EXPERIENCE REQUIRED:**  
Bachelor's degree in Computer science or Computer Engineering with software specialty.
5 Years minimum experience in the areas of software development cycle.
Include programming capabilities in the areas of HTML/CSS 3\.0
Developing .NET Core Web Applications and NET 6 framework.
Azure DevOps
GitLab \- Source Control, CI/CD
Page</t>
        </is>
      </c>
    </row>
    <row r="47">
      <c r="A47" t="inlineStr">
        <is>
          <t>in-9bb63478780796db</t>
        </is>
      </c>
      <c r="B47" t="inlineStr">
        <is>
          <t>Software Engineering Manager – Battlespace &amp; Simulation Management</t>
        </is>
      </c>
      <c r="C47" t="inlineStr">
        <is>
          <t>Boeing</t>
        </is>
      </c>
      <c r="D47" t="inlineStr">
        <is>
          <t>indeed</t>
        </is>
      </c>
      <c r="E47">
        <f>HYPERLINK("https://www.indeed.com/viewjob?jk=9bb63478780796db", "https://www.indeed.com/viewjob?jk=9bb63478780796db")</f>
        <v/>
      </c>
      <c r="F47">
        <f>HYPERLINK("https://jobs.boeing.com/job/-/-/185/92438372000", "https://jobs.boeing.com/job/-/-/185/92438372000")</f>
        <v/>
      </c>
      <c r="G47" t="inlineStr">
        <is>
          <t>Hazelwood, MO, US</t>
        </is>
      </c>
      <c r="H47" s="1" t="n">
        <v>46086</v>
      </c>
      <c r="I47"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**Software Engineering Manager – Battlespace \&amp; Simulation Management** to lead our Battlespace and Simulation Management (BSM) team in **Hazelwood, MO**. Join Battlespace and Simulation Management as a first\-line software engineering leader and make a tangible impact on the future of simulation across military, commercial, and research platforms. You’ll own delivery across a broad product suite — Instructor/Operator Stations, threat environments, immersive visuals, and Live/Virtual/Constructive solutions — that power flight, maintenance, and aircrew training for tactical fighters, commercial derivatives, rotorcraft, and autonomous systems. Our solutions are used by domestic and international defense customers around the world. You will lead a highly diverse community of 100\+ engineers working in a large Scaled Agile™ organization, where strong communication, relentless collaboration, and a focus on coaching and technical excellence are the keys to success.
This position will lead the segment of our BSM software portfolio of products focused on serving our customers and platforms within Government Training Engineering (GTE) including but not limited to AH\-64 Apache, MH\-139 Grey Wolf, T\-7A, T\-45, and MQ\-25\.
As a manager in BSM you will build and sustain high\-performing software teams by attracting, developing, and retaining diverse talent through coaching, mentoring, and career\-path stewardship. You will champion software functional excellence — from sound architecture and automated testing to repeatable delivery practices — and instill a culture of continuous improvement where lessons learned drive measurable gains in quality and predictability. You will also navigate multiple, often competing stakeholder priorities across internal Boeing organizations and external customers, proactively managing expectations, setting clear and pragmatic direction for your teams, and coordinating cross\-functional dependencies to ensure aligned, timely outcomes.
BSM is a large, diverse software development team, which is supported by multiple managers. The successful candidate will need to work as part of this cohesive leadership team in determining the strategic and tactical direction of the BSM organization. Adaptability, the ability to work closely with others, and an open mind are essential attributes of management team members.
**Position Responsibilities:**
* Lead and grow a segment of the BSM software organization, coaching engineers and fostering a high\-performance, inclusive team culture
* Drive on time delivery across cross\-cutting products: Instructor/Operator Stations, threat environments, immersive visuals, and Live/Virtual/Constructive solutions
* Coordinate across 100\+ software engineers and multiple teams in a large Scaled Agile™ environment to align priorities, remove impediments, and manage dependencies
* Communicate effectively with internal Boeing stakeholders, external customers and suppliers to translate customer needs into reliable software solutions
* Oversee technical approaches, review and approve plans, and ensure software quality, reliability, and maintainability across real\-time and embedded systems
* Plan and manage integrated project schedules and budgets, maintain EVM discipline, and act as a Control Account Manager (CAM) where required
* Make staffing and resource recommendations, review team estimates, and support proposals for new contract work
* Balance technical debt, sustainment, and feature delivery while promoting DevSecOps and automated verification practices
* Represent the team in program reviews, customer meetings, and cross\-discipline integration activities
**Basic Qualifications (Required Skills/Experience):**
* 5\+ years of experience in software product development, integration, and delivery
* 5\+ years of experience in the Software Development lifecycle (including Requirements Analysis, Design, Code, Integration \&amp; Test)
* 3\+ years of experience leading or managing software engineering activities
* 3\+ years of experience in scaled agile techniques such as SAFe, LeSS, etc.
**Preferred Qualifications (Desired Skills/Experience):**
* Bachelor’s Degree in an engineering discipline or 10\+ years equivalent related experience
* 3\+ years of experience as a CAM (cost account manager) in EVM (earned value management)
* DevSecOps experience including software build pipelines and testing/coverage automation
* Experience working in the modeling and simulation field
* Experience in real\-time, near real\-time, or embedded systems
* Experience in the areas of aircrew and aircraft maintainer training
* Familiarity with simulation standards such as Distributed Interactive Simulation (DIS), Distributed Mission Operations (DMO), High Level Architecture (HLA) or Joint Simulation Environment (JSE)
* Experience in identifying resource requirements for projects, and managing those resources throughout the project life cycle
* Experience with mentoring, coaching, guiding, and leading teams of junior and peer engineers
* Experience working with internal and external customers and suppliers.
* Any Certifications in PMP, Six Sigma, Scaled Agile SM/RTE or equivalent are highly desired
**Travel:**
Less than 10%
**Drug Free Workplace:**
Boeing is a Drug Free Workplace where post offer applicants and employees are subject to testing for marijuana, cocaine, opioids, amphetamines, PCP, and alcohol when criteria is met as outlined in our policies.
**Shift:**
This role is primarily first shift; however, there may be additional shift requirements to support program objectives.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$160,650 \- $217,350
Potential signing bonus for eligible/qualified external candidates.
Applications for this position will be accepted until **Mar. 23,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8">
      <c r="A48" t="inlineStr">
        <is>
          <t>in-654dfb6501ee48ae</t>
        </is>
      </c>
      <c r="B48" t="inlineStr">
        <is>
          <t>Associate Level Real Time Embedded Software Engineer-4</t>
        </is>
      </c>
      <c r="C48" t="inlineStr">
        <is>
          <t>Boeing</t>
        </is>
      </c>
      <c r="D48" t="inlineStr">
        <is>
          <t>indeed</t>
        </is>
      </c>
      <c r="E48">
        <f>HYPERLINK("https://www.indeed.com/viewjob?jk=654dfb6501ee48ae", "https://www.indeed.com/viewjob?jk=654dfb6501ee48ae")</f>
        <v/>
      </c>
      <c r="F48">
        <f>HYPERLINK("https://jobs.boeing.com/job/-/-/185/92438386000", "https://jobs.boeing.com/job/-/-/185/92438386000")</f>
        <v/>
      </c>
      <c r="G48" t="inlineStr">
        <is>
          <t>Hazelwood, MO, US</t>
        </is>
      </c>
      <c r="H48" s="1" t="n">
        <v>46086</v>
      </c>
      <c r="I48"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**Associate Real\-time Embedded Software Engineer** to support our Defense Mission Computing Team located in **Hazelwood, Missouri.** The ideal candidate will be hands\-on, combining deep real\-time and embedded systems expertise with experience in safety, security, and domain separation (cross\-domain) technologies. This position will focus on supporting the Boeing Defense, Space \&amp; Security (BDS) Software Engineering organization in its new headquarters.
At The Boeing Company, we innovate and collaborate to make the world a better place. From the seabed to outer space, you can contribute to work that matters with a company built on shared values. We’re committed to fostering an environment for every teammate that’s welcoming, engaging, respectful and inclusive, with great opportunity for professional growth. Find your future with us.
The ideal candidate for this role is experienced at low level infrastructure for safety and security critical application, using rigorous design practices, efficient and automated processes and tools, to deliver on\-time, high quality, safety assured and cyber assured software.
**Our teams are currently hiring for a broad range of experience levels including Associate and Experienced Level Software Engineers.**
**This position has been identified as a virtual opportunity and will not require the selected candidate to relocate**
**Position Responsibilities:**
* Designs, develops, tests, debugs and maintains software that is integrated into embedded devices and systems and meets industry, customer, safety and regulation standards
* Reviews, analyzes, and translates customer requirements into the design of software products for embedded devices and systems
* Builds and writes code for embedded systems software to run on specific specialized hardware
* Integrates embedded software with hardware components
* Analyzes, monitors and improves the efficiency and stability of embedded software systems
* Tests and debugs software for embedded devices and systems
* Implements current and emerging technologies, tools, frameworks, and changes in regulations relevant to software development and hardware technologies
* Advises on software and hardware integration domains
* Tracks and evaluates internal and supplier software team performance to ensure product and process compliance to project plans and industry standards
* Performs embedded software project management functions
**Basic Qualifications (Required Skills/ Experience):**
* 2\+ years hands\-on experience in embedded software development for commercial or safety\-relevant products.
* 2\+ years proficiency in C and C\+\+ for embedded systems.
* 1\+ years experience with real\-time operating systems (RTOS) and bare\-metal development.
* 2\+ years hands\-on experience with version control systems (Git), issue trackers (JIRA), and CI tooling for embedded builds.
**Preferred Qualifications (Desired Skills/Experience):**
* Bachelor of Science degree from an accredited course of study in engineering, engineering technology (includes manufacturing engineering technology), chemistry, physics, mathematics, data science, or computer science
* Level 2: 1 or more years' related work experience or an equivalent combination of education and experience
* Level 3: 3 or more years' related work experience or an equivalent combination of education and experience
* knowledge of embedded build systems, cross\-compilation toolchains, and board bring\-up processes.
* familiarity with hardware interfaces and protocols (UART, SPI, I2C, CAN, Ethernet, USB).
* experience with hardware debugging tools (JTAG, SWD), debuggers (GDB, vendor tools), and instrumentation (logic analyzers, oscilloscopes).
* Experience in regulated or safety\-certifiable environments (DO\-178C, ISO 26262, IEC 61508\) or industries such as avionics, automotive, or medical.
* Experience with bootloaders, BSPs, device drivers, and flash/storage subsystems.
* Familiarity with assembly language on any processor is a plus.
* Familiarity with automated testing frameworks for embedded systems and test\-driven development practices.
* Experience working with external suppliers and performing basic supplier compliance evaluations.
* Strong written and verbal communication skills; ability to produce and maintain technical documentation.
* Demonstrated ability to work effectively in cross\-functional teams and collaborate with hardware, test, and systems engineering
* Master’s degree or advanced technical certifications.
**Travel:**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 $92,650\-$143,750
Summary pay range for Experienced Level : $118,150\-$182,850
Applications for this position will be accepted until **Mar. 09, 2026**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9">
      <c r="A49" t="inlineStr">
        <is>
          <t>in-36aecbfc2d89e419</t>
        </is>
      </c>
      <c r="B49" t="inlineStr">
        <is>
          <t>Associate Software Engineer</t>
        </is>
      </c>
      <c r="C49" t="inlineStr">
        <is>
          <t>Boeing</t>
        </is>
      </c>
      <c r="D49" t="inlineStr">
        <is>
          <t>indeed</t>
        </is>
      </c>
      <c r="E49">
        <f>HYPERLINK("https://www.indeed.com/viewjob?jk=36aecbfc2d89e419", "https://www.indeed.com/viewjob?jk=36aecbfc2d89e419")</f>
        <v/>
      </c>
      <c r="F49">
        <f>HYPERLINK("https://jobs.boeing.com/job/-/-/185/92438390576", "https://jobs.boeing.com/job/-/-/185/92438390576")</f>
        <v/>
      </c>
      <c r="G49" t="inlineStr">
        <is>
          <t>Hazelwood, MO, US</t>
        </is>
      </c>
      <c r="H49" s="1" t="n">
        <v>46086</v>
      </c>
      <c r="I49" t="inlineStr">
        <is>
          <t>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Tapestry Solutions, a part of Boeing Global Services BGS, is seeking an **Associate Software Engineer Developer in Hazelwood, MO** for the Department of Navy Tomahawk Land\-Attack Missile program. The Tomahawk program continues to grow and expand as a relevant deterrent against adversaries across the globe and is employed by multiple military organizations. This program is expected to remain in active service for the foreseeable future.
The successful candidate for the role of Software Engineer Developer will play a crucial role in the design, development, testing, and maintenance of non\-embedded software throughout the end\-to\-end lifecycle that meets industry, customer, and safety standards for the Tomahawk program, while adhering to strict government regulations. You will have the opportunity to review, analyze, and translate customer requirements into initial design of software products. Your expertise will be instrumental in developing maintaining, enhancing and optimizing software products and functionalities for systems integrations. Additionally, you will debug and resolve issues identified to ensure the reliability and efficiency of software products.
**Position Responsibilities:**
* Handles user inquiries, troubleshoot technical issues and user feedback analysis
* Implement current and emerging technologies, tools, frameworks and changes in regulations relevant to software development
* Execute and document software research and development projects
**Basic Qualifications (Required Skills/Experience):**
* Active U.S. Secret Clearance with the ability to obtain TS/SCI
* 2\+ years of experience with VB.NET or C\#.NET in Desktop Environment
* SQL or other relational database
**Preferred Qualifications (Desired Skills/Experience):**
* .Net Framework (WinForms)
* Web Services (SOAP or Rest)
* Windows Environment (Windows 10/11, Windows Server)
* Project Management Tools (Azure DevOps, Jira, etc.)
* Azure DevOps Pipelines or other CI/CD tools
* Unit testing frameworks like xUnit, jUnit, nUnit, or MS Test
* C\+\+
* Agile
* Strong mathematical analysis skills or STEM degree
* Security \+ certification or Computer Science degree
**Drug Free Workplace:**
We are a Drug Free Workplace where post offer applicants and employees are subject to testing for marijuana, cocaine, opioids, amphetamines, PCP, and alcohol when criteria is met as outlined in our policies.
**Pay \&amp; Benefits:**
We strive to deliver a total rewards package that will attract, engage and retain the top talent. Elements of this package include competitive base pay and variable compensation opportunities.
We also provide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Pay is based upon candidate experience and qualifications, as well as market and business considerations.
Summary base pay range $82,000 – $99,450\.00
Applications for this position will be accepted until **Mar. 28,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an active U.S. Secret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50">
      <c r="A50" t="inlineStr">
        <is>
          <t>in-2ba5836c34441779</t>
        </is>
      </c>
      <c r="B50" t="inlineStr">
        <is>
          <t>Software Engineer - Portfolio Services</t>
        </is>
      </c>
      <c r="C50" t="inlineStr">
        <is>
          <t>Addepar</t>
        </is>
      </c>
      <c r="D50" t="inlineStr">
        <is>
          <t>indeed</t>
        </is>
      </c>
      <c r="E50">
        <f>HYPERLINK("https://www.indeed.com/viewjob?jk=2ba5836c34441779", "https://www.indeed.com/viewjob?jk=2ba5836c34441779")</f>
        <v/>
      </c>
      <c r="F50">
        <f>HYPERLINK("https://grnh.se/xx0fj3t92us", "https://grnh.se/xx0fj3t92us")</f>
        <v/>
      </c>
      <c r="G50" t="inlineStr">
        <is>
          <t>New York, NY, US</t>
        </is>
      </c>
      <c r="H50" s="1" t="n">
        <v>46086</v>
      </c>
      <c r="I50"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The Portfolio Services team is at the core processing Addepar's client data. We play a pivotal role in enabling data to flow across our data platforms into our client's instances. Working at the critical intersection of application, analyst, and operations teams, we promote developer velocity and robust process automation. Working with a healthy mix of new technologies and existing core applications, the team thrives on solving complex challenges to deliver high\-impact solutions. If you're passionate about creating true engineering leverage, this is the team for you.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$107,000 \- $168,000 (base salary) \+ bonus \+ equity \+ benefits.
Your recruiter can share more about the specific salary range for your preferred location during the hiring process. Additionally, these ranges reflect the base salary only, and do not include bonus, equity, or benefits.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 **What You'll Do**
Work with teams across the organisation to:
* Develop resilient distributed services and high quality tooling to support product operations and engineering.
* Investigate and debug complex issues that span across teams and applications.
* Drive software delivery and improve the engineering processes we use to develop and release software.
#### **Who You Are**
* Comfortable working independently, with a bias for action.
* Thrives in ambiguous spaces where there isn't a clear solution.
* Enjoys digging into new problems and unfamiliar codebases.
* Excels at written and verbal communication
* 3\+ years of backend software engineering experience.
* Proficiency in developing with server\-side OO languages like Java.
* Proficiency with Linux.
* Familiarity with infrastructure components such as CI/CD, monitoring, logging, containers, Kubernetes, and infrastructure\-as\-code.
* Familiarity with HTTP, developing REST and web APIs.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51">
      <c r="A51" t="inlineStr">
        <is>
          <t>in-84345aff423e2301</t>
        </is>
      </c>
      <c r="B51" t="inlineStr">
        <is>
          <t>Software Engineer, Rider</t>
        </is>
      </c>
      <c r="C51" t="inlineStr">
        <is>
          <t>Lyft</t>
        </is>
      </c>
      <c r="D51" t="inlineStr">
        <is>
          <t>indeed</t>
        </is>
      </c>
      <c r="E51">
        <f>HYPERLINK("https://www.indeed.com/viewjob?jk=84345aff423e2301", "https://www.indeed.com/viewjob?jk=84345aff423e2301")</f>
        <v/>
      </c>
      <c r="F51">
        <f>HYPERLINK("https://grnh.se/qps6p6da2us", "https://grnh.se/qps6p6da2us")</f>
        <v/>
      </c>
      <c r="G51" t="inlineStr">
        <is>
          <t>New York, NY, US</t>
        </is>
      </c>
      <c r="H51" s="1" t="n">
        <v>46086</v>
      </c>
      <c r="I51" t="inlineStr">
        <is>
          <t>At Lyft, our purpose is to serve and connect. We aim to achieve this by cultivating a work environment where all team members belong and have the opportunity to thrive.
Lyft is looking for software engineers from a scope of disciplines. We are growing our team with people who want to build, improve and incorporate technologies that make the lives of our community more enriched. As an engineer at Lyft, you'll collaborate with teams like product, design, data science, analytics, and operations on code that empower us to iterate quickly, while focusing on delighting our passengers and drivers.
The Rider organization is focused on building a seamless, best\-in\-class rideshare experience for riders. From the foundational functionality of requesting a ride to the tailored interactions with your flight, we sweat the small stuff to help make Lyft the best transportation solution. As a Software Engineer on the Rider Team, you will work hand in hand with various teams across Lyft, fostering collaboration, and driving innovation to improve riders' experience with rideshare.
**Responsibilities:**
---------------------
* Write well\-crafted, well\-tested, readable, maintainable code
* Participate in code reviews to ensure code quality and distribute knowledge
* Participate in our team on\-call rotation. Identify, triage, debug and resolve issues/bugs across our various applications and platforms
* Have the ability to explain the various trade offs made in decisions
* Manage project priorities, deadlines, and deliverables.
* Partner with product managers, designers, scientists, and other engineering teams to build complex features and products from idea to positive execution
**Experience:**
---------------
* BS/MS or equivalent in Computer Engineering, Computer Science, or related field or equivalent practical experience
* Experience with Python, Go.
* Proficiency in object\-oriented programming
* Experience working with data structures or algorithms
* Ability to work with a low\-ego, highly collaborative, and cross\-functional team
* Bonus points: experience pursuing side projects or open\-source projects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$108,000 \- $135,000,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2">
      <c r="A52" t="inlineStr">
        <is>
          <t>in-30e7db40d5aadef7</t>
        </is>
      </c>
      <c r="B52" t="inlineStr">
        <is>
          <t>Security Software Engineer, Applied Computing (Starshield)</t>
        </is>
      </c>
      <c r="C52" t="inlineStr">
        <is>
          <t>SpaceX</t>
        </is>
      </c>
      <c r="D52" t="inlineStr">
        <is>
          <t>indeed</t>
        </is>
      </c>
      <c r="E52">
        <f>HYPERLINK("https://www.indeed.com/viewjob?jk=30e7db40d5aadef7", "https://www.indeed.com/viewjob?jk=30e7db40d5aadef7")</f>
        <v/>
      </c>
      <c r="F52">
        <f>HYPERLINK("https://grnh.se/qlsamu2q2us", "https://grnh.se/qlsamu2q2us")</f>
        <v/>
      </c>
      <c r="G52" t="inlineStr">
        <is>
          <t>Hawthorne, CA, US</t>
        </is>
      </c>
      <c r="H52" s="1" t="n">
        <v>46086</v>
      </c>
      <c r="I5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**SECURITY SOFTWARE ENGINEER, APPLIED COMPUTING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As a Security Software Engineer, you will leverage AI to automate security\-related efforts and ensure safe AI integration into new and existing systems. If you are passionate about AI, security, and pushing the limits of combining both together, this role is for you.
Ideally, you have notable skills in the following:
* Software engineering
* Agent engineering and security
* LLM attack surfaces
* Network and operating system security
* Incident response and adversary detection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security\-critical agents for Starshield that automate network and systems defense
* Leverage AI to discover and fix security issues in Starshield infrastructure and systems
* Provide guidance and perform testing of AI integrations into new and existing Starshield systems
* Identify new areas of the program where meaningful security improvements can be gained via automation and AI
* Maintain existing production systems and improve security posture via both direct implementation and recommendations to other teams
**BASIC QUALIFICATIONS:**
* Bachelor's degree in computer science or another STEM discipline; OR 2\+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 Experience designing and implementing solutions with LLMs, LLM\-based agents, or adjacent AI topics
**PREFERRED SKILLS AND EXPERIENCE:**
* Demonstrated ability to deal with ambiguity, learn quickly, problem solve, and take ownership of the end result
* Understanding of core security engineering topics: cryptography, authentication, network security, operating system security
* Experience designing, prompting, and securing agents that can perform long\-running autonomous tasks
* Experience red\-teaming/penetration\-testing LLMs, including prompt injection, jailbreaking, and data exfiltration
* Experience deploying and managing LLMs, including infrastructure and maintenance to ensure reliable, scalable operation
* Experience contributing security improvements to complex systems
* Flexibility, communicating clearly, and establishing and maintaining productive working relationships with other engineering teams
* Excellent communication skills, both written and verbal
* Ability to work both independently and in a team
* Advanced degree in a technical or engineering discipline
* Active Top Secret, Top Secret SCI, or DOE Level Q clearance
**ADDITIONAL REQUIREMENTS:**
* Must be willing to work extended hours and weekends as needed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Security Software Engineer/Level I: $130,000\.00 \- $150,000\.00/per year
Security Software Engineer/Level II: $145,000\.00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53">
      <c r="A53" t="inlineStr">
        <is>
          <t>in-4f4b0e4b90190780</t>
        </is>
      </c>
      <c r="B53" t="inlineStr">
        <is>
          <t>Sr. Security Software Engineer, Applied Computing (Starshield)</t>
        </is>
      </c>
      <c r="C53" t="inlineStr">
        <is>
          <t>SpaceX</t>
        </is>
      </c>
      <c r="D53" t="inlineStr">
        <is>
          <t>indeed</t>
        </is>
      </c>
      <c r="E53">
        <f>HYPERLINK("https://www.indeed.com/viewjob?jk=4f4b0e4b90190780", "https://www.indeed.com/viewjob?jk=4f4b0e4b90190780")</f>
        <v/>
      </c>
      <c r="F53">
        <f>HYPERLINK("https://grnh.se/whv66b172us", "https://grnh.se/whv66b172us")</f>
        <v/>
      </c>
      <c r="G53" t="inlineStr">
        <is>
          <t>Washington, DC, US</t>
        </is>
      </c>
      <c r="H53" s="1" t="n">
        <v>46086</v>
      </c>
      <c r="I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SECURITY SOFTWARE ENGINEER, APPLIED COMPUTING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As a Sr. Security Software Engineer, you will leverage AI to automate security\-related efforts and ensure safe AI integration into new and existing systems. If you are passionate about AI, security, and pushing the limits of combining both together, this role is for you.
Ideally, you have notable skills in the following:
* Software engineering
* Agent engineering and security
* LLM attack surfaces
* Network and operating system security
* Incident response and adversary detection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security\-critical agents for Starshield that automate network and systems defense
* Leverage AI to discover and fix security issues in Starshield infrastructure and systems
* Provide guidance and perform testing of AI integrations into new and existing Starshield systems
* Identify new areas of the program where meaningful security improvements can be gained via automation and AI
* Maintain existing production systems and improve security posture via both direct implementation and recommendations to other teams
**BASIC QUALIFICATIONS:**
* Bachelor's degree in computer science or another STEM discipline AND 5\+ years of professional experience in security software development; OR 7\+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 Experience designing and implementing solutions with LLMs, LLM\-based agents, or adjacent AI topics
**PREFERRED SKILLS AND EXPERIENCE:**
* Demonstrated ability to deal with ambiguity, learn quickly, problem solve, and take ownership of the end result
* Understanding of core security engineering topics: cryptography, authentication, network security, operating system security
* Experience designing, prompting, and securing agents that can perform long\-running autonomous tasks
* Experience red\-teaming/penetration\-testing LLMs, including prompt injection, jailbreaking, and data exfiltration
* Experience deploying and managing LLMs, including infrastructure and maintenance to ensure reliable, scalable operation
* Experience contributing security improvements to complex systems
* Flexibility, communicating clearly, and establishing and maintaining productive working relationships with other engineering teams
* Excellent communication skills, both written and verbal
* Ability to work both independently and in a team
* Advanced degree in a technical or engineering discipline
* Active Top Secret, Top Secret SCI, or DOE Level Q clearance
**ADDITIONAL REQUIREMENTS:**
* Must be willing to work extended hours and weekends as needed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Security Software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54">
      <c r="A54" t="inlineStr">
        <is>
          <t>in-9a2e0cf29b57a9ad</t>
        </is>
      </c>
      <c r="B54" t="inlineStr">
        <is>
          <t>Java Automation Software Engineer, Senior</t>
        </is>
      </c>
      <c r="C54" t="inlineStr">
        <is>
          <t>JPMorganChase</t>
        </is>
      </c>
      <c r="D54" t="inlineStr">
        <is>
          <t>indeed</t>
        </is>
      </c>
      <c r="E54">
        <f>HYPERLINK("https://www.indeed.com/viewjob?jk=9a2e0cf29b57a9ad", "https://www.indeed.com/viewjob?jk=9a2e0cf29b57a9ad")</f>
        <v/>
      </c>
      <c r="F54">
        <f>HYPERLINK("https://JPMorganChase.contacthr.com/151315825", "https://JPMorganChase.contacthr.com/151315825")</f>
        <v/>
      </c>
      <c r="G54" t="inlineStr">
        <is>
          <t>Plano, TX, US</t>
        </is>
      </c>
      <c r="H54" s="1" t="n">
        <v>46086</v>
      </c>
      <c r="I54" t="inlineStr">
        <is>
          <t>**JOB DESCRIPTION** **Java Automation Software Engineer, Senior:**
* Minimum of seven years’ experience with Mobile Browser and Mobile Native Application Testing and use of Mobile Cloud Platform (i.e, SeeTest)
* Proven use of 1 or more mobile development and emulator packages (Android SDK, iOS XCode, SWIFT, Calabash, Appium, GENYmotion)
* Exposure to commercial mobile manual/automation test management packages (Perfecto, Experitest\-SeeTest, MobileLabs, SauceLabs, etc)
* Experience with Accessibility Testing (ADA Testing Web/Mobile Native App)
* Exposure to web technologies (e.g. HTTP, XML, REST, HTML, etc.)
* Manages the development Test Scenarios and execution of the scenarios across all Testing Phases (IST, Smoke, Functional, Integration, UAT, In\-Sprint Automation, UAT, Regression Automation, Production)
* Experience in implementing Continues Integration using Jenkins and continuous delivery CI/CD
* Hands on experience in API testing using JMeter
* Strong experience in leading Test Automation teams
* Ability to work with a sense of urgency and attention to detail
* Demonstrated verbal and written communication skills and excellent analytical skills
* Independent decision\-making and good judgment
* Strong time, interpersonal and people skills
* Ability to operated comfortably in a multi\-task / multi priority environment across a global team
* Experience with client server environments
* Proficient knowledge of the Microsoft Office products
* Knowledge of Application Development Lifecycle and concepts
* BS/BA degree or equivalent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55">
      <c r="A55" t="inlineStr">
        <is>
          <t>in-315ab68da63e1ba2</t>
        </is>
      </c>
      <c r="B55" t="inlineStr">
        <is>
          <t>Senior Embedded Software Engineer, Networking</t>
        </is>
      </c>
      <c r="C55" t="inlineStr">
        <is>
          <t>Latitude AI</t>
        </is>
      </c>
      <c r="D55" t="inlineStr">
        <is>
          <t>indeed</t>
        </is>
      </c>
      <c r="E55">
        <f>HYPERLINK("https://www.indeed.com/viewjob?jk=315ab68da63e1ba2", "https://www.indeed.com/viewjob?jk=315ab68da63e1ba2")</f>
        <v/>
      </c>
      <c r="F55">
        <f>HYPERLINK("https://grnh.se/7v048u1p1us", "https://grnh.se/7v048u1p1us")</f>
        <v/>
      </c>
      <c r="G55" t="inlineStr">
        <is>
          <t>Palo Alto, CA, US</t>
        </is>
      </c>
      <c r="H55" s="1" t="n">
        <v>46086</v>
      </c>
      <c r="I55"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Onboard Platforms team is an embedded software team responsible for the development and maintenance of the operating system, on\-vehicle network, timesync, vehicle interface, and security for the L1/L2/L3 autonomous vehicle compute clusters.
**What you'll do:**
* Deliver safe and efficient embedded software for state\-of\-the\-art sensing systems
* Produce high\-quality, maintainable code using C\+\+
* Design and optimize in\-vehicle networks to communicate with the sensors and provide the common timebase for the autonomy software
* Design, implement, and test full\-stack software running in resource\-constrained environments
* Work closely with a multidisciplinary team of hardware, software and system engineers to ensure the success of our product
**What you'll need to succeed:**
* Bachelor's degree in Computer Engineering, Computer Science, Electrical Engineering, Robotics or a related field and 4\+ years of relevant experience (or Master's degree and 2\+ years of relevant experience, or PhD)
* Strong experience developing embedded applications and systems using C\+\+
* Proficient in network communication concepts including protocols, physical layer requirements, bandwidth characteristics, and configuration
* Knowledge of TCP/IP, Ethernet, CAN, and experience working with Marvell/Broadcom (or similar automotive\-grade) Ethernet switches, including low\-level configuration, firmware interaction, and troubleshooting hardware\-software interface issues
* Strong software design, algorithm, problem\-solving, and analytical skills
* Strong test\-first design mindset
* Experience with multi\-processor SoCs or similar embedded processors
* Experience with time synchronization, IEEE802\.1AS, and Linux PTP is preferred
* Prefer candidates with experience developing software for highly complex, safety\-critical sensing systems with specific emphasis on network design for fault detection, and time synchronization for safety\-critical data paths
**Nice to have:**
* Strong modern C\+\+ skills
* Understanding of networking and time\-sensitve networking
* Experience developing Linux device drivers for Ethernet, GPU, PCIE or flash devices like UFS, eMMC, NVMe
* Experience with Yocto/OpenEmbedded, buildroot, or similar Linux packaging technologies
* Track record of technical leadership in automotive or related fields taking products to production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56">
      <c r="A56" t="inlineStr">
        <is>
          <t>in-c4e32ac7e7f595e2</t>
        </is>
      </c>
      <c r="B56" t="inlineStr">
        <is>
          <t>Senior Software Engineer (Node.JS)</t>
        </is>
      </c>
      <c r="C56" t="inlineStr">
        <is>
          <t>TCG, Inc.</t>
        </is>
      </c>
      <c r="D56" t="inlineStr">
        <is>
          <t>indeed</t>
        </is>
      </c>
      <c r="E56">
        <f>HYPERLINK("https://www.indeed.com/viewjob?jk=c4e32ac7e7f595e2", "https://www.indeed.com/viewjob?jk=c4e32ac7e7f595e2")</f>
        <v/>
      </c>
      <c r="F56">
        <f>HYPERLINK("https://www.applicantpro.com/openings/tcg/jobs/4013301-130033", "https://www.applicantpro.com/openings/tcg/jobs/4013301-130033")</f>
        <v/>
      </c>
      <c r="G56" t="inlineStr">
        <is>
          <t>Washington, DC, US</t>
        </is>
      </c>
      <c r="H56" s="1" t="n">
        <v>46086</v>
      </c>
      <c r="I56" t="inlineStr">
        <is>
          <t>You've stumbled upon the rare B Corp government contractor! At TCG, we aim to prove that businesses can be good to their employees and responsible to their community while being profitable. **TCG** is an award\-winning, government IT solutions provider. We are seeking a **Senior Software Engineer (Node.JS)** to join our project team at a major Federal agency to help design, develop, and implement solutions in anticipation of an upcoming award.
U.S. citizenship is required for this role. In addition, the selected applicant must submit to a government background investigation and be favorably adjudicated before their first day.
The selected candidate will ideally live within commuting distance of Washington, D.C. as there may be occasional onsite work.
REQUIRED SKILLS:
* A minimum of 8 years of experience with web application development
* Experience with Node.js
* Experience with Angular
* Experience with AWS
* Solid understanding of HTML markup and CSS
* Solid understanding of JavaScript and the jQuery framework
* Experience working with loosely\-defined requirements
* Good organization skills and ability to manage a dynamic workload
* Demonstrated ability to contribute quickly to project requirements
* Demonstrated ability to prioritize and organize efforts in a fast\-paced environment
* Demonstrated ability to deliver working code in an Agile development environment
* Independent problem\-solving skills, strong analytical abilities, creativity and a customer service\-oriented personality
* Excellent grammar and spelling in all written communication
* Excellent oral communication
PREFERRED SKILLS:
* Experience with Visual FoxPro
EDUCATION:
* Bachelor's degree or 4 years of relevant work experience in lieu of degree is required
TCG does not discriminate based on race, sex, color, religion, national origin, age, disability, caste, or veteran status.
Our B Corp mission is reflected in our benefits, including offerings like health care, 401K, parental leave, adoption assistance, financial planning services, student loan repayment assistance, and training budget. There's more, see for yourself.
TCG is recognized for treating employees well, in fact, in 2025 The Washington Post named TCG as a "Top Workplace" for the eleventh straight year based on how our employees feel about the company, the benefits TCG offers, and the work/life balance that our staff achieves. In the Washington Post Top Workplace survey, our CEO was ranked best by TCG employees' votes among all midsize companies.
Try us ... we'll make you happy.
*Salary: $120,000\-$140,000*</t>
        </is>
      </c>
    </row>
    <row r="57">
      <c r="A57" t="inlineStr">
        <is>
          <t>in-b5e40e11ffb8764f</t>
        </is>
      </c>
      <c r="B57" t="inlineStr">
        <is>
          <t>(USA) Senior, Software Engineer</t>
        </is>
      </c>
      <c r="C57" t="inlineStr">
        <is>
          <t>Sam's Club</t>
        </is>
      </c>
      <c r="D57" t="inlineStr">
        <is>
          <t>indeed</t>
        </is>
      </c>
      <c r="E57">
        <f>HYPERLINK("https://www.indeed.com/viewjob?jk=b5e40e11ffb8764f", "https://www.indeed.com/viewjob?jk=b5e40e11ffb8764f")</f>
        <v/>
      </c>
      <c r="F57">
        <f>HYPERLINK("https://click.appcast.io/t/eUx7vAcs40g3LQoD6lhYdM5hhKP6TlUoR7CnOFZAowM=", "https://click.appcast.io/t/eUx7vAcs40g3LQoD6lhYdM5hhKP6TlUoR7CnOFZAowM=")</f>
        <v/>
      </c>
      <c r="G57" t="inlineStr">
        <is>
          <t>Bentonville, AR, US</t>
        </is>
      </c>
      <c r="H57" s="1" t="n">
        <v>46086</v>
      </c>
      <c r="I57" t="inlineStr">
        <is>
          <t>**Position Summary...**
-----------------------
**What you'll do...**
---------------------
**About the Role**  
Seeking a Senior Frontend Engineer to lead development of modern web and mobile applications using React.js. This role is hands\-on and customer\-focused, working closely with product and cross\-functional teams to deliver end\-to\-end solutions. **\*\*Immigration support is Not available for this role.\*\***
**What You'll Do:**
-------------------
* Design, develop, and maintain responsive web and mobile applications using React.js (and related frameworks/libraries).
* Translate business requirements and product specifications into clear technical stories and implementation plans.
* Own end\-to\-end delivery: design, development, testing, deployment, and monitoring.
* Implement and maintain CI/CD pipelines to ensure fast, reliable releases.
* Collaborate with product managers, designers, and backend engineers to define architecture and API contracts.
* Write clean, testable, and maintainable code with unit, integration, and end\-to\-end tests.
* Review code, mentor team members, and promote engineering best practices and standards.
* Identify performance bottlenecks and implement optimizations across the frontend stack.
**What You'll Bring:**
* 5\+ years of professional software engineering experience, with a strong focus on frontend.
* Expert\-level experience with React.js and modern JavaScript/TypeScript (ES6\+).
* Proven experience building and shipping production\-grade web and/or mobile (React Native or similar) applications.
* Strong understanding of modern frontend tooling (Webpack/Vite, Babel, linters, testing frameworks).
* Experience designing and using RESTful and/or GraphQL APIs.
* Solid understanding of CI/CD practices and tools (e.g., GitHub Actions, GitLab CI, CircleCI, Jenkins, etc.).
* Experience translating business requirements into technical designs and user stories, and delivering complete features end\-to\-end.
* Strong knowledge of browser behavior, performance optimization, and responsive design.
* Familiarity with automated testing (Jest, React Testing Library, Cypress, etc.).
* Excellent communication skills and ability to work in a collaborative, agile environment.
### **Nice to Have:**
* Experience with React Native or other cross\-platform mobile frameworks.
* Experience with cloud platforms (AWS, GCP, Azure) and containerization (Docker, Kubernetes).
* Background in design systems and component libraries (Storybook, Chakra UI, MUI,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8">
      <c r="A58" t="inlineStr">
        <is>
          <t>in-9594464890aff0b9</t>
        </is>
      </c>
      <c r="B58" t="inlineStr">
        <is>
          <t>Lead Software Engineer - Remote</t>
        </is>
      </c>
      <c r="C58" t="inlineStr">
        <is>
          <t>Optum</t>
        </is>
      </c>
      <c r="D58" t="inlineStr">
        <is>
          <t>indeed</t>
        </is>
      </c>
      <c r="E58">
        <f>HYPERLINK("https://www.indeed.com/viewjob?jk=9594464890aff0b9", "https://www.indeed.com/viewjob?jk=9594464890aff0b9")</f>
        <v/>
      </c>
      <c r="F58">
        <f>HYPERLINK("https://uhg.taleo.net/careersection/10000/jobdetail.ftl?job=2333522&amp;lang=en", "https://uhg.taleo.net/careersection/10000/jobdetail.ftl?job=2333522&amp;lang=en")</f>
        <v/>
      </c>
      <c r="G58" t="inlineStr">
        <is>
          <t>Eden Prairie, MN, US</t>
        </is>
      </c>
      <c r="H58" s="1" t="n">
        <v>46086</v>
      </c>
      <c r="I58"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 code, test, document, and maintain high\-quality and scalable big data solutions
* Help drive agile processes and mentor junior level members of the team
* Research, evaluate, and deploy new tools, frameworks and patterns to help build a sustainable big data platform
* Identify gaps and opportunities for improvement of existing solutions
* Define and develop APIs for integration with various data sources in the enterprise
* Translate customer requirements into solution design
* Make accurate development effort estimates to assist management in project and resource planning
* Collaborate with management, quality assurance, architecture, and other development teams
* Write technical documentation and participate in production support
* Participate with prototypes as well as design and code reviews
* Keep skills up to date through ongoing self\-directed training
* The ideal candidate will be a self\-starter who can learn things quickly, who is enthusiastic and actively engaged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12\+ years of hands\-on software development experience
* 5\+ years of development experience with Java or Scala, Python, JSON, Web Services
* 5\+ years of experience in distributed systems technologies like Spark, Databricks, Hadoop, Snowflake
* 3\+ years of experience in relational databases (SQL)
* Experience mentoring and helping others grow
* Experience with Agile/SCRUM methodology
 **Preferred Qualifications**
* 4\+ years of experience in Kafka streaming
* 2\+ years with NoSQL databases (Cassandra preferred)
* 2\+ years working with Docker and Kubernetes
* Experience in infrastructure services on at least one major cloud platform (Azure preferred)
* Thorough understanding of service\-oriented architecture (SOA) concepts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59">
      <c r="A59" t="inlineStr">
        <is>
          <t>in-a41f510e2e081307</t>
        </is>
      </c>
      <c r="B59" t="inlineStr">
        <is>
          <t>Senior Big Data Software Engineer Remote</t>
        </is>
      </c>
      <c r="C59" t="inlineStr">
        <is>
          <t>Optum</t>
        </is>
      </c>
      <c r="D59" t="inlineStr">
        <is>
          <t>indeed</t>
        </is>
      </c>
      <c r="E59">
        <f>HYPERLINK("https://www.indeed.com/viewjob?jk=a41f510e2e081307", "https://www.indeed.com/viewjob?jk=a41f510e2e081307")</f>
        <v/>
      </c>
      <c r="F59">
        <f>HYPERLINK("https://uhg.taleo.net/careersection/10000/jobdetail.ftl?job=2333512&amp;lang=en", "https://uhg.taleo.net/careersection/10000/jobdetail.ftl?job=2333512&amp;lang=en")</f>
        <v/>
      </c>
      <c r="G59" t="inlineStr">
        <is>
          <t>Eden Prairie, MN, US</t>
        </is>
      </c>
      <c r="H59" s="1" t="n">
        <v>46086</v>
      </c>
      <c r="I59"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 code, test, document, and maintain high\-quality and scalable big data solutions
* Research, evaluate, and deploy new tools, frameworks and patterns to help build a sustainable big data platform
* Identify gaps and opportunities for improvement of existing solutions
* Define and develop APIs for integration with various data sources in the enterprise
* Translate customer requirements into solution design
* Make accurate development effort estimates to assist management in project and resource planning
* Collaborate with management, quality assurance, architecture, and other development teams
* Write technical documentation and participate in production support
* Participate with prototypes as well as design and code reviews
* Keep skills up to date through ongoing self\-directed training
* The ideal candidate will be a self\-starter who can learn things quickly, who is enthusiastic and actively engaged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6\+ years of hands\-on software development experience
* 5\+ years of development experience with Java or Scala, Python, JSON, Web Services
* 3\+ years of experience in relational databases (SQL)
* 2\+ years of experience in distributed systems technologies like Spark, Databricks, Hadoop, Snowflake
* Experience with Agile/SCRUM methodology
 **Preferred Qualifications:**
* 2\+ years of experience in Kafka streaming
* 2\+ years with NoSQL databases (Cassandra)
* 2\+ years working with Docker and Kubernetes
* Experience in infrastructure services on at least one major cloud platform (Azure)
* Experience developing rules in rules engine
* Thorough understanding of service\-oriented architecture (SOA) concepts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60">
      <c r="A60" t="inlineStr">
        <is>
          <t>in-0fe53812958d0479</t>
        </is>
      </c>
      <c r="B60" t="inlineStr">
        <is>
          <t>Software Engineer II, Android</t>
        </is>
      </c>
      <c r="C60" t="inlineStr">
        <is>
          <t>Amazon.com</t>
        </is>
      </c>
      <c r="D60" t="inlineStr">
        <is>
          <t>indeed</t>
        </is>
      </c>
      <c r="E60">
        <f>HYPERLINK("https://www.indeed.com/viewjob?jk=0fe53812958d0479", "https://www.indeed.com/viewjob?jk=0fe53812958d0479")</f>
        <v/>
      </c>
      <c r="F60">
        <f>HYPERLINK("https://www.amazon.jobs/jobs/3166054/software-engineer-ii-android?cmpid=DA_INAD200785B", "https://www.amazon.jobs/jobs/3166054/software-engineer-ii-android?cmpid=DA_INAD200785B")</f>
        <v/>
      </c>
      <c r="G60" t="inlineStr">
        <is>
          <t>San Francisco, CA, US</t>
        </is>
      </c>
      <c r="H60" s="1" t="n">
        <v>46044</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61">
      <c r="A61" t="inlineStr">
        <is>
          <t>in-79f7b0d056eb57dd</t>
        </is>
      </c>
      <c r="B61" t="inlineStr">
        <is>
          <t>Software Engineer II, Android</t>
        </is>
      </c>
      <c r="C61" t="inlineStr">
        <is>
          <t>Amazon.com</t>
        </is>
      </c>
      <c r="D61" t="inlineStr">
        <is>
          <t>indeed</t>
        </is>
      </c>
      <c r="E61">
        <f>HYPERLINK("https://www.indeed.com/viewjob?jk=79f7b0d056eb57dd", "https://www.indeed.com/viewjob?jk=79f7b0d056eb57dd")</f>
        <v/>
      </c>
      <c r="F61">
        <f>HYPERLINK("https://www.amazon.jobs/jobs/3166054/software-engineer-ii-android?cmpid=DA_INAD200785B", "https://www.amazon.jobs/jobs/3166054/software-engineer-ii-android?cmpid=DA_INAD200785B")</f>
        <v/>
      </c>
      <c r="G61" t="inlineStr">
        <is>
          <t>Irvine, CA, US</t>
        </is>
      </c>
      <c r="H61" s="1" t="n">
        <v>46044</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62">
      <c r="A62" t="inlineStr">
        <is>
          <t>in-49f8bc811bbbc91e</t>
        </is>
      </c>
      <c r="B62" t="inlineStr">
        <is>
          <t>Software Engineer II, Android</t>
        </is>
      </c>
      <c r="C62" t="inlineStr">
        <is>
          <t>Amazon.com</t>
        </is>
      </c>
      <c r="D62" t="inlineStr">
        <is>
          <t>indeed</t>
        </is>
      </c>
      <c r="E62">
        <f>HYPERLINK("https://www.indeed.com/viewjob?jk=49f8bc811bbbc91e", "https://www.indeed.com/viewjob?jk=49f8bc811bbbc91e")</f>
        <v/>
      </c>
      <c r="F62">
        <f>HYPERLINK("https://www.amazon.jobs/jobs/3166054/software-engineer-ii-android?cmpid=DA_INAD200785B", "https://www.amazon.jobs/jobs/3166054/software-engineer-ii-android?cmpid=DA_INAD200785B")</f>
        <v/>
      </c>
      <c r="G62" t="inlineStr">
        <is>
          <t>Seattle, WA, US</t>
        </is>
      </c>
      <c r="H62" s="1" t="n">
        <v>46044</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63">
      <c r="A63" t="inlineStr">
        <is>
          <t>in-9baaf23153b66110</t>
        </is>
      </c>
      <c r="B63" t="inlineStr">
        <is>
          <t>Software Engineer I</t>
        </is>
      </c>
      <c r="C63" t="inlineStr">
        <is>
          <t>Amazon.com</t>
        </is>
      </c>
      <c r="D63" t="inlineStr">
        <is>
          <t>indeed</t>
        </is>
      </c>
      <c r="E63">
        <f>HYPERLINK("https://www.indeed.com/viewjob?jk=9baaf23153b66110", "https://www.indeed.com/viewjob?jk=9baaf23153b66110")</f>
        <v/>
      </c>
      <c r="F63">
        <f>HYPERLINK("https://www.amazon.jobs/jobs/3141336/software-engineer-i?cmpid=DA_INAD200785B", "https://www.amazon.jobs/jobs/3141336/software-engineer-i?cmpid=DA_INAD200785B")</f>
        <v/>
      </c>
      <c r="G63" t="inlineStr">
        <is>
          <t>San Francisco, CA, US</t>
        </is>
      </c>
      <c r="H63" s="1" t="n">
        <v>46001</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in-3f638d2989d25104</t>
        </is>
      </c>
      <c r="B64" t="inlineStr">
        <is>
          <t>Software Engineer I</t>
        </is>
      </c>
      <c r="C64" t="inlineStr">
        <is>
          <t>Amazon.com</t>
        </is>
      </c>
      <c r="D64" t="inlineStr">
        <is>
          <t>indeed</t>
        </is>
      </c>
      <c r="E64">
        <f>HYPERLINK("https://www.indeed.com/viewjob?jk=3f638d2989d25104", "https://www.indeed.com/viewjob?jk=3f638d2989d25104")</f>
        <v/>
      </c>
      <c r="F64">
        <f>HYPERLINK("https://www.amazon.jobs/jobs/3141336/software-engineer-i?cmpid=DA_INAD200785B", "https://www.amazon.jobs/jobs/3141336/software-engineer-i?cmpid=DA_INAD200785B")</f>
        <v/>
      </c>
      <c r="G64" t="inlineStr">
        <is>
          <t>Seattle, WA, US</t>
        </is>
      </c>
      <c r="H64" s="1" t="n">
        <v>46001</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in-cdbdaf03aeae8c10</t>
        </is>
      </c>
      <c r="B65" t="inlineStr">
        <is>
          <t>Software Engineer II, Android</t>
        </is>
      </c>
      <c r="C65" t="inlineStr">
        <is>
          <t>Amazon.com</t>
        </is>
      </c>
      <c r="D65" t="inlineStr">
        <is>
          <t>indeed</t>
        </is>
      </c>
      <c r="E65">
        <f>HYPERLINK("https://www.indeed.com/viewjob?jk=cdbdaf03aeae8c10", "https://www.indeed.com/viewjob?jk=cdbdaf03aeae8c10")</f>
        <v/>
      </c>
      <c r="F65">
        <f>HYPERLINK("https://www.amazon.jobs/jobs/3138330/software-engineer-ii-android?cmpid=DA_INAD200785B", "https://www.amazon.jobs/jobs/3138330/software-engineer-ii-android?cmpid=DA_INAD200785B")</f>
        <v/>
      </c>
      <c r="G65" t="inlineStr">
        <is>
          <t>Irvine, CA, US</t>
        </is>
      </c>
      <c r="H65" s="1" t="n">
        <v>45995</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in-15f757dc07c2b177</t>
        </is>
      </c>
      <c r="B66" t="inlineStr">
        <is>
          <t>Software Engineer II, Android</t>
        </is>
      </c>
      <c r="C66" t="inlineStr">
        <is>
          <t>Amazon.com</t>
        </is>
      </c>
      <c r="D66" t="inlineStr">
        <is>
          <t>indeed</t>
        </is>
      </c>
      <c r="E66">
        <f>HYPERLINK("https://www.indeed.com/viewjob?jk=15f757dc07c2b177", "https://www.indeed.com/viewjob?jk=15f757dc07c2b177")</f>
        <v/>
      </c>
      <c r="F66">
        <f>HYPERLINK("https://www.amazon.jobs/jobs/3138330/software-engineer-ii-android?cmpid=DA_INAD200785B", "https://www.amazon.jobs/jobs/3138330/software-engineer-ii-android?cmpid=DA_INAD200785B")</f>
        <v/>
      </c>
      <c r="G66" t="inlineStr">
        <is>
          <t>Seattle, WA, US</t>
        </is>
      </c>
      <c r="H66" s="1" t="n">
        <v>45995</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in-622ea43fd351e20e</t>
        </is>
      </c>
      <c r="B67" t="inlineStr">
        <is>
          <t>Software Engineer II, Android</t>
        </is>
      </c>
      <c r="C67" t="inlineStr">
        <is>
          <t>Amazon.com</t>
        </is>
      </c>
      <c r="D67" t="inlineStr">
        <is>
          <t>indeed</t>
        </is>
      </c>
      <c r="E67">
        <f>HYPERLINK("https://www.indeed.com/viewjob?jk=622ea43fd351e20e", "https://www.indeed.com/viewjob?jk=622ea43fd351e20e")</f>
        <v/>
      </c>
      <c r="F67">
        <f>HYPERLINK("https://www.amazon.jobs/jobs/3138330/software-engineer-ii-android?cmpid=DA_INAD200785B", "https://www.amazon.jobs/jobs/3138330/software-engineer-ii-android?cmpid=DA_INAD200785B")</f>
        <v/>
      </c>
      <c r="G67" t="inlineStr">
        <is>
          <t>San Francisco, CA, US</t>
        </is>
      </c>
      <c r="H67" s="1" t="n">
        <v>45995</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in-f6135143d22ae5c6</t>
        </is>
      </c>
      <c r="B68" t="inlineStr">
        <is>
          <t>Senior Embedded Software Engineer, Amazon Leo Digital RF Systems</t>
        </is>
      </c>
      <c r="C68" t="inlineStr">
        <is>
          <t>Amazon.com</t>
        </is>
      </c>
      <c r="D68" t="inlineStr">
        <is>
          <t>indeed</t>
        </is>
      </c>
      <c r="E68">
        <f>HYPERLINK("https://www.indeed.com/viewjob?jk=f6135143d22ae5c6", "https://www.indeed.com/viewjob?jk=f6135143d22ae5c6")</f>
        <v/>
      </c>
      <c r="F68">
        <f>HYPERLINK("https://www.amazon.jobs/jobs/3130773/senior-embedded-software-engineer-amazon-leo-digital-rf-systems?cmpid=DA_INAD200785B", "https://www.amazon.jobs/jobs/3130773/senior-embedded-software-engineer-amazon-leo-digital-rf-systems?cmpid=DA_INAD200785B")</f>
        <v/>
      </c>
      <c r="G68" t="inlineStr">
        <is>
          <t>Redmond, WA, US</t>
        </is>
      </c>
      <c r="H68" s="1" t="n">
        <v>45981</v>
      </c>
      <c r="I6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69">
      <c r="A69" t="inlineStr">
        <is>
          <t>in-d28170546d8aef5d</t>
        </is>
      </c>
      <c r="B69" t="inlineStr">
        <is>
          <t>Senior Embedded Software Engineer, Amazon Leo Digital RF Systems</t>
        </is>
      </c>
      <c r="C69" t="inlineStr">
        <is>
          <t>Amazon.com</t>
        </is>
      </c>
      <c r="D69" t="inlineStr">
        <is>
          <t>indeed</t>
        </is>
      </c>
      <c r="E69">
        <f>HYPERLINK("https://www.indeed.com/viewjob?jk=d28170546d8aef5d", "https://www.indeed.com/viewjob?jk=d28170546d8aef5d")</f>
        <v/>
      </c>
      <c r="F69">
        <f>HYPERLINK("https://www.amazon.jobs/jobs/3130773/senior-embedded-software-engineer-amazon-leo-digital-rf-systems?cmpid=DA_INAD200785B", "https://www.amazon.jobs/jobs/3130773/senior-embedded-software-engineer-amazon-leo-digital-rf-systems?cmpid=DA_INAD200785B")</f>
        <v/>
      </c>
      <c r="G69" t="inlineStr">
        <is>
          <t>San Diego, CA, US</t>
        </is>
      </c>
      <c r="H69" s="1" t="n">
        <v>45981</v>
      </c>
      <c r="I6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70">
      <c r="A70" t="inlineStr">
        <is>
          <t>in-8d7eac03a80b9837</t>
        </is>
      </c>
      <c r="B70" t="inlineStr">
        <is>
          <t>Sr. Device Software Engineer, Amazon Leo Government</t>
        </is>
      </c>
      <c r="C70" t="inlineStr">
        <is>
          <t>Amazon.com</t>
        </is>
      </c>
      <c r="D70" t="inlineStr">
        <is>
          <t>indeed</t>
        </is>
      </c>
      <c r="E70">
        <f>HYPERLINK("https://www.indeed.com/viewjob?jk=8d7eac03a80b9837", "https://www.indeed.com/viewjob?jk=8d7eac03a80b9837")</f>
        <v/>
      </c>
      <c r="F70">
        <f>HYPERLINK("https://www.amazon.jobs/jobs/3082545/sr-device-software-engineer-amazon-leo-government-?cmpid=DA_INAD200785B", "https://www.amazon.jobs/jobs/3082545/sr-device-software-engineer-amazon-leo-government-?cmpid=DA_INAD200785B")</f>
        <v/>
      </c>
      <c r="G70" t="inlineStr">
        <is>
          <t>El Segundo, CA, US</t>
        </is>
      </c>
      <c r="H70" s="1" t="n">
        <v>45911</v>
      </c>
      <c r="I7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1">
      <c r="A71" t="inlineStr">
        <is>
          <t>in-44389b9002db9466</t>
        </is>
      </c>
      <c r="B71" t="inlineStr">
        <is>
          <t>Sr. Device Software Engineer, Amazon Leo Government</t>
        </is>
      </c>
      <c r="C71" t="inlineStr">
        <is>
          <t>Amazon.com</t>
        </is>
      </c>
      <c r="D71" t="inlineStr">
        <is>
          <t>indeed</t>
        </is>
      </c>
      <c r="E71">
        <f>HYPERLINK("https://www.indeed.com/viewjob?jk=44389b9002db9466", "https://www.indeed.com/viewjob?jk=44389b9002db9466")</f>
        <v/>
      </c>
      <c r="F71">
        <f>HYPERLINK("https://www.amazon.jobs/jobs/3082545/sr-device-software-engineer-amazon-leo-government-?cmpid=DA_INAD200785B", "https://www.amazon.jobs/jobs/3082545/sr-device-software-engineer-amazon-leo-government-?cmpid=DA_INAD200785B")</f>
        <v/>
      </c>
      <c r="G71" t="inlineStr">
        <is>
          <t>Northridge, CA, US</t>
        </is>
      </c>
      <c r="H71" s="1" t="n">
        <v>45911</v>
      </c>
      <c r="I7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2">
      <c r="A72" t="inlineStr">
        <is>
          <t>in-db499d743ca47d09</t>
        </is>
      </c>
      <c r="B72" t="inlineStr">
        <is>
          <t>Sr. Device Software Engineer, Amazon Leo Government</t>
        </is>
      </c>
      <c r="C72" t="inlineStr">
        <is>
          <t>Amazon.com</t>
        </is>
      </c>
      <c r="D72" t="inlineStr">
        <is>
          <t>indeed</t>
        </is>
      </c>
      <c r="E72">
        <f>HYPERLINK("https://www.indeed.com/viewjob?jk=db499d743ca47d09", "https://www.indeed.com/viewjob?jk=db499d743ca47d09")</f>
        <v/>
      </c>
      <c r="F72">
        <f>HYPERLINK("https://www.amazon.jobs/jobs/3082545/sr-device-software-engineer-amazon-leo-government-?cmpid=DA_INAD200785B", "https://www.amazon.jobs/jobs/3082545/sr-device-software-engineer-amazon-leo-government-?cmpid=DA_INAD200785B")</f>
        <v/>
      </c>
      <c r="G72" t="inlineStr">
        <is>
          <t>Arlington, VA, US</t>
        </is>
      </c>
      <c r="H72" s="1" t="n">
        <v>45911</v>
      </c>
      <c r="I7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3">
      <c r="A73" t="inlineStr">
        <is>
          <t>in-8d2109294ba666a0</t>
        </is>
      </c>
      <c r="B73" t="inlineStr">
        <is>
          <t>Sr. Device Software Engineer, Amazon Leo Government</t>
        </is>
      </c>
      <c r="C73" t="inlineStr">
        <is>
          <t>Amazon.com</t>
        </is>
      </c>
      <c r="D73" t="inlineStr">
        <is>
          <t>indeed</t>
        </is>
      </c>
      <c r="E73">
        <f>HYPERLINK("https://www.indeed.com/viewjob?jk=8d2109294ba666a0", "https://www.indeed.com/viewjob?jk=8d2109294ba666a0")</f>
        <v/>
      </c>
      <c r="F73">
        <f>HYPERLINK("https://www.amazon.jobs/jobs/3082545/sr-device-software-engineer-amazon-leo-government-?cmpid=DA_INAD200785B", "https://www.amazon.jobs/jobs/3082545/sr-device-software-engineer-amazon-leo-government-?cmpid=DA_INAD200785B")</f>
        <v/>
      </c>
      <c r="G73" t="inlineStr">
        <is>
          <t>Redmond, WA, US</t>
        </is>
      </c>
      <c r="H73" s="1" t="n">
        <v>45911</v>
      </c>
      <c r="I7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74">
      <c r="A74" t="inlineStr">
        <is>
          <t>in-796fd5089b04d640</t>
        </is>
      </c>
      <c r="B74" t="inlineStr">
        <is>
          <t>Device Software Engineer, Amazon Leo Government</t>
        </is>
      </c>
      <c r="C74" t="inlineStr">
        <is>
          <t>Amazon.com</t>
        </is>
      </c>
      <c r="D74" t="inlineStr">
        <is>
          <t>indeed</t>
        </is>
      </c>
      <c r="E74">
        <f>HYPERLINK("https://www.indeed.com/viewjob?jk=796fd5089b04d640", "https://www.indeed.com/viewjob?jk=796fd5089b04d640")</f>
        <v/>
      </c>
      <c r="F74">
        <f>HYPERLINK("https://www.amazon.jobs/jobs/3083623/device-software-engineer-amazon-leo-government-?cmpid=DA_INAD200785B", "https://www.amazon.jobs/jobs/3083623/device-software-engineer-amazon-leo-government-?cmpid=DA_INAD200785B")</f>
        <v/>
      </c>
      <c r="G74" t="inlineStr">
        <is>
          <t>El Segundo, CA, US</t>
        </is>
      </c>
      <c r="H74" s="1" t="n">
        <v>45910</v>
      </c>
      <c r="I7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75">
      <c r="A75" t="inlineStr">
        <is>
          <t>in-6d3e72359313c548</t>
        </is>
      </c>
      <c r="B75" t="inlineStr">
        <is>
          <t>Device Software Engineer, Amazon Leo Government</t>
        </is>
      </c>
      <c r="C75" t="inlineStr">
        <is>
          <t>Amazon.com</t>
        </is>
      </c>
      <c r="D75" t="inlineStr">
        <is>
          <t>indeed</t>
        </is>
      </c>
      <c r="E75">
        <f>HYPERLINK("https://www.indeed.com/viewjob?jk=6d3e72359313c548", "https://www.indeed.com/viewjob?jk=6d3e72359313c548")</f>
        <v/>
      </c>
      <c r="F75">
        <f>HYPERLINK("https://www.amazon.jobs/jobs/3083623/device-software-engineer-amazon-leo-government-?cmpid=DA_INAD200785B", "https://www.amazon.jobs/jobs/3083623/device-software-engineer-amazon-leo-government-?cmpid=DA_INAD200785B")</f>
        <v/>
      </c>
      <c r="G75" t="inlineStr">
        <is>
          <t>Arlington, VA, US</t>
        </is>
      </c>
      <c r="H75" s="1" t="n">
        <v>45910</v>
      </c>
      <c r="I7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76">
      <c r="A76" t="inlineStr">
        <is>
          <t>in-1522acdac497fbcd</t>
        </is>
      </c>
      <c r="B76" t="inlineStr">
        <is>
          <t>Device Software Engineer, Amazon Leo Government</t>
        </is>
      </c>
      <c r="C76" t="inlineStr">
        <is>
          <t>Amazon.com</t>
        </is>
      </c>
      <c r="D76" t="inlineStr">
        <is>
          <t>indeed</t>
        </is>
      </c>
      <c r="E76">
        <f>HYPERLINK("https://www.indeed.com/viewjob?jk=1522acdac497fbcd", "https://www.indeed.com/viewjob?jk=1522acdac497fbcd")</f>
        <v/>
      </c>
      <c r="F76">
        <f>HYPERLINK("https://www.amazon.jobs/jobs/3083623/device-software-engineer-amazon-leo-government-?cmpid=DA_INAD200785B", "https://www.amazon.jobs/jobs/3083623/device-software-engineer-amazon-leo-government-?cmpid=DA_INAD200785B")</f>
        <v/>
      </c>
      <c r="G76" t="inlineStr">
        <is>
          <t>Northridge, CA, US</t>
        </is>
      </c>
      <c r="H76" s="1" t="n">
        <v>45910</v>
      </c>
      <c r="I7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77">
      <c r="A77" t="inlineStr">
        <is>
          <t>in-c32741e58c3bf5d6</t>
        </is>
      </c>
      <c r="B77" t="inlineStr">
        <is>
          <t>Device Software Engineer, Amazon Leo Government</t>
        </is>
      </c>
      <c r="C77" t="inlineStr">
        <is>
          <t>Amazon.com</t>
        </is>
      </c>
      <c r="D77" t="inlineStr">
        <is>
          <t>indeed</t>
        </is>
      </c>
      <c r="E77">
        <f>HYPERLINK("https://www.indeed.com/viewjob?jk=c32741e58c3bf5d6", "https://www.indeed.com/viewjob?jk=c32741e58c3bf5d6")</f>
        <v/>
      </c>
      <c r="F77">
        <f>HYPERLINK("https://www.amazon.jobs/jobs/3083623/device-software-engineer-amazon-leo-government-?cmpid=DA_INAD200785B", "https://www.amazon.jobs/jobs/3083623/device-software-engineer-amazon-leo-government-?cmpid=DA_INAD200785B")</f>
        <v/>
      </c>
      <c r="G77" t="inlineStr">
        <is>
          <t>Redmond, WA, US</t>
        </is>
      </c>
      <c r="H77" s="1" t="n">
        <v>45910</v>
      </c>
      <c r="I7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78">
      <c r="A78" t="inlineStr">
        <is>
          <t>in-16b84be8e2edc05e</t>
        </is>
      </c>
      <c r="B78" t="inlineStr">
        <is>
          <t>Software Developer Engineer - iOS, Ring</t>
        </is>
      </c>
      <c r="C78" t="inlineStr">
        <is>
          <t>Amazon.com</t>
        </is>
      </c>
      <c r="D78" t="inlineStr">
        <is>
          <t>indeed</t>
        </is>
      </c>
      <c r="E78">
        <f>HYPERLINK("https://www.indeed.com/viewjob?jk=16b84be8e2edc05e", "https://www.indeed.com/viewjob?jk=16b84be8e2edc05e")</f>
        <v/>
      </c>
      <c r="F78">
        <f>HYPERLINK("https://www.amazon.jobs/jobs/3011028/software-developer-engineer--ios-ring?cmpid=DA_INAD200785B", "https://www.amazon.jobs/jobs/3011028/software-developer-engineer--ios-ring?cmpid=DA_INAD200785B")</f>
        <v/>
      </c>
      <c r="G78" t="inlineStr">
        <is>
          <t>Irvine, CA, US</t>
        </is>
      </c>
      <c r="H78" s="1" t="n">
        <v>45812</v>
      </c>
      <c r="I7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in-f3ca13280592273b</t>
        </is>
      </c>
      <c r="B79" t="inlineStr">
        <is>
          <t>Software Developer Engineer - iOS, Ring</t>
        </is>
      </c>
      <c r="C79" t="inlineStr">
        <is>
          <t>Amazon.com</t>
        </is>
      </c>
      <c r="D79" t="inlineStr">
        <is>
          <t>indeed</t>
        </is>
      </c>
      <c r="E79">
        <f>HYPERLINK("https://www.indeed.com/viewjob?jk=f3ca13280592273b", "https://www.indeed.com/viewjob?jk=f3ca13280592273b")</f>
        <v/>
      </c>
      <c r="F79">
        <f>HYPERLINK("https://www.amazon.jobs/jobs/3011028/software-developer-engineer--ios-ring?cmpid=DA_INAD200785B", "https://www.amazon.jobs/jobs/3011028/software-developer-engineer--ios-ring?cmpid=DA_INAD200785B")</f>
        <v/>
      </c>
      <c r="G79" t="inlineStr">
        <is>
          <t>Austin, TX, US</t>
        </is>
      </c>
      <c r="H79" s="1" t="n">
        <v>45812</v>
      </c>
      <c r="I7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in-36d3050bef5b41e5</t>
        </is>
      </c>
      <c r="B80" t="inlineStr">
        <is>
          <t>Software Developer Engineer - iOS, Ring</t>
        </is>
      </c>
      <c r="C80" t="inlineStr">
        <is>
          <t>Amazon.com</t>
        </is>
      </c>
      <c r="D80" t="inlineStr">
        <is>
          <t>indeed</t>
        </is>
      </c>
      <c r="E80">
        <f>HYPERLINK("https://www.indeed.com/viewjob?jk=36d3050bef5b41e5", "https://www.indeed.com/viewjob?jk=36d3050bef5b41e5")</f>
        <v/>
      </c>
      <c r="F80">
        <f>HYPERLINK("https://www.amazon.jobs/jobs/3011028/software-developer-engineer--ios-ring?cmpid=DA_INAD200785B", "https://www.amazon.jobs/jobs/3011028/software-developer-engineer--ios-ring?cmpid=DA_INAD200785B")</f>
        <v/>
      </c>
      <c r="G80" t="inlineStr">
        <is>
          <t>Hawthorne, CA, US</t>
        </is>
      </c>
      <c r="H80" s="1" t="n">
        <v>45812</v>
      </c>
      <c r="I8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in-28621e7b3514d9ce</t>
        </is>
      </c>
      <c r="B81" t="inlineStr">
        <is>
          <t>Senior Software Engineer - Query Processing, Aurora DSQL</t>
        </is>
      </c>
      <c r="C81" t="inlineStr">
        <is>
          <t>Amazon Web Services</t>
        </is>
      </c>
      <c r="D81" t="inlineStr">
        <is>
          <t>indeed</t>
        </is>
      </c>
      <c r="E81">
        <f>HYPERLINK("https://www.indeed.com/viewjob?jk=28621e7b3514d9ce", "https://www.indeed.com/viewjob?jk=28621e7b3514d9ce")</f>
        <v/>
      </c>
      <c r="F81">
        <f>HYPERLINK("https://www.amazon.jobs/jobs/2987643/senior-software-engineer--query-processing-aurora-dsql?cmpid=DA_INAD200785B", "https://www.amazon.jobs/jobs/2987643/senior-software-engineer--query-processing-aurora-dsql?cmpid=DA_INAD200785B")</f>
        <v/>
      </c>
      <c r="G81" t="inlineStr">
        <is>
          <t>Seattle, WA, US</t>
        </is>
      </c>
      <c r="H81" s="1" t="n">
        <v>45796</v>
      </c>
      <c r="I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in-7625fa8339c83a23</t>
        </is>
      </c>
      <c r="B82" t="inlineStr">
        <is>
          <t>Senior Software Engineer - Query Processing, Aurora DSQL</t>
        </is>
      </c>
      <c r="C82" t="inlineStr">
        <is>
          <t>Amazon Web Services</t>
        </is>
      </c>
      <c r="D82" t="inlineStr">
        <is>
          <t>indeed</t>
        </is>
      </c>
      <c r="E82">
        <f>HYPERLINK("https://www.indeed.com/viewjob?jk=7625fa8339c83a23", "https://www.indeed.com/viewjob?jk=7625fa8339c83a23")</f>
        <v/>
      </c>
      <c r="F82">
        <f>HYPERLINK("https://www.amazon.jobs/jobs/2987643/senior-software-engineer--query-processing-aurora-dsql?cmpid=DA_INAD200785B", "https://www.amazon.jobs/jobs/2987643/senior-software-engineer--query-processing-aurora-dsql?cmpid=DA_INAD200785B")</f>
        <v/>
      </c>
      <c r="G82" t="inlineStr">
        <is>
          <t>East Palo Alto, CA, US</t>
        </is>
      </c>
      <c r="H82" s="1" t="n">
        <v>45796</v>
      </c>
      <c r="I8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li-4323346883</t>
        </is>
      </c>
      <c r="B2" t="inlineStr">
        <is>
          <t>Senior Software Engineer, Product Engineering, Americas</t>
        </is>
      </c>
      <c r="C2" t="inlineStr">
        <is>
          <t>Ashby</t>
        </is>
      </c>
      <c r="D2" t="inlineStr">
        <is>
          <t>linkedin</t>
        </is>
      </c>
      <c r="E2">
        <f>HYPERLINK("https://www.linkedin.com/jobs/view/4323346883", "https://www.linkedin.com/jobs/view/4323346883")</f>
        <v/>
      </c>
      <c r="F2" t="inlineStr"/>
      <c r="G2" t="inlineStr"/>
      <c r="H2" t="inlineStr"/>
      <c r="I2"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3">
      <c r="A3" t="inlineStr">
        <is>
          <t>li-4290774655</t>
        </is>
      </c>
      <c r="B3" t="inlineStr">
        <is>
          <t>Full Stack Software Engineer</t>
        </is>
      </c>
      <c r="C3" t="inlineStr">
        <is>
          <t>Chalk</t>
        </is>
      </c>
      <c r="D3" t="inlineStr">
        <is>
          <t>linkedin</t>
        </is>
      </c>
      <c r="E3">
        <f>HYPERLINK("https://www.linkedin.com/jobs/view/4290774655", "https://www.linkedin.com/jobs/view/4290774655")</f>
        <v/>
      </c>
      <c r="F3">
        <f>HYPERLINK("https://job-boards.greenhouse.io/chalkinc/jobs/4032173005&amp;urlHash=BD0N", "https://job-boards.greenhouse.io/chalkinc/jobs/4032173005&amp;urlHash=BD0N")</f>
        <v/>
      </c>
      <c r="G3" t="inlineStr">
        <is>
          <t>San Francisco, CA</t>
        </is>
      </c>
      <c r="H3" t="inlineStr"/>
      <c r="I3"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4">
      <c r="A4" t="inlineStr">
        <is>
          <t>li-4296094481</t>
        </is>
      </c>
      <c r="B4" t="inlineStr">
        <is>
          <t>Backend Engineer</t>
        </is>
      </c>
      <c r="C4" t="inlineStr">
        <is>
          <t>Wealthfront</t>
        </is>
      </c>
      <c r="D4" t="inlineStr">
        <is>
          <t>linkedin</t>
        </is>
      </c>
      <c r="E4">
        <f>HYPERLINK("https://www.linkedin.com/jobs/view/4296094481", "https://www.linkedin.com/jobs/view/4296094481")</f>
        <v/>
      </c>
      <c r="F4" t="inlineStr"/>
      <c r="G4" t="inlineStr">
        <is>
          <t>New York, NY</t>
        </is>
      </c>
      <c r="H4" t="inlineStr"/>
      <c r="I4"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5">
      <c r="A5" t="inlineStr">
        <is>
          <t>li-4296093604</t>
        </is>
      </c>
      <c r="B5" t="inlineStr">
        <is>
          <t>Backend Engineer</t>
        </is>
      </c>
      <c r="C5" t="inlineStr">
        <is>
          <t>Wealthfront</t>
        </is>
      </c>
      <c r="D5" t="inlineStr">
        <is>
          <t>linkedin</t>
        </is>
      </c>
      <c r="E5">
        <f>HYPERLINK("https://www.linkedin.com/jobs/view/4296093604", "https://www.linkedin.com/jobs/view/4296093604")</f>
        <v/>
      </c>
      <c r="F5" t="inlineStr"/>
      <c r="G5" t="inlineStr">
        <is>
          <t>Palo Alto, CA</t>
        </is>
      </c>
      <c r="H5" t="inlineStr"/>
      <c r="I5"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6">
      <c r="A6" t="inlineStr">
        <is>
          <t>li-4324478525</t>
        </is>
      </c>
      <c r="B6" t="inlineStr">
        <is>
          <t>Backend Engineer</t>
        </is>
      </c>
      <c r="C6" t="inlineStr">
        <is>
          <t>Wealthfront</t>
        </is>
      </c>
      <c r="D6" t="inlineStr">
        <is>
          <t>linkedin</t>
        </is>
      </c>
      <c r="E6">
        <f>HYPERLINK("https://www.linkedin.com/jobs/view/4324478525", "https://www.linkedin.com/jobs/view/4324478525")</f>
        <v/>
      </c>
      <c r="F6" t="inlineStr"/>
      <c r="G6" t="inlineStr">
        <is>
          <t>San Francisco, CA</t>
        </is>
      </c>
      <c r="H6" t="inlineStr"/>
      <c r="I6"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7">
      <c r="A7" t="inlineStr">
        <is>
          <t>li-4381021191</t>
        </is>
      </c>
      <c r="B7" t="inlineStr">
        <is>
          <t>Founding Fullstack Engineer</t>
        </is>
      </c>
      <c r="C7" t="inlineStr">
        <is>
          <t>Meridian</t>
        </is>
      </c>
      <c r="D7" t="inlineStr">
        <is>
          <t>linkedin</t>
        </is>
      </c>
      <c r="E7">
        <f>HYPERLINK("https://www.linkedin.com/jobs/view/4381021191", "https://www.linkedin.com/jobs/view/4381021191")</f>
        <v/>
      </c>
      <c r="F7" t="inlineStr"/>
      <c r="G7" t="inlineStr">
        <is>
          <t>New York, NY</t>
        </is>
      </c>
      <c r="H7" t="inlineStr"/>
      <c r="I7" t="inlineStr">
        <is>
          <t>As a Full Stack Engineer, you’ll design and implement performance applications that power AI\-driven insights. You’ll work across the stack, from crafting intuitive front\-end interfaces to enhancing robust backend systems, ensuring speed, scalability, and impact.
**What You’ll Do**
* Develop and launch end\-to\-end applications that enable businesses to monitor and optimize their AI footprint.
* Build and improve front\-end experiences using React and TypeScript.
* Architect and enhance backend services focused on scalability, security, and performance.
* Collaborate closely with designers and product teams to transform concepts into polished, production\-ready products.
* Make critical technical decisions, prioritizing maintainability and lasting impact.
**Who You Are**
* A strong portfolio or GitHub showcasing full\-stack development expertise. Proficient in React, TypeScript, Node.js, and modern front\-end/back\-end frameworks.
* Experience designing and working with scalable databases and APIs.
* Deep understanding of performance optimization, security, and best practices.
* Comfortable in a fast\-moving, high\-performance startup environment.
 This is an on\-site role in our Williamsburg office \- designed for builders who thrive on speed, iteration, and impact.
 Compensation Range: $150K \- $250K</t>
        </is>
      </c>
    </row>
    <row r="8">
      <c r="A8" t="inlineStr">
        <is>
          <t>li-4296091740</t>
        </is>
      </c>
      <c r="B8" t="inlineStr">
        <is>
          <t>Backend Engineer</t>
        </is>
      </c>
      <c r="C8" t="inlineStr">
        <is>
          <t>Wealthfront</t>
        </is>
      </c>
      <c r="D8" t="inlineStr">
        <is>
          <t>linkedin</t>
        </is>
      </c>
      <c r="E8">
        <f>HYPERLINK("https://www.linkedin.com/jobs/view/4296091740", "https://www.linkedin.com/jobs/view/4296091740")</f>
        <v/>
      </c>
      <c r="F8" t="inlineStr"/>
      <c r="G8" t="inlineStr">
        <is>
          <t>Seattle, WA</t>
        </is>
      </c>
      <c r="H8" t="inlineStr"/>
      <c r="I8"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9">
      <c r="A9" t="inlineStr">
        <is>
          <t>li-4262571856</t>
        </is>
      </c>
      <c r="B9" t="inlineStr">
        <is>
          <t>Software Engineer - Infrastructure</t>
        </is>
      </c>
      <c r="C9" t="inlineStr">
        <is>
          <t>xAI</t>
        </is>
      </c>
      <c r="D9" t="inlineStr">
        <is>
          <t>linkedin</t>
        </is>
      </c>
      <c r="E9">
        <f>HYPERLINK("https://www.linkedin.com/jobs/view/4262571856", "https://www.linkedin.com/jobs/view/4262571856")</f>
        <v/>
      </c>
      <c r="F9" t="inlineStr"/>
      <c r="G9" t="inlineStr">
        <is>
          <t>Palo Alto, CA</t>
        </is>
      </c>
      <c r="H9" t="inlineStr"/>
      <c r="I9"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infrastructure engineers to redefine what is possible in large\-scale AI infrastructure and build the supercomputing platform that powers xAI’s ambitious goals. The initial 200,000 GPU phase of the Colossus supercluster in Memphis was only the beginning of xAI’s infrastructure roadmap, and we need world\-class infra engineers to build the future of large\-scale AI.
 As a Software Engineer on the Infrastructure team, you’ll work across multiple workstreams to design, build, and maintain cutting\-edge distributed systems that enable our developers to scale our compute and data platforms and ensure efficiency, reliability, and performance at an unprecedented scale. 
 This role offers the opportunity to shape the backbone of xAI’s technology.
**What You'll Do** 
* Scale compute infrastructure on Kubernetes by building controllers, admission plugins, and supporting systems that empower teams to leverage Kubernetes effectively.
* Design and maintain one of the largest traffic shaping and load balancing deployments using Envoy, while building service meshes and service discovery systems to handle massive scale.
* Scale data platforms and observability systems (logging, tracing, metrics) to support exabyte\-scale data processing and provide deep insights into system performance.
* Drive reliability, standardization, and performance by building and refining systems with a pedantic focus on quality and scalability.
* Manage and optimize large\-scale storage systems, including key\-value stores, relational databases, and network file systems or object stores (open\-source, cloud\-managed, and in\-house solutions).
* Contribute to miscellaneous quality\-of\-life improvements that empower developers and streamline workflows.
**Who You Are** 
* 2\+ years of industry experience working with large\-scale, high\-throughput distributed systems, compute platforms, or data infrastructure.
* Proficient in Golang, Rust, Python, or similar languages.
* (Optional) Familiarity with modern developer tools (Bazel, Buildkite, Argo, Kubernetes), service meshes (Envoy), or observability frameworks.
* (Optional) Experience with large\-scale storage systems (KV stores, RDBMS, object stores) or Kubernetes ecosystem development (controllers, plugins).
* Passionate about reliability, performance optimization, and building systems that scale seamlessly.
**Tech Stack** 
* Golang, Python, Rust, gRPC
* Kubernetes, Bazel, Buildkite, Argo, Envoy
* Observability tools, service meshes, and large\-scale storage systems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0">
      <c r="A10" t="inlineStr">
        <is>
          <t>li-4381016413</t>
        </is>
      </c>
      <c r="B10" t="inlineStr">
        <is>
          <t>Founding Backend Engineer</t>
        </is>
      </c>
      <c r="C10" t="inlineStr">
        <is>
          <t>Meridian</t>
        </is>
      </c>
      <c r="D10" t="inlineStr">
        <is>
          <t>linkedin</t>
        </is>
      </c>
      <c r="E10">
        <f>HYPERLINK("https://www.linkedin.com/jobs/view/4381016413", "https://www.linkedin.com/jobs/view/4381016413")</f>
        <v/>
      </c>
      <c r="F10">
        <f>HYPERLINK("https://jobs.ashbyhq.com/meridian/5bc5c0de-080f-4796-b3a9-6f5139abd671/application?utm_source=BAYXZoP14k&amp;source=Linkedin&amp;urlHash=nkXe", "https://jobs.ashbyhq.com/meridian/5bc5c0de-080f-4796-b3a9-6f5139abd671/application?utm_source=BAYXZoP14k&amp;source=Linkedin&amp;urlHash=nkXe")</f>
        <v/>
      </c>
      <c r="G10" t="inlineStr">
        <is>
          <t>New York, NY</t>
        </is>
      </c>
      <c r="H10" t="inlineStr"/>
      <c r="I10" t="inlineStr">
        <is>
          <t>As a Backend Engineer, you'll design and enhance the core systems powering our AI capabilities. Your role involves developing scalable APIs, efficiently processing large datasets, and building reliable, performant backend infrastructure.
**What You’ll Do**
* Design and implement robust backend systems supporting AI\-driven analytics.
* Develop scalable APIs enabling real\-time insights and efficient data handling.
* Optimize data processing pipelines for large\-scale structured and unstructured datasets.
* Ensure system security, performance, and reliability at every level of the stack.
* Work closely with front\-end engineers and data scientists to deliver seamless, high\-impact features.
* Own key technical decisions, balancing speed with long\-term maintainability.
**Who You Are**
* A strong portfolio or GitHub showcasing backend development expertise.
* Expertise in Node.js, Typescript and Python with hands\-on experience building scalable backend solutions.
* Deep familiarity with database systems (PostgreSQL, S3, data lakes etc.) and efficient query design.
* Proven track record developing robust data pipelines and experience with distributed systems.
* Familiarity with cloud infrastructure (AWS, GCP, or Azure) and containerization (Docker, Kubernetes).
* Strong grasp of security best practices, API authentication, and performance tuning.
* Comfortable in a fast\-moving, high\-performance startup environment.
* Experience in System Prompt Engineering and LLM Output Evaluation.
 Compensation Range: $150K \- $250K</t>
        </is>
      </c>
    </row>
    <row r="11">
      <c r="A11" t="inlineStr">
        <is>
          <t>li-4382101017</t>
        </is>
      </c>
      <c r="B11" t="inlineStr">
        <is>
          <t>Software Engineer</t>
        </is>
      </c>
      <c r="C11" t="inlineStr">
        <is>
          <t>Rabot</t>
        </is>
      </c>
      <c r="D11" t="inlineStr">
        <is>
          <t>linkedin</t>
        </is>
      </c>
      <c r="E11">
        <f>HYPERLINK("https://www.linkedin.com/jobs/view/4382101017", "https://www.linkedin.com/jobs/view/4382101017")</f>
        <v/>
      </c>
      <c r="F11" t="inlineStr"/>
      <c r="G11" t="inlineStr">
        <is>
          <t>Arlington, TX</t>
        </is>
      </c>
      <c r="H11" t="inlineStr"/>
      <c r="I11" t="inlineStr">
        <is>
          <t>**About Rabot**
 Rabot builds vision AI for warehouse packing operations. Cameras watch the pack line, software figures out where things are slow or wrong, and operators get real\-time feedback that actually changes how they work. Customers stick around because it measurably improves their output.
 We're venture\-backed with distribution partnerships with major industry players. The product works. Now we need engineers to build what's next.
 The role
 You'd work on the customer\-facing product. The software that warehouse operators, managers, and executives interact with every day. Dashboards, real\-time views, configuration, analytics, integrations. This is the layer between our AI and the people who use it.
 The team is small. You'll ship features end to end: spec it out with product, build it, deploy it, and hear directly from customers whether it works. There's no handoff chain. You own your code from commit to production.
 3\+ years of experience required. We care less about where you worked and more about what you've built.
 In\-person in Arlington, TX. Not remote.
 What you'll do
* Build and ship features in the customer\-facing product. Full stack: frontend, backend, cloud infrastructure.
* Work directly with product and customers to understand what needs to be built and why.
* Own what you ship. You deploy it, you monitor it, you fix it when it breaks.
* Write code that other people can read and maintain. The team is small and everyone touches everything.
* Improve the development and deployment pipeline as you go. CI/CD, testing, observability.
* Use AI tools in your workflow. We expect it. They're good at the boring parts.
 Who you are
* You have 3\+ years of professional software engineering experience. You've shipped production software that real users depend on.
* You're strong across the stack. Not just tutorials. You've built and maintained real applications.
* You're comfortable with cloud infrastructure. Deploying, scaling, debugging production systems.
* You write clean code and you care about it, but you don't let perfect get in the way of shipped.
* You can work across the stack. Frontend one day, backend the next, infrastructure when it needs fixing.
* You communicate clearly. Small team means you talk to product, customers, and other engineers directly.
* You figure things out. When you hit something you haven't seen before, you dig in instead of waiting for help.
 Nice to have
* Experience building B2B SaaS products. You understand multi\-tenant systems, customer configuration, and the difference between consumer and enterprise software.
* You've worked with real\-time data or video/image pipelines.
* Background in or exposure to computer vision, AI/ML, or IoT systems.
* Experience with warehouse, logistics, or industrial software.
* You've worked at a startup before and know what shipping fast with a small team actually looks like.
 What we offer
* Base salary plus equity. A real stake, not a token grant.
* You'd build the product customers interact with every day at a company with clear traction.
* Direct access to founders and customers. Short feedback loops.
* AI tools and a team that uses them. We build AI products and we use AI to build them.
* A small team where your work is visible and your opinions matter.
 Comp
 We want someone who bets on themselves. If you're optimizing purely for guaranteed base, this probably isn't the right fit. If you want equity in a company you can directly make better with your code, this structure works.
 How to apply
 Send us two things:
* Something you've built that you're proud of. Could be a feature, a system, a side project, open source work. What was it, what decisions did you make, and what would you do differently?
* You're designing a dashboard that shows warehouse managers real\-time packing performance across many stations. What's your approach to keeping it fast? Keep it under a page.</t>
        </is>
      </c>
    </row>
    <row r="12">
      <c r="A12" t="inlineStr">
        <is>
          <t>li-4249515331</t>
        </is>
      </c>
      <c r="B12" t="inlineStr">
        <is>
          <t>Software Engineer</t>
        </is>
      </c>
      <c r="C12" t="inlineStr">
        <is>
          <t>Rilla</t>
        </is>
      </c>
      <c r="D12" t="inlineStr">
        <is>
          <t>linkedin</t>
        </is>
      </c>
      <c r="E12">
        <f>HYPERLINK("https://www.linkedin.com/jobs/view/4249515331", "https://www.linkedin.com/jobs/view/4249515331")</f>
        <v/>
      </c>
      <c r="F12">
        <f>HYPERLINK("https://jobs.ashbyhq.com/rilla/37228ca3-4e4a-4e3c-9414-d8a2046ff496?utm_source=v2R06b6zkn&amp;urlHash=MMtF", "https://jobs.ashbyhq.com/rilla/37228ca3-4e4a-4e3c-9414-d8a2046ff496?utm_source=v2R06b6zkn&amp;urlHash=MMtF")</f>
        <v/>
      </c>
      <c r="G12" t="inlineStr">
        <is>
          <t>New York, NY</t>
        </is>
      </c>
      <c r="H12" t="inlineStr"/>
      <c r="I12" t="inlineStr">
        <is>
          <t>A Foundational Company
 Rilla builds the world’s leading conversation intelligence software for offline commerce.
 By recording, analyzing, and indexing conversations, our platform supplies unparalleled alpha to the critical, physical businesses that constitute the backbone of our economy.
 Our purpose is to bring the technology of the 21st century’s most innovative companies to the rest of the economy.
 As a side effect of this mission, we’ve become one of the fastest growing companies in history. In numbers, that means 0→$40M in 3\.5 years, growing 15% MoM, Net Revenue Retention above 170%, an NPS higher than the iPhone’s, and profitability.
 The Role
 Rilla engineers architect and ship features across the stack at lightning speed. On a daily basis, you will build end\-to\-end workflows, take them to production, and solve real world problems across an out\-sized scale.
 As an early technical steward, you will raise the bar for code quality and decision‑making, setting patterns that cement a world‑class engineering culture as we scale. While the company 10×’s, your scope and ownership will grow just as fast—building the tools, mental models, and platforms that let both you and Rilla accelerate exponentially.
 Do you describe yourself as "obsessive"? Do you aspire to be a founder or a leader in applying AI to the physical world? We believe Rilla is the best place — with the best peers — to learn how.
 Technologies We Use
* Different languages and frameworks, including React, React Native, Typescript and Python
* Open\-source technologies like Node.js, PostgreSQL, Turborepo, Lodash, and Zod
* Industry\-standard build tooling, including GitHub Actions, Terraform, and Spacelift
 What We Value
* An infinite learner. Someone who is relentless in their curiosity.
* A customer obsessive. Someone who deeply care about delighting customers and solving real pains, not vanity metrics.
* A winning attitude. You thrive with extreme accountability, learning as a team, and both giving and receiving rapid feedback.
* Extreme empathy. Our customers are not tech companies. They live and work in the real world. Empathy is critical to arriving at correct solutions.
* Unafraid of failure. You take risks. You see failure as an opportunity to learn, grow, and be better the next time. In a weird way, you trick your brain into being excited when you fail, because it means you got a new opportunity to learn more.
**What We Require**
* Strong coding skills with demonstrated proficiency in programming languages, such as Javascript, C\+\+, Python, Rust, or similar languages.
* Strong engineering prowess, ideally developed at start\-ups.
* Familiarity with storage and data processing systems, cloud infrastructure, and other technical tools.
* Strong written and verbal communication skills and ability to iterate quickly with teammates, incorporating feedback and holding a high bar for quality.
 Don’t Work Here
**Please Don't Join If You're Not Excited About**
* Building an AI product for an industry untouched by modern software
* Constantly talking to and visiting customers in the field
* Working \~70 hrs/week in person with some of the most ambitious people in NYC
* Attempting to build a generational company, and the intensity required to do so
**Compensation**
 The estimated salary range for this position is $200,000 \- $300,000/year.
 Successful candidates with competing offers will receive matching and competitive offers.
 Total compensation for this position may also include Incentive Stock Options, sign\-on bonus, and other potential future incentives. This estimate excludes the value of any potential sign\-on bonus; the value of any benefits offered; and the potential future value of any long\-term incentives.
 Our benefits aim to empower Rilla employees in removing roadblocks to achieving their life’s work. The list below details our available benefits and some of the perks that can be enjoyed as an employee of Rilla.
**Benefits**
* Medical, dental, and vision insurance
* Breakfast, lunch, dinner, and supplementary food and drink — 6x a week
* Gym membership
* Commuter benefits
* Relocation assistance
* Take what you need paid time off, not accrual based
* $1,000 stipend for learning and personal growth
* $1,500 a month rent stipend
* Tech equipment</t>
        </is>
      </c>
    </row>
    <row r="13">
      <c r="A13" t="inlineStr">
        <is>
          <t>li-4382110011</t>
        </is>
      </c>
      <c r="B13" t="inlineStr">
        <is>
          <t>Software Developer (.NET, React, Mongo,AI)</t>
        </is>
      </c>
      <c r="C13" t="inlineStr">
        <is>
          <t>Aperia</t>
        </is>
      </c>
      <c r="D13" t="inlineStr">
        <is>
          <t>linkedin</t>
        </is>
      </c>
      <c r="E13">
        <f>HYPERLINK("https://www.linkedin.com/jobs/view/4382110011", "https://www.linkedin.com/jobs/view/4382110011")</f>
        <v/>
      </c>
      <c r="F13" t="inlineStr"/>
      <c r="G13" t="inlineStr">
        <is>
          <t>Alpharetta, GA</t>
        </is>
      </c>
      <c r="H13" t="inlineStr"/>
      <c r="I13" t="inlineStr">
        <is>
          <t>**Summary**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**Job Description**
 We are seeking a highly motivated
 **.Net Developer** 
 to join our development team. In this role, you will be responsible for designing, building, and maintaining robust web applications using .Net and .Net Core technologies. You will collaborate closely with cross\-functional teams to deliver scalable, high\-performance solutions that meet both user needs and business objectives.
**Core Responsibilities**
* Develop and maintain scalable back\-end APIs and services using technologies such as .NET and .NET Core.
* Integrate front\-end components with back\-end logic and database systems (i.e. SQL).
* Collaborate with UI/UX designers, product managers, and other developers to define and implement solutions.
* Write clean, testable, and well\-documented code.
* Implement and maintain CI/CD pipelines to ensure rapid and reliable deployment of applications.
* Optimize applications for performance, security, and scalability.
* Troubleshoot and debug issues across the stack in development and production environments.
* Participate in code reviews and mentor junior developers when needed.
**Technical Skills**
* Minimum 3\-4 years of experience as a full\-stack developer using .Net Core, and SQL
* Strong experience with server\-side languages such as .Net Core, C\#
* Familiarity with database technologies (SQL, NoSQL).
* Experience with RESTful APIs and microservices architecture.
* Knowledge of version control systems like Git.
* Familiarity with Agile/Scrum methodologies.
* Excellent problem\-solving and communication skills
**Things that will separate you from the rest**
* Familiar in front\-end technologies: HTML, CSS, JavaScript, and one or more modern frameworks (React, Angular, etc.).
* Exposure to CI/CD tools like Jenkins, Docker, GitLab CI, Maven.
* Familiarity with JIRA, Confluence, and Agile development methodologies
* Solid understanding of HTML5 and CSS
**Education or Certifications**
* Bachelor's Degree or higher, major in IT, Computer Science
**Job Type**
* Full\-Time
**Schedule**
* Monday to Friday
**Work Location**
* Alpharetta, GA
**Benefits**
* Health insurance
* Dental insurance
* Paid time off
* Parental leave
* Childcare assistance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row>
    <row r="14">
      <c r="A14" t="inlineStr">
        <is>
          <t>li-4380692892</t>
        </is>
      </c>
      <c r="B14" t="inlineStr">
        <is>
          <t>Backend Engineer, AI</t>
        </is>
      </c>
      <c r="C14" t="inlineStr">
        <is>
          <t>A1</t>
        </is>
      </c>
      <c r="D14" t="inlineStr">
        <is>
          <t>linkedin</t>
        </is>
      </c>
      <c r="E14">
        <f>HYPERLINK("https://www.linkedin.com/jobs/view/4380692892", "https://www.linkedin.com/jobs/view/4380692892")</f>
        <v/>
      </c>
      <c r="F14" t="inlineStr"/>
      <c r="G14" t="inlineStr">
        <is>
          <t>Palo Alto, CA</t>
        </is>
      </c>
      <c r="H14" t="inlineStr"/>
      <c r="I14" t="inlineStr">
        <is>
          <t>**About the Role** 
 A1 is building a proactive AI system that carries work forward across conversations, tools, and time.
 You will build the systems that power every AI interaction users experience. Your work will sit at the intersection of models, orchestration, APIs, and product behavior \- where correctness, latency, and reliability actually matter.
**Focus** 
* Build and operate backend systems that serve AI\-powered features in production.
* Design inference pipelines, orchestration layers, and service boundaries around models.
* Own production concerns: monitoring, logging, alerting, and incident response.
* Optimize latency and throughput across inference, caching, batching, and streaming.
**Ideal Experiences** 
* Strong backend engineering fundamentals in production environments.
* Experience running high\-throughput, low\-latency services.
* Familiarity with AI inference patterns (LLMs, embeddings, multimodal).
* Comfortable debugging distributed systems under load.
* Bias toward shipping and learning from production behavior.
**Tech Stack** 
* Python
* NodeJs
* Pytorch
* OpenAI / Anthropic / open\-source LLMs
* SQl \&amp; noSQL
* Kubernetes
* Docker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5">
      <c r="A15" t="inlineStr">
        <is>
          <t>li-4382114030</t>
        </is>
      </c>
      <c r="B15" t="inlineStr">
        <is>
          <t>Founding Full Stack Engineer</t>
        </is>
      </c>
      <c r="C15" t="inlineStr">
        <is>
          <t>nubrain</t>
        </is>
      </c>
      <c r="D15" t="inlineStr">
        <is>
          <t>linkedin</t>
        </is>
      </c>
      <c r="E15">
        <f>HYPERLINK("https://www.linkedin.com/jobs/view/4382114030", "https://www.linkedin.com/jobs/view/4382114030")</f>
        <v/>
      </c>
      <c r="F15" t="inlineStr"/>
      <c r="G15" t="inlineStr"/>
      <c r="H15" t="inlineStr"/>
      <c r="I15" t="inlineStr">
        <is>
          <t>**About Us** 
 At Nubrain, we are inventing the next era of human–computer interaction.
 We’re building systems that decode brain activity into text, images, and mental states, enabling a new class of applications powered directly by neural signals.
 Our goal is to create the developer platform for brain\-computer interfaces.
**Role Overview** 
 As a Founding Software Engineer, you will work directly with the CEO and CTO to build the core infrastructure powering Nubrain.
 This includes building our neural data collection platform, model APIs, and developer SDKs that make our brain foundation models accessible to developers and researchers.
 This role is ideal for someone who enjoys solving hard problems, working with time\-series data, and building systems from 0 → 1\.
 Location: Remote/San Francisco
**Typical Tech Stack (Flexible)** 
* Backend: Python, FastAPI, Rust, TypeScript
* Frontend: React / Next.js
* Infrastructure: AWS / GCP
* APIs: WebSockets / gRPC
* Data: time\-series neural signal processing
*We value strong engineers more than specific frameworks.* 
**What You'll Actually Build** 
* A neural data collection platform used to capture large\-scale brain signal datasets
* Low\-latency APIs that serve brain foundation models in production
* A developer SDK that lets builders integrate Nubrain into their applications
* Real\-time pipelines for high\-frequency neural time\-series data
**This role is perfect for someone who** 
* Has strong engineering fundamentals
* Enjoys math, problem solving, and complex systems
* Has full stack development experience
* Thrives in early\-stage environments with ambiguity
* Experience working with time\-series data, WebSockets, gRPC, or high\-concurrency systems
**Bonus** 
* Experience with ML/AI systems
* Experience building APIs, SDKs, or developer platforms
**Why Join Nubrain** 
* Founding Equity: Significant ownership in a company defining a new category.
* Technical Sovereignty: You choose the tools. You set the bar. You build the culture.
* The Ultimate Frontier: Be one of the first humans to build the bridge between biological and digital intelligence.</t>
        </is>
      </c>
    </row>
    <row r="16">
      <c r="A16" t="inlineStr">
        <is>
          <t>li-4381026076</t>
        </is>
      </c>
      <c r="B16" t="inlineStr">
        <is>
          <t>Founding Frontend Engineer</t>
        </is>
      </c>
      <c r="C16" t="inlineStr">
        <is>
          <t>Meridian</t>
        </is>
      </c>
      <c r="D16" t="inlineStr">
        <is>
          <t>linkedin</t>
        </is>
      </c>
      <c r="E16">
        <f>HYPERLINK("https://www.linkedin.com/jobs/view/4381026076", "https://www.linkedin.com/jobs/view/4381026076")</f>
        <v/>
      </c>
      <c r="F16" t="inlineStr"/>
      <c r="G16" t="inlineStr">
        <is>
          <t>New York, NY</t>
        </is>
      </c>
      <c r="H16" t="inlineStr"/>
      <c r="I16" t="inlineStr">
        <is>
          <t>As a Frontend Engineer, you’ll craft high\-performance, visually striking applications driving the next generation of agentic platforms.
**What You’ll Do**
* Develop and polish exceptional user interfaces from conceptual wireframes.
* Leverage advanced CSS skills to achieve pixel\-perfect, sophisticated user experiences.
* Optimize front\-end code to ensure smooth and responsive interactions.
* Work closely with design and engineering to bring ideas to life with precision and speed.
* Contribute to our product’s core architecture and front\-end best practices.
**Who You Are** 
 ‍
* Expertise in React, Next.js, and TypeScript, with a deep understanding of state management and performance optimization.
* Strong experience with Tailwind CSS or SASS/SCSS, delivering refined, polished, and visually sharp UIs.
* Proven ability to architect and scale complex Next.js applications, leveraging features like App Router, SSR, SSG, and ISR.
* Familiarity with fetch management libraries like react\-query or similar.
* Hands\-on experience with CSS animations, transitions, and layout techniques to create smooth, engaging interfaces.
* A strong portfolio showcasing high\-quality front\-end development work.
* A keen eye for design, detail, and user experience, ensuring seamless interactions.
* Comfortable in a fast\-paced, high\-performance startup environment, iterating quickly on new ideas.
 Compensation Range: $150K \- $250K</t>
        </is>
      </c>
    </row>
    <row r="17">
      <c r="A17" t="inlineStr">
        <is>
          <t>li-4321796922</t>
        </is>
      </c>
      <c r="B17" t="inlineStr">
        <is>
          <t>Software Engineer, Frontend</t>
        </is>
      </c>
      <c r="C17" t="inlineStr">
        <is>
          <t>Wealthfront</t>
        </is>
      </c>
      <c r="D17" t="inlineStr">
        <is>
          <t>linkedin</t>
        </is>
      </c>
      <c r="E17">
        <f>HYPERLINK("https://www.linkedin.com/jobs/view/4321796922", "https://www.linkedin.com/jobs/view/4321796922")</f>
        <v/>
      </c>
      <c r="F17" t="inlineStr"/>
      <c r="G17" t="inlineStr">
        <is>
          <t>San Francisco, CA</t>
        </is>
      </c>
      <c r="H17" t="inlineStr"/>
      <c r="I17"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8">
      <c r="A18" t="inlineStr">
        <is>
          <t>li-4321816786</t>
        </is>
      </c>
      <c r="B18" t="inlineStr">
        <is>
          <t>Software Engineer, Frontend</t>
        </is>
      </c>
      <c r="C18" t="inlineStr">
        <is>
          <t>Wealthfront</t>
        </is>
      </c>
      <c r="D18" t="inlineStr">
        <is>
          <t>linkedin</t>
        </is>
      </c>
      <c r="E18">
        <f>HYPERLINK("https://www.linkedin.com/jobs/view/4321816786", "https://www.linkedin.com/jobs/view/4321816786")</f>
        <v/>
      </c>
      <c r="F18" t="inlineStr"/>
      <c r="G18" t="inlineStr">
        <is>
          <t>Palo Alto, CA</t>
        </is>
      </c>
      <c r="H18" t="inlineStr"/>
      <c r="I18"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9">
      <c r="A19" t="inlineStr">
        <is>
          <t>li-4290771622</t>
        </is>
      </c>
      <c r="B19" t="inlineStr">
        <is>
          <t>Software Engineer</t>
        </is>
      </c>
      <c r="C19" t="inlineStr">
        <is>
          <t>Chalk</t>
        </is>
      </c>
      <c r="D19" t="inlineStr">
        <is>
          <t>linkedin</t>
        </is>
      </c>
      <c r="E19">
        <f>HYPERLINK("https://www.linkedin.com/jobs/view/4290771622", "https://www.linkedin.com/jobs/view/4290771622")</f>
        <v/>
      </c>
      <c r="F19">
        <f>HYPERLINK("https://job-boards.greenhouse.io/chalkinc/jobs/4031707005&amp;urlHash=lDIr", "https://job-boards.greenhouse.io/chalkinc/jobs/4031707005&amp;urlHash=lDIr")</f>
        <v/>
      </c>
      <c r="G19" t="inlineStr">
        <is>
          <t>San Francisco, CA</t>
        </is>
      </c>
      <c r="H19" t="inlineStr"/>
      <c r="I19"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0">
      <c r="A20" t="inlineStr">
        <is>
          <t>li-4377116005</t>
        </is>
      </c>
      <c r="B20" t="inlineStr">
        <is>
          <t>Senior/Principal Software Engineer</t>
        </is>
      </c>
      <c r="C20" t="inlineStr">
        <is>
          <t>Bellota Labs</t>
        </is>
      </c>
      <c r="D20" t="inlineStr">
        <is>
          <t>linkedin</t>
        </is>
      </c>
      <c r="E20">
        <f>HYPERLINK("https://www.linkedin.com/jobs/view/4377116005", "https://www.linkedin.com/jobs/view/4377116005")</f>
        <v/>
      </c>
      <c r="F20" t="inlineStr"/>
      <c r="G20" t="inlineStr">
        <is>
          <t>Redwood City, CA</t>
        </is>
      </c>
      <c r="H20" t="inlineStr"/>
      <c r="I20" t="inlineStr">
        <is>
          <t>At
 **Bellota Labs** 
 , we are a fast\-paced, hypergrowth startup poised to revolutionize the gaming world with
 **ClubWPT Gold** 
 —a groundbreaking product from the
 **World Poker Tour** 
 . Driven by innovation, game integrity, and exceptional customer experiences, we are on a mission to set new standards in online gaming. We are now looking for a
 **Senior/Principal Software Engineer** 
 to join our dynamic team. This key role will help shape the architecture, design, and development of our platform, driving innovation while ensuring the highest technical standards. Join us and be part of something big as we redefine the gaming landscape!
**Key Responsibilities:** 
* Design, implement, and maintain robust CI/CD pipelines across local, development, staging, and production environments
* Integrate third\-party services to streamline and enhance product development
* Lead end\-to\-end projects, write high\-quality code, and take ownership of deliverables
* Collaborate effectively with engineering teams across Asia to ensure alignment and success
* Mentor and support new team members, fostering growth and development
* Drive key architectural decisions, contribute to product roadmaps, and participate in feature planning and discussions
**Experience:** 
* 5\+ years of experience as a software engineer, successfully delivering complex, high\-quality projects on schedule
* Proven ability to thrive in roles requiring cross\-functional communication and collaboration
* Deep expertise in data structures, algorithms, modern design patterns, and data architecture
* Advanced knowledge of distributed systems and the design of high\-scale, high\-availability services
* Demonstrated success in delivering impactful, large\-scale projects involving PII and banking information with a focus on security and compliance
* Exceptional communication skills, with a talent for bringing clarity and insight to collaborative projects
**Preferred Technologies (Nice to Have):** 
* Proficiency in
 **GoLang** 
 ,
 **TypeScript** 
 ,
 **React** 
 , or
 **Vue**
* Hands\-on experience with
 **CI/CD pipeline development and management**
* Familiarity with
 **microservices architecture and implementation**
* Experience collaborating with
 **global or overseas teams**
 If you are excited to be part of a fast\-growing team that is redefining the online gaming experience, we would love to hear from you. Join us at Bellota Labs and help shape the future of gaming innovation!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li-4381982176</t>
        </is>
      </c>
      <c r="B21" t="inlineStr">
        <is>
          <t>Software Engineer</t>
        </is>
      </c>
      <c r="C21" t="inlineStr">
        <is>
          <t>Microsoft</t>
        </is>
      </c>
      <c r="D21" t="inlineStr">
        <is>
          <t>linkedin</t>
        </is>
      </c>
      <c r="E21">
        <f>HYPERLINK("https://www.linkedin.com/jobs/view/4381982176", "https://www.linkedin.com/jobs/view/4381982176")</f>
        <v/>
      </c>
      <c r="F21">
        <f>HYPERLINK("https://apply.careers.microsoft.com/careers/job/1970393556817944?utm_source=linkedin&amp;domain=microsoft.com&amp;src=LinkedIn&amp;urlHash=XGmG", "https://apply.careers.microsoft.com/careers/job/1970393556817944?utm_source=linkedin&amp;domain=microsoft.com&amp;src=LinkedIn&amp;urlHash=XGmG")</f>
        <v/>
      </c>
      <c r="G21" t="inlineStr">
        <is>
          <t>Redmond, WA</t>
        </is>
      </c>
      <c r="H21" t="inlineStr"/>
      <c r="I21" t="inlineStr">
        <is>
          <t>**Overview**
 Summary
 Do you want to be part of a growing global team creating solutions to critical business problems across multiple application and service platforms? We are looking for experienced full stack software engineers who will drive innovative, scalable \&amp; automated solutions as well as delightful end user experiences as our organization expands.
**About Us**
 Dynamics 365 is one of the fastest growing SaaS Enterprise Resource Planning (ERP) portfolios in the world with capabilities across Finance, Supply Chain Management, Project Operations, Commerce and Human Resources. We specialize in best\-in\-class solutions enabling businesses to run their end\-to\-end operations for the Dynamics 365 line of ERP software supporting a wide variety of industries. We have a mission to be the most innovative and trusted solution on the market incorporating the latest in artificial intelligence, automation and integrated analytics leveraging the breadth of Microsoft Azure, Office, Teams, Dynamics and the Power Platform to continually meet the growing needs of businesses in a fast\-moving environment.
 We are expanding our Dynamics 365 Project Operations engineering team in the US, specifically at our location in Redmond, Washington. While work from home options are available based on Microsoft’s hybrid work policy, this position requires physical presence within the region surrounding the Microsoft campus in Redmond.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features with focus on quality, usability \&amp; performance.
* Participate in live\-site operations with emphasis on timely response, delivery \&amp; satisfaction for stakeholders.
* Collaborate across internal \&amp; external stakeholders.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Dynamics 365 Finance \&amp; Operations, Power Platform \&amp; Dataverse, or other enterprise resource and planning (ERP) or customer relationship management (CRM) software experience.
* Experience in building cloud\-based SaaS applications.
* Knowledge of microservices principles.
* Knowledge of developing with machine learning models including LLMs, prompt engineering, and agents.
* X\+\+/C\#/Java/Python, JavaScript/TypeScript, SQL experience.
* 1\+ years of professional software development experience
* Strong written and verbal English communication skills
* Strong technical skills including understanding of object\-oriented programming \&amp; design, algorithms, database concepts \&amp; performance, no\-sql technologies and microservice architecture
* Strong coding, debugging, design, testing and problem\-solving skills
 \#BICJOBS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
      <c r="A22" t="inlineStr">
        <is>
          <t>li-4372116837</t>
        </is>
      </c>
      <c r="B22" t="inlineStr">
        <is>
          <t>Software Engineer II, Developer Experience</t>
        </is>
      </c>
      <c r="C22" t="inlineStr">
        <is>
          <t>Attentive</t>
        </is>
      </c>
      <c r="D22" t="inlineStr">
        <is>
          <t>linkedin</t>
        </is>
      </c>
      <c r="E22">
        <f>HYPERLINK("https://www.linkedin.com/jobs/view/4372116837", "https://www.linkedin.com/jobs/view/4372116837")</f>
        <v/>
      </c>
      <c r="F22">
        <f>HYPERLINK("https://job-boards.greenhouse.io/attentive/jobs/4120600009?gh_src=63pk6gu69us&amp;urlHash=AJlP", "https://job-boards.greenhouse.io/attentive/jobs/4120600009?gh_src=63pk6gu69us&amp;urlHash=AJlP")</f>
        <v/>
      </c>
      <c r="G22" t="inlineStr"/>
      <c r="H22" t="inlineStr"/>
      <c r="I2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Our Developer Experience team builds the tools and workflows that enables engineers at Attentive to build, test and deliver software efficiently and confidently. We focus on the inner\-loop of development—the part of the engineering lifecycle before code is merged and deployed. While recent investments have centered on CI/CD and post\-merge automation, the next evolution of DevEx is about empowering engineers earlier in their workflow: local development, testing environments, and AI\-augmented coding and review tools.
 You'll join a small, senior team of platform\-minded engineers who are passionate about engineering excellence and eliminating friction across the company. If you like building tools for engineers, this is the place to make an outsized impact.
**What You’ll Accomplish**
* Build and improve internal developer tooling that supports local development, testing, and pre\-merge workflows
* Partner closely with engineers across the org to understand friction points and deliver solutions that meaningfully improve their day\-to\-day productivity
* Contribute to roadmap areas like AI\-assisted workflows, developer guidance tooling, and deeper integration into the coding loop
* Maintain and evolve TypeScript, Java, and occasional Python\-based tooling
* Uphold and evangelize engineering excellence across documentation, testing, DX standards, and platform reliability.
**Your Expertise**
* A mid\-level Software Engineer (typically 2–4\+ years of experience) with a platform, infrastructure, or tooling mindset
* Experienced with TypeScript and Java
* Comfortable building and maintaining tooling, SDKs, CLIs, frameworks, or workflow automations rather than customer\-facing services
* Motivated by improving the productivity, efficiency, and happiness of other engineers
* Strong collaborator who thrives in ambiguous problems and seeks out feedback from internal users
* Passionate about high\-quality engineering practices, including testing, reliability, and clear technical documentation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from health \&amp; wellness to equity, to help you bring your best self to work.
**For US Based Applicants**
* The US base salary range for this full\-time position is $132,000 \- $180,000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3">
      <c r="A23" t="inlineStr">
        <is>
          <t>li-4382102554</t>
        </is>
      </c>
      <c r="B23" t="inlineStr">
        <is>
          <t>Software Engineer</t>
        </is>
      </c>
      <c r="C23" t="inlineStr">
        <is>
          <t>NetApp</t>
        </is>
      </c>
      <c r="D23" t="inlineStr">
        <is>
          <t>linkedin</t>
        </is>
      </c>
      <c r="E23">
        <f>HYPERLINK("https://www.linkedin.com/jobs/view/4382102554", "https://www.linkedin.com/jobs/view/4382102554")</f>
        <v/>
      </c>
      <c r="F23" t="inlineStr"/>
      <c r="G23" t="inlineStr">
        <is>
          <t>Waltham, MA</t>
        </is>
      </c>
      <c r="H23" t="inlineStr"/>
      <c r="I23" t="inlineStr">
        <is>
          <t>**Job Summary**
 As a Software Engineer, you will play a key role in delivering an enterprise‑class NetApp Software Defined Storage (SDS) product. You will participate in the full lifecycle of cloud‑based SDS solutions—from feature design and definition to development, testing, and deployment. Operating within the core product engineering team, you will work across cloud hyperscaler platforms like Google, Azure and partner with them. This role requires strong technical depth, hands\-on engineering excellence, and the ability to collaborate effectively with senior engineers, partner teams, SREs, and Product Managers. You will contribute to scalable, reliable storage systems that power mission\-critical cloud workloads, ensuring internal and external customer needs are met.
**Responsibilities**
* Design, develop, and test new product features involving complex and interdependent distributed systems.
* Deliver high‑quality, maintainable code across cloud‑native storage components.
* Independently drive feature development from design to completion.
* Participate in technical discussions within the team and across partner groups.
* Collaborate with cloud hyperscalers and internal stakeholders on solutions built for first party cloud native platforms.
* Work closely with SRE, Product Management, and cross\-functional engineering teams to align on design, requirements, and execution.
* Contribute to design reviews, architectural discussions, and problem investigations.
* Mentor junior engineers in best practices and technical execution.Ensure solutions meet scalability, reliability, and performance goals for enterprise\-class cloud storage systems.
**Job Requirements**
* 8\+ Years of Software Engineering/Development Experience.
**Technical Skills**
* Strong experience in software design, development, and system\-level architecture.
* Proficiency in programming languages, with Go, Python, C\+\+, or C.
* Deep knowledge of Kubernetes; hands\-on experience building or deploying micro\-services using Docker and Kubernetes.
* Practical experience with public cloud providers such as GCP, Azure, or AWS.
* Solid understanding of data structures, algorithms, multithreading, distributed systems, and modern programming practices.
**Preferred Domain Expertise**
* Experience in Networking and Storage a plus, especially in cloud‑based or distributed storage systems.
* Exposure to Software Defined Storage or large\-scale cloud‑native data platforms.
* Understanding of high‑availability systems, filesystems, or networking protocols.
**Soft Skills \&amp; Attributes**
* Strong collaboration and communication skills (verbal and written).
* Demonstrated ability to lead features or small teams independently.
* Quick learner with the ability to adapt to new technologies and complex systems.
* Creative, results\-driven mindset with a passion for building high‑quality products.
**Education**
* Bachelor's Degree in Computer Science or related field, Masters degree preferred.
**Compensation**
 The target salary range for this position is $160,000\-$215,000\.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4">
      <c r="A24" t="inlineStr">
        <is>
          <t>li-4381987613</t>
        </is>
      </c>
      <c r="B24" t="inlineStr">
        <is>
          <t>Full Stack Engineer</t>
        </is>
      </c>
      <c r="C24" t="inlineStr">
        <is>
          <t>Alexander Chapman</t>
        </is>
      </c>
      <c r="D24" t="inlineStr">
        <is>
          <t>linkedin</t>
        </is>
      </c>
      <c r="E24">
        <f>HYPERLINK("https://www.linkedin.com/jobs/view/4381987613", "https://www.linkedin.com/jobs/view/4381987613")</f>
        <v/>
      </c>
      <c r="F24" t="inlineStr"/>
      <c r="G24" t="inlineStr"/>
      <c r="H24" t="inlineStr"/>
      <c r="I24" t="inlineStr">
        <is>
          <t>Connect with me for future opportunities: https://www.linkedin.com/in/arianit\-krasniqi\-b6ba66388/
**Disclaimer:** 
 Don't apply if you are not ready for full ownership, ambiguity and if you don't have something to prove to yourself. This isn't a boring corporate role. It's for people who take real action and think on their own.
 This is a rare opportunity for engineers who thrive on high ownership, fast iteration, and building at the edge of impact. The company recently closed a $15M Series A and has grown ARR 5x over the last year, adding marquee enterprise clients. Revenue continues to grow nearly 20% month over month, with features shipped yesterday directly influencing multi\-million\-dollar deals.
**What You’ll Do** 
* Build and deploy full\-stack applications using Next.js/React, Node.js/NestJS, TypeScript, PostgreSQL, and MongoDB
* Own AWS infrastructure, CI/CD pipelines, and deployment strategies
* Ship features that directly affect customer outcomes and have end\-to\-end ownership over code, architecture, and fixes
**Who They’re Looking For** 
* Engineers who thrive in a fast\-moving, high\-responsibility environment
* Comfort with ambiguity, rapid iteration, and working closely with enterprise clients
* Passion for building scalable systems while shipping quickly
**Why This Role Is Unique** 
* Work directly with the founders and an engineer\-driven team that values speed, creativity, and execution
* Massive ownership: deploy your own code, fix issues you cause, and shape the architecture from day one
* Competitive equity with real upside and early\-stage secondary opportunities
* Join just before a period of rapid scaling, helping grow the team from 15 → 30\+ teammates while shaping processes and infrastructure
**Interview Process** 
* Introductory chat with the CTO/founder
* Coding and architecture assessment
* Paid in\-person trial day with the engineering and product team
 This role is not for everyone! It’s fast\-paced, demanding, and hands\-on, but for the right engineer, it’s a chance to make an outsized impact on a category\-defining company.</t>
        </is>
      </c>
    </row>
    <row r="25">
      <c r="A25" t="inlineStr">
        <is>
          <t>li-4382114511</t>
        </is>
      </c>
      <c r="B25" t="inlineStr">
        <is>
          <t>Software Engineer</t>
        </is>
      </c>
      <c r="C25" t="inlineStr">
        <is>
          <t>Raydar</t>
        </is>
      </c>
      <c r="D25" t="inlineStr">
        <is>
          <t>linkedin</t>
        </is>
      </c>
      <c r="E25">
        <f>HYPERLINK("https://www.linkedin.com/jobs/view/4382114511", "https://www.linkedin.com/jobs/view/4382114511")</f>
        <v/>
      </c>
      <c r="F25" t="inlineStr"/>
      <c r="G25" t="inlineStr"/>
      <c r="H25" t="inlineStr"/>
      <c r="I25" t="inlineStr">
        <is>
          <t>**Staff Software Engineer — Product (On\-site, San Francisco)** 
**Compensation:** 
**$200K–$350K base** 
 \+
 **0\.1–0\.3% equity** 
**About the role** 
 Join an AI company building automations for the
 **insurance broking** 
 industry—turning hours of manual work into
 **3–4 minute** 
 workflows. The team has a
 **\+20M Series A** 
 , is at
 **multi\-seven\-figure ARR** 
 , and counts
 **\~25% of the top 50 brokers** 
 as customers. This is a
 **product engineer** 
 role with true
 **0→1 and 1→10** 
 ownership.
 **On\-site 5 days/week in SF.** 
**What You’ll Do** 
* **Ship end\-to\-end features** 
 across frontend and backend—own specs, code, tests, and rollout.
* Build core AI products: ingest
 **hundreds\-page PDFs/Excel** 
 , design
 **browser automations** 
 for legacy systems, and scale the platform for
 **high volume \&amp; throughput** 
 .
* **Diagnose and debug** 
 across the stack; raise reliability, observability, and test coverage.
* **Tune performance** 
 (latency, memory, concurrency) and harden systems for scale.
* Wear both
 **PM and engineer** 
 hats: translate user needs and business goals into pragmatic, shippable software.
* Close the loop with customers; incorporate feedback rapidly and iterate.
**What You’ll Bring** 
* **4\+ years** 
 software engineering experience; proven record of
 **shipping user\-facing product** 
 .
* Strong
 **TypeScript** 
 (backend \+ UI);
 **Python** 
 a plus.
* Experience designing
 **scalable systems** 
 and working across the full web stack.
* High agency, crisp communication, and
 **product taste** 
 with deep
 **user empathy** 
 .
* Comfortable being
 **scrappy** 
 to get value in customers’ hands fast—and then hardening for scale.
* (Hiring for
 **full\-stack and backend** 
 tracks.)
**Why This Seat** 
* **Massive leverage:** 
 automate painful workflows in a
 **$200B** 
 industry that’s under\-digitized.
* **Ownership:** 
 build agentic infrastructure that navigates legacy systems and saves customers
 **thousands of hours daily** 
 .
* **Trajectory:** 
 funded, real revenue, name\-brand customers—move fast with experienced founders.
**Logistics \&amp; Comp** 
* **Location:** 
 San Francisco,
 **on\-site 5 days/week** 
 (relocation welcome).
* **Compensation:** 
**$200K–$320K base** 
 \+
 **0\.1–0\.3% equity** 
 .
* **Headcount:** 
 hiring
 **up to 5** 
 engineers for this function.
* **Process:** 
 \~
 **4 steps** 
 with engineering and founders.
* **Visa:** 
**No new sponsorships** 
 ;
 **transfers may be possible** 
 (processing timelines can vary).
 Thinking</t>
        </is>
      </c>
    </row>
    <row r="26">
      <c r="A26" t="inlineStr">
        <is>
          <t>li-4240184390</t>
        </is>
      </c>
      <c r="B26" t="inlineStr">
        <is>
          <t>Software Engineer, Platform  (Senior/Staff)</t>
        </is>
      </c>
      <c r="C26" t="inlineStr">
        <is>
          <t>Norm Ai</t>
        </is>
      </c>
      <c r="D26" t="inlineStr">
        <is>
          <t>linkedin</t>
        </is>
      </c>
      <c r="E26">
        <f>HYPERLINK("https://www.linkedin.com/jobs/view/4240184390", "https://www.linkedin.com/jobs/view/4240184390")</f>
        <v/>
      </c>
      <c r="F26">
        <f>HYPERLINK("https://jobs.ashbyhq.com/norm-ai/7447df01-aad9-4827-8a25-e43d194e9c53/application&amp;urlHash=caS1", "https://jobs.ashbyhq.com/norm-ai/7447df01-aad9-4827-8a25-e43d194e9c53/application&amp;urlHash=caS1")</f>
        <v/>
      </c>
      <c r="G26" t="inlineStr">
        <is>
          <t>New York, NY</t>
        </is>
      </c>
      <c r="H26" t="inlineStr"/>
      <c r="I26"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 Software Engineer on Platform at Norm Ai, you will architect and build reliable, scalable systems that power our AI\-driven compliance platform. You'll work at the intersection of infrastructure, security, and AI operations, building foundational services that enable both our platform reliability and our product teams' velocity. You'll have significant input into our technical architecture and the freedom to propose and implement improvements across our entire stack.
**You Will**
* Design and implement core platform services such as secure and scalable file handling, distributed job processing, and outage\-resilient LLM provider integrations
* Implement comprehensive observability and security controls across our platform
* Create tools and processes to improve developer productivity and deployment efficiency
* Establish best practices for service reliability, testing, and documentation
* Mentor other engineers on infrastructure and platform development
**Skills \&amp; Experience \- Core**
* 4\+ years of experience as a software/backend engineer (or other similar role)
* Strong proficiency in developing cloud\-native containerized applications in at least one programming language commonly used for backend development (e.g., Python, Java, Rust, C\+\+, etc.). We primarily use Python.
* Track record of building reliable and scalable backend systems
* Proficiency with data storage technologies such as PostgreSQL and Redis
* Experience with observability tools such as Datadog or OpenTelemetry
* Comfort with at least one of the major cloud providers (AWS, GCP, Azure)
* Comfort with designing and maintaining CI/CD pipelines using tools like Github Actions
**Skills \&amp; Experience \- Pluses**
* Experience in AI/ML infrastructure and tooling
* Background working on complex compliance or regulatory systems
* Familiarity with serverless architectures
* Familiarity or experience navigating common Enterprise requirements such as SAML, SSO, 17a\-4, etc.
**What Success Looks Like \- 30 Days**
* Norm Ai platform onboarding: Rapidly familiarize yourself with Norm Ai's existing infrastructure, architecture, and the unique challenges of our AI\-driven compliance solutions.
* Architectural analysis: Identify key areas for improvement in existing foundational services and other aspects of Norm Ai’s architecture.
* Monitoring \&amp; Alerting: Implement some essential improvements to our monitoring and alerting systems to provide visibility into the health and performance of our infrastructure.
**What Success Looks Like \- 60 Days**
* Improve end user experience: Based on pain points you observe over the first few weeks, design and implement an enhancement to a core platform service, such as improving the efficiency of our distributed task queue for compliance checks.
* Documentation \&amp; best practices: Contribute to internal documentation by creating or significantly improving documentation for a key platform component in a way that helps both engineers’ and their AI coding tools better contextualize their understanding of the codebase.
**What Success Looks Like \- 90 Days**
* Enhance platform scalability: Dive deep into the code for our DSL execution engine and propose a redesign that enhances its scalability by breaking the execution into smaller atomic chunks.
* Mentorship \&amp; knowledge sharing: Begin mentoring other engineers on best practices by leveraging your years of experience in other roles in a way that improves their productivity, enhances their understanding, and fosters better team collaboration.
**Comp And Benefits**
*Senior Engineer: $190,000 \-$250,000 a year \+ equity*
*Staff Engineer: $240,000 \- $280,000 a year \+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 
 .</t>
        </is>
      </c>
    </row>
    <row r="27">
      <c r="A27" t="inlineStr">
        <is>
          <t>li-4359950598</t>
        </is>
      </c>
      <c r="B27" t="inlineStr">
        <is>
          <t>Software Engineer</t>
        </is>
      </c>
      <c r="C27" t="inlineStr">
        <is>
          <t>Light &amp; Wonder</t>
        </is>
      </c>
      <c r="D27" t="inlineStr">
        <is>
          <t>linkedin</t>
        </is>
      </c>
      <c r="E27">
        <f>HYPERLINK("https://www.linkedin.com/jobs/view/4359950598", "https://www.linkedin.com/jobs/view/4359950598")</f>
        <v/>
      </c>
      <c r="F27" t="inlineStr"/>
      <c r="G27" t="inlineStr">
        <is>
          <t>Nevada, United States</t>
        </is>
      </c>
      <c r="H27" t="inlineStr"/>
      <c r="I27" t="inlineStr">
        <is>
          <t>Gaming:
 Welcome to the world of land\-based gaming. At Light \&amp; Wonder, it’s all about the games, and our Gaming team builds cutting\-edge technology, products, and content for the most iconic casinos and operators across the globe.
 Position Summary
 We're seeking a motivated Software Engineer with 2–5 years of experience developing and supporting client\-server applications. In this role, you will contribute to the design, implementation, testing, and deployment of distributed systems that support mission\-critical business workflows. You’ll collaborate with cross\-functional teams to build reliable, scalable, and secure software solutions.
**Responsibilities**
* Design, develop, and maintain client\-server application components, including UI, middleware, APIs, and backend services.
* Implement features, enhancements, and bug fixes based on requirements and technical specifications.
* Collaborate with product managers, QA engineers, and other developers to deliver high\-quality software.
* Optimize application performance, reliability, and scalability.
* Write clean, maintainable, well\-documented code following industry best practices.
* Participate in code reviews and provide constructive feedback.
* Work with DevOps/IT teams on deployment, CI/CD workflows, and environment configuration.
* Troubleshoot production issues and assist with root\-cause analysis.
* Contribute to technical documentation and architectural diagrams.
* Stay informed on emerging technologies and propose improvements to our technology stack.
 This role is hybrid reporting to our studio in
 **Las Vegas** 
 or
 **Reno.** 
 The on\-site presence (3 days a week) is to promote collaboration and studio culture.
**Qualifications**
**Required Qualifications**
* Bachelor’s degree in Computer Science, Software Engineering, or related field (or equivalent experience).
* 2–5 years of professional software development experience.
* Hands\-on experience building client\-server or distributed applications.
* Solid understanding of data structures, algorithms, and software engineering fundamentals.
* Proficiency in C\#.
* Strong problem\-solving skills and ability to debug complex issues.
**Other Qualifications**
* Experience working with RESTful APIs, web services, or message\-based architectures.
* Familiarity with relational databases (SQL Server, PostgreSQL, MySQL).
* Experience with version control systems (Git preferred).
* Knowledge of containerization (Docker) or orchestration tools (Kubernetes).
* Familiarity with CI/CD tools (GitHub Actions).
* Experience with Windows services, background workers, or real\-time communication systems.
* Understanding of security best practices, authentication, and authorization.
* UI development experience (Blazor, React, WPF, or similar frameworks).
* Unity development experience is an asset.
**Soft Skills**
* Strong communication skills and the ability to collaborate across teams.
* Self\-motivated with a willingness to take ownership of tasks.
* Detail\-oriented and committed to writing high\-quality software.
* Ability to work in a fast\-paced environment while managing multiple priorities.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row>
    <row r="28">
      <c r="A28" t="inlineStr">
        <is>
          <t>li-4382119089</t>
        </is>
      </c>
      <c r="B28" t="inlineStr">
        <is>
          <t>Software Engineer</t>
        </is>
      </c>
      <c r="C28" t="inlineStr">
        <is>
          <t>Intuit</t>
        </is>
      </c>
      <c r="D28" t="inlineStr">
        <is>
          <t>linkedin</t>
        </is>
      </c>
      <c r="E28">
        <f>HYPERLINK("https://www.linkedin.com/jobs/view/4382119089", "https://www.linkedin.com/jobs/view/4382119089")</f>
        <v/>
      </c>
      <c r="F28">
        <f>HYPERLINK("https://dsp.prng.co/z1gXx_b&amp;urlHash=T5Tj", "https://dsp.prng.co/z1gXx_b&amp;urlHash=T5Tj")</f>
        <v/>
      </c>
      <c r="G28" t="inlineStr">
        <is>
          <t>Mountain View, CA</t>
        </is>
      </c>
      <c r="H28" t="inlineStr"/>
      <c r="I28" t="inlineStr">
        <is>
          <t>**Overview**
 null
**Responsibilities**
 null
**Qualifications**
 null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9">
      <c r="A29" t="inlineStr">
        <is>
          <t>li-4309292995</t>
        </is>
      </c>
      <c r="B29" t="inlineStr">
        <is>
          <t>Full-Stack Software Engineer, Frontier Exploration</t>
        </is>
      </c>
      <c r="C29" t="inlineStr">
        <is>
          <t>OpenAI</t>
        </is>
      </c>
      <c r="D29" t="inlineStr">
        <is>
          <t>linkedin</t>
        </is>
      </c>
      <c r="E29">
        <f>HYPERLINK("https://www.linkedin.com/jobs/view/4309292995", "https://www.linkedin.com/jobs/view/4309292995")</f>
        <v/>
      </c>
      <c r="F29">
        <f>HYPERLINK("https://jobs.ashbyhq.com/openai/c3391b6b-2305-4b03-880f-57bc52217420/application&amp;urlHash=9x3I", "https://jobs.ashbyhq.com/openai/c3391b6b-2305-4b03-880f-57bc52217420/application&amp;urlHash=9x3I")</f>
        <v/>
      </c>
      <c r="G29" t="inlineStr">
        <is>
          <t>San Francisco, CA</t>
        </is>
      </c>
      <c r="H29" t="inlineStr"/>
      <c r="I29" t="inlineStr">
        <is>
          <t>**About The Team**
 OpenAI Labs explores the edges of what’s possible with AI. We start from the latest breakthroughs – or overlooked research with untapped potential – and expand their capabilities by prototyping entirely new ways for people to benefit from AI.
**About The Role**
 As a Full\-Stack Software Engineer on the Labs team, you will create new ways for people to interact with AI.
 Your work will begin as rapid internal experiments: prototypes built to explore surprising capabilities or novel interfaces. Some will spark entirely new products or research directions, shaping how millions of people experience AI. Across projects, you’ll ship these ideas internally, learn from how people use them, and – if they prove promising – hand them off to product teams to take forward before moving on to the next frontier.
 Sometimes you’ll start by playing with a researcher’s early demo, identify emerging behaviors, and push on them in collaboration with researchers. Other times, you’ll start from a capability that hasn’t yet been fully explored and design a novel interface around it.
 We’re looking for creative people who love to tinker and explore, chasing sparks of magic and shaping them into experiences that help the world go further and discover new possibilities.
**Location**
 This role is based in San Francisco, CA. We use a hybrid work model of 3 days in the office per week and offer relocation assistance to new employees.
**In This Role, You Will**
* Explore emerging capabilities and collaborate with researchers to uncover surprising new behaviors – whether from the model itself or from how people respond – and push their limits through creative experimentation.
* Design and prototype new interfaces and interaction patterns that rethink how people experience AI, making powerful capabilities feel intuitive, delightful, and inspiring.
* Bring ideas to life quickly, turning concepts into working demos – and evolving those prototypes into robust, testable experiences ready for real\-world feedback.
* Ship early, learn from real usage, and iterate fast – refining ideas based on how people actually use them.
* Hand off the most promising prototypes to product teams to scale before moving on to the next frontier.
**You Might Thrive In This Role If You**
* Have demonstrated experience building and shipping full\-stack applications, from intuitive interfaces to reliable backend systems.
* Build things for fun and care deeply about craft: curiosity drives you, and creating is how you explore ideas.
* Are energized by ambiguity and excited to turn novel capabilities into tangible, working experiences.
* Have a refined product taste and intuition for what great interactions should feel like.
* Care about how ideas work in people’s hands and evolve through real use.
* Value iteration as much as invention; refining is part of the creative process.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$325K</t>
        </is>
      </c>
    </row>
    <row r="30">
      <c r="A30" t="inlineStr">
        <is>
          <t>li-4362597382</t>
        </is>
      </c>
      <c r="B30" t="inlineStr">
        <is>
          <t>Software Engineer, Multiverse</t>
        </is>
      </c>
      <c r="C30" t="inlineStr">
        <is>
          <t>Waymo</t>
        </is>
      </c>
      <c r="D30" t="inlineStr">
        <is>
          <t>linkedin</t>
        </is>
      </c>
      <c r="E30">
        <f>HYPERLINK("https://www.linkedin.com/jobs/view/4362597382", "https://www.linkedin.com/jobs/view/4362597382")</f>
        <v/>
      </c>
      <c r="F30">
        <f>HYPERLINK("https://careers.withwaymo.com/jobs?gh_jid=7531397&amp;gh_src=e2a2625d1us&amp;urlHash=goVF", "https://careers.withwaymo.com/jobs?gh_jid=7531397&amp;gh_src=e2a2625d1us&amp;urlHash=goVF")</f>
        <v/>
      </c>
      <c r="G30" t="inlineStr">
        <is>
          <t>Mountain View, CA</t>
        </is>
      </c>
      <c r="H30" t="inlineStr"/>
      <c r="I3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Multiverse team at Waymo is responsible for the end\-to\-end evaluation of our autonomous driving software. We don't just look at what happened; we look at what
 *could* 
 have happened. Using a mix of real\-world testing and counterfactual simulation, we stress\-test the Waymo Driver’s safety and reliability before it ever hits the road. Join us in the Driver Understanding and Evaluation (DUE) group to develop the rich metrics that define the future of autonomous mobility.
**You Will**
* Build the infrastructure to administer a “virtual driver’s test” for the Waymo Driver. Design, implement, and operate scalable simulation data pipelines and/or real world monitoring in order to evaluate the driving capability of the Waymo Driver, and at low latency in the real world.
* Improve the signal quality provided by the “virtual driver’s test” and measured in the real world. Measure and improve the quality of individual simulations as well as that of the overarching simulation workflows. Seek to answer whether the results of the “virtual driver’s test” are predictive of the Waymo Driver’s real\-world driving behavior.
* Apply ML models from partner teams, and optionally contribute to them yourself, to improve the efficiency of our “virtual driver’s test”: simulate the most interesting situations and report the most interesting simulation results.
* Apply software engineering best practices in order to improve code health and developer experience in the “virtual driver’s test” and the real world monitoring development ecosystems.
* Partner with cross\-functional teams including Data Science and Systems Engineering who will help with number crunching and expert understanding of the Waymo Driver internals.
**You Have** 
* 3\+ years of full\-time software engineering experience, or a quantitative PhD with software engineering experience
+ C\+\+ proficiency
+ Python familiarity
+ SQL familiarity
* Strong verbal and written communication skills
* Excited about autonomous driving, Sim\+Eval, eager to learn
**We Prefer**
* Industry or doctoral experience in a quantitative\- or quality\- focused engineering role in which you were performing tasks like developing hypotheses, designing and running experiments, processing data from experiments, synthesizing conclusions, and ensuring the long term stability and health of the production system.
* B.Sc. in Computer Science
* Experience working with large FAANG scale distributed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1">
      <c r="A31" t="inlineStr">
        <is>
          <t>li-4361812866</t>
        </is>
      </c>
      <c r="B31" t="inlineStr">
        <is>
          <t>Software Engineer - NY</t>
        </is>
      </c>
      <c r="C31" t="inlineStr">
        <is>
          <t>Chalk</t>
        </is>
      </c>
      <c r="D31" t="inlineStr">
        <is>
          <t>linkedin</t>
        </is>
      </c>
      <c r="E31">
        <f>HYPERLINK("https://www.linkedin.com/jobs/view/4361812866", "https://www.linkedin.com/jobs/view/4361812866")</f>
        <v/>
      </c>
      <c r="F31">
        <f>HYPERLINK("https://job-boards.greenhouse.io/chalkinc/jobs/4031707005&amp;urlHash=lDIr", "https://job-boards.greenhouse.io/chalkinc/jobs/4031707005&amp;urlHash=lDIr")</f>
        <v/>
      </c>
      <c r="G31" t="inlineStr"/>
      <c r="H31" t="inlineStr"/>
      <c r="I31"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32">
      <c r="A32" t="inlineStr">
        <is>
          <t>li-4349426552</t>
        </is>
      </c>
      <c r="B32" t="inlineStr">
        <is>
          <t>Software Engineer, Developer Productivity</t>
        </is>
      </c>
      <c r="C32" t="inlineStr">
        <is>
          <t>OpenAI</t>
        </is>
      </c>
      <c r="D32" t="inlineStr">
        <is>
          <t>linkedin</t>
        </is>
      </c>
      <c r="E32">
        <f>HYPERLINK("https://www.linkedin.com/jobs/view/4349426552", "https://www.linkedin.com/jobs/view/4349426552")</f>
        <v/>
      </c>
      <c r="F32" t="inlineStr"/>
      <c r="G32" t="inlineStr">
        <is>
          <t>San Francisco, CA</t>
        </is>
      </c>
      <c r="H32" t="inlineStr"/>
      <c r="I32" t="inlineStr">
        <is>
          <t>**About The Team**
 The Applied AI team safely brings OpenAI's technology to the world. We released ChatGPT, Plugins, DALL·E, and the APIs for GPT\-4, GPT\-3, embeddings, and fine\-tuning. We also operate inference infrastructure at scale. There's a lot more on the immediate horizon.
 We seek to learn from deployment and distribute the benefits of AI, while ensuring that this powerful tool is used responsibly and safely. Safety is more important to us than unfettered growth. We serve end\-users directly through ChatGPT, and serve developers through our APIs, which power product features that were never before possible.
**About The Role**
 The Engineering Acceleration team designs, builds and maintains the foundational systems that engineers use to build ChatGPT and the API. This is a fast\-growing team and you will get a chance to own and define the strategy, vision, and plan for how to increase developer productivity.
**In This Role, You Will**
* Drive the design, development, and implementation of tools, systems, and processes that accelerate engineering velocity, reduce manual effort, and increase the quality of output.
* Use our latest AI tools to re\-think how we can be the most productive team in the industry.
* Work closely with various teams within OpenAI to understand their workflows, challenges, and needs, and ensure the tools and systems built by the Engineering Acceleration team address these requirements.
* Bring new features and research capabilities to the world by partnering with product engineers to lay the necessary technical foundations.
* Guide and advise product engineering teams on best practices for ensuring observable, scalable systems.
* Like all other teams, we are responsible for the reliability of the systems we build. This includes an on\-call rotation to respond to critical incidents as needed.
**You Might Thrive In This Role If You**
* Have 5\+ years of experience in engineering, including 3\+ years of experience in infrastructure building tooling for developers.
* Have experience\-driven empathy for the tools, frustrations, and processes that slow engineering teams down and lead to toil or burnout.
* Have a voracious and intrinsic desire to learn and fill in missing skills—and an equally strong talent for sharing learnings clearly and concisely with others.
* Are comfortable with ambiguity and rapidly changing conditions. You view changes as an opportunity to add structure and order when necessary.
 As technical context: at the heart of our infrastructure is a large\-scale deployment of GPU nodes running in dozens of Kubernetes clusters across regions. Some core technologies we build with include Terraform, Buildkite, Postgres, Cosmos DB, Kafka, Python, and FastAPI.
 This role is exclusively based in our San Francisco HQ. We offer relocation assistance to new employee.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$210K \- $490K</t>
        </is>
      </c>
    </row>
    <row r="33">
      <c r="A33" t="inlineStr">
        <is>
          <t>li-4381001558</t>
        </is>
      </c>
      <c r="B33" t="inlineStr">
        <is>
          <t>Software Engineer, Desktop</t>
        </is>
      </c>
      <c r="C33" t="inlineStr">
        <is>
          <t>A1</t>
        </is>
      </c>
      <c r="D33" t="inlineStr">
        <is>
          <t>linkedin</t>
        </is>
      </c>
      <c r="E33">
        <f>HYPERLINK("https://www.linkedin.com/jobs/view/4381001558", "https://www.linkedin.com/jobs/view/4381001558")</f>
        <v/>
      </c>
      <c r="F33" t="inlineStr"/>
      <c r="G33" t="inlineStr">
        <is>
          <t>Palo Alto, CA</t>
        </is>
      </c>
      <c r="H33" t="inlineStr"/>
      <c r="I33" t="inlineStr">
        <is>
          <t>**About the Role** 
 A1 is building a proactive AI system used daily across conversations, tools, and workflows.
 You will own how this system behaves on desktop environments. Your work focuses on reliability, performance, and real\-time behavior in production desktop applications.
**Focus** 
* Build and maintain cross\-platform desktop applications using Electron.
* Design responsive and scalable UIs for real\-time collaboration.
* Implement desktop\-specific functionality including file system access, native notifications, auto\-updates, and deep linking.
* Integrate AI\-powered features (chat, agents, AI assistance) via backend APIs.
* Optimize startup time, memory usage, and runtime performance.
* Profile and reduce Electron overhead.
* Manage large local state and message history efficiently.
* Ensure smooth real\-time updates (messages, typing indicators, presence).
* Maintain stability across macOS and Windows environments.
**Ideal Experiences** 
* Proven software engineering experience.
* Hands\-on experience building production Electron applications.
* Strong proficiency in JavaScript and TypeScript.
* Experience with React or similar UI frameworks.
* Solid understanding of the desktop application lifecycle.
* Experience with IPC communication.
* Experience working with local storage (SQLite, IndexedDB, filesystem).
* Experience with WebSockets or other real\-time transport mechanisms.
* Strong debugging and performance profiling skills.
* Familiarity with native OS behaviors on macOS or Windows.
**Tech Stack** 
* Electron
* Node.js
* Typescript
* SQl \&amp; noSQL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34">
      <c r="A34" t="inlineStr">
        <is>
          <t>li-4381980062</t>
        </is>
      </c>
      <c r="B34" t="inlineStr">
        <is>
          <t>Full Stack Engineer</t>
        </is>
      </c>
      <c r="C34" t="inlineStr">
        <is>
          <t>Calyptus</t>
        </is>
      </c>
      <c r="D34" t="inlineStr">
        <is>
          <t>linkedin</t>
        </is>
      </c>
      <c r="E34">
        <f>HYPERLINK("https://www.linkedin.com/jobs/view/4381980062", "https://www.linkedin.com/jobs/view/4381980062")</f>
        <v/>
      </c>
      <c r="F34" t="inlineStr"/>
      <c r="G34" t="inlineStr">
        <is>
          <t>Texas, United States</t>
        </is>
      </c>
      <c r="H34" t="inlineStr"/>
      <c r="I3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35">
      <c r="A35" t="inlineStr">
        <is>
          <t>li-4381968626</t>
        </is>
      </c>
      <c r="B35" t="inlineStr">
        <is>
          <t>Full Stack Engineer</t>
        </is>
      </c>
      <c r="C35" t="inlineStr">
        <is>
          <t>Calyptus</t>
        </is>
      </c>
      <c r="D35" t="inlineStr">
        <is>
          <t>linkedin</t>
        </is>
      </c>
      <c r="E35">
        <f>HYPERLINK("https://www.linkedin.com/jobs/view/4381968626", "https://www.linkedin.com/jobs/view/4381968626")</f>
        <v/>
      </c>
      <c r="F35" t="inlineStr"/>
      <c r="G35" t="inlineStr">
        <is>
          <t>Washington, United States</t>
        </is>
      </c>
      <c r="H35" t="inlineStr"/>
      <c r="I3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36">
      <c r="A36" t="inlineStr">
        <is>
          <t>li-4363400663</t>
        </is>
      </c>
      <c r="B36" t="inlineStr">
        <is>
          <t>Jr. Java Software Developer</t>
        </is>
      </c>
      <c r="C36" t="inlineStr">
        <is>
          <t>Ninth Wave</t>
        </is>
      </c>
      <c r="D36" t="inlineStr">
        <is>
          <t>linkedin</t>
        </is>
      </c>
      <c r="E36">
        <f>HYPERLINK("https://www.linkedin.com/jobs/view/4363400663", "https://www.linkedin.com/jobs/view/4363400663")</f>
        <v/>
      </c>
      <c r="F36" t="inlineStr"/>
      <c r="G36" t="inlineStr">
        <is>
          <t>New York, NY</t>
        </is>
      </c>
      <c r="H36" t="inlineStr"/>
      <c r="I36" t="inlineStr">
        <is>
          <t>Role Overview
 Ninth Wave is seeking a Jr. Java Software Developer who is eager to learn about our company by assisting various projects for our technical teams. Candidate You will work closely with senior engineers to design, develop, and test application code that meets business and technical objectives. They will collaborate to maintain and patch systems, software, and applications to eliminate bug fixes, security vulnerabilities and maintain technology currency of systems and applications.
 To be successful, you should be willing to help with any tasks assigned by a supervisor. The Job will offer the opportunity to learn Docker, Reactive, Cloud, and Kubernetes while updating and maintaining our software.
 Key Responsibilities
* Develop, test, and maintain back\-end software using Java and related frameworks
* Collaborate with senior engineers in code reviews and agile development practices
* Update and maintain technical documentation
* Support bug fixes, security updates, and system improvements
* Participate in a distribute development team and contribute to team meetings
**Qualifications**
* Senior currently enrolled in a Computer Science or related program
* Proficient in Java, ideally with exposure to RESTful APIs
* Strong problem\-solving and critical thinking skills
* Excellent written and verbal communication abilities
* Detail\-oriented with strong organizational skills
* Minimum of 3\.0 GPA preferred
**Company Overview**
 Ninth Wave is a permission\-based SaaS platform that delivers secure data connectivity to financial institutions, offering configurable controls, visibility, and insights into all connections between aggregators, third\-party apps, and internal applications. Ninth Wave empowers financial institutions, enabling secure data exchange in a holistic and scalable open finance ecosystem.
 Location: New York, NY
 Our technology has been deployed for over a decade at the world’s leading financial institutions.</t>
        </is>
      </c>
    </row>
    <row r="37">
      <c r="A37" t="inlineStr">
        <is>
          <t>li-4365490087</t>
        </is>
      </c>
      <c r="B37" t="inlineStr">
        <is>
          <t>Software Engineering II, Teams Group</t>
        </is>
      </c>
      <c r="C37" t="inlineStr">
        <is>
          <t>Microsoft</t>
        </is>
      </c>
      <c r="D37" t="inlineStr">
        <is>
          <t>linkedin</t>
        </is>
      </c>
      <c r="E37">
        <f>HYPERLINK("https://www.linkedin.com/jobs/view/4365490087", "https://www.linkedin.com/jobs/view/4365490087")</f>
        <v/>
      </c>
      <c r="F37" t="inlineStr"/>
      <c r="G37" t="inlineStr">
        <is>
          <t>Mountain View, CA</t>
        </is>
      </c>
      <c r="H37" t="inlineStr"/>
      <c r="I37" t="inlineStr">
        <is>
          <t>**Overview**
 Microsoft Teams is the new chat\-based application in Office 365\. It's a hub for teamwork, giving teams instant access to everything they need right in Office 365\. Microsoft Teams is the canvas that keeps all your content, tools, people, and conversations together in one place. It is the hottest product at Microsoft and we’re on course to disrupt the team collaboration space. You will also have the opportunity to work on generative AI, LLM, and world class AI stack that power Team’s Copilot and other Team’s AI product. You will be part of a team that is at the forefront of AI innovation and research, and that leverages the latest advances in deep learning, natural language processing, and conversational AI.
 In the Teams AI services team, we are continuously evolving our micro\-services to support new messaging features while maintaining a high performance, scalable, and cost\-effective eco\-system. We are hiring for a
 **Software Engineer** 
**II** 
 who can help us build revolutionary, robust, and scalable back\-end services. This is a unique opportunity to hone your system design skills and will give you exposure to cutting edge technology stack (.NET Core, Typescript, Service Fabric, Redis, Azure Cosmos DB) as well as cross\-org collaboration opportunities. You will have E2E ownership and make a huge impact in this critical area.
 As a team we’re proud of what we build and how we build it. We run lean, obsess about customers and use an evidence\-based approach to decision making. We have live\-site first, metrics\-driven culture that prevents us from accumulating debt and necessity to put out fires on daily basis. You will be in a position that carries a ton of responsibility and provides opportunities to impact customers’ satisfaction and grow the business exponentially.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 part of the AI Services engineering team, you will be designing, developing and maintaining high\-scale services that form the backbone of Microsoft Teams.
* Apply state\-of\-the\-art techniques in deep learning, natural language processing, and conversational AI to build and improve the AI capabilities of Microsoft Teams.
* Experiment, prototype, and evaluate new ideas and approaches for AI\-powered messaging features.
* Work closely with other AI teams across Microsoft to leverage and share best practices and resources.
* You are expected to dive deep into Azure technologies and distributed database systems. You will collaborate with partners, internal and external to Microsoft Teams organization, in order to design and build features that drive growth in our user base. We have numerous partners and thus, solid collaboration skills are required.
* As you develop said features to delight our customers, you are expected to always keep availability, reliability, performance and scalability in mind. We never compromise on these fundamentals.
* Build reusable libraries of services best practices for other teams to leverage.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unit\-test, continuous integration, and test\-driven development is a plus.
* Experience in optimizing highly scalable systems is a plus.
* Experience working with Service Fabric or Kubernetes as a plus.
* Experienced delivering large\-scale services, coding and development skills with experience in at least one of the following languages: Typescript, C\#, .Net Core, Java.
* Experience solving challenging problems and cross team organization and collaboration skills.
 \#Microsoft \#MicrosoftAI \#MicrosoftTeams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li-4380291070</t>
        </is>
      </c>
      <c r="B38" t="inlineStr">
        <is>
          <t>Senior Software Engineer - External Communications (REMOTE)</t>
        </is>
      </c>
      <c r="C38" t="inlineStr">
        <is>
          <t>DICK'S Sporting Goods</t>
        </is>
      </c>
      <c r="D38" t="inlineStr">
        <is>
          <t>linkedin</t>
        </is>
      </c>
      <c r="E38">
        <f>HYPERLINK("https://www.linkedin.com/jobs/view/4380291070", "https://www.linkedin.com/jobs/view/4380291070")</f>
        <v/>
      </c>
      <c r="F38">
        <f>HYPERLINK("https://click.appcast.io/t/zm5IJhBQZ73-LIotbuuzlejCYnRUDIysoe5nATCdZvO3QeTPdgtixm_a80nmiz-b?source=LinkedIn&amp;urlHash=2orv", "https://click.appcast.io/t/zm5IJhBQZ73-LIotbuuzlejCYnRUDIysoe5nATCdZvO3QeTPdgtixm_a80nmiz-b?source=LinkedIn&amp;urlHash=2orv")</f>
        <v/>
      </c>
      <c r="G38" t="inlineStr"/>
      <c r="H38" t="inlineStr"/>
      <c r="I38"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At DICK’S Sporting Goods, we take a people\-centric approach to everything we do. Our Athletes, how we refer to customers, and our Teammates, how we refer to our employees, are at the center of every decision we make so that we can provide transformational experiences online, in store, and in sport. When you join Technology at DICK’S Sporting Goods, you’re joining a true team that wins together. We help our Athletes and fellow Teammates better their best by innovating solutions to interesting business problems and empowering every Technology Teammate to be an innovator. And, while we work remotely from all over the United States, we provide virtual and in\-person events for the team to hangout, from virtual escape rooms to cheering on the Pittsburgh Pirates at beautiful PNC Park.
**Job Purpose**
 Designs and build best in\-class\-solutions. Performs business/software analysis. May coordinate initiatives within a product team. Supports initiatives that ensure enterprise systems remain best\-in\-class. Learning to lead teams and bodies of work. Acts as a product\-team problem solver and domain SME to design, test, and deliver best in class solutions. Perform business/software analysis. Coordinate work with moderate complexity within assigned product team.
 The External Communications Software Engineering team at DICK’S Sporting Goods is responsible for building next‑generation services that power personalized, timely, and relevant messaging for our Athletes across digital channels. The team partners closely with data and data science teams to ensure the right content reaches the right person, leveraging real‑time data processing, event‑driven microservices, and an API‑first architecture to deliver scalable and reliable communication capabilities. Engineers on this team focus on designing, developing, and maintaining secure, high‑performance systems that support personalization at scale, while collaborating cross‑functionally to continuously improve how DICK’S engages Athletes throughout their journey with the brand.
**Technical Skills Sought:**
* Agile software development experience
* Product domain experience
* Requirements analysis experience
* Domain driven design experience
* Architectural experience is a plus
* Micro\-service architecture
* Highly competent Java and Spring Boot skills
* .NET experience is a plus
* HTML, CSS templates
* RESTful services (Spring Boot)
* Event driven architecture
+ Pub/Sub technology
+ Queue technology
* Cache technology
* DevOps experience
+ Microsoft Azure: Cloud Computing Services
+ Azure Kubernetes (AKS)
+ Pipeline management
+ Resource management (i.e. Databases, Queues, Topics)
* GitHub, Atlassian (Jira, Confluence)
**Overall Skills Sought:**
* Reliability and Ownership. The team, stakeholders, and partners should have full confidence that, when the ideal candidate makes a commitment, it will get done in a timely fashion. If there are issues, those will be communicated as soon as they come up.
* Vocal participation. The ideal candidate will be a strong, kind, and vocal participant in team discussions, design sessions, retrospectives, and other meetings.
* Subject Matter Expertise and Communication. The ideal candidate will develop a deep understanding of our domain and speak to different audiences about engineering issues, as a subject matter expert for our domain and how we solve problems. For instance, the ideal candidate can pair with the team’s product manager to speak with stakeholders and partners and will communicate well at the appropriate level for the audience.
**Responsibilities**
*Software Development*
 Drive development of existing software and contribute to development of new software by analyzing and identifying areas for modification and improvement. Develop software that is fast, secure and reliable to meet defined requirements.
*Software Maintenance*
 Monitor, identify, and correct more complex software defects to maintain fully functioning software, leveraging the support and skill of more junior teammates.
*Design and Conceptualization*
 Produce multiple concepts and prototypes to design digital products/services.
*Technical Developments Recommendation*
 Research and suggest ways to optimize solutions to better meet user and/or business, performance, quality needs.
*Software Roadmap*
 Drive maintenance road map to facilitate software development and ensure the development work is prioritized in line with business requirements.
*Faults Diagnosis and Correction*
 Find root cause and resolution to limit and address issues promptly.
*Work Scheduling and Allocation*
 Assign short\-term work schedules to a team based on storyboarding/backlog in order to achieve expectations while following established timelines.
*Ongoing Learning and Development*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*Program/Portfolio Management Support*
 Contribute to work within an established program management plan to achieve specific goals.
*Technical Persistence Layer/Legacy Database Design/Development*
 Guide and deliver the design distribution of basic database resources and provide physical modeling and design services to tune database solutions for optimum performance.
*Functional/Technical Requirements*
 Support the collection functional requirements using document analysis and workflow analysis to express the requirements in terms of target user roles and goals.
 BEHAVIORAL COMPETENCIES
*Tech Savvy*
 Anticipates and adopts innovations in business\-building digital and technology applications. For example, investigates technologies to learn some cutting\-edge best practices. Uses digital/social media to benefit the team and add value to the work being done; understands how to avoid misuse of these tools.
*Decision Quality*
 Makes good and timely decisions that keep the organization moving forward. For example, knows when to act independently and when to escalate issues.
 Integrates various inputs, decision criteria, and trade\-offs to make effective decisions. Typically makes good independent decisions.
*Action Oriented*
 Takes on new opportunities and tough challenges with a sense of urgency, high energy, and enthusiasm. For example, takes timely action on important or difficult issues. Identifies and pursues new opportunities that benefit the organization.
*Collaborates*
 Builds partnerships and works collaboratively with others to meet shared objectives. For example, readily involves others to accomplish goals; stays in touch and shares information; discourages "us versus them" thinking; shows appreciation for others' ideas and input.
*Instills Trust*
 Gains the confidence and trust of others through honesty, integrity, and authenticity. For example, demonstrates integrity, upholding professional codes of conduct. Instills trust by following through on agreements and commitments despite competing priorities and by being honest and straightforward.
*Customer Focus*
 Builds strong customer relationships and delivers customer\-centric solutions. For example, keeps in contact with customers to ensure problems are resolved, or to improve customer service. Studies customer feedback and emerging customer needs and uses these to determine some creative new ideas.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39">
      <c r="A39" t="inlineStr">
        <is>
          <t>li-4355243530</t>
        </is>
      </c>
      <c r="B39" t="inlineStr">
        <is>
          <t>Senior, Software Engineer</t>
        </is>
      </c>
      <c r="C39" t="inlineStr">
        <is>
          <t>Walmart</t>
        </is>
      </c>
      <c r="D39" t="inlineStr">
        <is>
          <t>linkedin</t>
        </is>
      </c>
      <c r="E39">
        <f>HYPERLINK("https://www.linkedin.com/jobs/view/4355243530", "https://www.linkedin.com/jobs/view/4355243530")</f>
        <v/>
      </c>
      <c r="F39" t="inlineStr"/>
      <c r="G39" t="inlineStr">
        <is>
          <t>Sunnyvale, CA</t>
        </is>
      </c>
      <c r="H39" t="inlineStr"/>
      <c r="I39" t="inlineStr">
        <is>
          <t>Position Summary...
 What you'll do...
 Duties: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Understand the Business/Stakeholder/Technical requirements and assist in analyzing the existing solutions to address the needs (in case of agile methodology, for the iteration).
* Prepare requirement traceability matrix and maintain traceability between business requirements, functional requirements, design and test cases. Contribute to the creation of user stories for component/module/simple requirements (for example: based on scalability etc.) (For agile methodology).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Create/configure minimalistic code for entire component/application and ensure the components are meeting business/technical requirements, non\-functional requirements, low\-maintainability, high\-availability and high\-scalability needs.
* Assist in the selection of appropriate languages (E.g. Java, Python, C\# Gen\-AI etc.), development standards and tools (E.g. Monday.com, Linx, Embold etc.) for software coding/configuration.
* Take initiative to learn the fundamentals of different coding languages and frameworks that would be useful for future scope of work. Build scripts for automation of repetitive and routine tasks in CI/CD (Continuous Integration/Continuous Delivery), Testing or any other process (as applicable). Implement telemetry features as required independently.
* Implement an API endpoint using a framework like Java receive user prompts and send them to the Gen AI model.
* Ensure security policy requirements are properly applied to components/application during code development/configuration.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Map the customer requirements in to test objectives. Identify and create test cases for the component/module.
* Execute test cases to test the code and detect errors and defects for the entire component. Execute different types of testing using appropriate testing tools based on the testing needs.
* Track and analyze defects for the component/ module and carry out regression testing to fix defects in all instances of code changes. Analyze defects from past projects/solutions to avoid recurrence of similar defects.
* Troubleshoot performance and availability bottlenecks for the application.
* Conduct complex maintenance procedures for applications independently.
* Monitor and evaluate the performance of the application by tracking and analyzing appropriate metrics; Perform maintenance (corrective, adaptive, perfective) and re\-engineering activities.
* Analyze application logs, maintenance activity data, performance data and provide analysis; Evaluate change requests to identify those which are valid and feasible.
* Ensure adherence to the project against approved milestones and timelines.
 Minimum education and experience required: Master's degree or equivalent in Computer Science, Computer Engineering, Computer Information Systems, Software Engineering, or related area OR Bachelor's degree or equivalent in Computer Science, Computer Engineering, Computer Information Systems, Software Engineering, or related area and 2 years of experience in software engineering or related area.
 Skills required: Experience developing applications using at least one of the following: Java, Python, or Scala. Experience designing and implementing scalable cloud\-based solutions. Experience architecting and deploying scalable microservices using at least one of the following tools: Spring Boot, Docker, or Kubernetes. Experience integrating and managing message\-oriented architectures with brokers. Experience configuring and optimizing relational databases. Experience investigating and resolving issues using Splunk, Elasticsearch or Datadog tools for analysis. Experience maintaining code quality standards using static analysis tools. Experience facilitating agile development practices using one of the following tools: JIRA, Trello or Confluence. Experience ensuring application security using tools and best practices. Employer will accept any amount of experience with the required skills.
 Salary Range: $117,000/year to $234,000/year. Additional compensation includes annual or quarterly performance incentives.  Additional compensation for certain positions may also include: Regional Pay Zone (RPZ) (based on location) and Stock equity incentives.
 Benefits: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education assistance with 100% company paid college degrees, company discounts, military service pay, adoption expense reimbursement, and more.
 Eligibility requirements apply to some benefits and may depend on your job classification and length of employment. Benefits are subject to change and may be subject to a specific plan or program terms. For information about benefits and eligibility, see One.Walmart.com.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40">
      <c r="A40" t="inlineStr">
        <is>
          <t>li-4371574231</t>
        </is>
      </c>
      <c r="B40" t="inlineStr">
        <is>
          <t>Software Engineer</t>
        </is>
      </c>
      <c r="C40" t="inlineStr">
        <is>
          <t>Bastion Technologies, Inc.</t>
        </is>
      </c>
      <c r="D40" t="inlineStr">
        <is>
          <t>linkedin</t>
        </is>
      </c>
      <c r="E40">
        <f>HYPERLINK("https://www.linkedin.com/jobs/view/4371574231", "https://www.linkedin.com/jobs/view/4371574231")</f>
        <v/>
      </c>
      <c r="F40" t="inlineStr"/>
      <c r="G40" t="inlineStr">
        <is>
          <t>Cape Canaveral, FL</t>
        </is>
      </c>
      <c r="H40" t="inlineStr"/>
      <c r="I40" t="inlineStr">
        <is>
          <t>The
 **Software Engineer** 
 will support the various projects located in
 **Cape Canaveral, Florida.** 
**RESPONSIBILITIES:**
* Design/development of Full Stack and front\-end web development for specific program support.
* Utilize Oracle software development including developing packages, stored procedures, triggers, functions, and indexes and Oracle front end development using Oracle Forms or APEX,
* Will be embedded in an Agile Development Environment, using Agile Development and Collaboration tools (JIRA).
* Other duties as assigned.
**REQUIRED:**
***This position has been posted at multiple levels (must meet minimum level indicated). Depending on the candidate's experience, requirements, and business needs, we reserve the right to consider candidates at any level for which this position has been advertised.***
* This position requires a full Secret Clearance to start with ability to obtain and maintain a Top\-Secret Clearance.
* Must have a
 **bachelor's degree** 
 .
* Your degree must be in a
 **STEM field.**
* Must have a minimum of
 **3** 
 or more years of recent and related work experience.
* Full stack or front\-end web development experience (HTML, CSS, JS, PL/SQL).
* Experience with Oracle software development including developing packages, stored procedures, triggers, functions, and indexes.
* Experience with Oracle front end development using Oracle Forms or APEX.
* Experience programming in Python.
* Experience with Agile Development and Collaboration tools (JIRA).
**DESIRED:**
* Recognized certification CompTIA Security \+
* Experience working with parquet and Time Series data design/storage.
* Experience with Digital Engineering (MBSE, Digital Twins, etc.).
* Experience with Windows and/or Linux environments.
* Experience with version control software.
* Excellent project documentation and communication skills.
**WORK LOCATION:**
* This position is located onsite; some travel may be required.
* Schedules are subject to change based on the requirements of the position and/or customer needs.
**BACKGROUND INVESTIGATIONS REQUIRED:**
 All Bastion employees must be able to pass a national agency check and some positions require clearance and will require an extensive background verification/check process.
**DRUG AND ALCOHOL SCREENING REQUIRED:**
 All Bastion employees must be able to pass a pre\-employment drug screen and are required to participate in periodic random drug and alcohol screenings.
**STANDARD BASTION REQUIREMENTS:**
* Must have experience with Microsoft Office Suite, Word, Excel, PowerPoint, and TEAMS.
* All of Bastion's employees must be team players with strong work ethics and must be culture oriented.
* Able to communicate effectively, verbally and in written form, with internal and external customers.
* Able to follow company programs, processes, procedures, practices, requirements, goals, and objectives.
* Must be organized with good time management skills and must be able to work outside normal schedule and adjust schedule to meet peak periods and surge requirements.
* Generally, an office environment, but can involve inside or outside work depending on the task.
* Work may involve sitting or standing for extended periods (90% of the time) and may require lifting and carrying up to 25 lbs. (5% of the time).
* Regular attendance in accordance with an established work schedule is critical.
**BASTION BENEFITS:**
 Bastion offers a wide range of benefits for their full\-time employees; medical, prescription, dental, vision, AD\&amp;D, disability benefits, life insurance, retirement 401k, vacation, sick pay, holidays, flexible work schedules (when available), along with many other options.
 We also support career advancement through professional training and development
 .
**ABOUT BASTION:**
 Bastion offers career opportunities with competitive benefits, exciting possibilities for advancement, and an exceptional work environment; the well\-being of our employees is a priority, and our flexibility allows our employees a great work life balance. Our culture is based on strong business ethics, integrity, and professionalism. Our team members are known for their initiative and high\-quality work. When it comes to our employees, we value, respect, and help them grow in their careers.
**WORKPLACE EXCELLENCE:**
 At Bastion, we are passionate about our people and our safety culture.
 Individual thoughts, opinions, and perspectives bring value and help us develop solutions for challenging problems, they make us more inventive, and more resilient.
 All qualified applicants will receive consideration for employment without regard to race, color, sex, sexual orientation, gender identity, religion, national origin, disability, veteran status, or other legally protected status.
 Bastion participates in e\-Verify.
 \#AssociateLevel
 BT\-26034</t>
        </is>
      </c>
    </row>
    <row r="41">
      <c r="A41" t="inlineStr">
        <is>
          <t>li-4355361788</t>
        </is>
      </c>
      <c r="B41" t="inlineStr">
        <is>
          <t>(USA) Senior, Software Engineer</t>
        </is>
      </c>
      <c r="C41" t="inlineStr">
        <is>
          <t>Walmart</t>
        </is>
      </c>
      <c r="D41" t="inlineStr">
        <is>
          <t>linkedin</t>
        </is>
      </c>
      <c r="E41">
        <f>HYPERLINK("https://www.linkedin.com/jobs/view/4355361788", "https://www.linkedin.com/jobs/view/4355361788")</f>
        <v/>
      </c>
      <c r="F41">
        <f>HYPERLINK("https://click.appcast.io/t/KyfyGUEZFWfqJHls5iiYRFtsLvz2V2xpmXAkzz0Ly3rFYKowKR792gQ9KObILt6G?source=LinkedIn&amp;urlHash=tLYA", "https://click.appcast.io/t/KyfyGUEZFWfqJHls5iiYRFtsLvz2V2xpmXAkzz0Ly3rFYKowKR792gQ9KObILt6G?source=LinkedIn&amp;urlHash=tLYA")</f>
        <v/>
      </c>
      <c r="G41" t="inlineStr">
        <is>
          <t>Sunnyvale, CA</t>
        </is>
      </c>
      <c r="H41" t="inlineStr"/>
      <c r="I41" t="inlineStr">
        <is>
          <t>Position Summary...
 What you'll do...Role summary:
 Join Walmart as a Senior Software Engineer, contributing to the design, development, and delivery of scalable software solutions that align with business objectives. This role involves analyzing requirements, creating detailed designs, coding maintainable components, and ensuring quality through rigorous testing and defect management. The position requires collaboration with cross\-functional teams to address technical challenges, implement continuous integration and deployment practices, and enhance system performance. The ideal candidate demonstrates strong technical acumen, problem\-solving skills, and a commitment to delivering high\-quality software that supports Walmart’s operational goals and customer experience.
 About the team:
 Our team delivers scalable, high\-performance software solutions that support critical business functions. We focus on creating reliable, customer\-centered products while enhancing operational efficiency through innovation, automation, and continuous optimization. Collaborating across disciplines, we design and implement robust systems that ensure quality and performance. Emphasizing technical excellence and proactive problem\-solving, the team drives ongoing improvements aligned with strategic goals. Members actively contribute to knowledge sharing and professional growth, fostering an environment where innovation and operational success are prioritized to support measurable business advancement.
 What you'll do:
* Analyze and classify requirements to align solutions with business and technical needs.
* Design scalable, maintainable software components adhering to architecture and design patterns.
* Develop and configure code following standards to meet functional and nonfunctional requirements.
* Conduct code reviews and implement automated testing to ensure quality and reliability.
* Troubleshoot defects and performance issues, applying root cause analysis and corrective actions.
* Collaborate with stakeholders to refine user stories and support iterative development cycles.
* Monitor application performance using telemetry and continuous integration/delivery tools.
* Mentor team members and contribute to process improvements and technical knowledge sharing.
 What you'll bring:
* Proven expertise in software architecture, design patterns, and scalable distributed systems.
* Strong proficiency in object\-oriented programming and coding standards across multiple languages such as JavaScript and Python.
* Experience with iterative and incremental development, continuous integration, and continuous delivery practices.
* Ability to conduct thorough code reviews, debugging, and defect management to ensure high\-quality software delivery.
* Skilled in requirement analysis, user story creation, and translating business needs into technical solutions.
* Familiarity with telemetry, testing methodologies, and automation tools to support robust software lifecycle management.
* Demonstrated capability to collaborate effectively with cross\-functional teams and stakeholders.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42">
      <c r="A42" t="inlineStr">
        <is>
          <t>li-4326701472</t>
        </is>
      </c>
      <c r="B42" t="inlineStr">
        <is>
          <t>Software Engineer, Context Platform</t>
        </is>
      </c>
      <c r="C42" t="inlineStr">
        <is>
          <t>Glean</t>
        </is>
      </c>
      <c r="D42" t="inlineStr">
        <is>
          <t>linkedin</t>
        </is>
      </c>
      <c r="E42">
        <f>HYPERLINK("https://www.linkedin.com/jobs/view/4326701472", "https://www.linkedin.com/jobs/view/4326701472")</f>
        <v/>
      </c>
      <c r="F42">
        <f>HYPERLINK("https://job-boards.greenhouse.io/gleanwork/jobs/4638008005&amp;urlHash=IP4T", "https://job-boards.greenhouse.io/gleanwork/jobs/4638008005&amp;urlHash=IP4T")</f>
        <v/>
      </c>
      <c r="G42" t="inlineStr">
        <is>
          <t>Palo Alto, CA</t>
        </is>
      </c>
      <c r="H42" t="inlineStr"/>
      <c r="I42"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the
 **horizontal AI platform** 
 that powers how employees use AI at work – not just in Glean, but across tools like Copilot, Gemini, ChatGPT, IDEs, and more. We are seeking creative engineers to build this context platform and deliver rich, trustworthy experiences across all of those apps.
 This team owns the platform experience end‑to‑end: standards and tooling for REST APIs, SDKs and client libraries, agent SDKs and integrations, MCP servers, custom context such as code and memory, and the infrastructure and docs that make it easy to build on Glean. In a rapidly growing startup, this means working across multiple layers of the stack – backend services, developer tools, SDKs, and docs.
**You Will**
* Design, build, and evolve SDKs and client libraries that developers use to integrate with Glean from their own applications and agent frameworks.
* Own and advance agent‑focused tooling and SDKs (including MCP and related integrations) so external frameworks, IDEs, and agents can easily and reliably call into Glean.
* Build custom platform context services and actions such as Code Search, Code Writer, and Memory that power rich experiences across apps.
* Define and maintain standards and conventions for Glean’s public REST APIs (resource design, versioning, errors, deprecations) and provide the OpenAPI schemas, tools, and CI checks that other teams use when building and evolving endpoints.
* Collaborate with Security to design and operate authentication and authorization flows for developer scenarios (e.g., OAuth2/OIDC, dynamic client registration, service‑to‑service auth).
* Design features as reusable platform primitives on top of Glean’s horizontal layers (connectors, security/governance, knowledge graph, memory, model orchestration) so they can be reused by internal teams and partners.
**About You**
* BA/BS in computer science or a related field, or equivalent practical experience.
* 1\+ years of industry software engineering experience.
* Experience building and shipping backend and/or platform systems that are used in production.
* Proficiency in at least one modern backend language (ideally Golang, or strong interest in learning it); experience with TypeScript, Python, and/or Java is a plus.
* Thrive in a customer‑focused, tight‑knit, cross‑functional environment – being a team player and willing to take on whatever is most impactful for the company is a must.
* A proactive and positive attitude to lead, learn, troubleshoot, and take ownership of both small tasks and large features.
* Familiarity with cloud‑native development practices in GCP/AWS/Azure is a plus.
**Location:**
* This role is hybrid (3\-4 days a week in our Palo Alto office)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43">
      <c r="A43" t="inlineStr">
        <is>
          <t>li-4349655639</t>
        </is>
      </c>
      <c r="B43" t="inlineStr">
        <is>
          <t>Full Stack Engineer</t>
        </is>
      </c>
      <c r="C43" t="inlineStr">
        <is>
          <t>webAI</t>
        </is>
      </c>
      <c r="D43" t="inlineStr">
        <is>
          <t>linkedin</t>
        </is>
      </c>
      <c r="E43">
        <f>HYPERLINK("https://www.linkedin.com/jobs/view/4349655639", "https://www.linkedin.com/jobs/view/4349655639")</f>
        <v/>
      </c>
      <c r="F43">
        <f>HYPERLINK("https://jobs.ashbyhq.com/webAI/27d1364c-4781-4430-8221-2d4d62fd29ed?source=linkedin&amp;urlHash=87wV", "https://jobs.ashbyhq.com/webAI/27d1364c-4781-4430-8221-2d4d62fd29ed?source=linkedin&amp;urlHash=87wV")</f>
        <v/>
      </c>
      <c r="G43" t="inlineStr">
        <is>
          <t>Austin, TX</t>
        </is>
      </c>
      <c r="H43" t="inlineStr"/>
      <c r="I43" t="inlineStr">
        <is>
          <t>**About Us**
 webAI is pioneering the future of artificial intelligence by establishing the first distributed AI infrastructure dedicated to personalized AI. We recognize the evolving demands of a data\-driven society for scalability and flexibility, and we firmly believe that the future of AI lies in distributed processing at the edge, bringing computation closer to the source of data generation. Our mission is to build a future where a company's valuable data and intellectual property remain entirely private, enabling the deployment of large\-scale AI models directly on standard consumer hardware without compromising the information embedded within those models. We are developing an end\-to\-end platform that is secure, scalable, and fully under the control of our users, empowering enterprises with AI that understands their unique business. We are a team driven by
 **truth, ownership, tenacity, and humility** 
 , and we seek individuals who resonate with these core values and are passionate about shaping the next generation of AI.
**About The Role**
 We are seeking a Full Stack Engineer to develop high\-performance web and desktop applications that power core components of our platform. You will work across engineering, product, and design teams to build scalable applications, implement real\-time communication systems, and contribute to our technical strategy. This role requires strong experience with React, Vite, Electron, TypeScript, and real\-time protocols, along with a passion for solving complex engineering challenges.
**Responsibilities**
* Develop scalable web and desktop applications using React, Vite, and Electron.
* Architect and optimize real\-time communication using WebSockets and MQTT.
* Build and maintain robust CI/CD pipelines via GitLab with automated testing.
* Write clean, maintainable code across HTML, CSS/SCSS, and TypeScript.
* Develop unit and E2E test coverage using Cypress.
* Lead code reviews and contribute to engineering best practices.
* Diagnose and resolve issues across production and development environments.
* Propose and implement improvements in architecture, workflows, and tooling.
* Design complex state management systems using Redux, Zustand, or XState.
* Implement efficient data\-handling algorithms for caching, syncing, and real\-time updates.
* Provide technical mentorship and contribute to long\-term technical strategy.
**Requirements \&amp; Skills**
* 3\+ years of experience with JavaScript/TypeScript development.
* Strong skills with React, Vite, Electron, and modern UI architecture.
* Proficiency in HTML, CSS/SCSS, TypeScript.
* Experience with WebSockets, MQTT, and real\-time systems.
* Hands\-on experience with Cypress and automated testing frameworks.
* Knowledge of Go or Python for backend collaboration (preferred).
* Experience with PostgreSQL and MongoDB.
* Proficiency with GitLab CI/CD and DevOps tooling.
* Strong problem\-solving abilities and collaborative communication skills.
* Expertise in state management (Redux, Zustand, XState) and performance optimization.
* Experience leading technical initiatives or influencing engineering direction.
 We at webAI are committed to living out the
 **core values** 
 we have put in place as the foundation on which we operate as a team. We seek individuals who exemplify the following:
* Truth \- Emphasizing transparency and honesty in every interaction and decision.
* Ownership \- Taking full responsibility for one’s actions and decisions, demonstrating commitment to the success of our clients.
* Tenacity \- Persisting in the face of challenges and setbacks, continually striving for excellence and improvement.
* Humility \- Maintaining a respectful and learning\-oriented mindset, acknowledging the strengths and contributions of others.
**Benefits:**
* Competitive salary and performance\-based incentives.
* Comprehensive health, dental, and vision benefits package.
* 401k Match (US\-based only)
* $200/mos Health and Wellness Stipend
* $400/year Continuing Education Credit
* $500/year Function Health subscription (US\-based only)
* Free parking, for in\-office employees
* Unlimited Approved PTO
* Parental Leave for Eligible Employees
* Supplemental Life Insurance
 webAI is an Equal Opportunity Employer and does not discriminate against any employee or applicant on the basis of age, ancestry, color, family or medical care leave, gender identity or expression, genetic information, marital status, medical condition, national origin, physical or mental disability, protected veteran status, race, religion, sex (including pregnancy), sexual orientation, or any other characteristic protected by applicable laws, regulations and ordinances. We adhere to these principles in all aspects of employment, including recruitment, hiring, training, compensation, promotion, benefits, social and recreational programs, and discipline. In addition, it is the policy of webAI to provide reasonable accommodation to qualified employees who have protected disabilities to the extent required by applicable laws, regulations and ordinances where a particular employee works.</t>
        </is>
      </c>
    </row>
    <row r="44">
      <c r="A44" t="inlineStr">
        <is>
          <t>li-4381027631</t>
        </is>
      </c>
      <c r="B44" t="inlineStr">
        <is>
          <t>Software Engineer</t>
        </is>
      </c>
      <c r="C44" t="inlineStr">
        <is>
          <t>John Deere</t>
        </is>
      </c>
      <c r="D44" t="inlineStr">
        <is>
          <t>linkedin</t>
        </is>
      </c>
      <c r="E44">
        <f>HYPERLINK("https://www.linkedin.com/jobs/view/4381027631", "https://www.linkedin.com/jobs/view/4381027631")</f>
        <v/>
      </c>
      <c r="F44">
        <f>HYPERLINK("https://careers.deere.com/careers/job/137479448975?utm_source=LinkedIn&amp;domain=johndeere.com&amp;urlHash=Ewnm", "https://careers.deere.com/careers/job/137479448975?utm_source=LinkedIn&amp;domain=johndeere.com&amp;urlHash=Ewnm")</f>
        <v/>
      </c>
      <c r="G44" t="inlineStr">
        <is>
          <t>Urbandale, IA</t>
        </is>
      </c>
      <c r="H44" t="inlineStr"/>
      <c r="I44"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Urbandale
**Function:** 
 Technology (CA)
**Title:** 
 Software Engineer \- 118686*
***Onsite/Remote:** 
 Onsite Position*
***Job Grade:** 
 07*
**Your Responsibilities**
 As a
 **Software Engineer** 
 for
 **Intelligent Solutions Group Urbandale** 
 located in
 **Urbandale, IA,** 
 you will:
* Design, develop, test, and integrate highly complex features including UI components and backend services/APIs across the Licenses Management platform.
* Participate in Agile ceremonies to deliver high‑quality solutions efficiently.
* Collaborate with other Licensing scrum teams to help drive alignment and understanding of requirements and dependencies.
* Support strong engineering practices—code reviews, automation, CI/CD, observability, and secure coding.
* Monitor and optimize system performance to ensure reliability and scalability
**VISA Sponsorship is NOT available for this position**
**What Skills You Need**
* Hands\-on experience building UI applications and REST APIs using JavaScript, React.js, Node.js
* Experience with TDD, Refactoring, Pair Programming, CI/CD
* Experience working in Agile software delivery environments
* Experience with Dev Ops tools and technologies like GitHub Actions, Datadog.
* Strong communication and interpersonal skills
**What Makes You Stand Out**
* Strong analytical and problem‑solving skills with the ability to debug complex issues across the tech stack.
* Experience working with cross functional teams
* Experience with AWS services
* Experience with AI\-powered development tools (e.g. GitHub Copilot, Microsoft Copilot)
**Education**
 Ideally you will have a degree or equivalent related work experience in the following:
 Bachelor's degree in an Engineering, Science or Technology related discipline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$86,892\.00 \- $130,332\.00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45">
      <c r="A45" t="inlineStr">
        <is>
          <t>li-4371878900</t>
        </is>
      </c>
      <c r="B45" t="inlineStr">
        <is>
          <t>Software Engineer</t>
        </is>
      </c>
      <c r="C45" t="inlineStr">
        <is>
          <t>Russell Tobin</t>
        </is>
      </c>
      <c r="D45" t="inlineStr">
        <is>
          <t>linkedin</t>
        </is>
      </c>
      <c r="E45">
        <f>HYPERLINK("https://www.linkedin.com/jobs/view/4371878900", "https://www.linkedin.com/jobs/view/4371878900")</f>
        <v/>
      </c>
      <c r="F45" t="inlineStr"/>
      <c r="G45" t="inlineStr">
        <is>
          <t>California, United States</t>
        </is>
      </c>
      <c r="H45" t="inlineStr"/>
      <c r="I45" t="inlineStr">
        <is>
          <t>**Job Title**
 :
 Software Engineer
**Location**
 :
 100% Remote
**Duration**
 : 6\+ Months with Possible Extension
**Pay Range**
 : $60 \- $63/hr on W2
**Job Summary**
* Study large machine learning datasets and build software pipelines to curate machine learning datasets generated from various data collections.
* Build backend services to enhance data
 exploration 
 over the curated machine learning datasets.
* Build data visualization solutions (videos, 3d assets, etc.) to represent data samples with improved visibility and reasonable rendering cost.
**Required:**
* Proficiency with programming and query languages such as Python and SQL.
* Proficiency with data pipeline, modeling, database and query tools, like Dagster, PostgreSQL, MongoDB, Trino or equivalent.
* Experiences with visualizations that enhances data exploration. Preferably data visualizations of video data and 3d point clouds/meshes.
* Preferably experiences with machine learning training/validation/QA workflow.
* Preferably experiences with model debugging workflow. Able to understand what analytics of datasets are typically sought after, during model debugging.
**Qualifications:**
* 2\+ years of experiences.
* B.S. in Computer Science and/or extra experiences in equivalent field.
**Benefits Info**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\#CB
 \#RTA</t>
        </is>
      </c>
    </row>
    <row r="46">
      <c r="A46" t="inlineStr">
        <is>
          <t>li-4371386847</t>
        </is>
      </c>
      <c r="B46" t="inlineStr">
        <is>
          <t>Software Engineering Manager, Search Intelligence</t>
        </is>
      </c>
      <c r="C46" t="inlineStr">
        <is>
          <t>Google</t>
        </is>
      </c>
      <c r="D46" t="inlineStr">
        <is>
          <t>linkedin</t>
        </is>
      </c>
      <c r="E46">
        <f>HYPERLINK("https://www.linkedin.com/jobs/view/4371386847", "https://www.linkedin.com/jobs/view/4371386847")</f>
        <v/>
      </c>
      <c r="F46" t="inlineStr"/>
      <c r="G46" t="inlineStr">
        <is>
          <t>Mountain View, CA</t>
        </is>
      </c>
      <c r="H46" t="inlineStr"/>
      <c r="I46" t="inlineStr">
        <is>
          <t>**Minimum qualifications:**
* Bachelor’s degree, or equivalent practical experience.
* 8 years of experience in software development and 3 years of experience with developing and launching end\-user products.
* 3 years of experience in a technical leadership role and 2 years of experience in a people management or team leadership role.
* Experience building and managing distributed software systems and infrastructure.
* Experience with product innovation such as 0 to 1, with consumer\-facing internet products, and with web and mobile technologies.
**Preferred qualifications:**
* Master's degree or PhD in Computer Science or related technical field.
* 3 years of experience working in a cross\-functional organization.
* 3 years of experience in a technical leadership role, overseeing projects.
* Experience with systems that process user generated content or integrate with social media platforms.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a Software Engineering Manager, you will be part of the Online Voices Presence and Value team to build the next generation of experiences and tools for content creators on Search and Discover. You will have experience managing engineering teams to deliver external end\-user facing product innovation, achieving product market fit, and scaling the solution. Our work is a zero to one effort in creating new product value for social media content creators on Google Search and Discover, where you’ll be a key player in ensuring a thriving future for Google Search through innovating and delivering compelling product experiences.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mentor, and grow an engineering team, including responsibility for hiring, performance reviews, career development, and compensation planning. Foster a culture of technical excellence, ownership, psychological safety, and innovation within the team.
* Lead complex initiatives to deliver rapid user\-facing product innovation in search. Lead the team in defining and adhering to best engineering practices and operational excellence standards.
* Drive execution and delivery against the roadmap, managing project risks, resource allocation, and dependencies with external teams.
* Serve as the primary technical partner to Product Managers, UX Designers, UX Researchers, and Data Scientists, translating product needs into clear, actionable engineering goals.
* Debug complex organizational and process issues to unblock the team and optimize workflow.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7">
      <c r="A47" t="inlineStr">
        <is>
          <t>li-4381962991</t>
        </is>
      </c>
      <c r="B47" t="inlineStr">
        <is>
          <t>Software Engineer, ML, Resource Management Automation</t>
        </is>
      </c>
      <c r="C47" t="inlineStr">
        <is>
          <t>Google</t>
        </is>
      </c>
      <c r="D47" t="inlineStr">
        <is>
          <t>linkedin</t>
        </is>
      </c>
      <c r="E47">
        <f>HYPERLINK("https://www.linkedin.com/jobs/view/4381962991", "https://www.linkedin.com/jobs/view/4381962991")</f>
        <v/>
      </c>
      <c r="F47" t="inlineStr"/>
      <c r="G47" t="inlineStr">
        <is>
          <t>New York, NY</t>
        </is>
      </c>
      <c r="H47" t="inlineStr"/>
      <c r="I47" t="inlineStr">
        <is>
          <t>**Minimum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Golang, or C\+\+ codebases, and front\-end experience including JavaScript or TypeScript, HTML, CSS or equivalent.
**Preferred qualifications:**
* Master's degree or PhD in Computer Science or related technical fields.
* 2 years of experience with data structures and algorithms.
* Experience developing accessible technologies.
* Familiarity with ML platforms, solutions and infrastructure.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Triage product or system issues and debug/track/resolve by analyzing the sources of issues and the impact on hardware, network, or service operations and quality.
* Integrate our systems with a wide array of planning, serving, and ML infrastructure.
* Develop and refine algorithms for efficient resource allocation, bin packing, and launch provisioning for processing units.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li-4371703579</t>
        </is>
      </c>
      <c r="B48" t="inlineStr">
        <is>
          <t>Sr. Software Engineer, Full-Stack (Factory Systems)</t>
        </is>
      </c>
      <c r="C48" t="inlineStr">
        <is>
          <t>Rivian and Volkswagen Group Technologies</t>
        </is>
      </c>
      <c r="D48" t="inlineStr">
        <is>
          <t>linkedin</t>
        </is>
      </c>
      <c r="E48">
        <f>HYPERLINK("https://www.linkedin.com/jobs/view/4371703579", "https://www.linkedin.com/jobs/view/4371703579")</f>
        <v/>
      </c>
      <c r="F48" t="inlineStr"/>
      <c r="G48" t="inlineStr">
        <is>
          <t>Palo Alto, CA</t>
        </is>
      </c>
      <c r="H48" t="inlineStr"/>
      <c r="I48"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Join our Factory Platform team and become a key player in revolutionizing the automotive industry! As a Sr. Full Stack Software Engineer, you'll be on the cutting edge, designing and implementing the next generation of manufacturing software that drives production quality and efficiency. If you are passionate about owning impactful projects, delivering world\-class solutions in a dynamic environment, your chance to accelerate your career and shape the future of vehicle manufacturing is now. Apply today and build what's never been built before! This position will be located at either Palo Alto, CA or Irvine, CA or Normal, IL and report into Sr. Manager, Equipment and Execution Platform.
**Responsibilities**
* Design and Development: Design, develop, and maintain high\-quality, scalable, and secure full\-stack applications for Rivian Volkswagen Technologies' connected services.
* API Development: Contribute to the design and development of RESTful APIs that adhere to industry best practices and meet the needs of various consumers (mobile apps, third\-party developers).
* Collaboration: Work effectively with a cross\-functional team of engineers, designers, and product managers to deliver exceptional user experiences.
* Problem Solving: Demonstrate strong problem\-solving skills and the ability to troubleshoot complex technical issues.
* Code Quality: Write clean, well\-documented, and testable code. Participate in code reviews and contribute to improving code quality standards.
* Innovation: Stay up\-to\-date with the latest technologies and trends in full\-stack development and contribute to the team's technical growth.
* Mentorship: Guide and mentor junior developers, sharing knowledge and best practices.
* Communication: Communicate effectively with technical and non\-technical stakeholders.
**Qualifications**
* Experience: 7\+ years of professional software development experience with a focus on full\-stack development.
* Frontend: Proficiency in modern JavaScript frameworks (React, Vue, Angular), HTML, CSS, and responsive design. Experience with state management libraries (Redux, Vuex) and testing frameworks (Jest, Cypress).
* Backend: Strong knowledge of at least one backend language (Golang, Node.js, Python) and experience building RESTful APIs. Familiarity with database technologies (SQL and NoSQL) and cloud platforms (AWS, Azure, GCP).
* Data Processing: Experience with stream processing and a fundamental knowledge of data processing methods, including familiarity with message queue technologies (e.g., Kafka, NATS, RabbitMQ).
* DevOps: Experience with CI/CD pipeline and containerization (Docker, Kubernetes)
* Agile: Familiarity with Agile development methodologies (Scrum, Kanban).
**Preferred Qualifications**
* Experience working with industrial protocols (OPC UA, EthernetIP, Modbus, MQTT)
* Experience working in manufacturing environments is highly desirable.
**Pay Disclosure**
**Salary Range for Palo Alto, California Based Applicants:** 
 $146,900 \- $183,600 (actual compensation will be determined based on experience, location, and other factors permitted by law).
**Salary Range for irvine, California Based Applicants:** 
 $135,000 \- $168,900 (actual compensation will be determined based on experience, location, and other factors permitted by law).
**Salary Range for Normal, Illinois Based Applicants:** 
 $123,400 \- $154,200 (actual compensation will be determined based on experience, location, and other factors permitted by law).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49">
      <c r="A49" t="inlineStr">
        <is>
          <t>li-4380276750</t>
        </is>
      </c>
      <c r="B49" t="inlineStr">
        <is>
          <t>Entry-Level Software Engineer - Developer</t>
        </is>
      </c>
      <c r="C49" t="inlineStr">
        <is>
          <t>Boeing</t>
        </is>
      </c>
      <c r="D49" t="inlineStr">
        <is>
          <t>linkedin</t>
        </is>
      </c>
      <c r="E49">
        <f>HYPERLINK("https://www.linkedin.com/jobs/view/4380276750", "https://www.linkedin.com/jobs/view/4380276750")</f>
        <v/>
      </c>
      <c r="F49" t="inlineStr"/>
      <c r="G49" t="inlineStr">
        <is>
          <t>Tukwila, WA</t>
        </is>
      </c>
      <c r="H49" t="inlineStr"/>
      <c r="I49"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an
 **Entry\-Level Software Engineer \- Developer** 
 to support our
 **E\-7 Software New Business** 
 team located in
 **Tukwila, Washington** 
 . This position will focus on supporting the Boeing Defense Services (BDS) business organization.
 The AEW\&amp;C E\-7 New Business team will engage in cutting\-edge research and development to lay the foundation of the future of the E\-7 platform's software capabilities. This team is a passionate, driven and collaborative team that embraces modern software best practices, standards and initiatives to enhance the E\-7 platform's performance and adaptability.
**Position Responsibilities:**
* Assists with the design, development, test, and maintenance of non\-embedded software throughout the end\-to\-end lifecycle that meets industry, customer, safety, and regulation standards
* Gathers information to review, analyze, and translate customer requirements into initial design of software products
* Assists with development, maintenance, enhancement and optimization of software products and functionalities for systems integrations
* Assists with development, documentation and maintenance of architectures, requirements, algorithms, interfaces and designs for software products
* Assists with debugging and resolution of issues identified to ensure the reliability and efficiency of software products
* Participates in handling user inquiries, troubleshooting technical issues and user feedback analysis
* Assists with implementation of current and emerging technologies, tools, frameworks and changes in regulations relevant to software development
* Assists to develop, establish, monitor and improve software processes, tools and key performance metrics that align projects with organizational goals and industry benchmarks
* Provides information to execute and document software research and development project
* Gathers information to perform software project management activities and software supplier management functions
* Assists to track and evaluate software team and supplier performance to ensure product and process compliance to project plans and industry standards
**This position is expected to be 100% onsite. The selected candidate will be required to work onsite at one of the listed location options.**
**Basic Qualifications (Required Skills/ Experience):**
* Bachelor’s Degree in an engineering discipline or 4\+ years equivalent related experience
* Experience in C\+\+ or Java
**Preferred Qualifications (Desired Skills/Experience):**
* Bachelor’s Degree in an engineering discipline experience or 13 years of related relevant work experience
* Experience with host environments, including processors, operating systems and networks. Ability to build, integrate and troubleshoot software components
* Experience in software programming languages and databases and the ability to apply to the software domain. Programming languages encompass higher order languages, auto\-coded languages and assembly languages
* Experience in software architecture and design methodologies
* Experience in software development processes in compliance with established internal and industry standards, guidelines, and best practices in the development, testing, and deployment of software
* Experience with general and software development and testing tools, capability and usage
* Experience in domains, characteristics, constraints and products that require software and influence architecture, requirements, interfaces, designs, and integration/test approaches
* Experience with supplier assessment processes including Preferred Supplier Certification and Work Transfer Process
* Experience in implementation, validation, and verification processes, practices, and guidelines to ensure software development quality, performance, and safety
**Travel:** 
 25% of the time
**Drug Free Workplace:**
 Boeing is a Drug Free Workplace (DFW)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$83,300 \- $112,700
 Applications for this position will be accepted until
 **Mar. 10,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Top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50">
      <c r="A50" t="inlineStr">
        <is>
          <t>li-4381044012</t>
        </is>
      </c>
      <c r="B50" t="inlineStr">
        <is>
          <t>Software Developer</t>
        </is>
      </c>
      <c r="C50" t="inlineStr">
        <is>
          <t>LTIMindtree</t>
        </is>
      </c>
      <c r="D50" t="inlineStr">
        <is>
          <t>linkedin</t>
        </is>
      </c>
      <c r="E50">
        <f>HYPERLINK("https://www.linkedin.com/jobs/view/4381044012", "https://www.linkedin.com/jobs/view/4381044012")</f>
        <v/>
      </c>
      <c r="F50" t="inlineStr"/>
      <c r="G50" t="inlineStr">
        <is>
          <t>Edison, NJ</t>
        </is>
      </c>
      <c r="H50" t="inlineStr"/>
      <c r="I50"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team.SQL Server, Big Data Platform, Cosmos, Scope, Power BI and SSIS.Requires a Bachelor's degree or equivalent in Computer Science, Engineering, Math, Science, Information Technology, Computer Applications, MIS, CIS, Accounting, Commerce, Business Administration or related. Plus 2 years of experience in the field. Benefits include Medical/Dental/Vision/Life, HSA/FSA, AD\&amp;D/STD/LTD, 401k, PTO. Travel required.Please email resumes (reference position applied for) to gc.officer@ltimindtree.com or mail resumes to LTIMindtree Ltd., Attn: HR Dept., 2035 Lincoln Hwy, Suite 3004, Edison, NJ 08817\.</t>
        </is>
      </c>
    </row>
    <row r="51">
      <c r="A51" t="inlineStr">
        <is>
          <t>li-4381966316</t>
        </is>
      </c>
      <c r="B51" t="inlineStr">
        <is>
          <t>Full Stack Engineer</t>
        </is>
      </c>
      <c r="C51" t="inlineStr">
        <is>
          <t>Wiraa</t>
        </is>
      </c>
      <c r="D51" t="inlineStr">
        <is>
          <t>linkedin</t>
        </is>
      </c>
      <c r="E51">
        <f>HYPERLINK("https://www.linkedin.com/jobs/view/4381966316", "https://www.linkedin.com/jobs/view/4381966316")</f>
        <v/>
      </c>
      <c r="F51" t="inlineStr"/>
      <c r="G51" t="inlineStr"/>
      <c r="H51" t="inlineStr"/>
      <c r="I51" t="inlineStr">
        <is>
          <t>**About The Company**
 Calendly is a leading provider of scheduling automation solutions that streamline the way individuals and organizations manage their meetings and appointments. With a mission to eliminate the back\-and\-forth of scheduling, Calendly empowers users to focus on what truly matters by providing an intuitive platform that integrates seamlessly with various calendar systems and productivity tools. As a fast\-growing company, Calendly is committed to innovation, customer success, and creating a diverse, inclusive work environment. The company’s culture encourages continuous learning, collaboration, and a passion for delivering exceptional user experiences. Millions of people worldwide rely on Calendly to simplify their scheduling processes, and the organization continues to expand its product offerings to meet the evolving needs of its users.
**About The Role**
 We are seeking a highly experienced Staff Engineer to join our Contacts team at Calendly. In this role, you will be instrumental in building and scaling our core contact data infrastructure, which is vital for delivering reliable and innovative engagement workflows to our customers. You will own critical components of the Contacts stack, from technical design to deployment and maintenance, ensuring robustness, scalability, and high performance. This is an exceptional opportunity to lead large\-scale, cross\-functional initiatives that transform our contact management capabilities from early\-stage prototypes to mature, enterprise\-grade solutions. You will work closely with product managers, designers, and other engineering leaders to translate customer needs into pragmatic technical solutions, particularly focusing on solopreneurs and small teams adopting CRM functionalities for the first time. Your leadership will help shape the future of Calendly’s contact ecosystem, driving innovation and operational excellence.
**Qualifications**
* 8–10\+ years of experience in building and operating backend or full\-stack systems in B2B SaaS environments.
* Proven experience leading 0–1 product development and scaling products through various stages of maturity.
* Strong expertise in distributed systems, data modeling, and API design.
* Experience with high\-traffic, high\-availability platforms.
* Fluency in at least one primary stack such as Go, TypeScript/Node.js, or React.
* Hands\-on experience with modern cloud infrastructure (GCP or similar), container orchestration (Kubernetes), and relational databases such as PostgreSQL.
* Familiarity with event\-driven architectures, change data capture (CDC), or search platforms.
* Strong testing discipline, including unit, integration, and end\-to\-end testing.
* Experience with observability tools—logging, metrics, tracing—and performance tuning.
* Knowledge of CRM, marketing, or sales tooling, especially data\-centric systems where data quality is critical.
* Ability to work in product\-led environments, balancing speed, quality, and learning through MVPs and experiments.
* Excellent communication skills, with the ability to influence and collaborate across teams.
* Demonstrated leadership in shaping technical strategy and mentoring engineers.
* Availability to participate in on\-call rotations for critical services.
* Authorized to work legally in the United States (no immigration sponsorship provided).
**Responsibilities**
* Design, develop, and evolve services and data models supporting contacts and relationships to enable new workflows and downstream integrations.
* Drive architectural decisions related to APIs, eventing, and data flow to ensure system reliability and scalability.
* Own complex, high\-impact projects such as new ingestion pipelines, enrichment features, or contact\-centric workflows from discovery to deployment and iteration.
* Break down ambiguous problems into clear milestones and incremental delivery plans, following a ship\-as\-you\-go approach.
* Provide technical leadership across multiple squads and workstreams, helping teams make informed tradeoffs on performance, reliability, and complexity.
* Mentor senior and mid\-level engineers, review design documents and pull requests, and promote best practices in testing, observability, and production readiness.
* Collaborate with product managers and designers to translate customer problems into pragmatic, scalable solutions, especially for first\-time CRM adopters.
* Define MVP scopes, instrumentation, and learning loops to facilitate rapid development while maintaining data trust and quality.
* Establish and improve service level objectives (SLOs), error budgets, and operational playbooks for contact services.
* Participate in on\-call rotations, lead incident response efforts, and implement corrective actions to prevent recurrence of issues.
**Benefits**
* Competitive salary packages aligned with experience and location.
* Eligibility for performance\-based bonuses and incentives.
* Equity awards that align your success with the company’s growth.
* Comprehensive health, dental, and vision insurance plans.
* Flexible work arrangements supporting remote and hybrid work models.
* Generous paid time off and holiday policies to promote work\-life balance.
* Opportunities for professional development, training, and career advancement.
* A collaborative and inclusive work environment that values diversity and belonging.
 Equal Opportunity
 Calendly is an equal opportunity employer committed to fostering an inclusive environment where all individuals are valued and respected. We do not discriminate based on race, ethnicity, gender, sexual orientation, age, disability, religion, or any other protected characteristic. We believe that diverse teams drive innovation and better serve our global customer base. All qualified applicants will receive consideration for employment without regard to any protected status. We encourage candidates from all backgrounds to apply and join our mission to simplify scheduling for everyone.</t>
        </is>
      </c>
    </row>
    <row r="52">
      <c r="A52" t="inlineStr">
        <is>
          <t>li-4380699912</t>
        </is>
      </c>
      <c r="B52" t="inlineStr">
        <is>
          <t>Junior Software Engineer</t>
        </is>
      </c>
      <c r="C52" t="inlineStr">
        <is>
          <t>Tech Consulting</t>
        </is>
      </c>
      <c r="D52" t="inlineStr">
        <is>
          <t>linkedin</t>
        </is>
      </c>
      <c r="E52">
        <f>HYPERLINK("https://www.linkedin.com/jobs/view/4380699912", "https://www.linkedin.com/jobs/view/4380699912")</f>
        <v/>
      </c>
      <c r="F52" t="inlineStr"/>
      <c r="G52" t="inlineStr">
        <is>
          <t>Oregon, United States</t>
        </is>
      </c>
      <c r="H52" t="inlineStr"/>
      <c r="I52" t="inlineStr">
        <is>
          <t>**Job Title:** 
 Junior Software Engineer
 **(\*\*Immediate Joining\*\*)** 
**Location:** 
 \[Anywhere in USA]
**Experience:** 
 1–3 years
**Employment Type:** 
 Full\-Time
**Job Description:**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Strong English communication skills, both written and verbal.
* Bachelor’s degree in computer science,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 Providing IT consulting services.
* **Experience** 
 :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t>
        </is>
      </c>
    </row>
    <row r="53">
      <c r="A53" t="inlineStr">
        <is>
          <t>li-4288258797</t>
        </is>
      </c>
      <c r="B53" t="inlineStr">
        <is>
          <t>Staff Software Engineer</t>
        </is>
      </c>
      <c r="C53" t="inlineStr">
        <is>
          <t>Cortex</t>
        </is>
      </c>
      <c r="D53" t="inlineStr">
        <is>
          <t>linkedin</t>
        </is>
      </c>
      <c r="E53">
        <f>HYPERLINK("https://www.linkedin.com/jobs/view/4288258797", "https://www.linkedin.com/jobs/view/4288258797")</f>
        <v/>
      </c>
      <c r="F53" t="inlineStr"/>
      <c r="G53" t="inlineStr"/>
      <c r="H53" t="inlineStr"/>
      <c r="I53" t="inlineStr">
        <is>
          <t>**🧠 About Cortex**
 Cortex is the Engineering Operations Platform that enables organizations to continuously improve their operational maturity and reduce developer friction. With centralized visibility, clear ownership, automated Scorecards, and golden paths, we help engineering organizations operate as one.
 Our customers – from startups to Fortune 100 enterprises – create a culture of engineering excellence, reducing incidents by 30% and improving MTTR by 50%, all while making it easier for developers to focus on building.
**📍Location**
 We’re fully remote and welcome candidates from across the US. We get together a few times a year for company offsites where we build stronger relationships, kick off important work, and genuinely enjoy spending time together.
**🤝 The Team**
 Our team is \~80 people building something developers actually want to use. We recently raised a $60M Series C led by Scale Ventures (alongside Sequoia and IVP). We're focused on making engineering teams more effective. You can read more about our latest funding round here.
**💼 Job Summary**
 We are seeking a
 **Staff Backend Engineer** 
 to join our engineering team. As the
 **Staff Backend Engineer** 
 you will be responsible for establishing the architectural framework for significant parts of our product. You will work closely with engineering, design and product management teams to develop foundational systems to support scalability and efficient delivery while ensuring appropriate technical design.
**💻 Responsibilities**
* Define both architecture and best practices for large portions of the product
* Lead and contribute to the design, development, and implementation of scalable backend systems
* Implement core systems technologies that allow us to scale and deliver
* Head efforts for clarity and alignment of technical direction and vision
* Collaborate with leaders and product to develop the vision and deliver key features
* Foster a challenging and safe environment for engineers to learn and grow
* Set the bar for high quality engineering across the organization
* Advocate for best practices, focusing on system design, overall performance and testing
* Optimize existing backend systems to improve performance, scalability, and reliability
**✔️Qualifications**
* Bachelor's degree in Computer Science or related field, or equivalent work experience
* 10\+ years of experience designing and implementing scalable, high\-performance backend systems
* Solid fundamental problem solving skills and a drive to build high\-quality software
* Solid understanding of computer science concepts, common design patterns, and engineering best practices
* Strong understanding of database technologies (NoSQL)
* Strong communication and collaboration skills
* Ability to mentor and coach engineering team members
* Experience at a previous startup is a plus
 🌴
 **Perks \&amp; Benefits**
* Competitive salary and equity
* National medical, dental \&amp; vision insurance (we cover 100%!)
* Fully covered life insurance
* $400 monthly perks stipend
* $1000 yearly Learning \&amp; Development stipend
* 401k plan
* Pet Insurance
* Unlimited PTO
* Remote \&amp; flexible working hours
* Gender\-neutral parental leave
* All\-Company Retreats (San Diego \+ NYC)
**Noteworthy**
*Our job titles may span more than one career level. The base pay for this role starts between $245,000\-$260,000\. The actual base pay is dependent upon many factors, such as training, transferable skills, work experience, business needs, and market demands. The base pay range is subject to change and may be modified in the future. This role is eligible for equity and benefits.*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row>
    <row r="54">
      <c r="A54" t="inlineStr">
        <is>
          <t>li-4371704583</t>
        </is>
      </c>
      <c r="B54" t="inlineStr">
        <is>
          <t>Sr. Software Engineer, Full-Stack (Factory Systems)</t>
        </is>
      </c>
      <c r="C54" t="inlineStr">
        <is>
          <t>Rivian and Volkswagen Group Technologies</t>
        </is>
      </c>
      <c r="D54" t="inlineStr">
        <is>
          <t>linkedin</t>
        </is>
      </c>
      <c r="E54">
        <f>HYPERLINK("https://www.linkedin.com/jobs/view/4371704583", "https://www.linkedin.com/jobs/view/4371704583")</f>
        <v/>
      </c>
      <c r="F54" t="inlineStr"/>
      <c r="G54" t="inlineStr">
        <is>
          <t>Irvine, CA</t>
        </is>
      </c>
      <c r="H54" t="inlineStr"/>
      <c r="I54"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Join our Factory Platform team and become a key player in revolutionizing the automotive industry! As a Sr. Full Stack Software Engineer, you'll be on the cutting edge, designing and implementing the next generation of manufacturing software that drives production quality and efficiency. If you are passionate about owning impactful projects, delivering world\-class solutions in a dynamic environment, your chance to accelerate your career and shape the future of vehicle manufacturing is now. Apply today and build what's never been built before! This position will be located at either Palo Alto, CA or Irvine, CA or Normal, IL and report into Sr. Manager, Equipment and Execution Platform.
**Responsibilities**
* Design and Development: Design, develop, and maintain high\-quality, scalable, and secure full\-stack applications for Rivian Volkswagen Technologies' connected services.
* API Development: Contribute to the design and development of RESTful APIs that adhere to industry best practices and meet the needs of various consumers (mobile apps, third\-party developers).
* Collaboration: Work effectively with a cross\-functional team of engineers, designers, and product managers to deliver exceptional user experiences.
* Problem Solving: Demonstrate strong problem\-solving skills and the ability to troubleshoot complex technical issues.
* Code Quality: Write clean, well\-documented, and testable code. Participate in code reviews and contribute to improving code quality standards.
* Innovation: Stay up\-to\-date with the latest technologies and trends in full\-stack development and contribute to the team's technical growth.
* Mentorship: Guide and mentor junior developers, sharing knowledge and best practices.
* Communication: Communicate effectively with technical and non\-technical stakeholders.
**Qualifications**
* Experience: 7\+ years of professional software development experience with a focus on full\-stack development.
* Frontend: Proficiency in modern JavaScript frameworks (React, Vue, Angular), HTML, CSS, and responsive design. Experience with state management libraries (Redux, Vuex) and testing frameworks (Jest, Cypress).
* Backend: Strong knowledge of at least one backend language (Golang, Node.js, Python) and experience building RESTful APIs. Familiarity with database technologies (SQL and NoSQL) and cloud platforms (AWS, Azure, GCP).
* Data Processing: Experience with stream processing and a fundamental knowledge of data processing methods, including familiarity with message queue technologies (e.g., Kafka, NATS, RabbitMQ).
* DevOps: Experience with CI/CD pipeline and containerization (Docker, Kubernetes)
* Agile: Familiarity with Agile development methodologies (Scrum, Kanban).
**Preferred Qualifications**
* Experience working with industrial protocols (OPC UA, EthernetIP, Modbus, MQTT)
* Experience working in manufacturing environments is highly desirable.
**Pay Disclosure**
**Salary Range for Palo Alto, California Based Applicants:** 
 $146,900 \- $183,600 (actual compensation will be determined based on experience, location, and other factors permitted by law).
**Salary Range for irvine, California Based Applicants:** 
 $135,000 \- $168,900 (actual compensation will be determined based on experience, location, and other factors permitted by law).
**Salary Range for Normal, Illinois Based Applicants:** 
 $123,400 \- $154,200 (actual compensation will be determined based on experience, location, and other factors permitted by law).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55">
      <c r="A55" t="inlineStr">
        <is>
          <t>li-4371557362</t>
        </is>
      </c>
      <c r="B55" t="inlineStr">
        <is>
          <t>Infrastructure Software Engineer II (Remote - US)</t>
        </is>
      </c>
      <c r="C55" t="inlineStr">
        <is>
          <t>BNSF Railway</t>
        </is>
      </c>
      <c r="D55" t="inlineStr">
        <is>
          <t>linkedin</t>
        </is>
      </c>
      <c r="E55">
        <f>HYPERLINK("https://www.linkedin.com/jobs/view/4371557362", "https://www.linkedin.com/jobs/view/4371557362")</f>
        <v/>
      </c>
      <c r="F55">
        <f>HYPERLINK("https://jobs.bnsf.com/us/en/job/BRSBRWUS94805EXTERNALENUS/Infrastructure-Software-Engineer-II-Remote-US?utm_source=LinkedIn&amp;utm_medium=phenom-feeds&amp;urlHash=nNIr", "https://jobs.bnsf.com/us/en/job/BRSBRWUS94805EXTERNALENUS/Infrastructure-Software-Engineer-II-Remote-US?utm_source=LinkedIn&amp;utm_medium=phenom-feeds&amp;urlHash=nNIr")</f>
        <v/>
      </c>
      <c r="G55" t="inlineStr"/>
      <c r="H55" t="inlineStr"/>
      <c r="I55"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**Benefits**
 learn more about BNSF and our Benefits
**Job Location:** 
 Remote US
**Anticipated Start Date:** 
 03/30/2026]
 The US base salary range for this full\-time position is provided below:
**Salary Range:** 
 $123,750 \- $175,000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**infrastructure:** 
 build rail’s first hybrid cloud to enable millions of freight transactions a day with an open\-source stack that delivers the lowest unit cost of technology.
**Key Responsibilities May Include**
 This is a full stack infrastructure engineering role, involving backend services, APIs, and developer\-facing tooling for our infrastructure and platform services
**Develop and operate** 
 Kubernetes\-native systems using GitOps workflows
**Build and operate** 
 infrastructure as code, automation, and observability tools and services
**Collaborate** 
 with internal application teams to improve platform usability and feedback
**Help design and run** 
 systems that scale across data centers, edge devices, and cloud environments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3 years of relevant experience
* Experience with IaaS, PaaS, Open NOS, Service Mesh, block/object storage, Containers, Linux,SQL, or NoSQL DBs
* Proficiency in modern programming languages used in infrastructure (e.g. Go, Python, and Java)
* Experience with CI/CD pipelines, Git workflows, and DevOps practices
* Interest in open\-source infrastructure and developer platforms
* Familiarity with observability stacks (e.g., Prometheus, Grafana, OpenTelemetry)
* Experience with secure coding practices and infrastructure security principles
* Familiarity with secrets management and identity and access control
* Ability to work in cross\-functional teams and communicate with stakeholders
* Experience participating in design reviews, incident retrospectives, or RFC processes
* Demonstrated ability to learn new technical concepts and to adapt to new technologies quickly
* Strong communication and collaboration skills
**Preferred Qualifications**
* Bachelor’s degree or higher in computer science or a related field
* Engineering experience with a public IaaS company (AWS, Digital Ocean, GCP, CoreWeave,etc.)
* Experience running infrastructure platforms in production such as OpenStack, Ceph, Kubernetes, DBaaS, service mesh, and API gateways
* Experience with edge systems and hybrid environments
* Familiarity with developer tooling as a builder and/or user
* Interest in sustainable infrastructure and cost/resource awareness
* Familiarity with frameworks like React, Angular, Node.js, Spring Boot
* Familiarity with container\-based development
* 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
 SF: MO \| \[\[mfield5]] \| bnsf tech \| REMOTE, US \| 76131</t>
        </is>
      </c>
    </row>
    <row r="56">
      <c r="A56" t="inlineStr">
        <is>
          <t>li-4381046008</t>
        </is>
      </c>
      <c r="B56" t="inlineStr">
        <is>
          <t>Senior Software Engineer (Python)</t>
        </is>
      </c>
      <c r="C56" t="inlineStr">
        <is>
          <t>Fintal Partners</t>
        </is>
      </c>
      <c r="D56" t="inlineStr">
        <is>
          <t>linkedin</t>
        </is>
      </c>
      <c r="E56">
        <f>HYPERLINK("https://www.linkedin.com/jobs/view/4381046008", "https://www.linkedin.com/jobs/view/4381046008")</f>
        <v/>
      </c>
      <c r="F56" t="inlineStr"/>
      <c r="G56" t="inlineStr">
        <is>
          <t>New York, NY</t>
        </is>
      </c>
      <c r="H56" t="inlineStr"/>
      <c r="I56" t="inlineStr">
        <is>
          <t>Our client is a quantitative trading firm looking for a Senior Python Engineer to architect and build the critical data science backbone that fuels their research and execution. This is a chance to move beyond typical development cycles and directly impact a global trading platform. You will be building the systems that support their quants and traders, handling petabytes of data on a hybrid CPU/GPU infrastructure.
**What Makes This Role Unique?** 
* **Impact at Scale:** 
 You will own the core Python platform, building the very foundation that allows for global trading research. Your work will directly enable the rapid deployment of new strategies and technologies.
* **Full\-Stack Ownership:** 
 You will be responsible for the entire system lifecycle, from initial design to production. This includes architecting for automation, robustness, and observability to ensure seamless performance in extreme market conditions.
* **Direct Partnership with Quants:** 
 You'll work side\-by\-side with the quantitative researchers. This close collaboration means you're not just writing code; you're actively accelerating research and solving complex problems that improve the daily operations.
* **Autonomy and Modern Tooling:** 
 You will work with a cutting\-edge tech stack that includes Python (NumPy, Pandas/Polars, Cython), containerization (Docker, Kubernetes), and orchestration (Ansible, Terraform, Airflow).
**Who We're Looking For** 
* An experienced engineer with a track record of building and scaling robust, distributed systems.
* A strong command of Python, with hands\-on experience using key libraries like NumPy, Pandas/Polars, and Cython.
* Proficiency with containerization technologies such as Docker and Kubernetes.
* Experience with orchestration tools like Ansible, Terraform, or Airflow.</t>
        </is>
      </c>
    </row>
    <row r="57">
      <c r="A57" t="inlineStr">
        <is>
          <t>li-4362189562</t>
        </is>
      </c>
      <c r="B57" t="inlineStr">
        <is>
          <t>Senior Software Engineer - HSM</t>
        </is>
      </c>
      <c r="C57" t="inlineStr">
        <is>
          <t>BitGo</t>
        </is>
      </c>
      <c r="D57" t="inlineStr">
        <is>
          <t>linkedin</t>
        </is>
      </c>
      <c r="E57">
        <f>HYPERLINK("https://www.linkedin.com/jobs/view/4362189562", "https://www.linkedin.com/jobs/view/4362189562")</f>
        <v/>
      </c>
      <c r="F57">
        <f>HYPERLINK("https://job-boards.greenhouse.io/bitgo/jobs/8384999002&amp;urlHash=YObf", "https://job-boards.greenhouse.io/bitgo/jobs/8384999002&amp;urlHash=YObf")</f>
        <v/>
      </c>
      <c r="G57" t="inlineStr">
        <is>
          <t>New York, United States</t>
        </is>
      </c>
      <c r="H57" t="inlineStr"/>
      <c r="I57"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role will require being full\-time onsite at our New York office to support collaborative team dynamics and innovative problem\-solving.*
 BitGo is looking for a Senior Software Engineer to join our HSM team and help us build an API\-first platform for businesses and developers to launch crypto products.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Bachelor's or Master's degree in Computer Science, Mathematics, Cryptography, or a related field
* At least 6 years of proven experience in designing and implementing cryptographic solutions for enterprise\-level systems in back\-end and/or server\-side development
* Strong understanding of cryptographic algorithms and protocols such as RSA, ECC, AES, and SHA
* Great at algorithm design, problem solving, and complexity analysis
* Strong experience with C, C\+\+ or Rust
* Experience with TypeScript, Node.js, PostgreSQL and MongoDB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Ability to work independently and collaboratively in a team environment.
 Preferred:
* Familiarity with security best practices and standards, such as ISO 27001, NIST, and FIPS.
* Experience working in cryptography, with a focus on TSS and MPC.
* Understanding of and experience working in cryptocurrencies and blockchain or centralized financial industry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$180,000 \- $220,000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commuter/parking pass; Near subway stations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row>
    <row r="58">
      <c r="A58" t="inlineStr">
        <is>
          <t>li-4381019599</t>
        </is>
      </c>
      <c r="B58" t="inlineStr">
        <is>
          <t>Full Stack Engineer</t>
        </is>
      </c>
      <c r="C58" t="inlineStr">
        <is>
          <t>Millennium Software and Staffing Inc</t>
        </is>
      </c>
      <c r="D58" t="inlineStr">
        <is>
          <t>linkedin</t>
        </is>
      </c>
      <c r="E58">
        <f>HYPERLINK("https://www.linkedin.com/jobs/view/4381019599", "https://www.linkedin.com/jobs/view/4381019599")</f>
        <v/>
      </c>
      <c r="F58" t="inlineStr"/>
      <c r="G58" t="inlineStr">
        <is>
          <t>Burbank, CA</t>
        </is>
      </c>
      <c r="H58" t="inlineStr"/>
      <c r="I58" t="inlineStr">
        <is>
          <t>Hello Professionals,
 We are looking for Sr Full stack Developer in Los Angeles, CA (Onsite) for our client. (
 **Only W2 contract and Local)** 
**Experience:** 
**7\+ years** 
**Must Have Skill:** 
* Develop and maintain applications using Java, Spring Boot, and Microservices.
* Integrate Angular (v19/20\) front\-end with backend services using HTML, CSS, and JavaScript.
* Design and develop RESTful APIs and web services.
 Please let us know if you are interested in this role so we can share complete job description.
 Thanks, and regards.
 Tanmay</t>
        </is>
      </c>
    </row>
    <row r="59">
      <c r="A59" t="inlineStr">
        <is>
          <t>li-4371716368</t>
        </is>
      </c>
      <c r="B59" t="inlineStr">
        <is>
          <t>Senior Software Engineer, Pin Infrastructure</t>
        </is>
      </c>
      <c r="C59" t="inlineStr">
        <is>
          <t>Waymo</t>
        </is>
      </c>
      <c r="D59" t="inlineStr">
        <is>
          <t>linkedin</t>
        </is>
      </c>
      <c r="E59">
        <f>HYPERLINK("https://www.linkedin.com/jobs/view/4371716368", "https://www.linkedin.com/jobs/view/4371716368")</f>
        <v/>
      </c>
      <c r="F59">
        <f>HYPERLINK("https://careers.withwaymo.com/jobs?gh_jid=7612047&amp;gh_src=e2a2625d1us&amp;urlHash=ILwW", "https://careers.withwaymo.com/jobs?gh_jid=7612047&amp;gh_src=e2a2625d1us&amp;urlHash=ILwW")</f>
        <v/>
      </c>
      <c r="G59" t="inlineStr">
        <is>
          <t>San Francisco, CA</t>
        </is>
      </c>
      <c r="H59" t="inlineStr"/>
      <c r="I5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Pin Infrastructure team builds the infrastructure to ensure Waymo customers get picked up and dropped off at the right locations. As we rapidly expand, each new city introduces unique challenges that must be addressed to create a delightful user experience.
**You Will**
* Collaborate with Machine Learning (ML) teams to integrate new location selection models and phase out legacy heuristic ranking systems to improve pin quality.
* Centralize critical location logic, such as estimated time of arrival (ETA) calculation and venue validation, into a core API to ensure consistency and improve service reasoning.
* Design and implement scalable solutions for managing congestion, particularly for delivery services, to move beyond static location management.
* Develop and deploy geo\-fencing and demand control mechanisms to precisely manage Pick\-up and Drop\-off (PUDO) behavior across new operational areas.
* Build advanced tooling, dashboards, and monitoring systems to debug location selection decisions and proactively identify customer pain points (e.g., long walking distances or high failure rates).
* Refactor and simplify complex backend logic within the core trip planning service to improve maintainability and enable clear explanation of location selection decisions.
**You Have**
* Proven experience building and scaling high\-performance offboard infrastructure for critical services, such as location, routing, or trip planning.
* A strong background in machine learning pipelines, including feature engineering and integrating ML models into high\-volume production environments.
* Experience designing and implementing robust, reliable APIs for core geospatial or logistics services.
* Proficiency in data analysis and monitoring to establish system observability and identify anomalies and customer pain points (e.g., through event logging).
* Expertise in developing systems for demand control, traffic shaping, or congestion management within a large\-scale service environment.
* Demonstrated background in refactoring large, complex backend services to improve system architecture, maintainability, and diagnostic capabilities.
**We Prefer**
* Familiarity with geospatial data concepts, including Wayfinding, access point selection, pedestrian path generation, and location semantics.
* Experience with performance tuning, reducing latency, and scaling critical backend systems like a Route Server.
* Background utilizing user\-specific signals, preferences, or edit history to personalize selection algorithms.
* Knowledge of advanced location selection concepts, such as enforcing pin diversity and generating multiple viable Pick\-up and Drop\-off (PUDO) choices.
* Experience with geospatial concepts, including handling venue geometry or multi\-level roadgraph support.
* Proficiency with advanced debugging and visualization tools for analyzing location\-based events and system behavior.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60">
      <c r="A60" t="inlineStr">
        <is>
          <t>li-4372157559</t>
        </is>
      </c>
      <c r="B60" t="inlineStr">
        <is>
          <t>Senior Backend Engineer</t>
        </is>
      </c>
      <c r="C60" t="inlineStr">
        <is>
          <t>Verkada</t>
        </is>
      </c>
      <c r="D60" t="inlineStr">
        <is>
          <t>linkedin</t>
        </is>
      </c>
      <c r="E60">
        <f>HYPERLINK("https://www.linkedin.com/jobs/view/4372157559", "https://www.linkedin.com/jobs/view/4372157559")</f>
        <v/>
      </c>
      <c r="F60" t="inlineStr"/>
      <c r="G60" t="inlineStr">
        <is>
          <t>San Mateo, CA</t>
        </is>
      </c>
      <c r="H60" t="inlineStr"/>
      <c r="I60"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looking for experienced back\-end engineers to join the Verkada Core Command team. We are scaling out the Auth, Users, Roles and Audit capabilities of Verkada's core products to service the largest organizations in the world.
**What You'll Do**
* Design scalable control planes and data primitives for all Verkada products
* Build scalable distributed systems capable of handling high traffic from hundreds of thousands of devices deployed around the world.
* Spin up new services in a microservices architecture
**What You Bring**
* Degree in Computer Science, Computer Engineering or Software Engineering
* 4\+ years of relevant industry experience
* Experience in building and scaling access systems to millions of users around the world
* Strong written and verbal communication skills
* Mastery of at least one of Python or Go
* Experience with relational databases (Postgres, MySQL)
* Experience with key\-value storage systems (Redis, Memcached)
* Experience with distributed queueing (Kafka) and caching (Redis, Memcached)
* Experience with cloud service providers (AWS, GCP, Azure)
* Experience with React
* Experience with GRPC and API specifications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$170,000—$260,000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61">
      <c r="A61" t="inlineStr">
        <is>
          <t>li-4311718535</t>
        </is>
      </c>
      <c r="B61" t="inlineStr">
        <is>
          <t>Senior Software Engineer</t>
        </is>
      </c>
      <c r="C61" t="inlineStr">
        <is>
          <t>WalkMe</t>
        </is>
      </c>
      <c r="D61" t="inlineStr">
        <is>
          <t>linkedin</t>
        </is>
      </c>
      <c r="E61">
        <f>HYPERLINK("https://www.linkedin.com/jobs/view/4311718535", "https://www.linkedin.com/jobs/view/4311718535")</f>
        <v/>
      </c>
      <c r="F61">
        <f>HYPERLINK("https://jobs.lever.co/walkme/a9a908e4-960d-48e1-b615-6c60bdeac8ca/apply?source=LinkedIn&amp;urlHash=aNQF", "https://jobs.lever.co/walkme/a9a908e4-960d-48e1-b615-6c60bdeac8ca/apply?source=LinkedIn&amp;urlHash=aNQF")</f>
        <v/>
      </c>
      <c r="G61" t="inlineStr">
        <is>
          <t>New York, NY</t>
        </is>
      </c>
      <c r="H61" t="inlineStr"/>
      <c r="I61" t="inlineStr">
        <is>
          <t>WalkMe, an SAP company, pioneered the Digital Adoption Platform (DAP) to enable business leaders to fully harness technology in today's complex digital landscape. By leveraging WalkMe's features—guidance, engagement, insights, and automation—employees boost efficiency, executives gain greater visibility into digital usage, and organizations maximize their digital assets, driving successful digital transformation.
 Together, SAP and WalkMe form a powerful partnership that revolutionizes the digital transformation journey. This collaboration allows businesses to unlock the full potential of SAP's robust ERP solutions while seamlessly enhancing user experience and productivity with WalkMe's intuitive digital adoption platform.
 WalkMe is looking for a Sr. Backend Developer, which is both hands\-on and an ace problem solver to join our amazing DeepUI group. We are developing WalkMe’s revolutionary runtime engine and transforming the online experience for hundreds of millions of users. Our proprietary AI\-based technology is bringing the world's leading digital adoption platform to the next level by understanding and interacting in real time with graphical user interfaces at a human level. We are looking for people who are passionate about leading technology to the extreme. If you are striving to develop an innovative product, make an impact, and work with the industry’s brightest talent as part of one of the fastest\-growing and successful startups around – WalkMe is where you want to be.
**As this role will support our Federal business, US Citizenship is required.**
**Hybrid role \- 3 days a week in our SAP NYC office**
**What You'll Own**
* Design and build the latest back\-end solutions to the exciting and rapidly evolving domain of GUI perception.
* Develop and maintain complex backend cloud services and infrastructure, across multiple regions.
* Design architecture for new services and implement through to production.
* Implement and own end to end solutions that will scale to millions of users.
* Participate in fast\-paced research while running in production. A very rare and exciting combination
* Advance the world one step closer to Artificial General Intelligence.
* Help build WalkMe’s engineering culture.
* Investigate, implement and share new technologies and ideas.
* End to end development of features and systems that are used daily by key stakeholders, both internally and externally.
**What You Need To Succeed**
* B.Sc . degree in Computer Science from leading university.
* A technical focal point for software development best practices and design of main components, services and systems.
* 5\+ years of professional software development and technical leadership experience.
* 5\+ years experience with server\-side development in Node.js/ Typescript.
* Experience in designing and developing large distributed system and microservices architecture.
* Experience working with PostgreSQL or other SQL based Databases.
* Experience working with AWS cloud infrastructure.
* Experience working with CI/CD and could deployments and provisioning
**What Sets Us Apart**
* At WalkMe, we are dedicated to building a workforce that reflects the diversity of our global community and clients we serve through inclusive programs and initiatives including equal pay, employee resource groups, holistic benefits and more. We are committed to fostering an inclusive culture which celebrates the unique experiences and perspectives each Team Member brings to the workplace.
* Hybrid Work Arrangement: We offer a hybrid work schedule to perfectly combine the benefits of remote work and the essential connections and collaborations of onsite work.
* Supportive Culture: We focus on the whole person, celebrating what makes us unique, and create space for community.
* Professional Development: We encourage continuous learning and offer opportunities for career development through our career compass offering.
* Stay healthy and happy with Wellness@WalkMe! Enjoy quarterly wellness reimbursements, daily BrightBreaks to recharge, and WalkMe’s annual Wellness Month every July—because your well\-being matters all year long.
* WalkMe provides health coverage options, where applicable, to ensure employees have access to essential medical benefits. Our offerings are designed to support the well\-being and diverse needs of our global workforce.
* WalkMe offers a generous annual leave policy tailored to meet regional standards, ensuring all employees enjoy sufficient time off to rest and recharge.
* WalkMe offers RefreshMe Days throughout the year to further strengthen our commitment to work/life balance.
* Robust Retirement Contributions: Ask HR about the specific offerings for your region!
* SAP's acquisition of WalkMe highlights a commitment to enhancing user experience and streamlining software interactions, offering opportunities to work with cutting\-edge technology that drives efficiency and innovation in the workplace.
 Our job titles may span more than one career level. The base salary for this position is between $90,000\-$125,000\. The actual base pay is dependent upon many factors, such as: location, training, transferable skills, work experience, business needs and market demands. The base pay range is subject to change and may be modified in the future. This role may also be eligible for bonus and benefits as part of our competitive total rewards package.
 At WalkMe, we approach Diversity, Equity and Inclusion (DEI) with the same level of collaboration, innovation and accountability that we bring to the rest of our business. We believe in the value of diversity and are committed to ensuring an equitable and inclusive workplace where every employee has an equal opportunity to achieve success.
*WalkMe does not discriminate. If a candidate requires a reasonable accommodation to complete a job application, pre\-employment testing, or a job interview or to otherwise participate in the hiring process, please contact your Talent Acquisition partner immediately.*
**TO ALL RECRUITMENT AGENCIES:** 
 WalkMe does not accept agency resumes. Please do not forward resumes to WalkMe employees or any other company location. WalkMe is not responsible for any fees related to unsolicited resumes and will not pay fees to any third\-party agency or company that does not have a signed agreement with the Company for this specific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2">
      <c r="A62" t="inlineStr">
        <is>
          <t>li-4371536591</t>
        </is>
      </c>
      <c r="B62" t="inlineStr">
        <is>
          <t>Senior Software Engineer, Full Stack (Python, React)</t>
        </is>
      </c>
      <c r="C62" t="inlineStr">
        <is>
          <t>Teamworks</t>
        </is>
      </c>
      <c r="D62" t="inlineStr">
        <is>
          <t>linkedin</t>
        </is>
      </c>
      <c r="E62">
        <f>HYPERLINK("https://www.linkedin.com/jobs/view/4371536591", "https://www.linkedin.com/jobs/view/4371536591")</f>
        <v/>
      </c>
      <c r="F62">
        <f>HYPERLINK("https://jobs.ashbyhq.com/teamworks/a53f1a17-5257-4840-897f-00a736cd2b20?utm_source=LI+Wrapping&amp;urlHash=q9_7", "https://jobs.ashbyhq.com/teamworks/a53f1a17-5257-4840-897f-00a736cd2b20?utm_source=LI+Wrapping&amp;urlHash=q9_7")</f>
        <v/>
      </c>
      <c r="G62" t="inlineStr"/>
      <c r="H62" t="inlineStr"/>
      <c r="I62" t="inlineStr">
        <is>
          <t>**The Opportunity**
 Teamworks Hub sits at the center of our product ecosystem, serving as the platform that powers more than 6,500 sports organizations and supports expansion into high performance tactical environments. As a Senior Software Engineer on Hub, you will design and enhance the core capabilities that other Teamworks products rely on every day.
 You will contribute to a high impact initiative supporting elite athletic and tactical units across mental, spiritual, nutritional, performance, and operational areas. You will be building and extending core platform capabilities that serve multiple products and a broad user base.
 If you are motivated by building scalable full stack systems, contributing to architectural decisions, and helping shape the direction of a mission critical platform, you will find meaningful ownership here.
 This position reports to a Senior Director, Engineering.
**What You'll Do**
* Own and deliver end\-to\-end full\-stack features across React/TypeScript and Python
* Design and implement scalable platform capabilities that integrate multiple Teamworks products into a unified experience
* Architect solutions that support customer feedback and evolving H2F requirements
* Lead technical design discussions and produce clear, actionable RFCs
* Improve system performance, reliability, and maintainability across the Hub platform
* Contribute to and refine API design (REST/GraphQL) powering internal and external integrations
* Mentor engineers through pairing, code reviews, and design guidance
* Participate in on\-call rotation and demonstrate strong production ownership
**Must\-haves**
**What You'll Bring**
* 5\+ years of full\-stack software engineering experience
* Strong proficiency in React and TypeScript on the frontend
* Strong proficiency in Python on the backend
* Experience working with PostgreSQL or similar relational databases
* Proven ability to design and ship scalable production systems
* Experience leading or heavily contributing to technical design discussions
* Strong system design fundamentals and architectural decision\-making experience
**Nice\-to\-haves**
* Experience with GraphQL
* Hands\-on use of Generative AI tools (e.g., Claude, Cursor) to accelerate development workflows
* Experience working on government contracts or with government contractors
* Active Secret or Top Secret security clearance
* Experience building platform\-layer systems or multi\-product integration frameworks
**Who Thrives Here**
 You take initiative and look for ways to improve systems without waiting to be asked. You enjoy building at the platform level, where your work supports multiple teams and drives meaningful impact. You balance speed with thoughtful engineering decisions and know when to focus on the details and when to think bigger picture. You support your teammates, contribute to a high standard of quality, and stay open to new tools and better ways of working.
 You’re driven by results, energized by challenge, and aligned with our values: honesty, humility, hard work, commitment, innovation, and exceptionalism.
**About Teamworks**
 We're the Operating System for Sports™, powering 6,500\+ organizations worldwide, from collegiate programs to every major pro league. Founded in 2006, we've evolved from a messaging tool for college football into the leading sports tech platform, with 500\+ global teammates building the future of sports tech. Our solutions span Personnel, Coaching, Performance, Operations, and Intelligence \- helping teams recruit smarter, train better, stay compliant, and win.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talent@teamworks.com.
*To all recruitment agencies: Teamworks does not accept agency resumes. Please do not forward resumes to our jobs alias, Teamworks employees or any other organization location. Teamworks is not responsible for any fees related to unsolicited resumes.*</t>
        </is>
      </c>
    </row>
    <row r="63">
      <c r="A63" t="inlineStr">
        <is>
          <t>li-4381972046</t>
        </is>
      </c>
      <c r="B63" t="inlineStr">
        <is>
          <t>Frontend Software Engineer (Js, CSS)</t>
        </is>
      </c>
      <c r="C63" t="inlineStr">
        <is>
          <t>Wiraa</t>
        </is>
      </c>
      <c r="D63" t="inlineStr">
        <is>
          <t>linkedin</t>
        </is>
      </c>
      <c r="E63">
        <f>HYPERLINK("https://www.linkedin.com/jobs/view/4381972046", "https://www.linkedin.com/jobs/view/4381972046")</f>
        <v/>
      </c>
      <c r="F63" t="inlineStr"/>
      <c r="G63" t="inlineStr"/>
      <c r="H63" t="inlineStr"/>
      <c r="I63" t="inlineStr">
        <is>
          <t>**About The Company**
 Feathr is a leading nonprofit marketing platform trusted by over 1,300 organizations dedicated to making a positive impact. Our purpose\-built software equips nonprofits with innovative tools to foster meaningful connections within their communities, enhance their marketing efforts, and amplify their impact with confidence. At Feathr, we are committed to cultivating an exceptional company culture where talented individuals can thrive, grow, and contribute to a shared mission of empowering those who serve others. We value diversity, collaboration, and continuous improvement, ensuring our team remains motivated and aligned with our core values. Join us to be part of a dynamic environment that prioritizes purpose\-driven work and professional growth.
**About The Role**
 We are seeking a skilled Frontend Software Engineer to join our innovative product team. In this role, you will be instrumental in developing and maintaining Feathr's SaaS platform, which is central to delivering value to our nonprofit clients. Your primary focus will be on creating intuitive, high\-quality user interfaces using modern frontend technologies. You will collaborate closely with cross\-functional teams, including backend engineers, product managers, and designers, to develop new features, troubleshoot issues, and optimize performance. This position offers an excellent opportunity to grow your technical expertise, take ownership of key components, and contribute to a product that directly supports impactful organizations. As part of our team, you will work in a supportive environment that encourages learning, innovation, and a customer\-centric approach.
**Qualifications**
* Minimum of 2\+ years of frontend software engineering experience
* Proficiency with React or equivalent modern frontend frameworks
* Experience working within multi\-application or monorepo codebases
* Professional experience shipping production\-ready software to users
* Strong knowledge of TypeScript and type\-safe coding practices
* Familiarity with state management libraries such as MobX, Redux, or similar
* Understanding of modern CSS and HTML, including CSS Modules and custom properties
* Experience with component libraries like Mantine, Material UI, or Chakra
* Exposure to component\-driven development tools such as Storybook
* Knowledge of build tools like Webpack or Vite
* Basic understanding of data structures and algorithms
* Experience writing automated tests with Jest, React Testing Library, or similar
* Ability to work with REST/CRUD API patterns and integrate with backend services
* Excellent communication skills and the ability to explain technical concepts to non\-technical stakeholders
* Proactive, detail\-oriented, and eager to learn and grow in a collaborative environment
**Responsibilities**
* Develop and implement user interface components using React and modern frontend technologies
* Participate in code reviews, providing and receiving constructive feedback to ensure code quality
* Collaborate with product managers, designers, and backend engineers to define and refine features
* Write automated tests to ensure reliability and maintainability of codebase
* Contribute to the planning, design, and iteration of product features throughout the development lifecycle
* Identify and troubleshoot bugs, performance issues, and usability concerns
* Maintain and improve existing frontend systems, ensuring they meet security and compliance standards
* Engage in continuous learning to stay updated on the latest frontend development trends and tools
* Assist in documenting technical solutions and best practices for team knowledge sharing
* Work effectively in a remote or hybrid environment, managing priorities and deadlines independently
**Benefits**
* Competitive annual salary of $90,000 with up to 12% bonus potential
* Comprehensive health, dental, and vision insurance
* Paid vacation, sick leave, and extended summer and winter breaks
* Flexible work schedule with remote work options within the United States
* Home office stipend to support a productive remote work environment
* Professional development budget for ongoing learning and certifications
* Wellness reimbursement credits to promote health and well\-being
* Parental leave policies supporting work\-life balance
* Team\-building events, social gatherings, and a collaborative company culture
 Equal Opportunity
 Feathr is an equal opportunity employer. We celebrate diversity and are committed to creating an inclusive and equitable environment for all employees. We believe that a diverse team enhances our ability to serve our clients and achieve our mission. We welcome applications from individuals of all backgrounds, regardless of race, ethnicity, gender, sexual orientation, age, disability, or any other characteristic protected by law.</t>
        </is>
      </c>
    </row>
    <row r="64">
      <c r="A64" t="inlineStr">
        <is>
          <t>li-4330924642</t>
        </is>
      </c>
      <c r="B64" t="inlineStr">
        <is>
          <t>Senior Software Engineer - Python/AI</t>
        </is>
      </c>
      <c r="C64" t="inlineStr">
        <is>
          <t>Xcede</t>
        </is>
      </c>
      <c r="D64" t="inlineStr">
        <is>
          <t>linkedin</t>
        </is>
      </c>
      <c r="E64">
        <f>HYPERLINK("https://www.linkedin.com/jobs/view/4330924642", "https://www.linkedin.com/jobs/view/4330924642")</f>
        <v/>
      </c>
      <c r="F64" t="inlineStr"/>
      <c r="G64" t="inlineStr"/>
      <c r="H64" t="inlineStr"/>
      <c r="I64" t="inlineStr">
        <is>
          <t>A top AI startup is looking for a seasoned backend/python engineer to join their growing technology team. They are building an AI\-powered platform that models real\-world environments and their connectivity layers.
 This company is looking for a Senior Software Engineer with 5\+ years of experience to take ownership of backend systems and contribute across the full stack. This person will be a fast learner with a startup mindset, eager to tackle complex problems in a deep tech AI company.
**What will you be doing?** 
* Own major components of their backend systems, with the goal of becoming the primary owner of the backend over time.
* Build performant, production\-grade backend features in Python.
* Work with geometry, spatial data, simulation data, and large datasets.
* Contribute to frontend components in React \+ TypeScript when needed.
* Collaborate on data pipelines, GPU\-related workflows, and LLM/AI\-driven functionality.
 160\-240k base \+ equity</t>
        </is>
      </c>
    </row>
    <row r="65">
      <c r="A65" t="inlineStr">
        <is>
          <t>li-4363991877</t>
        </is>
      </c>
      <c r="B65" t="inlineStr">
        <is>
          <t>Senior Software Engineer (Data Platform)</t>
        </is>
      </c>
      <c r="C65" t="inlineStr">
        <is>
          <t>Machinify</t>
        </is>
      </c>
      <c r="D65" t="inlineStr">
        <is>
          <t>linkedin</t>
        </is>
      </c>
      <c r="E65">
        <f>HYPERLINK("https://www.linkedin.com/jobs/view/4363991877", "https://www.linkedin.com/jobs/view/4363991877")</f>
        <v/>
      </c>
      <c r="F65">
        <f>HYPERLINK("https://job-boards.greenhouse.io/machinifyinc/jobs/4106241009?gh_src=7ria3ymg9us&amp;urlHash=Eu72", "https://job-boards.greenhouse.io/machinifyinc/jobs/4106241009?gh_src=7ria3ymg9us&amp;urlHash=Eu72")</f>
        <v/>
      </c>
      <c r="G65" t="inlineStr"/>
      <c r="H65" t="inlineStr"/>
      <c r="I65"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We’re seeking a skilled
 **Senior Software Engineer** 
 to join our team!
 The Data Platform Development Team builds the internal systems that power and extends the Machinify platform. We focus on creating scalable, reliable infrastructure that enables seamless communication, data processing, and analytics across our products and customer\-facing systems.
 Working closely with the core Machinify platform—written in Scala—we act as internal platform customers, designing and building orchestration and supporting services in Golang that sit on top of the core engine. Our team develops internal products and analytics capabilities that enhance performance, reliability, and extensibility across the organization, ensuring our platform can scale alongside our customers and AI\-driven use cases.
 The ideal candidate will have expertise in data platforms. In this role, you will design and build high\-performance backend systems that power our AI\-driven solutions. You’ll work alongside a collaborative team of passionate engineers, data experts, and innovators to deliver impactful software that drives business success.
 Does this sound like the right opportunity to explore?... Lets connect!
**What You’ll Do**
* Design and build scalable and high\-performance data software solutions using Golang and Python.
* Build and deploy Kubernetes\-based systems to manage containerized applications in cloud\-native environments.
* Collaborate with cross\-functional teams to understand and address customer needs, ensuring our systems evolve to meet future requirements.
* Optimize performance, reliability, and security of our backend infrastructure.
* Work on data modeling and transformation to support machine learning workflows and AI\-powered applications.
**What You Bring**
* 6\+ years of hands\-on experience in backend software development, with expertise in Golang and/or Python.
* Strong understanding of ETL processes, data pipelines, and working with large datasets.
* Experience with Kubernetes orchestration, containerization, and cloud\-native development.
* Proficiency in building scalable systems that handle high volumes of data and transactions.
* Knowledge of cloud platforms (AWS, Azure, or GCP) and their ecosystem tools.
* Familiarity with monitoring and observability tools (e.g., Prometheus, Grafana).
* Strong problem\-solving skills and a passion for writing clean, maintainable code.
* Experience with data modeling, transformation, and integration.
* Golang and Python experience.
* Experience with orchestration tools (e.g., Apache Airflow, Prefect).
* Familiarity with Kubernetes and container orchestration (Docker, Helm, etc.).
* Cloud platform experience (AWS, Azure, or GCP) and related services.
* Knowledge of monitoring and logging tools for distributed systems (Prometheus, Grafana, ELK stack).
* Experience with CI/CD pipelines and automated testing.
* Strong understanding of data modeling, ETL workflows, and data transformation techniques.
**What We Offer**
* Work from anywhere in the US! Machinify is digital\-first.
* Full Medical/Dental/Vision for employees \&amp; their families
* Flexible and trusting environment where you’ll feel empowered to do your best work
* Unlimited FTO
* Competitive salary, equity, 401(k) including employer match
 The salary for this position is based on an array of factors unique to each candidate: Such as years and depth of experience, set skills, certifications, etc. The base salary range for this role is $180k\-$220k.We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66">
      <c r="A66" t="inlineStr">
        <is>
          <t>li-4371749168</t>
        </is>
      </c>
      <c r="B66" t="inlineStr">
        <is>
          <t>Software Engineer, People Products</t>
        </is>
      </c>
      <c r="C66" t="inlineStr">
        <is>
          <t>Anthropic</t>
        </is>
      </c>
      <c r="D66" t="inlineStr">
        <is>
          <t>linkedin</t>
        </is>
      </c>
      <c r="E66">
        <f>HYPERLINK("https://www.linkedin.com/jobs/view/4371749168", "https://www.linkedin.com/jobs/view/4371749168")</f>
        <v/>
      </c>
      <c r="F66" t="inlineStr"/>
      <c r="G66" t="inlineStr">
        <is>
          <t>San Francisco, CA</t>
        </is>
      </c>
      <c r="H66" t="inlineStr"/>
      <c r="I6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In case you hadn’t noticed, Anthropic is growing fast. Really, really fast. The People Products team exists to support Anthropic’s mission by defining the blueprint for AI at work. We help hire the best person in the world for every job, ensure manager effectiveness, ramp new hires successfully, and ensure that we apply first principles thinking in how we shape Anthropic’s culture through the tools we build. We cover the entire employee lifecycle from hiring to onboarding, teamwork, and promotions.
 You’ll work directly with Claude, with access to capabilities no external team has, on problems that are genuinely unsolved. You’ll move fast — prototype to production in days or weeks. We believe in cross\-functional thinkers who can reason across product, design, and engineering. You’ll be given high autonomy, own your decisions, and ship constantly. If you’ve experienced the pain of bad people practices and want to be the person who fixes them at the most consequential AI company in the world, this is that job.
**Responsibilities**
* Build full\-stack end\-to\-end across the People Products portfolio.
* Design and implement AI\-native workflows: build tools, evals, prompts, and products. You’ll help define what is possible in applied AI for people processes.
* Work directly with internal stakeholders — HR teams, recruiters, managers — to understand problems, gather feedback, and iterate quickly without waiting for requirements to be handed down. No gatekeeping, you are expected to talk to your customers.
* Make product and architecture decisions independently in a low\-structure environment: knowing when to cut scope, when to ship, and when to ask for input.
* Contribute ideas for how the team works, what it builds, and where applied AI can have the most leverage in people workflows.
**You Might Be a Good Fit If You**
* Derive joy from hard work and the act of creation.
* Have shipped LLM\-native features or applications.
* Are experienced enough to build big features independently, and make great architectural decisions along the way.
* Are self\-sufficient end\-to\-end: you can go from idea to production without needing a designer, PM, or architect to unblock you.
* Move fast without cutting corners: you hold a high quality bar and know how to make smart tradeoffs under time pressure.
* Engage directly with users and criticism: you’re comfortable talking to internal customers, hearing hard feedback, and incorporating it quickly.
* Are genuinely mission\-driven: you care about the intersection of AI and people practices, not just the technical puzzle.
* Are a collaborative, supportive teammate: you bring people along, communicate clearly about tradeoffs, and make the people around you better.
**Strong Candidates May Also Have**
* Familiarity with MCP (Model Context Protocol) or prior experience building Claude or LLM integrations in production.
* Background at an AI\-native company or in a product\-focused 0\-\&gt;1 engineering environment.
* Experience with HR tech platforms such as Greenhouse, Workday, or Rippling.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7">
      <c r="A67" t="inlineStr">
        <is>
          <t>li-4381975373</t>
        </is>
      </c>
      <c r="B67" t="inlineStr">
        <is>
          <t>Senior Software Engineer</t>
        </is>
      </c>
      <c r="C67" t="inlineStr">
        <is>
          <t>Microsoft</t>
        </is>
      </c>
      <c r="D67" t="inlineStr">
        <is>
          <t>linkedin</t>
        </is>
      </c>
      <c r="E67">
        <f>HYPERLINK("https://www.linkedin.com/jobs/view/4381975373", "https://www.linkedin.com/jobs/view/4381975373")</f>
        <v/>
      </c>
      <c r="F67">
        <f>HYPERLINK("https://apply.careers.microsoft.com/careers/job/1970393556757697?utm_source=linkedin&amp;domain=microsoft.com&amp;src=LinkedIn&amp;urlHash=u0qf", "https://apply.careers.microsoft.com/careers/job/1970393556757697?utm_source=linkedin&amp;domain=microsoft.com&amp;src=LinkedIn&amp;urlHash=u0qf")</f>
        <v/>
      </c>
      <c r="G67" t="inlineStr"/>
      <c r="H67" t="inlineStr"/>
      <c r="I67" t="inlineStr">
        <is>
          <t>**Overview**
**Microsoft Digital (MSD)** 
 builds and manages the critical products and services that Microsoft runs on. We boldly pursue big ideas that power transformational advances at Microsoft and for our customers, while helping Microsoft teams work smarter, faster, and more securely every day. Microsoft Digital employees have deep technical and business expertise, customer insights, and a clear point of view that comes from first\-hand, large\-scale experience with Microsoft and industry solutions. We are engineers, technology leaders and experts, digital transformation change agents, and customer advocates.
 We have exciting opportunities for you to innovate, influence, transform, inspire, and grow within our organization and we encourage you to apply to learn more!
 As a
 **Senior Software Engineer** 
 , you will help build the AI‑powered automation platforms that run Microsoft’s most complex Microsoft 365 environments. This role sits at the intersection of software engineering, cloud platforms, and intelligent automation, shaping how M365 services are provisioned, governed, and operated across many Entra tenants at massive scale. As a software engineer on this team, you will design and deliver systems that replace manual, error‑prone processes with secure, reliable, and intelligent automation. Your work will directly influence how enterprise‑class cloud services are delivered inside Microsoft and serve as a blueprint for the future of multi‑tenant administration.
 You will join an
 **engineering team** 
 that builds and operates software products, applies modern platform and DevOps practices, and treats automation and AI as first‑class capabilities. You will prototype, ship, learn, and iterate quickly, using telemetry and real‑world feedback to continuously improve the system. You will collaborate closely with Microsoft engineering, security, and product teams, influencing APIs, admin experiences, and platform capabilities. If you are excited by AI‑first engineering, large‑scale automation, and owning systems that matter, this role offers the opportunity to have outsized impact on how Microsoft runs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build Scalable AI \&amp; Automation Platforms \- design, implement, and operate automation and AI‑powered tooling that provisions, configures, governs, and operates Microsoft 365 services across many Entra tenants at scale.
* You will engineer Secure, Multi‑Tenant Systems by Design \- develop services and workflows that enforce strong tenant isolation, least‑privileged access, and security‑first patterns aligned with Microsoft’s Secure Future Initiative and enterprise compliance requirements.
* You will own End‑to‑End Service Lifecycle Automation \- automate the full tenant lifecycle for M365 services from intake and build to change management, operations, and decommissioning to reduce manual effort and accelerate delivery through reliable, repeatable systems.
* You will advance Platform Architecture \&amp; Reliability \- contribute to the evolution of distributed, service‑oriented architectures that support high scale, resiliency, observability, and safe change across hundreds of tenants.
* You will integrate AI to Improve Operability and Decision‑Making \- apply AI and agent‑based approaches to simplify administration, surface insights, detect anomalies, and enable intelligent self‑service for tenant management and governance.
* You will operate what you build \- partner in live‑site ownership through telemetry, monitoring, incident response, and continuous improvement to ensure high availability, performance, and trustworthiness of the platform.
* You will collaborate across Engineering, Security, and Product Teams \- work closely with partner teams across identity, security, M365 workloads, and platform engineering to align on standards, APIs, and shared automation patterns.
* You will raise the Engineering Bar \- contribute to design reviews, code quality, and technical direction; share best practices in secure automation, distributed systems, and AI‑enabled platforms to elevate team capability and impact.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developing and managing a script (PowerShell/VS Code) lifecycle to automate issue detection and remediation tasks.
* Technical understanding of Microsoft 365 administration concepts (M365 or Power Platform workloads), gained through hands\-on experience or close engineering partnership with admin teams.
* Experience designing for reliability, security, and operability in cloud or largescale environments.
* Ability to reason about complex systems, break down ambiguous problems, and deliver pragmatic solutions.
* Clear communication skills and a track record of working effectively across engineering and partner teams.
* Experience with automation platforms, infrastructureascode, or largescale service orchestration.
* Familiarity with multitenant architectures, Entra identity systems, tenant isolation, and crosstenant governance or access models.
* Experience applying AI, ML, or agentbased approaches to improve developer or operator workflows.
* Hands\-on experience operating services in production, including telemetry, monitoring, and incident response.
 \#MSD
 \#MSDJOBS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8">
      <c r="A68" t="inlineStr">
        <is>
          <t>li-4381007786</t>
        </is>
      </c>
      <c r="B68" t="inlineStr">
        <is>
          <t>Full Stack Engineer</t>
        </is>
      </c>
      <c r="C68" t="inlineStr">
        <is>
          <t>Programmers.io</t>
        </is>
      </c>
      <c r="D68" t="inlineStr">
        <is>
          <t>linkedin</t>
        </is>
      </c>
      <c r="E68">
        <f>HYPERLINK("https://www.linkedin.com/jobs/view/4381007786", "https://www.linkedin.com/jobs/view/4381007786")</f>
        <v/>
      </c>
      <c r="F68" t="inlineStr"/>
      <c r="G68" t="inlineStr">
        <is>
          <t>Redmond, WA</t>
        </is>
      </c>
      <c r="H68" t="inlineStr"/>
      <c r="I68" t="inlineStr">
        <is>
          <t>One of our global clients is currently seeking a
 **Full Stack Dotnet Engineer, Hybrid to Redmond, WA.** 
 Please review the job description below, and if you’re interested, kindly share your updated resume with me at srinath.k@programmers.ai
 I look forward to hearing from you!
**Role: Full Stack Dotnet Engineer** 
**Location: Redmond, WA (Hybrid)** 
**Duration: Full time only** 
**Note: Only for USC/GC and H4 EAD** 
**Experience: 7\+ Years** 
**Key Responsibilities** 
* Develop scalable applications using
 **C\# or other OOP languages**
* Build modern web interfaces using
 **ReactJS or similar frameworks**
* Create
 **APIs and backend services** 
 (e.g., Azure Functions)
* Work with
 **SQL/NoSQL databases** 
 for data management
**DevOps \&amp; Operations** 
* Implement
 **CI/CD pipelines** 
 for reliable deployments
* Enable
 **monitoring, logging, and telemetry** 
 for system observability
* Set up
 **alerts** 
 to ensure system reliability and performance
**Collaboration** 
* Work with
 **cross\-functional teams** 
 to deliver end\-to\-end solutions
* Communicate with
 **technical and business stakeholders**
**AI Integration** 
* **Must Have:** 
 Experience integrating
 **Generative AI / LLMs** 
 into services
* **Good to Have:** 
 Building
 **AI agents** 
 using frameworks like
 **MCP or A2A** 
 .</t>
        </is>
      </c>
    </row>
    <row r="69">
      <c r="A69" t="inlineStr">
        <is>
          <t>li-4363440227</t>
        </is>
      </c>
      <c r="B69" t="inlineStr">
        <is>
          <t>Software Engineer - Agentic AI &amp; Automation</t>
        </is>
      </c>
      <c r="C69" t="inlineStr">
        <is>
          <t>Pure Storage</t>
        </is>
      </c>
      <c r="D69" t="inlineStr">
        <is>
          <t>linkedin</t>
        </is>
      </c>
      <c r="E69">
        <f>HYPERLINK("https://www.linkedin.com/jobs/view/4363440227", "https://www.linkedin.com/jobs/view/4363440227")</f>
        <v/>
      </c>
      <c r="F69" t="inlineStr"/>
      <c r="G69" t="inlineStr">
        <is>
          <t>Santa Clara, CA</t>
        </is>
      </c>
      <c r="H69" t="inlineStr"/>
      <c r="I69"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Pure Storage is a leader in modern data storage, providing enterprise data cloud solutions that power mission\-critical workloads globally. As part of the Digital Transformation organization focused on the G\&amp;A domain, you will use your software engineering expertise to design, build, and run production\-grade AI and automation solutions on top of large\-scale enterprise platforms.
 You will work closely with engineers, internal services technology teams, and business stakeholders to identify high\-impact opportunities and deliver robust, secure, and maintainable agentic AI capabilities. This is a high\-visibility role that will shape the future employee experience at Pure.
**What You Will Do**
* Design and develop agentic AI solutions, including AI agents, orchestration services, and integrations with enterprise systems.
* Build and deploy AI applications using LLMs, agentic frameworks, and modern software engineering practices (testing, observability, CI/CD).
* Implement agentic workflows within enterprise platforms such as ServiceNow, Glean, and related systems.
* Develop multi\-agent systems, RAG pipelines, and vector database integrations to deliver accurate, context\-aware experiences.
* Integrate and orchestrate enterprise tools (e.g., ServiceNow, Snowflake, Boomi, internal APIs) to drive automation and process efficiency.
* Collaborate with platform, data, and application teams to define standards and patterns for AI and automation across internal services.
**What You Will Bring**
* Bachelor’s or Master’s in Computer Science, Computer Engineering, or related field, or equivalent experience.
* 5\+ years of professional software engineering experience building and operating production systems.
* Strong programming skills in Python and at least one additional language (e.g., Java, Go), plus solid knowledge of data structures and algorithms.
* Hands\-on experience with enterprise platforms such as ServiceNow, Snowflake, Boomi, Workday, Salesforce, or similar.
* Practical experience with agentic AI / LLM\-based applications, including multi\-agent systems, RAG pipelines, vector databases, or tool/agent integrations with enterprise APIs.
* Experience developing robust integrations and APIs to extend platform capabilities and enable end\-to\-end automation.
* Strong analytical, communication, and collaboration skills, with a proactive, ownership\-driven approach to problem solving.
 ,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row>
    <row r="70">
      <c r="A70" t="inlineStr">
        <is>
          <t>li-4316154440</t>
        </is>
      </c>
      <c r="B70" t="inlineStr">
        <is>
          <t>Senior Software Developer</t>
        </is>
      </c>
      <c r="C70" t="inlineStr">
        <is>
          <t>hackajob</t>
        </is>
      </c>
      <c r="D70" t="inlineStr">
        <is>
          <t>linkedin</t>
        </is>
      </c>
      <c r="E70">
        <f>HYPERLINK("https://www.linkedin.com/jobs/view/4316154440", "https://www.linkedin.com/jobs/view/4316154440")</f>
        <v/>
      </c>
      <c r="F70" t="inlineStr"/>
      <c r="G70" t="inlineStr">
        <is>
          <t>Boston, MA</t>
        </is>
      </c>
      <c r="H70" t="inlineStr"/>
      <c r="I70" t="inlineStr">
        <is>
          <t>***hackajob** 
 is collaborating with
 **Verisk** 
 to connect them with exceptional professionals for this role.*
 Be a part of a dynamic software development group at Verisk Extreme Event Solutions, contributing to design and development of scalable analytic solution with high performance. You are expected to work in an agile team to plan and design new features, write clean, testable, and performant code, and create automatic tests.
**Responsibilities**
 Translate requirements and architecture to designs and working software
 Provide technical leadership to teammates via day\-to\-day collaboration along with design and code reviews
 Develop cloud\-based analytical framework, algorithms, and tooling
 Contribute to testing, CI, and DevOps infrastructure
 Follow a team\-based, agile development methodology
 Focus on performance, cost efficiency, and stability as well as functionality
**Qualifications**
 About You and How You Can Excel in this Role
 BS Degree required in Computer Science (or equivalent) MS Degree preferred
 5\+ years in commercial\-grade software development, specializing in backend business logic, frameworks, scalability and performance aspects of the system
 Strong understanding of object\-oriented design \&amp; programming concepts.
 Strong knowledge of design patterns
 Minimum 3 years developing Windows/Linux server\-based applications using C\#.
 Enthusiastic, passionate, and quick learner with strong written and verbal communication skills.
 Possess a positive attitude and the ability to multi\-task, stay organized in a dynamic teamwork environment, and have an attitude to get things done.
**Preferred Skills**
 AWS platform development.
 C\#, SQL, Python
 Background in math, high\-performance distributed and parallel computing
 Working in container (Docker)
 Knowledge of code analysis and performance\-tunning tools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but is not limited to the following: Health Insurance, a Retirement Plan, and a Paid Time Off program. We offer a competitive total rewards package that includes base salary determined based on role, experience, skill set, and location. Those in eligible roles may receive commission\-based pay and / or discretionary incentive compensation, paid in the form of cash and/or forfeitable equity, awarded in recognition of individual achievements and contributions.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t>
        </is>
      </c>
    </row>
    <row r="71">
      <c r="A71" t="inlineStr">
        <is>
          <t>li-4323237013</t>
        </is>
      </c>
      <c r="B71" t="inlineStr">
        <is>
          <t>Senior Software Engineer, Product Engineering, Americas</t>
        </is>
      </c>
      <c r="C71" t="inlineStr">
        <is>
          <t>Ashby</t>
        </is>
      </c>
      <c r="D71" t="inlineStr">
        <is>
          <t>linkedin</t>
        </is>
      </c>
      <c r="E71">
        <f>HYPERLINK("https://www.linkedin.com/jobs/view/4323237013", "https://www.linkedin.com/jobs/view/4323237013")</f>
        <v/>
      </c>
      <c r="F71" t="inlineStr"/>
      <c r="G71" t="inlineStr">
        <is>
          <t>Chicago, IL</t>
        </is>
      </c>
      <c r="H71" t="inlineStr"/>
      <c r="I71"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72">
      <c r="A72" t="inlineStr">
        <is>
          <t>li-4332874531</t>
        </is>
      </c>
      <c r="B72" t="inlineStr">
        <is>
          <t>Senior Backend Engineer, Picnic - Mountain View, CA</t>
        </is>
      </c>
      <c r="C72" t="inlineStr">
        <is>
          <t>Picnic</t>
        </is>
      </c>
      <c r="D72" t="inlineStr">
        <is>
          <t>linkedin</t>
        </is>
      </c>
      <c r="E72">
        <f>HYPERLINK("https://www.linkedin.com/jobs/view/4332874531", "https://www.linkedin.com/jobs/view/4332874531")</f>
        <v/>
      </c>
      <c r="F72">
        <f>HYPERLINK("https://job-boards.greenhouse.io/try-picnic/jobs/8219727002?gh_src=c9b974d42us&amp;urlHash=_E3X", "https://job-boards.greenhouse.io/try-picnic/jobs/8219727002?gh_src=c9b974d42us&amp;urlHash=_E3X")</f>
        <v/>
      </c>
      <c r="G72" t="inlineStr">
        <is>
          <t>Mountain View, CA</t>
        </is>
      </c>
      <c r="H72" t="inlineStr"/>
      <c r="I72" t="inlineStr">
        <is>
          <t>**Who We Are**
 Picnic is reinventing meals at work. We partner with top local restaurants and deliver lunches to companies from 20 to more than 10,000 employees. This allows us to deliver high\-quality, individually packaged meals without fees or tips. The result is a joyful experience for employees, teams, and entire organizations. Companies can design their employee food offerings, ranging from simple lunches to sophisticated meal programs. We are obsessing about each company, each customer, each restaurant, and each individual order. Picnic creates a more sustainable model for restaurants, helping local heroes to succeed. Check us out: trypicnic.com or Picnic mobile apps.
 Picnic’s early business signals have been exceptionally strong. It has been adopted organically by companies from Banking to Manufacturing, from Tech to Government. Customers are discovering and advocating for the product before any marketing. Since launch, we have grown exponentially and are now entering the 10 → 100 scale phase as we expand across major North American markets.
 Picnic owns the full stack that powers workplace food delivery: client applications for employees, company managers, kitchen operations, and courier operations. AI\-powered services are tying them together. This vertical ownership allows us to tightly integrate ordering, logistics, and operations to deliver reliable, cost\-efficient services at scale. We are solving one of the most comprehensive, and therefore complex, meal delivery problems. We need YOU to help us build it at scale!
**About The Role**
 We’re looking for a Senior Backend Engineer to help architect and scale Picnic’s real\-time food ordering and operations platforms. This is a high\-impact role for someone who enjoys ambiguity, thrives in complex systems, and is excited to iterate and improve real\-world operations.
 You’ll work across backend services that support web and mobile surfaces, partner closely with frontend, mobile, product, and operations teams, and help define how we design, build, and scale backend systems at Picnic.
**What You’ll Do**
* Write high\-quality, well\-tested code in languages like Java and Go, set a strong bar for engineering excellence, and manage and sustain a full software lifecycle
* Lead backend initiatives ensuring scalability and reliability across domains such as food ordering, payments, discounts, and loyalty
* Drive the development with a strong focus on reliability\-by\-design, observability, and testability
* Design scalable databases, analyze data using SQL
* Mentor and uplevel engineers through technical leadership, reviews, and hands\-on collaboration
**What We’re Looking For**
* Proficiency in backend programming languages Java and Go
* Experience with relational and/or NoSQL databases (e.g., PostgreSQL, MongoDB, Redis)
* Experience with cloud platforms like AWS, Google Cloud, or Azure
* Understanding of RESTful APIs, microservices, and distributed systems
* A high\-performance, hands\-on engineer who sets a high bar for code quality, reliability, and operational excellence
* Deep understanding of backend system design, APIs, data stores, concurrency, and distributed systems
* Experience collaborating closely with frontend, mobile, product, data, and business partners
* Passion for product impact and building systems that directly support customers and operators
**Preferred Qualifications**
* Experience building web or mobile applications. Familiarity with frontend and mobile tradeoffs and how backend decisions affect client performance
* Experience with containerization technologies like Docker and Kubernetes
* Knowledge of CI/CD pipelines and DevOps practices
* Track record of improving developer productivity through tooling, patterns, or process improvements
**Why join us**
* Massive market opportunity: Online food delivery continues to grow rapidly, creating room for durable, category\-defining companies
* Real impact: You’ll help reshape how restaurants succeed in delivery while improving everyday experiences for thousands of workers
* Ownership and influence: Customer ordering experience is the face to Picnic’s operations
* Strong engineering culture: You’ll collaborate closely with experienced engineers and leaders who care deeply about craft, impact, and growth
**What Else You Need To Know**
 This role is based in our Mountain View, CA office. We believe the best ideas emerge from close collaboration, especially when building new products and redefining how an industry works. As a result, Picnic requires in\-office five days a week for all non\-field roles.
 The base salary range for this role is
 **$176,000 \- 242,000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Health Savings Account (HSA)
* Flexible Spending Accounts (Healthcare, Dependent Care, Commuter)
* Time Off policies:
+ Discretionary vacation days
+ 8 paid holidays per year
+ Paid sick time
+ Paid Bereavement leave
+ Paid Parental Leave
**Benefits Are Subject To Change At The Company's Discretion.**
 CSS accepts applications on an ongoing basis.
**Ready to join us as we serve those who serve others?**</t>
        </is>
      </c>
    </row>
    <row r="73">
      <c r="A73" t="inlineStr">
        <is>
          <t>li-4364420641</t>
        </is>
      </c>
      <c r="B73" t="inlineStr">
        <is>
          <t>Senior Software Engineer, Full Stack - .Net Azure</t>
        </is>
      </c>
      <c r="C73" t="inlineStr">
        <is>
          <t>Acosta Group</t>
        </is>
      </c>
      <c r="D73" t="inlineStr">
        <is>
          <t>linkedin</t>
        </is>
      </c>
      <c r="E73">
        <f>HYPERLINK("https://www.linkedin.com/jobs/view/4364420641", "https://www.linkedin.com/jobs/view/4364420641")</f>
        <v/>
      </c>
      <c r="F73" t="inlineStr"/>
      <c r="G73" t="inlineStr">
        <is>
          <t>Lewisville, TX</t>
        </is>
      </c>
      <c r="H73" t="inlineStr"/>
      <c r="I73" t="inlineStr">
        <is>
          <t>**Description**
 As a
 **Senior Software Engineer, Full Stack \- .Net Azure** 
 you will collaborate with fellow team members to implement committed user stories within iteration to the agreed standard. Primarily responsible for Assessment and planning of development efforts required for new functions/features under development, Architecture, design, coding, code review and unit testing activities, and deployment and continuous delivery pipeline extensions and maintenance.
**Responsibilities**
**Essential Functions of this Position**
* Coding of user stories in a collaborative fashion with fellow team members to ensure delivery in an incremental fashion and that delay and handoff between Development and QA is minimized
* Contribute to the estimation of user stories as part of release and iteration planning activities
* Collaborate with fellow team members on application architecture and design to ensure that the approaches and technologies applied to current implementation work are sound and fit for purpose
* Analyzing requirements and working with the product owner to ensure that stories exhibit INVEST characteristics
* Fully participate in iteration retrospectives and collaborate with fellow team members to ensure that the team inspect and adapt and continuously improve performance
* Contribute to departmental level efforts to analyze and improve our agreed delivery process and practices
* Meeting the physical requirements
* Other duties as assigned
**Qualifications**
 Applicants must be
 **legally authorized to work in the United States** 
 without current or future need for
 **visa sponsorship** 
 . Unfortunately, this position
 **does not support sponsorship** 
 for employment visas (e.g., H\-1B, OPT, CPT).
**Hybrid**
 This is a
 **hybrid role** 
 based in our office environment in either
 **Jacksonville, FL, Lewisville, TX, St Louis, MO, or Rogers, AR.** 
 Candidates will be expected to work as much as 3 days per week onsite depending on proximity to corporate hubs.
**Minimum Education And Work Experience**
* High School Diploma or GED required
* Graduate Degree in Computer Science or related field preferred
* Microsoft Certified Developer preferred
**Knowledge, Skills, And Ability Requirements**
* More than Four (4\) years of relevant software engineering experience
* Proven experience working in Agile methodologies , with a solid understanding of planning, estimation techniques, and the principles of Agile.
* Familiarity with engineering practices that support agile development, including:
* Test\-Driven Development (TDD)
* Source branching strategies (e.g., Git Flow)
* Continuous Integration (CI)
* Experience managing tasks using Jira or similar Application Lifecycle Management (ALM) tools
* Demonstrated ability to write unit tests and develop testable code
* Hands\-on experience building and deploying applications on Microsoft Azure , including architecture, deployment, and lifecycle management
**Technical Skills \&amp; Core Competencies**
* Excellent written and verbal communication skills
* Strong analytical and problem\-solving abilities
* Positive, proactive attitude with a willingness to tackle challenges beyond core expertise
* Collaborative team player committed to shared success
* Proven experience across the full software development lifecycle
* Advanced debugging techniques
* Strong SQL skills and experience with major relational databases (e.g., SQL Server)
* NET Development (Required)
* Proficiency in .NET fundamentals and C\# (up to version 7\.0\)
* Experience with .NET Core
 Microservices \&amp; Cloud Technologies (Required)
* Experience designing and building distributed microservice\-based applications utilizing the following technologies:
* Azure Functions
* Azure Service Bus
* Azure Cosmos DB (with document models)
* Azure DevOps Pipelines
**Additional Technical Experience Is a Plus**
* Experience with Java
* .NET Web Development
* Front\-End Technologies (HTML, CSS, JavaScript, etc)
* Experience in .NET web development with MVC.
 Physical Requirements
* Visual acuity sufficient to perform job\-related tasks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$98,000\.00 \- $125,000\.00
**Company:** 
 Acosta Services, Inc
**Req ID:** 
 21920
**Employer Description:** 
 ACOSTA\\
 *GRP\\* 
 EMP\\\_DESC</t>
        </is>
      </c>
    </row>
    <row r="74">
      <c r="A74" t="inlineStr">
        <is>
          <t>li-4382107866</t>
        </is>
      </c>
      <c r="B74" t="inlineStr">
        <is>
          <t>Staff Software Engineer - Search &amp; Detection</t>
        </is>
      </c>
      <c r="C74" t="inlineStr">
        <is>
          <t>Panther</t>
        </is>
      </c>
      <c r="D74" t="inlineStr">
        <is>
          <t>linkedin</t>
        </is>
      </c>
      <c r="E74">
        <f>HYPERLINK("https://www.linkedin.com/jobs/view/4382107866", "https://www.linkedin.com/jobs/view/4382107866")</f>
        <v/>
      </c>
      <c r="F74">
        <f>HYPERLINK("https://grnh.se/1wi454iv3us&amp;urlHash=gvfd", "https://grnh.se/1wi454iv3us&amp;urlHash=gvfd")</f>
        <v/>
      </c>
      <c r="G74" t="inlineStr">
        <is>
          <t>San Francisco, CA</t>
        </is>
      </c>
      <c r="H74" t="inlineStr"/>
      <c r="I74" t="inlineStr">
        <is>
          <t>The Mission
 Panther is building the AI SOC platform that helps security teams detect and respond faster than attackers. The Search \&amp; Detection team owns key experiences and systems that help customers:
* Explore and search their security data quickly and reliably.
* Build, tune, and operationalize detections with confidence.
* Turn investigation workflows into repeatable, high\-signal outcomes.
 This role is about making those workflows feel fast, intuitive, and trustworthy at scale.
 The Team \+ Role
 You'll join the Search \&amp; Detection team and partner closely with engineers to build product experiences and backend systems that power investigation, search, and detection workflows. The position is full stack with a mix of backend\-leaning (60–70%) and meaningful frontend ownership (30–40%).
 What You'll Need
**Technical Expertise:**
* Strong backend engineering experience building production services and APIs.
* Proficiency in Go and Python.
* Experience with frontend product UI development with React and TypeScript.
* Experience designing systems with clear trade\-offs around latency, correctness, and reliability.
**Nice to Have:**
* Security domain experience, especially with SOC workflows, alerting, logging, detection engineering, or related platforms.
**Mindset:**
* Ownership: You drive problems end\-to\-end and care about outcomes.
* Collaboration: You work effectively across product and engineering to deliver a cohesive experience.
* Pragmatism: You know when to simplify and when to invest in deeper architecture.
 What You'll Do
* Build and improve backend services that support search and detection workflows.
* Own key frontend surfaces that enable investigation and detection tuning.
* Design and ship end\-to\-end features across APIs, services, and UI.
* Partner with stakeholders to turn ambiguous problems into shipped product.
* Raise the bar for engineering quality through design reviews, mentorship, and technical leadership.
**Perks**
* Competitive equity in a well\-established cybersecurity company
* Unlimited PTO with a 15\-day minimum, plus local federal holidays
* Latest tech equipment and budget for your personalized setup
* Comprehensive health and benefits coverage
* Remote\-first culture built for distributed teams
**About Panther**
 Panther makes security teams smarter and faster than attackers.
 We're building the AI SOC platform that modern security teams need. Our Detection\-as\-Code approach, cloud\-native architecture, and powerful security data lake help teams detect and respond to threats at scale. Security teams at leading companies use Panther to protect their organizations without the overhead and costs of legacy SIEM solutions.
 Founded by security practitioners who lived the pain of protecting large organizations, we've raised $140M from Coatue, Lightspeed, ICONIQ Growth, Snowflake Ventures, and others. We're a global, remote\-first company serving customers worldwide.
 Our culture is built on flexibility, transparency, and collaboration. We operate by three core values: Create Customer Love, Be an Owner, and Take Care of the Team. We believe diverse perspectives make us better, and that building great security technology should also mean building a rewarding place to work.
 Cash compensation range: $176,000 \- $223,000 USD annually.
 The cash compensation above includes base salary and on\-target commission for employees in eligible roles. In addition to cash compensation, all full\-time Pantherinos are eligible to participate in our equity plan to receive Incentive Stock Options (ISO). Individual compensation packages are based on a few factors unique to each candidate, including their location, experience, and expertise, and may vary from the above\-mentioned range.
 Panther Labs is an Equal Opportunity Employer. The Company prohibits discrimination and harassment on the basis of: race, color, national origin, ancestry, sex (including pregnancy, childbirth, breastfeeding), gender, gender identity, gender expression, sexual orientation, marital status, age, religious creed, physical disability, mental disability, genetic information, military or veteran status, or any other status protected by law. All employment decisions are decided on the basis of qualifications, merit, and business need.</t>
        </is>
      </c>
    </row>
    <row r="75">
      <c r="A75" t="inlineStr">
        <is>
          <t>li-4341452864</t>
        </is>
      </c>
      <c r="B75" t="inlineStr">
        <is>
          <t>Software Engineer, Sweeps - Weights &amp; Biases</t>
        </is>
      </c>
      <c r="C75" t="inlineStr">
        <is>
          <t>Weights &amp; Biases</t>
        </is>
      </c>
      <c r="D75" t="inlineStr">
        <is>
          <t>linkedin</t>
        </is>
      </c>
      <c r="E75">
        <f>HYPERLINK("https://www.linkedin.com/jobs/view/4341452864", "https://www.linkedin.com/jobs/view/4341452864")</f>
        <v/>
      </c>
      <c r="F75">
        <f>HYPERLINK("https://coreweave.com/careers/job?4607358006&amp;board=weights_and_biases&amp;gh_jid=4607358006&amp;urlHash=n9Ig", "https://coreweave.com/careers/job?4607358006&amp;board=weights_and_biases&amp;gh_jid=4607358006&amp;urlHash=n9Ig")</f>
        <v/>
      </c>
      <c r="G75" t="inlineStr">
        <is>
          <t>New York, NY</t>
        </is>
      </c>
      <c r="H75" t="inlineStr"/>
      <c r="I7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software engineer on the Sweeps team, you’ll take end\-to\-end ownership of a user\-facing product that helps practitioners design and run hyperparameter searches. You’ll balance maintaining existing systems with building new functionality, and regularly debug real user workflows that span backend logic, the UI, and user\-run agents.
 Sweeps is a core part of the W\&amp;B product, and changes you make will directly affect how users configure experiments, run workloads on their own infrastructure, and reason about results.
**About The Role**
* Own the development and evolution of the Sweeps product, maintaining existing systems while designing and shipping new functionality with a focus on backend logic and APIs
* Implement and evolve sweep semantics and hyperparameter generation logic
* Debug and resolve user\-reported issues that may involve backend behavior, agent execution, or UI interactions
* Improve reliability, performance, and correctness of sweep execution as usage scales
* Build and maintain integrations between Sweeps and external hyperparameter tuning libraries (e.g. Optuna, Ray Tune)
**Who You Are**
* 4\+ years of experience in software engineering
* Backend\-leaning full stack engineer with experience building and maintaining user\-facing products
* Strong software engineering fundamentals and experience with at least one modern language such as Python, Go, or TypeScript
* Comfortable working in and improving legacy systems while incrementally shipping new features
* Able to debug complex, real\-world user workflows that don’t always fit neatly into isolated components
* Comfortable working with a high degree of ownership and autonomy in a fast\-paced environment
* Able to collaborate effectively with PMs and cross\-functional partners to turn user needs into technical solutions
**Preferred**
* Experience working on experimentation systems, developer tools, or ML\-related products
* Familiarity with hyperparameter optimization or ML workflows
* Experience integrating third\-party libraries or SDKs into a product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owning a product end\-to\-end and balancing new feature development with maintaining existing systems.
* You like debugging real user workflows and understanding how backend behavior, user\-run code, and product semantics interact.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for this position range from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76">
      <c r="A76" t="inlineStr">
        <is>
          <t>li-4381973009</t>
        </is>
      </c>
      <c r="B76" t="inlineStr">
        <is>
          <t>Frontend Software Engineer, Sr.</t>
        </is>
      </c>
      <c r="C76" t="inlineStr">
        <is>
          <t>Wiraa</t>
        </is>
      </c>
      <c r="D76" t="inlineStr">
        <is>
          <t>linkedin</t>
        </is>
      </c>
      <c r="E76">
        <f>HYPERLINK("https://www.linkedin.com/jobs/view/4381973009", "https://www.linkedin.com/jobs/view/4381973009")</f>
        <v/>
      </c>
      <c r="F76">
        <f>HYPERLINK("https://www.wiraa.com/job-description/usFEB8BE4AA6C7765AA928DA791F750AF3?source=Linkedin&amp;urlHash=RYsn", "https://www.wiraa.com/job-description/usFEB8BE4AA6C7765AA928DA791F750AF3?source=Linkedin&amp;urlHash=RYsn")</f>
        <v/>
      </c>
      <c r="G76" t="inlineStr"/>
      <c r="H76" t="inlineStr"/>
      <c r="I76" t="inlineStr">
        <is>
          <t>**About The Company**
 Sift is at the forefront of redefining how modern machines are built, tested, and operated. Our innovative platform provides engineers with real\-time observability over high\-frequency telemetry data, effectively eliminating bottlenecks and enabling faster, more reliable development processes. Founded by a team with extensive experience from SpaceX, Google, and Palantir, Sift emerged from our work on groundbreaking projects such as Dragon, Falcon, Starlink, and Starship. Our infrastructure is designed to support mission\-critical systems where precision, scalability, and reliability are paramount. We are committed to solving complex engineering challenges and building foundational systems that support the operation of sophisticated machines and spacecraft.
**About The Role**
 As an early engineer at Sift, you will play a pivotal role in shaping the architecture and functionality of our platform. This position offers the opportunity to work on high\-performance data visualization interfaces and reusable component libraries tailored for complex telemetry data. You will be responsible for creating intuitive user interfaces that enable data exploration and analysis, especially with large real\-time datasets. Collaboration with backend teams will be essential to design and implement APIs that ensure seamless user experiences. This role is ideal for a highly skilled developer who is passionate about building scalable, efficient, and innovative data\-driven tools. You will have the chance to influence the company's technical direction, contribute to product development, and help build systems that support critical engineering operations.
**Qualifications**
* 5\+ years of professional experience developing web applications and data\-driven tools
* Proficiency in building production applications using React, NextJS, and TypeScript
* Strong understanding of web performance optimization and browser rendering techniques
* Experience with modern CSS frameworks such as Tailwind CSS
* Familiarity with component libraries like Radix UI for designing systems
* Experience collaborating with backend teams on API design and implementation
* Ability to write clean, maintainable, and scalable code
* Experience working with large datasets and real\-time data visualization
**Responsibilities**
* Develop high\-performance data visualization interfaces and reusable component libraries for complex telemetry data
* Create intuitive user interfaces for data exploration, optimized for handling large real\-time datasets
* Collaborate with backend teams to design and implement APIs that facilitate seamless data integration
* Participate in technical design discussions, code reviews, and architecture planning
* Write clean, maintainable, and efficient code adhering to best practices
* Contribute to the development and evolution of the company's core platform and infrastructure
* Stay updated with the latest web development trends and incorporate relevant technologies into projects
**Benefits**
* Competitive salary ranging from $170,000 to $220,000 per year
* Equity options to share in the company's growth
* Comprehensive benefits package (health, dental, vision)
* Flexible work arrangements, including remote work options for qualified candidates
* Collaborative and innovative work environment in a rapidly growing company
* Opportunities for professional growth and working on impactful, mission\-critical projects
 Equal Opportunity
 Sift is an equal opportunity employer. We celebrate diversity and are committed to creating an inclusive environment for all employees. We do not discriminate based on race, religion, gender, sexual orientation, age, disability, or any other protected status. All qualified applicants will receive consideration for employment without regard to any protected characteristic.</t>
        </is>
      </c>
    </row>
    <row r="77">
      <c r="A77" t="inlineStr">
        <is>
          <t>li-4341692678</t>
        </is>
      </c>
      <c r="B77" t="inlineStr">
        <is>
          <t>Software Engineer, Sweeps - Weights &amp; Biases</t>
        </is>
      </c>
      <c r="C77" t="inlineStr">
        <is>
          <t>Weights &amp; Biases</t>
        </is>
      </c>
      <c r="D77" t="inlineStr">
        <is>
          <t>linkedin</t>
        </is>
      </c>
      <c r="E77">
        <f>HYPERLINK("https://www.linkedin.com/jobs/view/4341692678", "https://www.linkedin.com/jobs/view/4341692678")</f>
        <v/>
      </c>
      <c r="F77" t="inlineStr"/>
      <c r="G77" t="inlineStr">
        <is>
          <t>Sunnyvale, CA</t>
        </is>
      </c>
      <c r="H77" t="inlineStr"/>
      <c r="I7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software engineer on the Sweeps team, you’ll take end\-to\-end ownership of a user\-facing product that helps practitioners design and run hyperparameter searches. You’ll balance maintaining existing systems with building new functionality, and regularly debug real user workflows that span backend logic, the UI, and user\-run agents.
 Sweeps is a core part of the W\&amp;B product, and changes you make will directly affect how users configure experiments, run workloads on their own infrastructure, and reason about results.
**About The Role**
* Own the development and evolution of the Sweeps product, maintaining existing systems while designing and shipping new functionality with a focus on backend logic and APIs
* Implement and evolve sweep semantics and hyperparameter generation logic
* Debug and resolve user\-reported issues that may involve backend behavior, agent execution, or UI interactions
* Improve reliability, performance, and correctness of sweep execution as usage scales
* Build and maintain integrations between Sweeps and external hyperparameter tuning libraries (e.g. Optuna, Ray Tune)
**Who You Are**
* 4\+ years of experience in software engineering
* Backend\-leaning full stack engineer with experience building and maintaining user\-facing products
* Strong software engineering fundamentals and experience with at least one modern language such as Python, Go, or TypeScript
* Comfortable working in and improving legacy systems while incrementally shipping new features
* Able to debug complex, real\-world user workflows that don’t always fit neatly into isolated components
* Comfortable working with a high degree of ownership and autonomy in a fast\-paced environment
* Able to collaborate effectively with PMs and cross\-functional partners to turn user needs into technical solutions
**Preferred**
* Experience working on experimentation systems, developer tools, or ML\-related products
* Familiarity with hyperparameter optimization or ML workflows
* Experience integrating third\-party libraries or SDKs into a product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owning a product end\-to\-end and balancing new feature development with maintaining existing systems.
* You like debugging real user workflows and understanding how backend behavior, user\-run code, and product semantics interact.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for this position range from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78">
      <c r="A78" t="inlineStr">
        <is>
          <t>li-4380280782</t>
        </is>
      </c>
      <c r="B78" t="inlineStr">
        <is>
          <t>Senior Software Engineer</t>
        </is>
      </c>
      <c r="C78" t="inlineStr">
        <is>
          <t>Acceler8 Talent</t>
        </is>
      </c>
      <c r="D78" t="inlineStr">
        <is>
          <t>linkedin</t>
        </is>
      </c>
      <c r="E78">
        <f>HYPERLINK("https://www.linkedin.com/jobs/view/4380280782", "https://www.linkedin.com/jobs/view/4380280782")</f>
        <v/>
      </c>
      <c r="F78" t="inlineStr"/>
      <c r="G78" t="inlineStr">
        <is>
          <t>Mountain View, CA</t>
        </is>
      </c>
      <c r="H78" t="inlineStr"/>
      <c r="I78" t="inlineStr">
        <is>
          <t>**Senior Software Engineer** 
 We are seeking a Senior Software Engineer (Kernel\-focused) to join a team designing
 **a hardware platform purpose\-built for large language models** 
 — optimized specifically for transformer training and inference at massive scale.
 Their goal is to
 **deliver the highest performance per dollar for LLMs possible b** 
 y tightly integrating silicon, systems, and software, they are creating infrastructure that allows
 **startups, research labs, and enterprises to train and run GPT\-4–class models far more efficiently than today’s GPU\-based solutions.** 
 Backed by
 **over $630M in funding, including a recent $500M Series B from leading investors and strategic partners** 
 , the company is rapidly scaling to build the next generation of AI compute infrastructure.
**What You’ll Work On** 
* Designing and optimizing kernels that interface directly with custom AI hardware
* Building high\-performance software that powers training and inference for large\-scale ML workloads
* Collaborating with ML research and hardware engineering teams to bridge software and silicon
* Improving performance through techniques such as parallelism, SIMD optimization, and low\-level systems tuning
* Contributing to the architecture of the software stack supporting next\-generation AI compute systems
* Writing production\-quality systems code in performance\-critical environments
**Background We’re Looking For** 
 We’re looking for engineers who have built high\-performance systems and enjoy working close to the hardware/software boundary.
 Strong experience in one or more of the following areas is preferred:
* High\-performance computing or performance\-critical systems programming
* Optimizing software for specialized hardware (GPU, TPU, ASIC, or similar)
* Parallel computing techniques such as SIMD, CUDA, or distributed workloads
* Low\-level programming or systems optimization
 Bachelor’s degree in Computer Science or equivalent experience
 Experience optimizing software for specialized hardware using techniques such as parallelism, SIMD, or GPU acceleration
 Proficiency in at least one of the following languages:
 **Rust, C, C\+\+, Zig, or Assembly** 
**Location** 
 : Mountain View, CA
**Hybrid** 
 : 3 days onsite (Tuesday–Thursday)
**Compensation:** 
 anywhere from $120 to $350k based on experience</t>
        </is>
      </c>
    </row>
    <row r="79">
      <c r="A79" t="inlineStr">
        <is>
          <t>li-4382121297</t>
        </is>
      </c>
      <c r="B79" t="inlineStr">
        <is>
          <t>Software Engineer II</t>
        </is>
      </c>
      <c r="C79" t="inlineStr">
        <is>
          <t>Bank of America</t>
        </is>
      </c>
      <c r="D79" t="inlineStr">
        <is>
          <t>linkedin</t>
        </is>
      </c>
      <c r="E79">
        <f>HYPERLINK("https://www.linkedin.com/jobs/view/4382121297", "https://www.linkedin.com/jobs/view/4382121297")</f>
        <v/>
      </c>
      <c r="F79">
        <f>HYPERLINK("https://careers.bankofamerica.com/en-us/job-detail/26007786/software-engineer-ii-new-york-new-york-united-states&amp;urlHash=ieqi", "https://careers.bankofamerica.com/en-us/job-detail/26007786/software-engineer-ii-new-york-new-york-united-states&amp;urlHash=ieqi")</f>
        <v/>
      </c>
      <c r="G79" t="inlineStr">
        <is>
          <t>New York, NY</t>
        </is>
      </c>
      <c r="H79" t="inlineStr"/>
      <c r="I79"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coding solutions, unit testing, and ensuring the solution can be integrated successfully into the overall application/system with clear, robust, and well\-tested interfaces. Job expectations include an awareness of development and testing practices in the industry.
**Responsibilities:**
* Codes solutions and unit test to deliver a requirement/story per the defined acceptance criteria and compliance requirements
* Utilizes multiple architectural components (across data, application, business) in design and development of client requirements
* Performs Continuous Integration and Continuous Development (CI\-CD) activities
* Contributes to story refinement and definition of requirements
* Participates in estimating work necessary to realize a story/requirement through the delivery lifecycle
* Contributes to existing test suites (integration, regression, performance), analyze test reports, identify any test issues/errors, and triage the underlying cause
* Performs spike/proof of concept as necessary to mitigate risk or implement new ideas
* Develop rich, interactive Single Page Applications using Angular and related technologies (NgRx, etc).
* Develop complex service APIs using C\# and ASP.NET
* Work closely with product, design, and testing teams to support application features throughout the software lifecycle.
* Proactively look for optimization and enhancement opportunities in workflows and applications
* Take part in design discussions and contribute towards creating an efficient and scalable application design
* Develop rich, interactive Single Page Applications using React and related technologies (Redux, etc).
**Required Qualifications:**
* 4\+ years’ experience with TypeScript and modern Angular (versions 2\+).
* 4\+ years’ experience with C\# and ASP.NET. Experience with .NET Core 3\.1 is a plus.
* Experience with Material design is a plus.
* Experience with SVG\-based libraries, particularly d3, is a plus.
* 3Forge AMI platform experience
* Knowledge of database concepts and hands\-on experience with SQL query creation and debugging.
* Unix knowledge, ability to understand and create shell scripts.
* Strong written and verbal communication skills.
* Experience with Agile development processes.
* Ability to understand (or get the customer to articulate) the business needs in terms of business value.
* Ability to organize, prioritize, and meet deadlines.
* Strong appetite for new and emerging technologies
**Skills:**
* Application Development
* Automation
* Collaboration
* DevOps Practices
* Solution Design
* Agile Practices
* Architecture
* Result Orientation
* Solution Delivery Process
* User Experience Design
* Analytical Thinking
* Data Management
* Risk Management
* Technical Strategy Development
* Test Engineering
**Bachelors degree in Computer Science or related field**
**Shift:**
 1st shift (United States of America)
**Hours Per Week:**
 40</t>
        </is>
      </c>
    </row>
    <row r="80">
      <c r="A80" t="inlineStr">
        <is>
          <t>li-4341161846</t>
        </is>
      </c>
      <c r="B80" t="inlineStr">
        <is>
          <t>Senior Software Engineer - AI Cloud</t>
        </is>
      </c>
      <c r="C80" t="inlineStr">
        <is>
          <t>Lambda</t>
        </is>
      </c>
      <c r="D80" t="inlineStr">
        <is>
          <t>linkedin</t>
        </is>
      </c>
      <c r="E80">
        <f>HYPERLINK("https://www.linkedin.com/jobs/view/4341161846", "https://www.linkedin.com/jobs/view/4341161846")</f>
        <v/>
      </c>
      <c r="F80" t="inlineStr"/>
      <c r="G80" t="inlineStr">
        <is>
          <t>San Francisco, CA</t>
        </is>
      </c>
      <c r="H80" t="inlineStr"/>
      <c r="I80" t="inlineStr">
        <is>
          <t>Lambda, The Superintelligence Cloud, is a leader in AI cloud infrastructure serving tens of thousands of customers. Our customers range from AI researchers to enterprises and hyperscalers. Lambda's mission is to make compute as ubiquitous as electricity and give everyone the power of superintelligence. One person, one GPU.
 If you'd like to build the world's best AI cloud, join us.
* Note: This position requires presence in our San Francisco office location 4 days per week; Lambda’s designated work from home day is currently Tuesday.
**Role Summary**
 Help build the world’s best deep learning cloud by delivering frontend and backend systems that power Lambda's ML and AI platform.
**What You’ll Do**
* Design and build intuitive, beautiful web interfaces for ML/AI cloud users
* Integrate top\-tier tooling, workflows, and models from the AI space
* Own features end\-to\-end—from design to deployment to monitoring
**You (Must\-Haves)**
**Frontend Experience** 
 (6\+ years)
* Responsive web apps using:
+ TypeScript
+ React (or equivalent experience in Vue or Svelte)
+ HTML and modern CSS
+ Vite
**Backend Experience** 
 (8\+ years)
* Business\-critical services using:
+ Python, Unix/Command line
+ Django or FastAPI
+ Relational databases like PostgreSQL or MySQL
**Additional Core Experience**
* CI/CD: Automation around testing and deployment
* Reliability \&amp; Observability: Logging, alerting, and building highly available systems
* Cloud Native Services: AWS, Okta, Cloudflare, etc.
**Nice\-to\-Haves**
* Experience with Kubernetes
* Infrastructure as Code (Terraform, Atlantis, Crossplane, etc.)
* Event\-based or serverless tech (e.g., AWS Lambda, Kinesis)
* Experience in ML, AI, or data science
* Application security and web hardening
* Leadership or mentorship experience
* Strong academic background (EECS, Math, Software Engineering, Physics)
**Salary Range**
 The annual salary range for this position has been set based on market data and other factors. However, a salary higher or lower than this range may be appropriate for a candidate whose qualifications differ meaningfully from those listed in the job description.
**Final Note**
 You don’t need to meet all qualifications to apply. Lambda values a variety of backgrounds, experiences, and skills.
**About Lambda**
* Founded in 2012, with 500\+ employees, and growing fast
* Our investors notably include TWG Global, US Innovative Technology Fund (USIT), Andra Capital, SGW, Andrej Karpathy, ARK Invest, Fincadia Advisors, G Squared, In\-Q\-Tel (IQT), KHK \&amp; Partners, NVIDIA, Pegatron, Supermicro, Wistron, Wiwynn, Gradient Ventures, Mercato Partners, SVB, 1517, and Crescent Cove
* We have research papers accepted at top machine learning and graphics conferences, including NeurIPS, ICCV, SIGGRAPH, and TOG
* Our values are publicly available: https://lambda.ai/careers
* We offer generous cash \&amp; equity compensation
* Health, dental, and vision coverage for you and your dependents
* Wellness and commuter stipends for select roles
* 401k Plan with 2% company match (USA employees)
* Flexible paid time off plan that we all actually use
**A Final Note**
 You do not need to match all of the listed expectations to apply for this position. We are committed to building a team with a variety of backgrounds, experiences, and skills.
**Equal Opportunity Employer**
 Lambda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Compensation Range: $255K \- $445K</t>
        </is>
      </c>
    </row>
    <row r="81">
      <c r="A81" t="inlineStr">
        <is>
          <t>li-4382105380</t>
        </is>
      </c>
      <c r="B81" t="inlineStr">
        <is>
          <t>Full Stack Engineer Java w/Angular 16</t>
        </is>
      </c>
      <c r="C81" t="inlineStr">
        <is>
          <t>Talent Groups</t>
        </is>
      </c>
      <c r="D81" t="inlineStr">
        <is>
          <t>linkedin</t>
        </is>
      </c>
      <c r="E81">
        <f>HYPERLINK("https://www.linkedin.com/jobs/view/4382105380", "https://www.linkedin.com/jobs/view/4382105380")</f>
        <v/>
      </c>
      <c r="F81" t="inlineStr"/>
      <c r="G81" t="inlineStr">
        <is>
          <t>Lincoln, RI</t>
        </is>
      </c>
      <c r="H81" t="inlineStr"/>
      <c r="I81" t="inlineStr">
        <is>
          <t>**Note: This is a 3 Months Contract to hire; we cannot support 3rd party vendors for this role.** 
 We are looking for a
 **Senior Full Stack Engineer** 
 to join a high\-impact engineering team supporting a large\-scale enterprise platform transformation.
 Key Responsibilities
* Design and develop enterprise\-grade applications using
 **Java, Spring, and Spring Boot** 
 .
* Build responsive and dynamic front\-end applications using
 **Angular 16\+ (TypeScript)** 
 .
* Develop and integrate
 **RESTful APIs and middle\-tier services** 
 .
* Contribute to architecture decisions and platform modernization initiatives.
 Required Qualifications
* 8\+ years of hands\-on software development experience using
 **Java, Spring, and Spring Boot** 
 .
* 5\+ years of experience with
 **Angular 16\+ (TypeScript required)** 
 .
* 5\+ years of experience developing
 **RESTful APIs and web services** 
 .
* Strong understanding of enterprise application architecture and best practices.</t>
        </is>
      </c>
    </row>
    <row r="82">
      <c r="A82" t="inlineStr">
        <is>
          <t>li-4372217527</t>
        </is>
      </c>
      <c r="B82" t="inlineStr">
        <is>
          <t>Early Career Software Engineer, Connected Warfare</t>
        </is>
      </c>
      <c r="C82" t="inlineStr">
        <is>
          <t>Anduril Industries</t>
        </is>
      </c>
      <c r="D82" t="inlineStr">
        <is>
          <t>linkedin</t>
        </is>
      </c>
      <c r="E82">
        <f>HYPERLINK("https://www.linkedin.com/jobs/view/4372217527", "https://www.linkedin.com/jobs/view/4372217527")</f>
        <v/>
      </c>
      <c r="F82" t="inlineStr"/>
      <c r="G82" t="inlineStr">
        <is>
          <t>Bellevue, WA</t>
        </is>
      </c>
      <c r="H82" t="inlineStr"/>
      <c r="I8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Connected Warfare division within Anduril builds systems to support global command and control missions. We create joint, time sensitive, multi domain, ubiquitous, connected mesh ecosystems. Our ecosystem enables connected warfare with disproportional impact by connecting every robot, human, and sensor in every domain, bringing together hundreds of thousands of end points across the globe. We are the substrate that provides the source of truth for time sensitive decision, effectively transforming the way that militaries close kills chains and enable mission autonomy.
**About The Job**
 Come join one of the strongest performing mixed reality teams in the industry, dedicated to revolutionizing experiences for the warfighter. You will develop and optimize advanced game development and game engine technologies that drive real\-time simulation, immersive training, and critical mission planning capabilities. This role requires a blend of deep technical expertise and creative problem\-solving skills as you contribute to national defense initiatives while pushing the boundaries of mixed reality.
**Required Qualifications**
* Must be pursuing or have recently completed a Bachelor’s or Master’s degree in Computer Science, Computer/Software Engineering, Mathematics, Physics, or a related fields by May 2026
* 0\-2\+ years of experience in developing commercial\-quality software products for consumers or enterprises as a full stack developer
* Proficiency in one or more of the following: C, C\+\+, C\#, Java or Go
* Experience working in large codebases to solve complex problems in a matter of days and weeks, not months
* Excellent communication skills and passion for collaboration
* Eligible for a U.S. Security clearance
**Preferred Qualifications**
* Proficiency with containerization technologies like Docker and Kubernetes.
* Familiarity with imaging tools such as Packer.
* Experience with Scripting languages such as Python and Powershell
* Experience with software development processes and tools such as git, Github, JIRA, etc.
* Experience working in the gaming industry, with experience building and shipping code in a matter of days and weeks, not years
 US Salary Range
 $130,000—$140,000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3">
      <c r="A83" t="inlineStr">
        <is>
          <t>li-4369220326</t>
        </is>
      </c>
      <c r="B83" t="inlineStr">
        <is>
          <t>Senior Software Engineer</t>
        </is>
      </c>
      <c r="C83" t="inlineStr">
        <is>
          <t>Optima Global Solutions Inc.</t>
        </is>
      </c>
      <c r="D83" t="inlineStr">
        <is>
          <t>linkedin</t>
        </is>
      </c>
      <c r="E83">
        <f>HYPERLINK("https://www.linkedin.com/jobs/view/4369220326", "https://www.linkedin.com/jobs/view/4369220326")</f>
        <v/>
      </c>
      <c r="F83" t="inlineStr"/>
      <c r="G83" t="inlineStr">
        <is>
          <t>Houston, TX</t>
        </is>
      </c>
      <c r="H83" t="inlineStr"/>
      <c r="I83" t="inlineStr">
        <is>
          <t>Founded in 2001, Optima Global Solutions Inc., brings over 2 decades of experience and expertise in facilitating IT transformation within industries ranging from higher education and government to manufacturing and financial services. Sporting scalable and diverse business solutions expertise along with deep\-domain based resourcing capabilities, Optima has a specialization in Automation and AI, Strategic Staffing and Custom Solutions Development, focusing on the core pillars of process, people, strategy and transformation.
 Currently, we are hiring for the following position;
**Senior Software Engineer**
**Overview:** 
 We are seeking a highly skilled
 **Senior Software Engineer** 
 to join the team building a next generation trading and risk management platform. This is a hands\-on engineering role where you will design, architect, and develop enterprise\-grade distributed systems running on AWS.
 The ideal candidate combines deep technical expertise in
 **Python** 
 , strong
 **AWS cloud architecture** 
 , and
 **direct industry experience** 
 in commodities, energy trading, financial markets, or risk management systems.
**Key Responsibilities:**
* Design and implement cloud\-native, distributed systems supporting trading, P\&amp;L, risk, and market data workflows.
* Build scalable, fault\-tolerant backend services and APIs using Python and modern AWS tooling.
* Translate complex trading, pricing, and risk requirements into technical designs and system components.
* Partner with architects, product managers, and domain stakeholders to align system capabilities with business needs.
* Contribute to platform architecture decisions including data models, service boundaries, event streams, and integration patterns.
* Drive best practices around testing, observability, security, and operational excellence.
* Mentor engineers and contribute to code reviews, design reviews, and technical standards.
**Required Qualifications:** 
* 10\+ years of experience architecting and delivering enterprise\-grade, distributed systems.
* Expert\-level proficiency in Python, including APIs, asynchronous programming, microservices, and distributed system patterns.
* Extensive AWS experience, such as EKS/ECS, Lambda, SQS/SNS, API Gateway, IAM, cloud networking, monitoring, and logging.
* Mandatory domain experience in commodities or energy trading, financial markets, or risk systems—including at least one of:
+ Front Office trading
+ Risk \&amp; P\&amp;L systems
+ Trade capture
+ Market data platforms
+ Risk management systems
* Deep experience building high\-performance, real\-time or near\-real\-time systems used in mission critical trading environments.
**Preferred Qualifications**
* Experience modernizing legacy trading or risk systems into cloud\-native architectures.
* Knowledge of event\-driven architecture, streaming (Kafka/Kinesis), or high\-throughput pricing pipelines.
* Familiarity with quantitative libraries or risk analytics frameworks.
* Background collaborating with traders, quants, risk managers, or market data teams.
**MUST HAVES:**
* 10\+ years of experience architecting and delivering enterprise\-grade, distributed systems.
* Strong proficiency in Python with extensive AWS experience.
* Mandatory domain expertise in commodities or energy trading, financial markets, or risk management systems, including Front Office, Risk, P\&amp;L, Trade Capture, and Market Data platforms.
 Interested candidates, please apply online with a detailed resume and contact information.
 Thank you.</t>
        </is>
      </c>
    </row>
    <row r="84">
      <c r="A84" t="inlineStr">
        <is>
          <t>li-4231007893</t>
        </is>
      </c>
      <c r="B84" t="inlineStr">
        <is>
          <t>Calypso Senior Software Engineer II</t>
        </is>
      </c>
      <c r="C84" t="inlineStr">
        <is>
          <t>Federal Home Loan Bank of San Francisco</t>
        </is>
      </c>
      <c r="D84" t="inlineStr">
        <is>
          <t>linkedin</t>
        </is>
      </c>
      <c r="E84">
        <f>HYPERLINK("https://www.linkedin.com/jobs/view/4231007893", "https://www.linkedin.com/jobs/view/4231007893")</f>
        <v/>
      </c>
      <c r="F84" t="inlineStr"/>
      <c r="G84" t="inlineStr"/>
      <c r="H84" t="inlineStr"/>
      <c r="I84" t="inlineStr">
        <is>
          <t>**Job Description**
**Purpose** 
**:**
 Acts as a senior technical team member of a software development team and provides business support for the production systems in assigned business units. Participates in all phases of the system development life cycle. Recommends designs, develops, integrates, and implements custom and packaged solutions to achieve business goals. Delivers solutions that are fit for purpose and meets overall quality standards. Leverages internal client relationships to resolve complex support issues.
**Major Accountabilities**
**Engineer Responsibilities:**
* Lead in project analysis, design, and implementation phases
* Analyze project requirements and accordingly provide advanced technical and functional recommendations
* Prepare user requirements, technical specifications, and design specifications
* Develop new software and modify existing software to meet complex business needs when required
* Suggest coding standards and participate in Peer Code Review processes
* Lead technical support of system acceptance testing and validation activities
* Understand and follow agile project processes as prescribed
* Follow existing engineering processes and recommend improvements
* Perform system maintenance and support periodic review processes
* Review and recommend continuous improvements to existing system designs
* Recommend solutions to improve system performance and reliability
* Respond to customer queries and concerns in a timely fashion. Suggest new designs to eliminate future issues.
* Collaborate with teammates and business partners regarding new ideas, issues and projects
* Perform system failure analysis and drive corrective actions. Participate in root cause analysis and suggest long term solutions.
* Provide technical guidance and support team members.
* Consistently delivering working software to highest standards
**Education/Experience/Skills/Knowledge**
**Education:** 
 Bachelor's degree in Computer Science, Accounting, and Finance, or a related field, or equivalent work experience, is required.
**Experience**
 Minimum of 7\-10 years hands\-on experience in leading, designing, developing, implementing, and
 SALARY RANGE: $175K \- $200K
 The Federal Home Loan Bank of San Francisco is committed to the principles of equal opportunity in employment (e.g., employees, applicants) and in contracting (e.g., suppliers, vendors) regardless of race, color, religion, sex, national origin, disability status, genetic information, age, sexual orientation, gender identity, status as a parent, or any other characteristic protected by law. We are committed to cultivating a workplace free of unlawful discrimination, harassment, and retaliation, and are dedicated to fostering vibrant communities by serving as a reliable source of liquidity and resources for affordable housing and economic development.
 Salary ranges reflect the base salary that the Bank reasonably expects to pay for a given role and is not inclusive of annual incentive award opportunities, retirement benefits or the value of other health and welfare or other ancillary benefits. We consider many factors when determining base salaries such as individual background and experience, the competitive environment, education, particular skill set(s), and industry and institutional knowledge.
 The Bank is committed to offering all team members challenging and engaging work with market competitive pay, retirement, and benefit offerings. In support of this commitment, the Bank routinely engages in market competitive benchmarking surveys and analysis to ensure our team members continue to be paid fairly and competitively.</t>
        </is>
      </c>
    </row>
    <row r="85">
      <c r="A85" t="inlineStr">
        <is>
          <t>li-4372208557</t>
        </is>
      </c>
      <c r="B85" t="inlineStr">
        <is>
          <t>Software Engineer - C++ Core Data</t>
        </is>
      </c>
      <c r="C85" t="inlineStr">
        <is>
          <t>Zoox</t>
        </is>
      </c>
      <c r="D85" t="inlineStr">
        <is>
          <t>linkedin</t>
        </is>
      </c>
      <c r="E85">
        <f>HYPERLINK("https://www.linkedin.com/jobs/view/4372208557", "https://www.linkedin.com/jobs/view/4372208557")</f>
        <v/>
      </c>
      <c r="F85">
        <f>HYPERLINK("https://jobs.lever.co/zoox/2d88ed89-9f7a-4e46-8b57-1b6175dcbdc5/apply?source=LinkedIn&amp;urlHash=uysv", "https://jobs.lever.co/zoox/2d88ed89-9f7a-4e46-8b57-1b6175dcbdc5/apply?source=LinkedIn&amp;urlHash=uysv")</f>
        <v/>
      </c>
      <c r="G85" t="inlineStr">
        <is>
          <t>Foster City, CA</t>
        </is>
      </c>
      <c r="H85" t="inlineStr"/>
      <c r="I85" t="inlineStr">
        <is>
          <t>We are looking for engineers who are passionate about managing data at scale. As a Software Core Data engineer, you will work across the entire data generation stack, from optimizing multi\-threaded, on\-vehicle C\+\+ code that handles millions of messages each minute to analyzing petabytes of data.
 You will develop and scale software frameworks for efficiently identifying the most interesting driving data on\-robot, ensuring access to critical business data while minimizing robot turnaround time. You will interface with other on\-vehicle software teams to promote the adoption of these new data frameworks. You will also work with experts in our autonomy, hardware, safety, legal, and homologation teams to ensure our systems are dependable and compliant at all levels of data stack.
**In This Role, You Will**
* Implement data downsampling while preserving the business value
* Develop features to simplify data tracking for legal and regulatory needs
* Optimize performance of the existing framework to run efficiently on vehicle
* Coordinate with cross\-functional teams to identify and add missing framework features
**Qualifications**
* 4\+ years of professional experience in software development or related fields and BS in computer science or related field
* Strong proficiency in C\+\+ and Python
* Experience with scalable data pipeline architecture
* Experience with Linux and systems programming
**Bonus Qualifications**
* AWS S3 object storage experience, particularly across storage tiers
* Petabyte\-level data management
* Experience with Auction/Bidding algorithms
 $166,000 \- $230,000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6">
      <c r="A86" t="inlineStr">
        <is>
          <t>li-4381028812</t>
        </is>
      </c>
      <c r="B86" t="inlineStr">
        <is>
          <t>Founding Backend Engineer</t>
        </is>
      </c>
      <c r="C86" t="inlineStr">
        <is>
          <t>Jobright.ai</t>
        </is>
      </c>
      <c r="D86" t="inlineStr">
        <is>
          <t>linkedin</t>
        </is>
      </c>
      <c r="E86">
        <f>HYPERLINK("https://www.linkedin.com/jobs/view/4381028812", "https://www.linkedin.com/jobs/view/4381028812")</f>
        <v/>
      </c>
      <c r="F86">
        <f>HYPERLINK("https://jobright.ai/jobs/info/b2b_1769821110443_512?utm_source=5012&amp;utm_campaign=b2b_1769821110443_512&amp;urlHash=eJih", "https://jobright.ai/jobs/info/b2b_1769821110443_512?utm_source=5012&amp;utm_campaign=b2b_1769821110443_512&amp;urlHash=eJih")</f>
        <v/>
      </c>
      <c r="G86" t="inlineStr">
        <is>
          <t>San Francisco, CA</t>
        </is>
      </c>
      <c r="H86" t="inlineStr"/>
      <c r="I86"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Plaud
**One\-liner:** 
 Plaud is a rapidly scaling AI hardware company with $180M ARR, 10× YoY growth, and 1M\+ users worldwide.
 Why Join Us:
**Role Responsibilities** 
* Take full ownership of the technical strategy and execution for our "Plaud for Teams" product roadmap, ensuring it stays tightly aligned with business goals and evolving customer needs
* Guide the complete lifecycle of our "for Team" stack—from initial vision through to product launch—by setting clear, measurable milestones guided by Product Led Growth (PLG) principles
* Architect and deliver scalable permission and collaboration systems and API integrations that enrich functionality and user experience, all while upholding the highest standards for privacy, security, and quality
* Continuously explore, evaluate, and implement cutting\-edge AI technologies that advance the capabilities of our agentic platforms
* Clearly communicate technical direction, tradeoffs, and progress to leadership, cross\-functional collaborators, and stakeholders across all levels of technical fluency
* Build and lead a top\-tier engineering team by recruiting, mentoring, and inspiring a culture of innovation, ownership, and hands\-on problem solving
* Foster seamless collaboration and alignment across U.S. and international teams to ensure fast, focused execution across disciplines
**Qualifications** 
 Required
* 3\+ years of experience in building and scaling productivity SaaS tools
* Experience with Python, FastAPI, Go, PostgreSQL, or similar technology
* Familiar with cloud\-based infrastructure like Azure, AWS, or GCP
* Experience envisioning and delivering an effectively zero\-to\-one product to global customers
* A deep understanding of LLMs, their capabilities, limitations, and potential applications
* Demonstrated proficiency in a variety of technologies with the ability to quickly learn and adapt to new tools and languages
* Ideal candidate will have previously been the first technical lead at an early\-stage high\-growth startup, with an emphasis on owning a project from conception to deployment
* Strong leadership and team\-building skills with a collaborative approach
* Excellent strategic thinking and problem\-solving abilities
* Bachelor's or Master's degree in a technical field (Computer Science, Engineering or a related discipline)
* Interested in agentic team collaboration software, SaaS, AI, and LLMs
* Solid understanding of core application security concepts and threat mitigation strategies
* Solid understanding of permission systems and design principles
* Ability to thrive in a fast\-paced, startup environment
* Experience managing or collaborating with international teams
* "Always Day 1" entrepreneurship drive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87">
      <c r="A87" t="inlineStr">
        <is>
          <t>li-4349516535</t>
        </is>
      </c>
      <c r="B87" t="inlineStr">
        <is>
          <t>Forward Deployed Software Engineer - NYC</t>
        </is>
      </c>
      <c r="C87" t="inlineStr">
        <is>
          <t>OpenAI</t>
        </is>
      </c>
      <c r="D87" t="inlineStr">
        <is>
          <t>linkedin</t>
        </is>
      </c>
      <c r="E87">
        <f>HYPERLINK("https://www.linkedin.com/jobs/view/4349516535", "https://www.linkedin.com/jobs/view/4349516535")</f>
        <v/>
      </c>
      <c r="F87" t="inlineStr"/>
      <c r="G87" t="inlineStr">
        <is>
          <t>New York, NY</t>
        </is>
      </c>
      <c r="H87" t="inlineStr"/>
      <c r="I87" t="inlineStr">
        <is>
          <t>**About The Team**
 OpenAI’s Forward Deployed Engineering team partners with customers to turn research breakthroughs into production systems. We operate at the intersection of customer delivery and core platform development.
**About The Role**
 We are looking for customer\-focused software engineers to build effective custom software that leverages OpenAI’s APIs to solve real customer problems. As an FDSWE, you will work with our customers and OpenAI Forward Deployed Engineers to design and implement scalable solutions that solve their most difficult problems. You will design abstractions to solve customer problems, and then use them to scale our speed and quality of delivery across all Forward Deployed engagements.
 You will collaborate closely with Sales, Solutions Engineering, Solutions Architects, and Customer Success Managers who work on the same account. You will also work with our Research and Applied Product and Engineering teams to provide insightful customer feedback.
 This role is based in NYC. We use a hybrid work model of 3 days in the office per week. We offer relocation assistance. Travel up to 50% is required.
**In This Role, You Will**
* Embed deeply with strategic customers to understand their business challenges and technical requirements in detail.
* Design, architect, and develop full\-stack solutions using an experiment\-driven, iterative approach.
* Prepare detailed scopes of work and project plans for both proof\-of\-concept prototypes and full production deployments.
* Work hands\-on with customers' technical teams as a technical expert and trusted advisor, coding side\-by\-side to drive projects to completion on their infrastructure.
* Collaborate with Product, Research and Applied teams to ensure seamless customer experiences, project success and actionable product feedback
* Contribute to internal knowledge bases, codifying best practices and sharing insights gained from customer engagements to scale the Forward Deployed Engineering function.
**You’ll Thrive In This Role If You**
* 7\+ years of professional full stack engineering experience (excluding internships) in relevant roles at tech and product\-driven companies \- customer\-facing experience is highly desirable
* Former founder, or early engineer at a startup who has built a product from scratch is a plus
* Experience with relational databases like Postgres/MySQL
* Have a bias for action and willingness to work iteratively with your customers to deliver the right solution that solves their problem.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$153K \- $325K</t>
        </is>
      </c>
    </row>
    <row r="88">
      <c r="A88" t="inlineStr">
        <is>
          <t>li-4381027217</t>
        </is>
      </c>
      <c r="B88" t="inlineStr">
        <is>
          <t>Software Engineer</t>
        </is>
      </c>
      <c r="C88" t="inlineStr">
        <is>
          <t>Haystack</t>
        </is>
      </c>
      <c r="D88" t="inlineStr">
        <is>
          <t>linkedin</t>
        </is>
      </c>
      <c r="E88">
        <f>HYPERLINK("https://www.linkedin.com/jobs/view/4381027217", "https://www.linkedin.com/jobs/view/4381027217")</f>
        <v/>
      </c>
      <c r="F88">
        <f>HYPERLINK("https://us.haystackapp.io/roles/69a8b153d629ea1924f6d94e?src=google-paid&amp;urlHash=PCTn", "https://us.haystackapp.io/roles/69a8b153d629ea1924f6d94e?src=google-paid&amp;urlHash=PCTn")</f>
        <v/>
      </c>
      <c r="G88" t="inlineStr"/>
      <c r="H88" t="inlineStr"/>
      <c r="I88" t="inlineStr">
        <is>
          <t>**Senior Software Engineer \| Seattle, WA \| Hybrid** 
 We're working with a storied Pacific Northwest insurance powerhouse on this exciting opportunity. With 130 years of stability behind them, they are undergoing a massive digital transformation, moving away from legacy systems to build a next\-generation cloud\-native ecosystem.
 This is a high\-impact, hands\-on architectural role where you will define the technology roadmap and lead the migration to .NET Core and C\#. If you thrive on modernizing enterprise\-grade platforms using RESTful APIs and scalable cloud patterns, this is the career\-defining move you've been looking for.
**The Role** 
 • Lead the strategic modernization of legacy systems by architecting and migrating mission\-critical applications to .NET Core and C\#.
 • Design and implement robust RESTful APIs, establishing the standards and patterns for a modular, scalable, and secure architecture.
 • Provide technical leadership and high\-level architectural direction while remaining hands\-on with code to ensure quality and performance.
 • Evaluate and recommend emerging technologies, frameworks, and design approaches like Microservices and Layered Architectures.
 • Mentor a talented development team, fostering best practices in automated testing and high\-quality software engineering.
**What You'll Need** 
 • 7\+ years of expert\-level experience with C\# and the .NET ecosystem (.NET Core and .NET Framework).
 • Proven track record of migrating legacy applications to modern Microsoft platforms and cloud environments.
 • 5\+ years of experience designing and delivering high\-performance RESTful APIs and working with SQL Server.
 • Hands\-on proficiency with modern DevOps tools, including Git, CI/CD pipelines, and ideally containerization (Docker/Kubernetes).
 • Strong architectural mindset with experience in Azure, cloud\-native patterns, and AI\-assisted development tools.
 • Must be based in the Greater Seattle area for a hybrid schedule (2 days per week in\-office) and authorized to work in the US without sponsorship.
**What's On Offer** 
 • Competitive salary range of $89,805 – $172,401 with discretionary profit sharing and annual bonuses.
 • Flexible hybrid work environment with a fully subsidized ORCA card or free parking in downtown Seattle.
 • Exceptional benefits including a 401(k) with 5% match, comprehensive medical/dental/vision, and an on\-site fitness center.
 • A unique opportunity to leave a lasting legacy by shaping the technical vision of a stable, century\-old institution.
**Apply via Haystack today!**</t>
        </is>
      </c>
    </row>
    <row r="89">
      <c r="A89" t="inlineStr">
        <is>
          <t>li-4332073842</t>
        </is>
      </c>
      <c r="B89" t="inlineStr">
        <is>
          <t>Principal Backend Software Developer (10054)</t>
        </is>
      </c>
      <c r="C89" t="inlineStr">
        <is>
          <t>Extreme Networks</t>
        </is>
      </c>
      <c r="D89" t="inlineStr">
        <is>
          <t>linkedin</t>
        </is>
      </c>
      <c r="E89">
        <f>HYPERLINK("https://www.linkedin.com/jobs/view/4332073842", "https://www.linkedin.com/jobs/view/4332073842")</f>
        <v/>
      </c>
      <c r="F89" t="inlineStr"/>
      <c r="G89" t="inlineStr">
        <is>
          <t>San Jose, CA</t>
        </is>
      </c>
      <c r="H89" t="inlineStr"/>
      <c r="I89"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In a world where technology serves humanity, Extreme's mission is clear: constantly seeking new ways to create better outcomes. That is what innovation is at its core: new ways, better outcomes. Extreme is united in our endeavor to empower businesses, governments, schools, healthcare providers, cities, and more worldwide to achieve infinite potential with the One Network, One Cloud, One Extreme approach.
 You will be joining a high\-performing Extreme One Cloud engineering team that architects, designs, implements, and tests new features and functionality for ExtremeCloud Applications and Platform \- an AI/ML powered, wired, and wireless cloud network management solution. You will take new features from concept to delivery, working closely with team members and cross\-functional partners to design and develop high\-quality solutions that take into consideration scalability, availability and performance.
**Roles \&amp; Responsibilities**
* Ability to translate business requirements into technical requirements.
* Write clean, reusable, scalable and secure code for eployment adhering to standard methodologies.
* Create and review technical documentation and specifications, as necessary.
* Design solutions, establish best practices and introduce/implement new technologies.
* Designing systems that are scalable and performant to handle the increasing demands of our users.
* Conducting thorough code reviews and providing constructive feedback to ensure code quality, security, and maintainability.
* Work and collaborate with a team of developers and architects, product management, CX / UX / UI visual designers to create a website / Mobile Web application.
* Provide technical leadership for the development team, representing them in Customer\-facing interactions, taking ownership in sprint delivery and resolving functional and technical issues.
* Delivering application that are based on pre\-existing wireframes, designs, or other client requirements.
**Qualifications**
* Backend developer with 10\+ years of experience and advanced backend skills (Dockers, Kubernetes, GlusterFS, Clustering).
* Solid knowledge of algorithms and design patterns with coding experience in GoLang, C, Java, Python.
* Have experience building high\-scale, concurrent and cloud\-based secured web applications with experience in APIs and interfaces \- REST, NETConf, JSON, Yang, OpenConfig, OpenAPI.
* Have strong experience with relational and non\-relational databases, experience in MySQL, MariaDB, GORM, Redis.
* Have a familiarity with Event\-based architecture and experience in RabbitMQ, Kafka messaging services, GNMI, GRPC.
* Deep understanding of Web Performance and Web Accessibility including security protocols and technologies – IAM, RBAC, Certs, AAA, HTTPS etc..
* Have the drive and ability to learn fast and make decisions based on data points and practical scenarios.
* Believe that speed and quality are not conflicting; you can achieve both.
* Have excellent problem\-solving skills, attention to detail, and a passion for building high\-quality products.
* Have strong communication skills, both technical and non\-technical, with the ability to collaborate effectively with cross\-functional teams.
* Experience building CI/CD pipelines
* Ability to work with global teams across time zones.
* "Self\-starter" attitude and the ability to make decisions independently.
* Hold a BS in Computer Science, Mathematics or related degree.
* Salary based on qualifications, experience and region up to USD 170000 plus benefits.
**Education**
* BS or MS in CS/CE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0">
      <c r="A90" t="inlineStr">
        <is>
          <t>li-4349670207</t>
        </is>
      </c>
      <c r="B90" t="inlineStr">
        <is>
          <t>Sr Software Engineer- Developer Experience</t>
        </is>
      </c>
      <c r="C90" t="inlineStr">
        <is>
          <t>Medline</t>
        </is>
      </c>
      <c r="D90" t="inlineStr">
        <is>
          <t>linkedin</t>
        </is>
      </c>
      <c r="E90">
        <f>HYPERLINK("https://www.linkedin.com/jobs/view/4349670207", "https://www.linkedin.com/jobs/view/4349670207")</f>
        <v/>
      </c>
      <c r="F90" t="inlineStr"/>
      <c r="G90" t="inlineStr">
        <is>
          <t>Northbrook, IL</t>
        </is>
      </c>
      <c r="H90" t="inlineStr"/>
      <c r="I90" t="inlineStr">
        <is>
          <t>**Job Summary**
**Job Description**
**Major Responsibilities**
* Rapidly deliver proofs of concept (POCs) and pilots, clearly articulate their impact, and challenge ideas to drive informed decision\-making.
* Identify pain points for internal development teams, propose solutions, and implement features that simplify development and deployment processes.
* Apply expert knowledge in performance, scalability, enterprise system architecture, and engineering best practices.
* Innovate and establish best practices in software architecture and development processes.
* Demonstrate expertise in the software development lifecycle (SDLC) and optimize processes through automation.
* Promote and guide adoption of the Well\-Architected Framework, ensuring best practices across engineering teams.
* Collaborate with applications, DevOps, and platform teams to ensure platform tools are reliable, scalable, and aligned with organizational standards.
* Partner with architects and product managers to translate system architecture and product requirements into well\-designed, high\-quality software components.
* Balance technical leadership with strong business judgment to make sound technology choices.
* Champion coding standards, automation, observability, and security practices across developer\-facing tools and pipelines.
* Lead and mentor junior engineers, fostering technical growth and professional development.
* Drive continuous improvement in development processes, including code reviews, testing, and deployment strategies.
* Stay current with emerging trends and technologies, applying them to enhance developer experience and platform capabilities.
* Contribute to the overall architecture and design of application modernization initiatives.
* Explore and pilot emerging AI technologies (including agentic AI), translating learnings into practical developer\-experience improvements.
* Actively participate in Agile/Scrum ceremonies, including Program Increment (PI) Planning, and influence team direction.
**Minimum Job Requirements**
* 15\+ years of software engineering experience, with deep expertise in application modernization and full stack microservices development on AKS and cloud platforms (particularly Azure).
* 10\+ years of experience with diverse programming languages (Java, .NET, Python, React, Angular, etc.) and the full SDLC, including coding standards, code reviews, source control, build processes, testing, and operations.
* Bachelor’s degree in computer science, Engineering, or related field.
* Proven experience in designing and delivering training programs to drive adoption of new solutions across the organization.
* Proven expertise in designing, developing, and maintaining platform tools, frameworks, and automation to improve productivity and streamline the SDLC.
* Ability to design and develop detailed architecture artifacts (logical, conceptual, and integration diagrams) for teams and projects.
* Strong experience with containerization and deployment tools (Docker, Kubernetes, Helm).
* Hands\-on experience with DevOps and automation tools (GitLab, Jenkins, Terraform, Ansible, Kubernetes, Packer).
* Experience with test automation frameworks (JUnit, Mockito, Selenium etc).
* Experience building with AI development tools.
* Excellent communication and collaboration skills, with the ability to work effectively in cross\-functional teams.
* Strong problem\-solving attitude, with a focus on addressing enterprise\-level challenges and identifying innovative solutions.
* Strong fundamental understanding with ability to thrive in a fast\-paced, dynamic environment and adapt to new tools and technologies.
* Working knowledge of Agile methodologies, JIRA, ITSM, and software delivery tools.
* Proven ability to multitask, manage multiple projects, and deliver results with ownership and accountability.
**Preferred Qualifications**
* Advanced degree in Computer Science, Engineering, or related field.
* Experience with large\-scale enterprise modernization initiatives.
* Deep expertise in cloud\-native architecture and hybrid cloud environments.
* Familiarity / experience with observability platforms
* Experience in integrating AI/ML solutions into developer workflows.
* Strong track record of influencing engineering culture and driving adoption of modern development practices across large organizations.
 Medline Industries, LP, and its subsidiaries, offer a competitive total rewards package, continuing education \&amp; training, and tremendous potential with a growing worldwide organization.
**The Anticipated Salary Range For This Position**
 $132,600\.00 \- $199,160\.00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91">
      <c r="A91" t="inlineStr">
        <is>
          <t>li-4359113643</t>
        </is>
      </c>
      <c r="B91" t="inlineStr">
        <is>
          <t>Principal Software Engineer</t>
        </is>
      </c>
      <c r="C91" t="inlineStr">
        <is>
          <t>BuildOps</t>
        </is>
      </c>
      <c r="D91" t="inlineStr">
        <is>
          <t>linkedin</t>
        </is>
      </c>
      <c r="E91">
        <f>HYPERLINK("https://www.linkedin.com/jobs/view/4359113643", "https://www.linkedin.com/jobs/view/4359113643")</f>
        <v/>
      </c>
      <c r="F91" t="inlineStr"/>
      <c r="G91" t="inlineStr"/>
      <c r="H91" t="inlineStr"/>
      <c r="I91" t="inlineStr">
        <is>
          <t>As a Principal Engineer at BuildOps, you will lead engineering efforts, set the technical vision, and align technology with business objectives at the highest level. BuildOps is mission\-critical operational software for our customers—uptime, reliability, and scalability are essential to maintaining trust. As we continue to experience rapid growth, platformization and technological excellence are foundational to our strategy. Reporting directly to senior engineering leadership, you will lead technical initiatives and strike teams to solve some of the most complex challenges in our industry.
 You will own the continual refinement of our technology roadmap, defining approaches to the platformization of APIs, data ingestion pipelines, service architecture, and financial/accounting systems. You will work across all teams, bridging knowledge gaps and ensuring local alignment with the global technical strategy.
**What You’ll Do**
* Influence multiple engineering groups as a technical lead or through exceptional technical and process contributions that enable teams to have greater impact
* Proactively identify and resolve conflicts, concerns, and expectation mismatches between teams or individuals to ensure smooth execution of your roadmap and adjacent initiatives
* Use a deep understanding of company goals and strategy to guide technical investments across the organization
* Extend your influence beyond engineering by effectively driving cross\-functional changes that improve both product and engineering outcomes
* Design and deliver systems that exemplify technical excellence and embody BuildOps’ engineering values
* Leverage your understanding of industry trends to influence technical direction and foster innovation
* Contribute to engineering\-wide initiatives to enhance customer experience, system performance, operational excellence, productivity, learning, and knowledge sharing
* Mentor senior engineers, directly impacting their technical growth and career development.
**What We Look For**
* 10\+ years of experience in software engineering, including significant experience leading complex, full\-stack systems in modern JavaScript/TypeScript environments
* Expertise in designing and evolving scalable frontend architectures, with deep understanding of React.js, state management, and frontend performance optimization
* Strong backend design and architecture experience using Node.js, with hands\-on knowledge of GraphQL (Apollo, Relay) and RESTful service patterns
* Proficiency with SQL databases such as PostgreSQL or MySQL, including experience designing schema, optimizing queries, and managing data at scale
* Strong background in performance optimization across the stack — from database indexing and caching to frontend rendering strategies and distributed systems performance
* Experience architecting and scaling event\-driven systems, messaging infrastructure (Kafka, RabbitMQ), and real\-time data pipelines
* Expertise in containerization (Docker, Kubernetes) and modern cloud infrastructure (AWS, GCP, or Azure), with experience designing resilient and cost\-efficient systems
* Ability to guide teams in CI/CD best practices, ensuring reliable, automated, and scalable deployment processes
* Experience driving technical strategy, establishing engineering standards, and influencing architectural decisions across multiple teams
* Proven track record of mentoring senior engineers and influencing peers through technical leadership, design reviews, and knowledge sharing
* Strong communication and technical writing skills for cross\-functional alignment and long\-term documentation
* B.S., M.S., or Ph.D. in Computer Science, Engineering, or a related field
**Compensation**
* $196,000 \- $262,000 base salary range \+ annual bonus
**What we offer:**
* Generous equity grant, become an owner in our company!
* Macbook computer provided
* A comprehensive benefits package
* Flexible PTO and hybrid work schedules
* Work from home stipend
* Hubs in Los Angeles, San Francisco,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*We welcome applicants from across the U.S. where we are registered to do business and able to support employment. Currently, this excludes the following states: Alabama, Alaska, Connecticut, Hawaii, Kentucky, Mississippi, Nebraska, New Mexico, North Dakota, Rhode Island, South Dakota, West Virginia, and Wyoming. This list is based solely on operational and compliance considerations and is reviewed from time to time as our footprint grows.*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
*BuildOps is an equal opportunity employer. We consider all qualified applicants without regard to race, color, religion, sex (including pregnancy, gender identity, and sexual orientation), national origin, age, disability, genetic information, veteran status, or any other status protected by applicable federal, state, or local law.*
*BuildOps will consider qualified applicants with a criminal history pursuant to the California Fair Chance Act pursuant to applicable local and state laws.*</t>
        </is>
      </c>
    </row>
    <row r="92">
      <c r="A92" t="inlineStr">
        <is>
          <t>li-4381982174</t>
        </is>
      </c>
      <c r="B92" t="inlineStr">
        <is>
          <t>Senior Software Engineer - Mixed Reality</t>
        </is>
      </c>
      <c r="C92" t="inlineStr">
        <is>
          <t>Microsoft</t>
        </is>
      </c>
      <c r="D92" t="inlineStr">
        <is>
          <t>linkedin</t>
        </is>
      </c>
      <c r="E92">
        <f>HYPERLINK("https://www.linkedin.com/jobs/view/4381982174", "https://www.linkedin.com/jobs/view/4381982174")</f>
        <v/>
      </c>
      <c r="F92" t="inlineStr"/>
      <c r="G92" t="inlineStr">
        <is>
          <t>Redmond, WA</t>
        </is>
      </c>
      <c r="H92" t="inlineStr"/>
      <c r="I92" t="inlineStr">
        <is>
          <t>**Overview**
 Imagine logging into Windows not on a monitor, but in a world created around you living beyond flat screens; available anytime, anywhere, AND in immersive 3D? Our team is bridging the worlds of Mixed Reality and Windows, enabling users to access and interact with their desktops in fully spatial environments. You’ll help bring together the reliability and familiarity of Windows with the cutting\-edge possibilities of MR (Mixed Reality) devices, shaping a new era of spatial productivity and remote computing. As a Senior Software Engineer, you’ll architect and build a Mixed Reality Remote Desktop experience that enables users to connect to local and cloud PCs within a 3D environment. You’ll work with graphics engines, low\-latency streaming, and 3D user interfaces to deliver performant, high\-fidelity virtual workspaces. This opportunity will allow you to deepen your expertise in graphics systems and 3D frameworks, solve complex challenges in real\-time rendering and spatial input, and drive innovation at the intersection of cloud and MR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ReactJs, C, C\+\+, C\#, Java, JavaScript, or Python
+ OR equivalent experience
* 4\+ years experience in 3D engine technology including, but not limited to, Godot, OpenXR, or Unity
**Preferred Qualifications**
* Bachelor's Degree in Computer Science or related technical field AND 8\+ years technical engineering experience with coding in languages including, but not limited to ReactJs, C, C\+\+, C\#, Java, JavaScript, or Python
+ Master's Degree in Computer Science or related technical field AND 6\+ years technical engineering experience with coding in languages including, but not limited to, C, C\+\+, C\#, Java, JavaScript, or Python
+ OR equivalent experience.
* 4\+ years experience with human interaction development
* 4\+ years experience in a mixed reality environment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3">
      <c r="A93" t="inlineStr">
        <is>
          <t>li-4319127301</t>
        </is>
      </c>
      <c r="B93" t="inlineStr">
        <is>
          <t>Sr Frontend Software Engineer I – Design System- AXS</t>
        </is>
      </c>
      <c r="C93" t="inlineStr">
        <is>
          <t>AEG</t>
        </is>
      </c>
      <c r="D93" t="inlineStr">
        <is>
          <t>linkedin</t>
        </is>
      </c>
      <c r="E93">
        <f>HYPERLINK("https://www.linkedin.com/jobs/view/4319127301", "https://www.linkedin.com/jobs/view/4319127301")</f>
        <v/>
      </c>
      <c r="F93">
        <f>HYPERLINK("https://www.aegworldwide.com/jobs?gh_jid=8229679002&amp;gh_src=c60291442&amp;urlHash=lxl8", "https://www.aegworldwide.com/jobs?gh_jid=8229679002&amp;gh_src=c60291442&amp;urlHash=lxl8")</f>
        <v/>
      </c>
      <c r="G93" t="inlineStr">
        <is>
          <t>Los Angeles, CA</t>
        </is>
      </c>
      <c r="H93" t="inlineStr"/>
      <c r="I93"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**Senior Frontend Engineer** 
 focused on our
 **Design System.** 
 You’ll drive the development of scalable, reusable UI components and contribute to a consistent design language across our digital products. You will work closely with UI/UX designers, product managers, and engineers to build a shared Frontend foundation that enhances productivity and user experience across teams.
**What You’ll Be Doing**
* Build our company\-wide Design System, component library, and Frontend platform architecture.
* Collaborate with UX/UI designers to translate visual designs into reusable React components in React.
* Work cross\-functionally with product teams to ensure consistency and performance across the Frontend.
* Establish and maintain coding standards, documentation, and tooling to support the adoption and scalability of the design system.
* Mentor engineers on Frontend best practices, accessibility, performance, and modular design.
* Drive the Frontend technical strategy for internal tools and external user\-facing applications, ensuring alignment with broader engineering goals.
* Champion a strong focus on developer experience (DX), design consistency, and accessibility (a11y).
**What To Bring**
* Deep expertise in TypeScript, React, HTML, and CSS.
* Proven experience building and maintaining design systems and component libraries (e.g., via Storybook, Figma integration, tokens, theming).
* Experience integrating with design tools like Figma and collaborating directly with designers.
* Familiarity with Frontend testing frameworks (e.g., Jest, React Testing Library).
* Passion for clean, modular, maintainable code and an eye for visual and interaction details.
* Solid understanding of accessibility standards, responsive design, performance optimization, and cross\-browser compatibility.
* Comfortable leading architecture discussions and working with engineers of all levels.
* Familiarity with Frontend CI/CD pipelines, documentation tools, and component bundlers (e.g., Rollup, Tsup, etc).
* Experience with design token pipelines.
**Pay Scale: $124,000 \- $130,000**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**Curious about the typical interview process for this position? Here's what to expect:**
* Stage 1: 45\-60 min virtual Hiring Manager Interview
* Stage:2: 90\-120 min virtual technical interviews
* Stage 3: 30 min team interview
* Stage 4: 30 min exec interview
**What’s in it for You?**
* Direct impact on applications used by millions of fans across the globe.
* Opportunity to lead the Frontend vision for a high\-scale, highly visible platform.
* Collaborative, creative environment with extraordinary teammates.
* Access to cutting\-edge technologies and strong support for continued learning.
* A culture that values autonomy, craftsmanship, and transparency.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94">
      <c r="A94" t="inlineStr">
        <is>
          <t>li-4381986089</t>
        </is>
      </c>
      <c r="B94" t="inlineStr">
        <is>
          <t>Senior Software Engineer</t>
        </is>
      </c>
      <c r="C94" t="inlineStr">
        <is>
          <t>Microsoft</t>
        </is>
      </c>
      <c r="D94" t="inlineStr">
        <is>
          <t>linkedin</t>
        </is>
      </c>
      <c r="E94">
        <f>HYPERLINK("https://www.linkedin.com/jobs/view/4381986089", "https://www.linkedin.com/jobs/view/4381986089")</f>
        <v/>
      </c>
      <c r="F94" t="inlineStr"/>
      <c r="G94" t="inlineStr">
        <is>
          <t>Redmond, WA</t>
        </is>
      </c>
      <c r="H94" t="inlineStr"/>
      <c r="I94"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Copilot Studio, Power Apps, Power Automate, Dataverse and more. Microsoft is considered one of the leaders in Software as a Service in the world of business applications and this organization is at the heart of how business applications are designed and delivered.
 Microsoft Power Platform is a low\-code platform that allows users to rapidly build customized end\-to\-end business solutions. Microsoft Copilot Studio is a graphical, low\-code tool for building agents and agent flows. As Satya mentioned in the FY 2025 Q3 Earnings call, Power Platform has more than 56 million monthly active users and Copilot Studio is used by more than 230,000 organizations – including 90% of the fortune 500\.
 We are hiring a Senior Software Engineer.
 Are you passionate about building intelligent, scalable systems that power next\-generation AI experiences? The Microsoft Copilot Studio team within the Business Industry Copilot (BIC) organization is at the forefront of enabling makers and developers to build, publish, and manage copilots that extend across Microsoft 365 and beyond. We are looking for a strong Software Engineer to join our team and help us design and develop core capabilities in the Control Plane as part of the Authoring, Provisioning, Authorization \&amp; Lifecycle areas of the product.
 As a Senior Software Engineer, you will play an important role in the design and implementation of mission\-critical services that enable copilot lifecycle management, authoring capabilities and security management. You’ll work closely with product, design, and partner teams across Microsoft to deliver high\-impact features that empower users and scale across millions of tenants.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Participate in the architecture, design and implementation of scalable, reliable, and secure services in the Copilot Studio Control Plane.
* Collaborate with Product Managers, designers, architects, and other engineers to develop an AI\-first platform to scale agent adoption across various Microsoft platforms like M365 Copilot, Dynamics, and Power Platform.
* Collaborate with cross\-functional teams to define and deliver end\-to\-end scenarios that span Azure, M365, and Power Platform ecosystems.
* Actively contribute to livesite improvement and maintenance.
* Define and champion engineering best practices, including CI/CD, observability, and operational excellence.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Travel: Occasional travel (0% to 25%) is expected in this role.
**Preferred Qualifications**
* 3\+ years of experience in service development, successfully shipping software across multiple releases in a SaaS environment.
* 2\+ years of experience delivering complex projects at scale.
* 3\+ years of professional working experience in C\#, .NET, or equivalent languages and frameworks.
* 3\+ years of professional working experience with Azure or other cloud platforms.
* 1\+ years experience with Power Platform, M365 extensibility, and conversational AI systems.
* 1\+ years experience understanding of identity, access control, and secure service design.
* 2\+ years experience collaborating across teams and disciplines.
 \#MCSJobs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li-4371504232</t>
        </is>
      </c>
      <c r="B95" t="inlineStr">
        <is>
          <t>Software Engineering Manager, Google Enterprise Networking</t>
        </is>
      </c>
      <c r="C95" t="inlineStr">
        <is>
          <t>Google</t>
        </is>
      </c>
      <c r="D95" t="inlineStr">
        <is>
          <t>linkedin</t>
        </is>
      </c>
      <c r="E95">
        <f>HYPERLINK("https://www.linkedin.com/jobs/view/4371504232", "https://www.linkedin.com/jobs/view/4371504232")</f>
        <v/>
      </c>
      <c r="F95">
        <f>HYPERLINK("https://careers.google.com/jobs/results/133138701709386438-software-engineering-manager/?src=Online/LinkedIn/linkedin_us&amp;utm_source=linkedin&amp;utm_medium=jobposting&amp;utm_campaign=contract&amp;urlHash=HmT-", "https://careers.google.com/jobs/results/133138701709386438-software-engineering-manager/?src=Online/LinkedIn/linkedin_us&amp;utm_source=linkedin&amp;utm_medium=jobposting&amp;utm_campaign=contract&amp;urlHash=HmT-")</f>
        <v/>
      </c>
      <c r="G95" t="inlineStr">
        <is>
          <t>Austin, TX</t>
        </is>
      </c>
      <c r="H95" t="inlineStr"/>
      <c r="I95" t="inlineStr">
        <is>
          <t>**Minimum qualifications:**
* Bachelor’s degree, or equivalent practical experience.
* 8 years of experience in software development.
* 3 years of experience in a technical leadership role.
* 2 years of experience in a people management or team leadership role.
**Preferred qualifications:**
* Master's degree or PhD in Computer Science or a related technical field.
* 3 years of experience working in a cross\-functional organization.
* Knowledge or full stack development or networking.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team technically by contributing to defining the new architecture of systems that automate the management of NextGEN network systems.
* Prioritize teams deliverables to ensure smooth, quality and timely execution of deliverables.
* Work with partner teams to understand their requirements and build systems that ensure that changes are correctly applied to the network.
* Anticipate scaling bottlenecks or shifts in usage, increase availability and reliability, or make data\-driven optimizations and adjustments.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6">
      <c r="A96" t="inlineStr">
        <is>
          <t>li-4381981124</t>
        </is>
      </c>
      <c r="B96" t="inlineStr">
        <is>
          <t>Staff Software Engineer, App Hub</t>
        </is>
      </c>
      <c r="C96" t="inlineStr">
        <is>
          <t>Google</t>
        </is>
      </c>
      <c r="D96" t="inlineStr">
        <is>
          <t>linkedin</t>
        </is>
      </c>
      <c r="E96">
        <f>HYPERLINK("https://www.linkedin.com/jobs/view/4381981124", "https://www.linkedin.com/jobs/view/4381981124")</f>
        <v/>
      </c>
      <c r="F96">
        <f>HYPERLINK("https://careers.google.com/jobs/results/82653127450206918-staff-software-engineer/?src=Online/LinkedIn/linkedin_us&amp;utm_source=linkedin&amp;utm_medium=jobposting&amp;utm_campaign=contract&amp;urlHash=4yQd", "https://careers.google.com/jobs/results/82653127450206918-staff-software-engineer/?src=Online/LinkedIn/linkedin_us&amp;utm_source=linkedin&amp;utm_medium=jobposting&amp;utm_campaign=contract&amp;urlHash=4yQd")</f>
        <v/>
      </c>
      <c r="G96" t="inlineStr">
        <is>
          <t>Sunnyvale, CA</t>
        </is>
      </c>
      <c r="H96" t="inlineStr"/>
      <c r="I96" t="inlineStr">
        <is>
          <t>**Minimum qualifications:**
* Bachelor's degree or equivalent practical experience.
* 8 years of experience in software development.
* 5 years of experience testing, and launching software products.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Experience with Google infrastructure and building scalable distributed systems.
* Experience with the life\-cycle of building products that increase developer productivity.
* Passion for developer tools.
**About The Job**
 App Hub aims to optimize the productivity of Google Cloud Platform application developers, application operators, and platform operators by streamlining application development, deployments, and DevOps, while abstracting cloud infrastructure primitives.
 In this role, you will be responsible for the entire App Hub surface to present customers with a smooth, unified experience for app\-centric manageability, observability, and governance. This includes the interfaces, performance monitoring for the application\-centric view, policy and governance management, and several other evolving areas.You will develop the next\-generation technologies that change how billions of users connect, explore, and interact with information. Our products need to handle information at massive scale and high reliability. You will bring fresh ideas from all relevant areas, including information retrieval, distributed computing, large\-scale system design, networking, data storage, security, Artificial Intelligence (AI), and Natural Language Processing (NLP) the list is constantly growing. You will be versatile, display strong leadership qualities, mentor junior engineers, and be enthusiastic about addressing new problems across the 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Model resources intricately across compute infrastructure, cloud networking, big query, agents, and more, requiring nuanced understanding.
* Ingest data from multiple sources in various forms (real\-time events, checkpoint files). This currently involves two parallel stacks for real\-time processing and offline reconciliation at both the App Hub and Cloud Asset Inventory and Search (CAIS) ends.
* Architect a system for massive scale and high throughput.
* Enrich data with product mappings, MapReduce (MR) mappings, and identities from various systems, utilizing real\-time and offline reconciliation paths to ensure data integrity, freshness, and lossless handling.
* Design a system that is operationally sound, scalable, and resilient to handle failures gracefully.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li-4361667427</t>
        </is>
      </c>
      <c r="B97" t="inlineStr">
        <is>
          <t>Senior Software Engineer</t>
        </is>
      </c>
      <c r="C97" t="inlineStr">
        <is>
          <t>Microsoft</t>
        </is>
      </c>
      <c r="D97" t="inlineStr">
        <is>
          <t>linkedin</t>
        </is>
      </c>
      <c r="E97">
        <f>HYPERLINK("https://www.linkedin.com/jobs/view/4361667427", "https://www.linkedin.com/jobs/view/4361667427")</f>
        <v/>
      </c>
      <c r="F97">
        <f>HYPERLINK("https://apply.careers.microsoft.com/careers/job/1970393556643457?utm_source=linkedin&amp;domain=microsoft.com&amp;src=LinkedIn&amp;urlHash=Q0ry", "https://apply.careers.microsoft.com/careers/job/1970393556643457?utm_source=linkedin&amp;domain=microsoft.com&amp;src=LinkedIn&amp;urlHash=Q0ry")</f>
        <v/>
      </c>
      <c r="G97" t="inlineStr">
        <is>
          <t>Redmond, WA</t>
        </is>
      </c>
      <c r="H97" t="inlineStr"/>
      <c r="I97"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a Senior Software Engineer who can create and build systems that delight and protect our customers.
* You will be working with a team of engineers, PMs,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building cloud\-scale infrastructure components.
* 3\+ years of industry experience in delivering and interacting with REST API’s and web services across multiple systems.
* 3\+ years of industry experience with coding, debugging, algorithm design and problem\-solving skills.
* 3\+ years of industry experience designing cloud\-scale services and server/service management features
* Experience mentoring and coaching peers and early\-in\-career engineers.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li-4381021095</t>
        </is>
      </c>
      <c r="B98" t="inlineStr">
        <is>
          <t>Software Engineer</t>
        </is>
      </c>
      <c r="C98" t="inlineStr">
        <is>
          <t>Haystack</t>
        </is>
      </c>
      <c r="D98" t="inlineStr">
        <is>
          <t>linkedin</t>
        </is>
      </c>
      <c r="E98">
        <f>HYPERLINK("https://www.linkedin.com/jobs/view/4381021095", "https://www.linkedin.com/jobs/view/4381021095")</f>
        <v/>
      </c>
      <c r="F98">
        <f>HYPERLINK("https://us.haystackapp.io/roles/69a44cb018a3fcc077dfd3d5?src=meta-paid&amp;urlHash=uH5W", "https://us.haystackapp.io/roles/69a44cb018a3fcc077dfd3d5?src=meta-paid&amp;urlHash=uH5W")</f>
        <v/>
      </c>
      <c r="G98" t="inlineStr">
        <is>
          <t>Pennsylvania, United States</t>
        </is>
      </c>
      <c r="H98" t="inlineStr"/>
      <c r="I98" t="inlineStr">
        <is>
          <t>**Senior Embedded Software Developer \| Pennsylvania \| On\-site** 
 We're working with a global leader in life\-saving medical technology dedicated to protecting and improving health through innovative infusion therapy systems.
 This is a high\-impact R\&amp;D role where you will design and develop mission\-critical embedded software for next\-generation medical devices. You will work across the full SDLC, utilizing C and C\+\+ to build robust systems that directly impact patient safety and clinical outcomes.
**The Role** 
 • Lead the architecture and design of complex embedded software systems for life\-critical medical devices using C and C\+\+.
 • Tackle low\-level hardware challenges by developing sophisticated device drivers and managing RTOS (Real\-Time Operating Systems) integration.
 • Driving innovation in the R\&amp;D space by prototyping new features and performing rigorous Hardware\-in\-the\-Loop (HIL) testing.
 • Ensure total compliance with medical device standards (IEC 62304\) while maintaining detailed technical documentation for FDA submissions.
 • Collaborate with cross\-functional teams including electrical engineering and systems design to optimize hardware\-software interaction and system reliability.
**What You'll Need** 
 • 7\+ years of professional experience in embedded software development, specifically within a regulated industry (Medical, Aerospace, or Automotive).
 • Mastery of Embedded C and C\+\+ with a deep understanding of Microcontrollers (MCU) and Microprocessors (MPU) architectures.
 • Hands\-on experience with RTOS (FreeRTOS, Micrium, or similar) and low\-level communication protocols like I2C, SPI, UART, and Ethernet.
 • Proven ability to use debugging tools such as JTAG, Oscilloscopes, and Logic Analyzers to solve complex hardware/software timing issues.
 • Proficiency with modern software configuration management and CI/CD tools like Git, Jira, and Jenkins.
**What's On Offer** 
 • Work on life\-saving technology that makes a tangible difference in global healthcare.
 • Competitive salary and a comprehensive benefits package including health, dental, and vision insurance.
 • Strong focus on professional growth with opportunities to lead high\-visibility R\&amp;D projects.
 • Collaborative and stable environment within a company that has a long\-standing history of innovation and market leadership.
**Apply via Haystack today!**</t>
        </is>
      </c>
    </row>
    <row r="99">
      <c r="A99" t="inlineStr">
        <is>
          <t>li-4365278683</t>
        </is>
      </c>
      <c r="B99" t="inlineStr">
        <is>
          <t>Principal Software Engineer Manager</t>
        </is>
      </c>
      <c r="C99" t="inlineStr">
        <is>
          <t>Microsoft</t>
        </is>
      </c>
      <c r="D99" t="inlineStr">
        <is>
          <t>linkedin</t>
        </is>
      </c>
      <c r="E99">
        <f>HYPERLINK("https://www.linkedin.com/jobs/view/4365278683", "https://www.linkedin.com/jobs/view/4365278683")</f>
        <v/>
      </c>
      <c r="F99" t="inlineStr"/>
      <c r="G99" t="inlineStr">
        <is>
          <t>Mountain View, CA</t>
        </is>
      </c>
      <c r="H99" t="inlineStr"/>
      <c r="I99" t="inlineStr">
        <is>
          <t>**Overview**
 Are you an engineering leader with a passion for applying state\-of\-the\-art AI innovations to augment human creativity? Join the PowerPoint team as we redefine presentation creation experiences with cutting\-edge technologies.
 Located in Mountain View, California, we’re pushing the limits of generating modern artifacts that are intent\-first, powered by complex ML pipelines to generate and edit these artifacts in PowerPoint. Our creation experiences empower millions of information workers to craft world\-class presentations that boost productivity and inspire creativity.
 As a Principal Software Engineer Manager, you will lead a team of talented engineers in an exciting, fast\-paced environment, collaborating closely with product, design, and ML teams across Microsoft. You will drive innovation in AI\-powered creation experiences, ensuring technical excellence while fostering a culture of inclusion, growth, and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and grow a high\-performing engineering team focused on building AI\-first creation experiences in PowerPoint.
* Define technical strategy and architecture for scalable, reliable, and performant services integrated with Generative AI models.
* Partner with product, ML, and design teams to deliver end\-to\-end solutions, from ideation to production, using modern AI tools and frameworks.
* Drive operational excellence through telemetry, data\-driven decisions, and rapid experimentation.
* Mentor and develop engineers, fostering a growth mindset and inclusive culture.
* Ensure engineering excellence in code quality, security, and compliance.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3\+ years managing teams.
* Customer\-obsessed mindset with passion for product impact.
* Solid collaboration skills and ability to influence across organizational boundaries.
* Proven experience building and shipping scaled production services powered by AI models.
* Demonstrated ability to lead teams through complex technical challenges and deliver impactful products.
* Experience using modern AI tools for ideation, coding, analysis, and workflow optimization.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0">
      <c r="A100" t="inlineStr">
        <is>
          <t>li-4365383066</t>
        </is>
      </c>
      <c r="B100" t="inlineStr">
        <is>
          <t>Principal Software Engineer</t>
        </is>
      </c>
      <c r="C100" t="inlineStr">
        <is>
          <t>Procore Technologies</t>
        </is>
      </c>
      <c r="D100" t="inlineStr">
        <is>
          <t>linkedin</t>
        </is>
      </c>
      <c r="E100">
        <f>HYPERLINK("https://www.linkedin.com/jobs/view/4365383066", "https://www.linkedin.com/jobs/view/4365383066")</f>
        <v/>
      </c>
      <c r="F100">
        <f>HYPERLINK("https://careers.procore.com/jobs/principal-software-engineer-austin-texas-united-states-fd06f639-98c1-4a2f-a0d3-380fdfea7a29?source=linkedin_limited_listing&amp;utm_source=linkedin_limited_listing&amp;urlHash=6K5U", "https://careers.procore.com/jobs/principal-software-engineer-austin-texas-united-states-fd06f639-98c1-4a2f-a0d3-380fdfea7a29?source=linkedin_limited_listing&amp;utm_source=linkedin_limited_listing&amp;urlHash=6K5U")</f>
        <v/>
      </c>
      <c r="G100" t="inlineStr">
        <is>
          <t>Austin, TX</t>
        </is>
      </c>
      <c r="H100" t="inlineStr"/>
      <c r="I100" t="inlineStr">
        <is>
          <t>We’re looking for a
 **Principal Software Engineer** 
 to join Procore’s Product \&amp; Technology Team. Procore software solutions aim to improve the lives of everyone in construction and the people within Product \&amp; Technology are the driving force behind our innovative, top\-rated global platform. We’re a customer\-centric group that encompasses engineering, product, product design and data, security and business systems.
 In this
 **Principal Software Engineer** 
 role, you will be primarily responsible for establishing the technical direction, creating reference patterns, and driving the effective execution of that strategy for Quality, Safety, and Media, one of Procore’s core product areas. You’ll partner with Engineering, Product Management, Design, and Architects to lead development of software that helps improve quality and safety and media on the jobsite. You’ll utilize your deep experience in web, UI/UX, and Micro Frontend development to build highly effective systems and practices, foster collaborative relationships, and measure value delivered to our customers.
 This position reports to the
 **Director of Software Engineering** 
 and will be based in our
 **Austin, TX** 
 office. We’re looking for someone to join us immediately. Apply today to join our team of Groundbreakers.
**What you’ll do:**
* Plan and implement scalable user interface systems that delight users for very complex construction workflows
* Lead code reviews and documentation, and take ownership of complex bug fixes and architectural improvements
* Drive the success of projects, from the technical design, implementation, and launch to operation while mentoring other engineers
* Hands\-on development and architecture of systems that meet the test of time for a variety of web modalities
* Build awareness, increase knowledge, and drive adoption of modern technologies, industry innovations, trends, and architecture patterns, while sharing customer and engineering benefits to gain buy\-in
* Collaborate with leaders across engineering, product management, UX and business stakeholders to understand strategic objectives and align technology solutions to business goals
* Establishing and maintaining our overall technology strategy which supports and enables our multi\-year corporate and product strategies, and which embodies our P\&amp;T and Engineering Principles
**What we’re looking for:**
* Degree in Computer Science, a related field, or comparable work experience
* 12\+ years experience in Software Engineering, Test Driven Development, and Design principles for web and full stack applications at scale with distributed architectures
* Experience with Javascript (ES6\), HTML5, CSS, and experience with modern Javascript frameworks (e.g., React, Angular, Vue).
* 8\+ years experience working on full\-stack modern applications and frameworks (Java, Ruby on Rails, Nest.js, React, Typescript, Angular)
* 8\+ years experience in Object\-Oriented Program fundamentals, Test Driven Development, and Design principles (Ruby, Java, Go, NodeJS, Python)
* Extensive experience with modern testing frameworks (e.g., Jest, Cypress, Enzyme, Mocha, Chai).
* Time\-honed expertise with medium\-to\-large scope modern web development projects across the entire spectrum of development, testing, staging, deploying, and monitoring
* Ability to effectively communicate with and influence key stakeholders across the enterprise, at all levels of the organization, and promote a culture of engineering excellence, while being comfortable with the overall responsibility and accountability to create and maintain technical strategies and execution plans
**Additional Information**
**Base Pay Range:**
 198,240\.00 \- 272,580\.00 USD Annual
 This role may also eligible for Equity Compensation. Procore is committed to offering competitive, fair, and commensurate compensation, and has provided an estimated pay range for this role. Actual compensation will be based on a candidate’s job\-related skills, experience, education or training, and location.
***This position requires access to technology, software, and data that is controlled or restricted under U.S. law, regulation, executive order, or government contract.***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row>
    <row r="101">
      <c r="A101" t="inlineStr">
        <is>
          <t>li-4349602654</t>
        </is>
      </c>
      <c r="B101" t="inlineStr">
        <is>
          <t>Senior Infrastructure Software Engineer</t>
        </is>
      </c>
      <c r="C101" t="inlineStr">
        <is>
          <t>Voltage Park</t>
        </is>
      </c>
      <c r="D101" t="inlineStr">
        <is>
          <t>linkedin</t>
        </is>
      </c>
      <c r="E101">
        <f>HYPERLINK("https://www.linkedin.com/jobs/view/4349602654", "https://www.linkedin.com/jobs/view/4349602654")</f>
        <v/>
      </c>
      <c r="F101">
        <f>HYPERLINK("http://careers.kula.ai/voltagepark/19831?source=LinkedIn&amp;urlHash=modE", "http://careers.kula.ai/voltagepark/19831?source=LinkedIn&amp;urlHash=modE")</f>
        <v/>
      </c>
      <c r="G101" t="inlineStr">
        <is>
          <t>Seattle, WA</t>
        </is>
      </c>
      <c r="H101" t="inlineStr"/>
      <c r="I101" t="inlineStr">
        <is>
          <t>Voltage Park is seeking a Senior Infrastructure Software Engineer for our Infrastructure Engineering team. Our team is responsible for building automation, tooling, and API\-driven systems to bridge the gap between our physical infrastructure and the systems that our customers depend on for AI/ML training, inference, and HPC workloads at scale.
 In this role, you’ll design and implement systems that enable humans and software to interact programmatically with thousands of bare\-metal servers, storage clusters, and high\-performance networks. You will work closely with teams across Voltage Park to drive new infrastructure rollouts and improve the lifecycle management of existing resources.
 This is a hybrid role from our NY, SF, or Seattle offices. Unfortunately, we are unable to provide sponsorship for this role.
**Responsibilities**
* Design, build and maintain tools, APIs, and automation frameworks to manage physical infrastructure at scale.
* Build and extend systems for server lifecycle management.
* Implement observability, telemetry, and logging systems that enable visibility and insights into the health of our hardware.
* Collaborate with our Network, Infrastructure Operations, Platform Engineering, and Customer Experience teams to define requirements for and build new tools.
* Participate in architectural discussions to help define the direction of infrastructure engineering at Voltage Park.
* Write clear design documents and technical documentation.
**Qualifications**
* 8\+ years of professional experience in software engineering, infrastructure engineering, or related fields.
* Strong experience with Linux in production environments.
* Proficiency in Python or similar object\-oriented programming languages.
* Familiarity with containerization and orchestration concepts.
* Understanding of HPC infrastructure fundamentals, bare\-metal provisioning and out\-of\-band management.
* Experience balancing pragmatic shipping with good long\-term architecture.
* Comfortable with navigating ambiguity.
* Strong written and verbal communication skills.
**Ideal Experiences**
* Experience with bare metal hardware troubleshooting and provisioning, extra points for working with Dell hardware.
* Experience with GPU servers, both in bare metal form or under virtualization.
* Deep experience with network switches, routers, and firewalls, particularly SONiC switches, Palo Alto firewalls and Juniper Networks as vendors.
* Experience with VAST storage systems.
**CULTURE**
* Enjoy collaborating with a growing, motivated team focused on execution.
* Comfortable operating with a high degree of autonomy and able to independently prioritize tasks aligning with company objectives.
* Possess a breadth of knowledge in your domain while also embracing the opportunity to take on diverse responsibilities.
* Value the importance of clear communication and documentation in driving success.
*Voltage Park is an equal opportunity employer and makes employment decisions on the basis of merit. All qualified applicants will receive consideration for employment without regard to race, color, religion, sex, sexual orientation, gender identity, national origin, disability, protected veteran status, or any other characteristic under federal, state, or local law. If you require an accommodation during the job application process, please notify your recruiter.*</t>
        </is>
      </c>
    </row>
    <row r="102">
      <c r="A102" t="inlineStr">
        <is>
          <t>li-4381022136</t>
        </is>
      </c>
      <c r="B102" t="inlineStr">
        <is>
          <t>HYBRID-LEAD Software Engineer (Java/React/AWS)</t>
        </is>
      </c>
      <c r="C102" t="inlineStr">
        <is>
          <t>State Farm</t>
        </is>
      </c>
      <c r="D102" t="inlineStr">
        <is>
          <t>linkedin</t>
        </is>
      </c>
      <c r="E102">
        <f>HYPERLINK("https://www.linkedin.com/jobs/view/4381022136", "https://www.linkedin.com/jobs/view/4381022136")</f>
        <v/>
      </c>
      <c r="F102" t="inlineStr"/>
      <c r="G102" t="inlineStr">
        <is>
          <t>Richardson, TX</t>
        </is>
      </c>
      <c r="H102" t="inlineStr"/>
      <c r="I102"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in or nearby a hub location (listed below) and should plan to spend time working from home and some time working in the office as part of our hybrid work environment
 **.
 HUB LOCATIONS: Richardson, TX; Bloomington, IL**
**SPONSORSHIP:** 
 Applicants for this position are required to be eligible to lawfully work in the U.S. immediately; employer will not sponsor applicants for U.S. work authorization (e.g. H\-1B visa) for this opportunity.
* Application deadline is expected to close on Sunday 3/8/2026 at 11:59pm CT. Applicant volume and hiring needs may result in early closure or extension beyond the listed deadline. To submit an application, click "Apply" on the job listing page on the State Farm career site.\*\*\*
**Responsibilities**
**Grow Your Skills, Grow Your Potential**
 Our Enterprise Technology Department is seeking a Lead Software Engineer (Java/React/AWS) to work in our Property \&amp; Casualty\-Auto/Fire (PCAF) area. This is an
 ***Awesome Opportunity***
 to lead critical web development work on the Lender Relations Team to modernize our applications and improve the end user experience.
**Some Responsibilities May Include:**
* Improve data quality, reduce manual processes, and enhance search capabilities for our end users.
* Modernize four of our applications from the Tiles Core to React framework to simplify our application support processes and create a better experience for our end users.
* Modernize our lender bill pay and notification processes by providing alternative electronic methods.
* Create new product capabilities to increase efficient self\-service options for our end users.
* Collaborate and partner in a team environment and lead and mentor junior Software Engineers.
**Qualifications**
**We Are Seeking Candidates With:**
* Java
* React
* AWS/ROSA
* Data management experience in improving data quality, improving data searches, and data migrations to AWS
**SPONSORSHIP:** 
 Applicants for this position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$107,000 \- $155,000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03">
      <c r="A103" t="inlineStr">
        <is>
          <t>li-4374087832</t>
        </is>
      </c>
      <c r="B103" t="inlineStr">
        <is>
          <t>Senior Software Engineer - Circuit Simulation - US Remote*</t>
        </is>
      </c>
      <c r="C103" t="inlineStr">
        <is>
          <t>Siemens EDA (Siemens Digital Industries Software)</t>
        </is>
      </c>
      <c r="D103" t="inlineStr">
        <is>
          <t>linkedin</t>
        </is>
      </c>
      <c r="E103">
        <f>HYPERLINK("https://www.linkedin.com/jobs/view/4374087832", "https://www.linkedin.com/jobs/view/4374087832")</f>
        <v/>
      </c>
      <c r="F103" t="inlineStr"/>
      <c r="G103" t="inlineStr">
        <is>
          <t>Fremont, CA</t>
        </is>
      </c>
      <c r="H103" t="inlineStr"/>
      <c r="I103"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**Position Overview**
 This position will be part of the AFS R\&amp;D team, focused on circuit simulation. As a key member of a highly proficient, productive, and motivated R\&amp;D team, developing industry’s leading circuit simulator, using cutting edge software development techniques, you will be offered:
* Technical challenges to solve toughest nanometer scale circuit verification problems for the leading semiconductor companies in the world.
* A motivating, stimulating, and rewarding work environment
* Excellent training and growth opportunities throughout your career
* Attractive compensation and benefits
 As a member of AFS R\&amp;D team you will participate in the design and implementation of efficient algorithms using state of the art software engineering processes and development tools, with a strong emphasis on software quality; thus, adding to your industry level experience in solving tough computational complexity problems while participating in entire software development lifecycle. We are looking for a self\-motivated and inspiring team player with outstanding problem\-solving skills to maintain and grow the technical dominance of the AFS product.
**Responsibilities:**
* Develop new and compatibility features for the core circuit simulator.
* Participate in the specification, architecture, design, and development of features
* Enhance core circuit simulator, e.g., performance, accuracy, capacity, convergence.
* Maintain and enhance compatibility with other simulators.
* Profile and identify bottlenecks in performance of various analyses for very large circuits.
* Improve numerical algorithms used in the core engine.
* Debug difficult testcases with accuracy, performance, capacity, or functional issues.
* Extend and maintain the capabilities of the AFS circuit simulator.
* Be a force for improving development processes and product quality.
* Work effectively with globally distributed engineering teams and the Product Validation team
**Education and Experience:**
* Minimum 7 years of proven strong background in developing efficient, high\-quality software for engineering applications using numerical methods and sparse matrix techniques
* Deep understanding of numerical methods and sparse matrix techniques
* Required experience developing SPICE tools.
* Working knowledge of analog electrical circuit analysis
* Outstanding programming skills in C and C\+\+, preferably on Linux platform
* Proficiency in memory optimization, high\-performance data structures and algorithms
* Advanced multithreading programming experience.
* Understanding of advanced computer architectures
* Solid background in object\-oriented design and software engineering processes.
* Self\-motivated individual with excellent problem\-solving skills.
* Strong interpersonal and excellent oral and written communication skills.
* Highly motivated to work in globally distributed engineering environment
* BS in Computer Science, Electrical Engineering, Applied Mathematics, or relevant area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The salary range for this position is $126,100 to $227,000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126,100 227,000 10</t>
        </is>
      </c>
    </row>
    <row r="104">
      <c r="A104" t="inlineStr">
        <is>
          <t>li-4341452868</t>
        </is>
      </c>
      <c r="B104" t="inlineStr">
        <is>
          <t>Senior Software Engineer, ML Verticals - Weights &amp; Biases</t>
        </is>
      </c>
      <c r="C104" t="inlineStr">
        <is>
          <t>Weights &amp; Biases</t>
        </is>
      </c>
      <c r="D104" t="inlineStr">
        <is>
          <t>linkedin</t>
        </is>
      </c>
      <c r="E104">
        <f>HYPERLINK("https://www.linkedin.com/jobs/view/4341452868", "https://www.linkedin.com/jobs/view/4341452868")</f>
        <v/>
      </c>
      <c r="F104">
        <f>HYPERLINK("https://coreweave.com/careers/job?4607351006&amp;board=weights_and_biases&amp;gh_jid=4607351006&amp;urlHash=kGbi", "https://coreweave.com/careers/job?4607351006&amp;board=weights_and_biases&amp;gh_jid=4607351006&amp;urlHash=kGbi")</f>
        <v/>
      </c>
      <c r="G104" t="inlineStr">
        <is>
          <t>New York, NY</t>
        </is>
      </c>
      <c r="H104" t="inlineStr"/>
      <c r="I104"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Reporting to the Engineering Manager for ML Verticals, you will help design and build new mechanisms in W\&amp;B that allow machine learning practitioners to analyze application\-specific data across domains such as robotics, finance, and health/bio.
 The ML Verticals team focuses on rapidly exploring and shipping new analysis workflows, often in problem spaces where the right abstractions, data models, and UX are still emerging. You’ll work closely with users to understand how they want to interrogate their data, then iterate on product experiences by shaping frontend interactions
 *and* 
 the underlying data representations that make them possible.
 This role is frontend\-led, but explicitly end\-to\-end: you’ll move quickly across UX, APIs, and data models to turn early ideas into production features used by thousands of customers.
**About The Role**
* Rapidly prototype, iterate, and ship new analysis workflows for ML verticals, balancing experimentation with long\-term product quality
* Design frontend experiences in parallel with backend schemas and APIs, evolving data models as user needs become clearer
* Work across the stack to implement end\-to\-end features, including adding or modifying logging formats, APIs, and data access patterns
* Make pragmatic decisions about how user\-logged data should be stored, queried, and rendered to support new analytical questions
* Collaborate closely with product, design, and customer\-facing teams to validate ideas early and incorporate real user feedback
* Improve reliability, performance, and scalability when working with large, complex, or high\-volume datasets
* Contribute clean, testable, and reusable code; participate in code reviews and help establish patterns that reduce one\-off solutions
**Who You Are**
* 3–5\+ years of experience building user\-facing software, with a strong focus on frontend development
* Comfortable working across the stack, including backend services, APIs, and data models when product needs require it
* Experience working in ambiguous problem spaces where requirements, schemas, and abstractions evolve over time
* Strong product instincts and ability to reason from user goals to technical design decisions
* Familiarity with modern web technologies such as React, TypeScript, and GraphQL
* Solid understanding of programming fundamentals and experience with at least one backend or systems language (e.g. Go, Python, Java, C\+\+, JavaScript)
* Bias toward action, iteration, and learning through building, with the judgment to avoid over\-engineering too early
**Preferred**
* Experience evolving or versioning data schemas in production systems
* Experience designing APIs to support exploratory or analytical workflows
* Familiarity with large\-scale data systems, time\-series data, media, or domain\-specific file formats
* Exposure to ML, robotics, simulation, or scientific tooling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working in ambiguous problem spaces, quickly iterating on ideas, and refining both user experiences and underlying data models as you learn what users actually need.
* You’re comfortable thinking end\-to\-end about products — from how data is logged and structured, to the APIs that expose it, to the frontend experiences that help users make sense of it.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for this position ranges from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5">
      <c r="A105" t="inlineStr">
        <is>
          <t>li-4326890221</t>
        </is>
      </c>
      <c r="B105" t="inlineStr">
        <is>
          <t>Senior Software Engineer and Software Engineer II (Multiple Positions) OneDrive and SharePoint Team</t>
        </is>
      </c>
      <c r="C105" t="inlineStr">
        <is>
          <t>Microsoft</t>
        </is>
      </c>
      <c r="D105" t="inlineStr">
        <is>
          <t>linkedin</t>
        </is>
      </c>
      <c r="E105">
        <f>HYPERLINK("https://www.linkedin.com/jobs/view/4326890221", "https://www.linkedin.com/jobs/view/4326890221")</f>
        <v/>
      </c>
      <c r="F105">
        <f>HYPERLINK("https://apply.careers.microsoft.com/careers/job/1970393556641220?utm_source=linkedin&amp;domain=microsoft.com&amp;src=LinkedIn&amp;urlHash=mUzN", "https://apply.careers.microsoft.com/careers/job/1970393556641220?utm_source=linkedin&amp;domain=microsoft.com&amp;src=LinkedIn&amp;urlHash=mUzN")</f>
        <v/>
      </c>
      <c r="G105" t="inlineStr">
        <is>
          <t>Redmond, WA</t>
        </is>
      </c>
      <c r="H105" t="inlineStr"/>
      <c r="I105"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We are looking for agile, and intellectually curious
 **Software Engineers II** 
 and
 **Senior Software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systems that enable partners and ISVs to migrate from other cloud providers, improve core systems performance and efficiencies, and ensure zero customer impact throughout the change management cycle.
* Deliver systems to meet our business continuity planning goals, provide telemetry for optimizing the service and drive our response time for detecting and resolving service issues down.
* Create, implement, optimize, debug, refactor, and reuses code to establish and improve performance and maintainability, effectiveness, and return on investment (ROI).
* Contribue to the identification of dependencies, and the development of design documents for a product area with little oversight. Helps to identify other teams and technologies that will be leveraged, how they will interact, and when one's system may provide support to others. Contributes to determining back\-end dependencies associated with product, application, service, or platform functionality for product features. Understands downstream effects of solutions and work provided. Helps to identify areas of dependency and overlap with other teams or team members and drives coordination.
* Remain current in skills by investing time and effort into staying abreast of current developments that will improve the availability, reliability, efficiency, observability, and performance of products while also driving consistency in monitoring and operations at scale.
* Reviews work items to deepen knowledge of product features in partnership with appropriate stakeholders (e.g., project managers) and executes project plans, release plans, and work items. Contributes to efforts to break down larger work items into smaller work items and provides estimation. Escalates any issues that would cause a delay.
**Qualifications**
* Bachelor's Degree in Computer Science or related technical field AND 2\+ years technical engineering experience with coding in languages including, but not limited to, C, C\+\+, C\#, Java, JavaScript, or Python
+ OR equivalent experience.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in related to cloud scale distributed design and patterns.
* The ability to deliver informed designs and plans ahead of production and execution. This includes the ability to ensure there is time for feedback and iterations for deadlines.
* Knowledge of others' expertise and the ability to involve multiple players (within and outside the organization) in the creation or development of novel products, processes, or research streams.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li-4381039517</t>
        </is>
      </c>
      <c r="B106" t="inlineStr">
        <is>
          <t>Senior Software Engineer</t>
        </is>
      </c>
      <c r="C106" t="inlineStr">
        <is>
          <t>Haystack</t>
        </is>
      </c>
      <c r="D106" t="inlineStr">
        <is>
          <t>linkedin</t>
        </is>
      </c>
      <c r="E106">
        <f>HYPERLINK("https://www.linkedin.com/jobs/view/4381039517", "https://www.linkedin.com/jobs/view/4381039517")</f>
        <v/>
      </c>
      <c r="F106">
        <f>HYPERLINK("https://us.haystackapp.io/roles/6998169ff831cd7fa4e4a25b?src=linkedin&amp;urlHash=_NYK", "https://us.haystackapp.io/roles/6998169ff831cd7fa4e4a25b?src=linkedin&amp;urlHash=_NYK")</f>
        <v/>
      </c>
      <c r="G106" t="inlineStr">
        <is>
          <t>San Antonio, Texas Metropolitan Area</t>
        </is>
      </c>
      <c r="H106" t="inlineStr"/>
      <c r="I106" t="inlineStr">
        <is>
          <t>**Senior Back End Developer \| San Antonio, TX \| On\-site \| $125,000 \- $150,000** 
 We're working with a leading federal technology partner specializing in mission\-critical national security and cybersecurity programs on this exciting opportunity. You will be at the heart of high\-impact government missions, architecting robust back\-end systems using Python, AWS, and Kubernetes to support operational readiness at the highest levels of defense.
 As a Senior Back End Developer, you will bridge the gap between complex requirements and technical execution, building scalable RESTful APIs and optimizing data models in an enterprise DevSecOps environment. This is a rare chance to tackle sophisticated engineering challenges where your code directly supports national security initiatives.
**The Role** 
 • Lead the design and development of complex back\-end architectures, ensuring high\-performance system capabilities and seamless third\-party integrations.
 • Drive the full lifecycle of RESTful API development and database management, utilizing Python and PostgreSQL to handle mission\-critical data.
 • Architect and optimize data models to ensure system operability, including preparation for machine learning and AI capability integration.
 • Spearhead engineering tasks within a cloud\-native environment, leveraging Docker, Kubernetes, and RedHat Linux to maintain elite operational standards.
 • Collaborate with cross\-functional teams to translate functional requirements into technical documentation, architectural models, and high\-quality procedures.
**What You'll Need** 
 • Active TS/SCI security clearance and the ability to work on\-site in San Antonio 5 days a week.
 • 10\+ years of professional software development experience in object\-oriented and scripted languages, with 5\+ years specifically in back\-end web design.
 • Deep technical expertise in Python (5\+ years), PostgreSQL, and building/integrating RESTful APIs within a cloud environment.
 • Hands\-on experience with DevSecOps tool suites, including AWS Infrastructure, Kubernetes, Docker, Ansible, and CI/CD pipelines.
 • Proven leadership experience in software development programs, ideally utilizing Agile/Test\-Driven Development (TDD) and Jira for bug tracking.
**What's On Offer** 
 • Competitive salary range of $125,000 \- $150,000 based on experience and impact.
 • Comprehensive benefits package including premium health, dental, and vision insurance plus life and disability coverage.
 • Solid retirement savings plan and a generous PTO policy with paid holidays to support work\-life balance.
 • The opportunity to work on elite\-level, mission\-critical projects that define the future of national defense and cybersecurity.
**Apply via Haystack today!**</t>
        </is>
      </c>
    </row>
    <row r="107">
      <c r="A107" t="inlineStr">
        <is>
          <t>li-4371390843</t>
        </is>
      </c>
      <c r="B107" t="inlineStr">
        <is>
          <t>Staff Software Engineer, Site Reliability Engineering, GCS</t>
        </is>
      </c>
      <c r="C107" t="inlineStr">
        <is>
          <t>Google</t>
        </is>
      </c>
      <c r="D107" t="inlineStr">
        <is>
          <t>linkedin</t>
        </is>
      </c>
      <c r="E107">
        <f>HYPERLINK("https://www.linkedin.com/jobs/view/4371390843", "https://www.linkedin.com/jobs/view/4371390843")</f>
        <v/>
      </c>
      <c r="F107" t="inlineStr"/>
      <c r="G107" t="inlineStr">
        <is>
          <t>Sunnyvale, CA</t>
        </is>
      </c>
      <c r="H107" t="inlineStr"/>
      <c r="I10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Bachelor’s degree in Computer Science, a related field, or equivalent practical experience.
* 8 years of experience with software development in one or more programming languages.
* 3 years of experience leading projects.
* 3 years of experience designing, analyzing, and troubleshooting distributed systems.
**Preferred qualifications:**
* Master's degree in Computer Science or Engineering.
* 3 years of experience working with algorithms, data structures, analysis and software design.
* Experience in one or more of the following: C, C\+\+, Java, Python, Go, Perl or Ruby.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As a part of the Google Cloud Storage (GCS) SRE, you will help scale one of the world’s largest object storage systems. You will collaborate with a supportive global team and partner with developers to launch features or drive reliability projects with our Sydney\-based engineers.
 As a Tier 1 on\-call member, you will leverage operational insights to lead high\-impact engineering projects and mentor talent. Your role will offer a unique opportunity to support reliability and directly influence the technical evolution of a critical, global Google service.Behind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complete life\-cycle of services, from inception and design, through to deployment, operation and refinement.
* Enable service launches by conducting system design consultation, developing software platforms and frameworks, capacity planning and performing launch reviews.
* Maintain services once they are live by measuring and monitoring availability, latency and overall system health.
* Scale systems sustainably through mechanisms like automation, and evolve systems by pushing for changes that improve reliability and velocity.
* Lead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8">
      <c r="A108" t="inlineStr">
        <is>
          <t>li-4380801067</t>
        </is>
      </c>
      <c r="B108" t="inlineStr">
        <is>
          <t>Staff Software Engineer, Manufacturing Cybersecurity (Medical Devices)</t>
        </is>
      </c>
      <c r="C108" t="inlineStr">
        <is>
          <t>iRhythm Technologies, Inc.</t>
        </is>
      </c>
      <c r="D108" t="inlineStr">
        <is>
          <t>linkedin</t>
        </is>
      </c>
      <c r="E108">
        <f>HYPERLINK("https://www.linkedin.com/jobs/view/4380801067", "https://www.linkedin.com/jobs/view/4380801067")</f>
        <v/>
      </c>
      <c r="F108" t="inlineStr"/>
      <c r="G108" t="inlineStr"/>
      <c r="H108" t="inlineStr"/>
      <c r="I108" t="inlineStr">
        <is>
          <t>**Career\-defining. Life\-changing.**
 At iRhythm, you’ll have the opportunity to grow your skills and your career while impacting the lives of people around the world. iRhythm is shaping a future where everyone, everywhere can access the best possible cardiac health solutions. Every day, we collaborate, create, and constantly reimagine what’s possible. We think big and move fast, driven by our commitment to put patients first and improve lives. We need builders like you. Curious and innovative problem solvers looking for the chance to meaningfully shape the future of cardiac health, our company, and your career
**About This Role**
**Key Responsibilities:**
* Design and develop secure, high\-quality C\# software for manufacturing tools and fixtures used in the production of our Cardiac monitoring devices.
* Lead the design, implementation and documentation of secure software systems that support manufacturing and production processes for medical devices.
* Define and enforce cybersecurity best practices throughout the manufacturing software development lifecycle (SDLC), including code reviews, and vulnerability assessments.
* Familiarity with NIST SP 800\-series security controls for software design, including the implementation of Multi\-Factor Authentication (MFA), identity management, and cryptographic best practices.
* Collaborate with manufacturing engineering, IT/OT teams, quality, and regulatory functions to ensure that production software systems meet both operational and security requirements.
* Develop and maintain secure interfaces between manufacturing equipment and other enterprise systems.
* Support compliance with medical device and cybersecurity standards, including FDA Premarket Cybersecurity Guidance, ISO/IEC 81001\-5\-1, IEC 62304, ISO 13485 and ISO/IEC 27001\.
* Guide and mentor development teams on secure coding principles, risk mitigation, and compliance with cybersecurity standards.
* Support verification and validation activities, including documentation aligned with medical device regulatory frameworks
* Investigate and resolve complex security and performance issues across the manufacturing software stack.
* Contribute to continuous improvement initiatives and champion a culture of “doing things right the first time” while maintaining delivery velocity.
**Qualifications**
* Education:
+ Bachelor’s degree in Computer Science, Computer Engineering, Electrical Engineering, or a related field with 12\+ years of relevant industry experience, OR
+ Master’s degree in a related field with 8\+ years of experience.
* Experience:
+ Minimum 2\+ years with a security\-focused role or equivalent hands\-on experience implementing secure systems.
+ Strong programming skills in C\# or a similar modern object\-oriented programming language.
+ Familiarity with software QA processes in regulated environments (e.g., medical device, FAA, SEC, DoD, Title 21 CFR Part 11\) is preferred.
+ Experience with low\-level embedded serial communication protocols such as UART, and USB.
+ Strong knowledge of secure coding practices, authentication/authorization mechanisms, encryption standards, and vulnerability management.
+ Experience with industrial network security, OT cybersecurity, or IT/OT system integration is highly desirable.
+ Experience with Python or other scripting languages for automation or integration tasks is a plus.
**Core Attributes**
* Strong analytical and problem\-solving skills with a detail\-oriented mindset.
* Demonstrated ability to balance speed and quality, caring as much about doing things right as getting things done.
* Excellent communication skills and ability to influence across multidisciplinary teams.
* Proven leadership in mentoring and fostering secure software development practices.
**Preferred Certifications (Nice To Have)**
* CISSP, CEH, CSSLP, or equivalent security certification.
* Experience with secure development lifecycle or threat modeling frameworks such as STRIDE or OWASP.
**What’s In It For You**
* This is a full\-time position with a competitive compensation package, excellent benefits, including medical, dental, and vision insurance (all of which start on your first day), paid holidays, and PTO.
**Location:**
 Remote \- US
 Actual compensation may vary depending on job\-related factors including knowledge, skills, experience, and work location.
**Estimated Pay Range**
 $185,000 \- $240,000
 As a part of our core values, we ensure an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
 There have been instances where individuals not associated with iRhythm have impersonated iRhythm employees pretending to be involved in the iRhythm recruiting process, or created postings for positions that do not exist. Please note that all open positions will always be shown here on the iRhythm Careers page, and all communications regarding the application, interview and hiring process will come from a @irhythmtech.com email address. Please check any communications to be sure they come directly from @irhythmtech.com email address. If you believe you have been the victim of an imposter or want to confirm that the person you are communicating with is legitimate, please contact taops@irhythmtech.com. Written offers of employment will be extended in a formal offer letter from an @irhythmtech.com email address
 **ONLY** 
 .
 For more information, see https://www.ftc.gov/business\-guidance/blog/2023/01/taking\-ploy\-out\-employment\-scams and https://www.ic3\.gov/Media/Y2020/PSA200121</t>
        </is>
      </c>
    </row>
    <row r="109">
      <c r="A109" t="inlineStr">
        <is>
          <t>li-4374839801</t>
        </is>
      </c>
      <c r="B109" t="inlineStr">
        <is>
          <t>Staff Software Engineer</t>
        </is>
      </c>
      <c r="C109" t="inlineStr">
        <is>
          <t>LodgeLink</t>
        </is>
      </c>
      <c r="D109" t="inlineStr">
        <is>
          <t>linkedin</t>
        </is>
      </c>
      <c r="E109">
        <f>HYPERLINK("https://www.linkedin.com/jobs/view/4374839801", "https://www.linkedin.com/jobs/view/4374839801")</f>
        <v/>
      </c>
      <c r="F109">
        <f>HYPERLINK("https://career4.successfactors.com/career?career_ns=job_listing&amp;company=C0006518414P&amp;navBarLevel=JOB_SEARCH&amp;rcm_site_locale=en_US&amp;career_job_req_id=4561&amp;urlHash=Wozz", "https://career4.successfactors.com/career?career_ns=job_listing&amp;company=C0006518414P&amp;navBarLevel=JOB_SEARCH&amp;rcm_site_locale=en_US&amp;career_job_req_id=4561&amp;urlHash=Wozz")</f>
        <v/>
      </c>
      <c r="G109" t="inlineStr">
        <is>
          <t>Scottsdale, AZ</t>
        </is>
      </c>
      <c r="H109" t="inlineStr"/>
      <c r="I109" t="inlineStr">
        <is>
          <t>**Scottsdale, AZ**
**About The Role**
 LodgeLink is inviting staff software engineers in Scottsdale, AZ to join our team to be part of the creation of the future of workforce travel. We are looking for talented leaders with a passion to impact the entire tech organization, who enjoy learning about the latest technologies, strong critical thinking skills, and a user\-focused approach.
 As a part of the software engineering leadership, you will join an agile, audacious, inventive, collaborative, and dependable team with a bold and opinionated vision of how we use tehnology to solve business problems. You will own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Staff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AZ and is in\-office with 20% flexibility to work from home.
**Duties And Responsibilities**
* Your job \#1 is to make the software engineering team better through doing, mentoring, and sharing, .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full software development lifecycle experience and still have a curiosity and are malleability to learn new ways. At least 3 years as staff engineer level or higher.
* 10\+ years of mastery of SDLC, SOLID Principles, Data/Behavior/Test Drive Development, and a love of Clean Code and of clean architecture.
* 5\+ years of experience with modern technologies such as GoLang, GraphQL,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tech leadership roles.
* A proficiency in cloud\-based architecture and automated release pipelines because you done this for more than 7 years.
* 7\+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 Free parking.
* Fun social events.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110">
      <c r="A110" t="inlineStr">
        <is>
          <t>li-4382125042</t>
        </is>
      </c>
      <c r="B110" t="inlineStr">
        <is>
          <t>Senior Embedded Software Engineer, Networking</t>
        </is>
      </c>
      <c r="C110" t="inlineStr">
        <is>
          <t>Latitude AI</t>
        </is>
      </c>
      <c r="D110" t="inlineStr">
        <is>
          <t>linkedin</t>
        </is>
      </c>
      <c r="E110">
        <f>HYPERLINK("https://www.linkedin.com/jobs/view/4382125042", "https://www.linkedin.com/jobs/view/4382125042")</f>
        <v/>
      </c>
      <c r="F110" t="inlineStr"/>
      <c r="G110" t="inlineStr"/>
      <c r="H110" t="inlineStr"/>
      <c r="I110"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Onboard Platforms team is an embedded software team responsible for the development and maintenance of the operating system, on\-vehicle network, timesync, vehicle interface, and security for the L1/L2/L3 autonomous vehicle compute clusters.
**What You’ll Do**
* Deliver safe and efficient embedded software for state\-of\-the\-art sensing systems
* Produce high\-quality, maintainable code using C\+\+
* Design and optimize in\-vehicle networks to communicate with the sensors and provide the common timebase for the autonomy software
* Design, implement, and test full\-stack software running in resource\-constrained environments
* Work closely with a multidisciplinary team of hardware, software and system engineers to ensure the success of our product
**What You'll Need To Succeed**
* Bachelor's degree in Computer Engineering, Computer Science, Electrical Engineering, Robotics or a related field and 4\+ years of relevant experience (or Master's degree and 2\+ years of relevant experience, or PhD)
* Strong experience developing embedded applications and systems using C\+\+
* Proficient in network communication concepts including protocols, physical layer requirements, bandwidth characteristics, and configuration
* Knowledge of TCP/IP, Ethernet, CAN, and experience working with Marvell/Broadcom (or similar automotive\-grade) Ethernet switches, including low\-level configuration, firmware interaction, and troubleshooting hardware\-software interface issues
* Strong software design, algorithm, problem\-solving, and analytical skills
* Strong test\-first design mindset
* Experience with multi\-processor SoCs or similar embedded processors
* Experience with time synchronization, IEEE802\.1AS, and Linux PTP is preferred
* Prefer candidates with experience developing software for highly complex, safety\-critical sensing systems with specific emphasis on network design for fault detection, and time synchronization for safety\-critical data paths
**Nice To Have**
* Strong modern C\+\+ skills
* Understanding of networking and time\-sensitve networking
* Experience developing Linux device drivers for Ethernet, GPU, PCIE or flash devices like UFS, eMMC, NVMe
* Experience with Yocto/OpenEmbedded, buildroot, or similar Linux packaging technologies
* Track record of technical leadership in automotive or related fields taking products to production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111">
      <c r="A111" t="inlineStr">
        <is>
          <t>li-4377867699</t>
        </is>
      </c>
      <c r="B111" t="inlineStr">
        <is>
          <t>Lead AI - Software Engineer</t>
        </is>
      </c>
      <c r="C111" t="inlineStr">
        <is>
          <t>AT&amp;T</t>
        </is>
      </c>
      <c r="D111" t="inlineStr">
        <is>
          <t>linkedin</t>
        </is>
      </c>
      <c r="E111">
        <f>HYPERLINK("https://www.linkedin.com/jobs/view/4377867699", "https://www.linkedin.com/jobs/view/4377867699")</f>
        <v/>
      </c>
      <c r="F111">
        <f>HYPERLINK("https://att.wd1.myworkdayjobs.com/ATTGeneral/job/USAWABothell\u002d\u002d20205-North-Creek-Pkwy\u002d\u002d-Adm-bothell-820205-North-Creek-Pkwy/Lead-AI\u002d\u002d-Software-Engineer_R-99327&amp;urlHash=p4jR", "https://att.wd1.myworkdayjobs.com/ATTGeneral/job/USAWABothell\u002d\u002d20205-North-Creek-Pkwy\u002d\u002d-Adm-bothell-820205-North-Creek-Pkwy/Lead-AI\u002d\u002d-Software-Engineer_R-99327&amp;urlHash=p4jR")</f>
        <v/>
      </c>
      <c r="G111" t="inlineStr"/>
      <c r="H111" t="inlineStr"/>
      <c r="I111" t="inlineStr">
        <is>
          <t>**Lead AI \- Software Engineer**
 At AT\&amp;T we reimagine the communications and technologies that connect the world. Our Consumer Technology eXperience team delivers innovative and reliable technology solutions to power differentiated, simplified customer experiences. Bring your bold ideas and join us on our mission to be the best connectivity provider through 5G and Fiber. When you step into a career with AT\&amp;T, you won’t just imagine the future\- you’ll create it.
**About the Team** 
 :
 The Virtual Assistant team is committed to delivering an intelligent, personalized, and proactive virtual assistant that boosts call deflection and generates incremental digital sales revenue in the customer service domain. Our mission is to delight customers with personalized experiences powered by cutting\-edge AI based digital tools, ensuring quick and accurate issue resolution while reducing the burden on live support agents. We leverage innovative technologies such as AI and Machine learning, that amplify our best opportunities for success, aiming to revolutionize customer service experience while driving efficiency and growth for our organization.
**About the Job:** 
 We are seeking a passionate Lead Software Engineer to drive innovative solutions in the realm of customer service virtual assistants. You’ll tackle diverse tasks, from architectural design to frontend and backend development, in a fast\-paced and collaborative setting. Your technical expertise will be instrumental in shaping our product and enhancing the customer experience, ensuring seamless and efficient interactions with our virtual assistant.
 As a valued team member, you will be part of a dynamic yet highly autonomous work environment, where each member has clear expectations and the freedom to explore exciting projects. Your contributions will help generate AI\-driven sales revenue and advance customer support solutions by leveraging the Agentic AI framework like Google NGA/ADK to enable intent\-less, AI agent\-driven conversations, keeping you abreast of the latest trends and technologies in the field. Collaborating with cross\-functional team members, you will facilitate smooth integration and spearhead innovation in our virtual assistant offerings, ultimately transforming customer service experiences and boosting user satisfaction.
**What you’ll do:** 
* Design, develop, and maintain scalable, secure, and high\-performance full\-stack AI driven applications using modern technologies.
* Collaborate with cross\-functional teams and stakeholders to gather requirements, create technical specifications, and deliver high\-quality AI agent focused software solutions on time.
* Engage in hands\-on development of critical software architecture components using various programming languages and methodologies.
* Lead architecture and design discussions to align solutions with the company’s technology roadmap and strategic goals.
* Troubleshoot, debug, and resolve complex technical issues to ensure optimal system performance and stability.
* Continuously evaluate and adopt new technologies and tools to enhance software quality, development processes, and team productivity.
* Participate in code reviews, offering constructive feedback and promoting a culture of continuous learning.
* Mentor and guide junior and mid\-level engineers, sharing knowledge and best practices
* Contribute to defining and evolving software development standards, processes, and best practices.
* Collaborate on software requirements/user stories, provide estimates, and create design specifications.
* Work with engineers and architects to assess and test hardware/software interactions.
* Create and execute automated test plans and strategies based on business requirements.
* Drive and execute on various testing types: unit, integration, interface, end\-to\-end, dynamic application security, and user acceptance testing. Automate testing of AI based conversations and LLM Evals.
* Support applications by resolving configuration and environmental issues.
* Assist in the software deployment process.
* Provide senior\-level technical expertise and act as a subject matter expert on ATT technologies.
**What you’ll need:** 
**Required Technical Qualifications:** 
* 8\+ years of experience in full stack software development, including front\-end, back\-end, and database technologies
* Proficiency in modern programming languages and frameworks such as Python, JavaScript, Java, Next JS, Node.js, React js
* Strong working experience with GenAI, LLM Models, MCP, Vector DB, RAG, Vertex AI, Agentic AI frameworks like NGA, ADK or LangChain/LangGraph, creating AI agents.
* Strong experience with Cloud platforms like GCP, Azure or AWS and cloud technologies like OpenStack, Terraform, Ansible or Chef
* Experience working with LLM observability, analytics, evaluations, testing and annotation using tools like LangSmith, LangFuse, Streamlit, Arize or similar tools.
* Strong experience working with AI/ML development
* Strong experience working with Databases like Cassandra, MongoDB or similar.
* Strong understanding and working experience of microservices architecture, RESTful APIs, Caching and related technologies
* Familiarity with containerization and orchestration tools such as Docker and Kubernetes
* Proficiency in version control systems like Git, and experience with CI/CD tools such as Jenkins, GitHub, Maven, Nexus, JFrog or Sonar
* Strong experience in Unit and Function testing using Junit, Mockito/JMock, Selenium, Robot, Cucumber, SoapUI or Postman
* Strong problem\-solving, analytical, and debugging skills.
**Education \&amp; Other skills required:** 
* Bachelor’s degree in computer science, software engineering, or a related field preferred
* Excellent written and verbal communication skills, with the ability to effectively communicate complex technical concepts to both technical and non\-technical audiences.
* Demonstrated experience in mentoring and providing technical leadership to other engineers.
**Nice to have skills:** 
* Google CCAI platform (DialogFlow), Vertex AI, Graph QL, BigQuery, Conversation Graph, LLM as Judge.
**Supervisor:** 
 No
 Our Lead Software Engineering, earns between $158,200\-$237,400\.USD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**This position requires office presence of a minimum of 5 days per week and is only located in the location(s) posted. No relocation is offered.**</t>
        </is>
      </c>
    </row>
    <row r="112">
      <c r="A112" t="inlineStr">
        <is>
          <t>li-4363472144</t>
        </is>
      </c>
      <c r="B112" t="inlineStr">
        <is>
          <t>Staff Backend Engineer - Distributed Systems</t>
        </is>
      </c>
      <c r="C112" t="inlineStr">
        <is>
          <t>Archetype AI</t>
        </is>
      </c>
      <c r="D112" t="inlineStr">
        <is>
          <t>linkedin</t>
        </is>
      </c>
      <c r="E112">
        <f>HYPERLINK("https://www.linkedin.com/jobs/view/4363472144", "https://www.linkedin.com/jobs/view/4363472144")</f>
        <v/>
      </c>
      <c r="F112" t="inlineStr"/>
      <c r="G112" t="inlineStr">
        <is>
          <t>San Mateo, CA</t>
        </is>
      </c>
      <c r="H112" t="inlineStr"/>
      <c r="I112" t="inlineStr">
        <is>
          <t>**About Archetype AI**
 Archetype AI is developing the world's first AI platform to bring AI into the real world. Formed by an exceptionally high\-caliber team from Google, Archetype AI is building a foundation model for the physical world, a real\-time multimodal LLM for real life, transforming real\-world data into valuable insights and knowledge that people will be able to interact with naturally. It will help people in their real lives, not just online, because it understands the real\-time physical environment and everything that happens in it.
 Supported by deep tech venture funds in Silicon Valley, Archetype AI is currently at the Series A stage and is progressing rapidly to develop technology for their next stage. This presents a unique and once\-in\-a\-lifetime opportunity to be part of an exciting AI team at the beginning of their journey, located in the heart of Silicon Valley.
 Our team is headquartered in San Mateo, California, with team members throughout the US and Europe.
 We are actively growing, so if you are an exceptional candidate excited to work on the cutting edge of physical AI and don’t see a role that exactly fits you below you can contact us directly with your resume via jobsarchetypeaiio.
**About The Role**
 As a
 **Staff Backend Engineer** 
 , you will
 **lead the design and scaling of the core backend systems** 
 that power our AI platform. You will collaborate closely with ML researchers, product teams, and other engineers to
 **bring cutting\-edge AI models into production at scale** 
 , ensuring performance, reliability, and operational excellence.
 This role goes beyond coding: you will
 **own complex systems end\-to\-end** 
 , influence architectural decisions, drive technical strategy, mentor other engineers, and elevate the overall engineering culture.
**Core Responsibilities**
* Lead the architecture, design, and implementation of distributed systems supporting high\-throughput, low\-latency AI model inference and data services.
* Collaborate with ML researchers and product teams to transition experimental models into production\-grade systems.
* Define technical strategy and best practices for backend systems, including GPU clusters, cloud infrastructure, and distributed data pipelines.
* Drive performance optimization, reliability, and operational excellence across large\-scale systems.
* Build internal tools, monitoring, and observability frameworks to proactively detect and resolve issues.
* Introduce innovative architectures, techniques, and automation to maximize scalability, efficiency, and reliability.
* Mentor engineers, lead by example, and foster a culture of engineering excellence, knowledge sharing, and collaboration.
* Balance rapid iteration on early\-stage systems with long\-term architectural soundness and maintainability.
* Take ownership of end\-to\-end problem solving—from design through deployment—ensuring high quality and robust delivery..
**Minimum Qualifications**
* 7\+ years of professional software engineering experience, with a focus on backend or distributed systems.
* Deep understanding of distributed systems fundamentals—concurrency, consistency, replication, fault tolerance, networking.
* Experience building and operating production\-grade systems at scale in cloud environments (e.g., Azure, AWS, GCP).
* Strong debugging, instrumentation, and observability skills across distributed systems.
* Demonstrated ownership of complex technical problems and ability to learn and adapt quickly.
**Preferred Qualifications**
* 7\+ years of professional software engineering experience, with deep expertise in backend or distributed systems.
* Strong understanding of distributed systems fundamentals: concurrency, consistency, replication, fault tolerance, and networking.
* Experience building and operating production\-grade systems at scale in cloud environments (AWS, GCP, Azure).
* Advanced debugging, instrumentation, and observability skills across complex distributed systems.
* Proven ownership of complex technical problems and ability to drive them to completion.
* Experience mentoring engineers and influencing architectural decisions across teams.
**What We Value**
* Ownership – You take initiative, follow through, and care deeply about quality and outcomes.
* Motivation – You’re driven to solve complex problems and continuously raise the bar for yourself and your team.
* Excellence – You bring discipline, clarity, and rigor to your craft—and help others do the same.
* Collaboration – You work well with others, mentor generously, and contribute to a high\-trust, high\-performance culture.</t>
        </is>
      </c>
    </row>
    <row r="113">
      <c r="A113" t="inlineStr">
        <is>
          <t>li-4372136576</t>
        </is>
      </c>
      <c r="B113" t="inlineStr">
        <is>
          <t>Security Software Engineer</t>
        </is>
      </c>
      <c r="C113" t="inlineStr">
        <is>
          <t>SpaceX</t>
        </is>
      </c>
      <c r="D113" t="inlineStr">
        <is>
          <t>linkedin</t>
        </is>
      </c>
      <c r="E113">
        <f>HYPERLINK("https://www.linkedin.com/jobs/view/4372136576", "https://www.linkedin.com/jobs/view/4372136576")</f>
        <v/>
      </c>
      <c r="F113">
        <f>HYPERLINK("https://boards.greenhouse.io/spacex/jobs/8420836002?gh_jid=8420836002&amp;gh_src=3c0864192&amp;urlHash=52Tb", "https://boards.greenhouse.io/spacex/jobs/8420836002?gh_jid=8420836002&amp;gh_src=3c0864192&amp;urlHash=52Tb")</f>
        <v/>
      </c>
      <c r="G113" t="inlineStr">
        <is>
          <t>Bastrop, TX</t>
        </is>
      </c>
      <c r="H113" t="inlineStr"/>
      <c r="I11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**SECURITY SOFTWARE ENGINEER**
 SpaceX is looking for a Security Engineer to join the Security department to help protect and drive the SpaceX mission. Information drives our business and we must protect the confidentiality, integrity, and availability of systems and processes across the enterprise. As a highly visible and dynamic organization, we must also value and guard against damage to our reputation and brand. Finally, it is paramount that we defend against loss of control or confidence in our systems, to guarantee the highest probability of success. This role will focus on the "behind the scenes" technologies that ensure our networks and systems are up to industry and SpaceX standards of information security. It will also focus on providing high\-criticality and high\-risk services, with the confidentiality, integrity, and availability of those services in mind. This role will partner with various application development and customer groups across SpaceX to ensure that we are identifying and remediating any emerging vulnerabilities.
**Responsibilities**
 Design, build, and maintain technology solutions and systems that provide security for SpaceX systems, networks, and data. This can include:
* Authentication and identity services, including multi\-factor solutions, network access control identity servers, and related authentication and authorization technologies.
* Identity lifecycle management services and automation. Build and maintain scripts and automation that support the information security mission across SpaceX, to be utilized by information security teammates and other partner organizations.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Bachelor's degree in computer science or another STEM discipline; OR 2\+ years of professional experience in security software development in lieu of a degree
* Experience with the Python programming language, GO, C\#, or Rust
* Experience designing and implementing security solutions for operating systems, distributed systems, or other enterprise/large\-scale infrastructure
**Preferred Skills And Experience**
* Experience with secure code development practices
* Experience with Linux, Windows, and Mac system internals
* Proficient experience with the Python programming language, GO, C\#, or Rust
* Strong knowledge of public key infrastructure (PKI) environments and related technologies
* Experience with SAML, OIDC, and OAuth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Familiarity with developing web\-based APIs, HTTP\-RPC, and REST
* Familiarity with enterprise security controls and security best practices for Windows, Linux, and Mac systems
* Effective problem\-solving skills, and ability to quickly determine root\-causes of issues
* Familiarity with macOS and Windows code\-signing and deployment of enterprise applications
**Additional Requirements**
* Must be willing to work extended hours and/or weekends as needed
* This role requires you to be onsite. Hybrid or remote work will not be considered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14">
      <c r="A114" t="inlineStr">
        <is>
          <t>li-4320889758</t>
        </is>
      </c>
      <c r="B114" t="inlineStr">
        <is>
          <t>Staff Software Engineer, Core Infrastructure</t>
        </is>
      </c>
      <c r="C114" t="inlineStr">
        <is>
          <t>Harvey</t>
        </is>
      </c>
      <c r="D114" t="inlineStr">
        <is>
          <t>linkedin</t>
        </is>
      </c>
      <c r="E114">
        <f>HYPERLINK("https://www.linkedin.com/jobs/view/4320889758", "https://www.linkedin.com/jobs/view/4320889758")</f>
        <v/>
      </c>
      <c r="F114">
        <f>HYPERLINK("https://jobs.ashbyhq.com/harvey/15dfbe0b-f6e2-4bee-a906-65e31dfc5b23?utm_source=58AzKxpoq0&amp;urlHash=991E", "https://jobs.ashbyhq.com/harvey/15dfbe0b-f6e2-4bee-a906-65e31dfc5b23?utm_source=58AzKxpoq0&amp;urlHash=991E")</f>
        <v/>
      </c>
      <c r="G114" t="inlineStr">
        <is>
          <t>San Francisco, CA</t>
        </is>
      </c>
      <c r="H114" t="inlineStr"/>
      <c r="I114"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 Staff Software Engineer on the Core Infrastructure team at Harvey, you'll play a critical role in designing and building new infrastructure systems while equally scaling and strengthening our existing infrastructure. Our infrastructure is the foundation that powers every user interaction with Harvey — processing billions of prompt tokens and millions of daily requests across our global legal AI platform.
 You'll work in an environment balanced between innovation — building new systems — and operational excellence, ensuring that Harvey remains resilient and efficient as it scales products, regions, customers, and usage. Your contributions will directly impact the reliability, scalability, and security of our platform as we serve the world's leading law firms and professional service providers.
 This role is based in San Francisco, CA. We use an in\-person work model and offer relocation assistance to new employees.
**What You’ll Do**
* Design and build scalable, fault\-tolerant infrastructure systems that power Harvey's AI platform across multiple cloud regions
* Own and evolve our multi\-cloud infrastructure (Azure, GCP), including Kubernetes orchestration, networking, and container management
* Lead technical initiatives around observability, incident response, and operational excellence — building systems that enable rapid detection and resolution of issues
* Architect and optimize our distributed systems for reliability, including load balancing, quota management, and failover mechanisms
* Partner with Product Engineering and Security teams to ensure our infrastructure is an accelerant, not a constraint
* Drive infrastructure\-as\-code practices using tools like Terraform and Pulumi to enable reproducible, auditable deployments
* Mentor engineers and raise the technical bar across the organization through code reviews, design reviews, and technical leadership
**Representative Projects**
* Design and implement a next\-generation model proxy architecture that routes millions of daily inference requests while maintaining model API compatibility and enabling seamless model integration
* Build distributed rate limiting and quota management systems using Redis\-backed algorithms to handle bursty traffic patterns without degrading user experience
* Architect multi\-region deployment strategies that meet strict data residency requirements for global enterprise customers
* Develop comprehensive observability infrastructure with granular SLA monitoring, burn rate alerts, and detailed token attribution for cost tracking
* Lead the evolution of our CI/CD pipelines to improve developer velocity while maintaining production stability
**What You Have**
* 10\+ years of experience in Infrastructure Engineering or Platform Engineering in a production environment
* Long track record building and scaling complex, large\-scale distributed systems
* Deep proficiency with cloud infrastructure platforms (Azure preferred; GCP or AWS experience transfers well)
* Strong fluency in Infrastructure as Code (IaC) tools — Terraform, Pulumi, or CloudFormation
* Solid understanding of Kubernetes, container orchestration, networking, and cloud security at scale
* Experience with observability tools (Datadog, Sentry) and incident response practices (PagerDuty, Incident.io)
* Strong programming skills in Python, Go, or similar languages
* Excellent problem\-solving skills, a "spidey sense" of where things could go wrong, and a commitment to operational excellence
**Nice to Have**
* Experience building infrastructure for AI/ML workloads or high\-throughput inference systems
* Background with distributed rate limiting, load balancing, or quota management systems
* Experience operating multi\-tenant platforms with strict security and compliance requirements
* Track record of leading complex cross\-functional projects and delivering measurable impact
**Compensation Range**
 $236,000 \- $290,000 USD
 Please find our CA applicant privacy notice here.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15">
      <c r="A115" t="inlineStr">
        <is>
          <t>li-4323233893</t>
        </is>
      </c>
      <c r="B115" t="inlineStr">
        <is>
          <t>Cloud Software Engineer, Advisor</t>
        </is>
      </c>
      <c r="C115" t="inlineStr">
        <is>
          <t>Peraton</t>
        </is>
      </c>
      <c r="D115" t="inlineStr">
        <is>
          <t>linkedin</t>
        </is>
      </c>
      <c r="E115">
        <f>HYPERLINK("https://www.linkedin.com/jobs/view/4323233893", "https://www.linkedin.com/jobs/view/4323233893")</f>
        <v/>
      </c>
      <c r="F115" t="inlineStr"/>
      <c r="G115" t="inlineStr">
        <is>
          <t>Laurel, MD</t>
        </is>
      </c>
      <c r="H115" t="inlineStr"/>
      <c r="I11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 Cyber Intelligence Laurel, MD**
**Location:** 
 Laurel, MD
 **Clearance:** 
 Active TS/SCI with Polygraph
**Company:** 
 Peraton
 Are you passionate about building cutting\-edge cloud solutions that support national security? Do you thrive in fast\-paced, mission\-driven environments? Peraton is seeking a talented and skilled
 **Cloud Software Engineer** 
 to join our Cyber Intelligence team in
 **Laurel, MD** 
 . As part of a collaborative, high\-impact integrated product development team, you'll work on next\-generation cyber capabilities hosted on large\-scale compute clusters and AWS Cloud infrastructure. This is your chance to help shape innovative services that make a real difference.
****What You'll Do:****
* Design, develop, test, and integrate complex software capabilities in a cloud environment
* Lead efforts in performance tuning, system optimization, and cloud\-native architecture
* Support full lifecycle software engineering in an Agile/Scrum setting
* Develop scalable, secure, and resilient services using AWS technologies and Infrastructure as Code (IaC)
* Perform operations and sustainment functions to ensure mission continuity
* Provide technical direction and mentorship to junior engineers when needed
****Key Technologies \&amp; Skills:****
* Cloud Expertise: Deep experience in AWS Cloud Architecture, SDKs, APIs, and cloud services integration
* AI/ML Integration: Familiarity with Large Language Models (LLMs) and Retrieval\-Augmented Generation (RAG) frameworks
* IaC \&amp; DevOps: Hands\-on with CloudFormation or Terraform, and modern CI/CD pipelines
* Programming Proficiency: Strong in Java for distributed systems with a solid grasp of networking, multi\-threading, and concurrency
* Containers \&amp; Orchestration: Knowledge of Kubernetes and microservices architecture
* Security\-Minded: Working knowledge of cloud security principles and compliance best practices
* Scripting \&amp; Systems: Competent in Linux environments with scripting skills in Python, Ruby, Perl, or similar
****Why Join Us?****
 At Peraton, you're not just a number\-you're a critical part of national defense and innovation. You'll collaborate with brilliant minds, take ownership of challenging projects, and have the opportunity to grow technically and professionally. We support career advancement, continuous learning, and offer competitive compensation and benefits.
**Be part of something bigger. Apply today and help shape the future of cyber intelligence.**
**Qualifications**
**Position Requirements:**
* An Active TS/SCI clearance with polygraph is required
* Eight (8\) or more years of directly related experience in software development/engineering; including requirements analysis, software development, installation, integration, evaluation, enhancement, maintenance, testing, and problem diagnosis/resolution
* A Bachelor's Degree in Computer Science or in a related technical field is required
* A Master's degree in a Technical Field will be considered equivalent to two (2\) years of experience
* Must have, or be willing to obtain prior to start, one of the following Cloud Developer Certifications:
+ AWS Certified Developer\-Associate
+ AWS DevOps Engineer Professional
+ Certified Kubernetes Application Developer (CKAD)
+ Elastic Certified Engineer
**Peraton offers enhanced benefits to employees working on our critical National Security programs, which include heavily subsidized employee benefits coverage for you and your dependents, 25 days of PTO accrued annually up to a generous PTO cap and eligible to participate in an attractive bonus plan.**
**\#MPOJobs \#AJCM \#PeratonRoyalMove**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16">
      <c r="A116" t="inlineStr">
        <is>
          <t>li-4327829220</t>
        </is>
      </c>
      <c r="B116" t="inlineStr">
        <is>
          <t>Senior Staff Security Software Engineer</t>
        </is>
      </c>
      <c r="C116" t="inlineStr">
        <is>
          <t>Boston Dynamics</t>
        </is>
      </c>
      <c r="D116" t="inlineStr">
        <is>
          <t>linkedin</t>
        </is>
      </c>
      <c r="E116">
        <f>HYPERLINK("https://www.linkedin.com/jobs/view/4327829220", "https://www.linkedin.com/jobs/view/4327829220")</f>
        <v/>
      </c>
      <c r="F116" t="inlineStr"/>
      <c r="G116" t="inlineStr">
        <is>
          <t>Waltham, MA</t>
        </is>
      </c>
      <c r="H116" t="inlineStr"/>
      <c r="I116" t="inlineStr">
        <is>
          <t>As a Senior Staff Security Software Engineer on the Atlas team at Boston Dynamics, you will be directly involved in defining, architecting, and implementing the security features of the Atlas Robot and associated infrastructure. To thrive in this role, you’ll need to be thoughtful in designs, speedy in execution, and collaborate well with a dynamic, multi\-disciplinary team.
**This Role Is For You If You**
* Enjoy hands\-on work in a fast\-paced environment
* Are comfortable rapidly prototyping and iterating on solutions
* Thrive on working independently and on a variety of products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**Day\-to\-Day Activities Will Include**
* Work with the greater security team to analyze and maintain the Atlas platform security profile
* Hands\-on development of specific security\-related features
* Collaborate with Product Management to understand customer needs and requirements.
* Analyze security Implications of upcoming features and provide guidance to key stakeholders on risks and possible improvements.
* Act as a trusted advisor on security topics in both existing and upcoming software for the Atlas platform
* Conduct tests and technical analysis of the product
* Educate the broader development community on best practices
**Qualifications**
* Bachelor’s or Master’s Degree in Computer Science or related field
* Good knowledge of programming languages, such as C/C\+\+, Go or Rust.
* Security Qualifications
+ 6 or more years of hands\-on experience as a product security engineer or architect
+ Good understanding of best practices for OS\-level security, such as file system permissions, user/group management, and system services.
+ Experience with authentication and authorization tools and techniques
+ Working understanding of cryptography and cryptography primitives
+ Experience with Linux\-native security tools, such as iptables/nftables and eBPF
+ Good understanding of communications protocols such as TCP/IP, and secure networking technologies such as TLS and Wireguard/IPsec
* Ability to communicate effectively with technical and non\-technical audiences, including writing documentation, proposals, specifications, design docs, and threat analyses
*We are interested in every qualified candidate who is eligible to work in the United States. However, we are not able to sponsor visas for this position.*
 The base pay range for this position is between $151,284 to $208,015 annually.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 annual bonus structure. Additional details regarding these benefit plans will be provided if an employee receives an offer for employment.</t>
        </is>
      </c>
    </row>
    <row r="117">
      <c r="A117" t="inlineStr">
        <is>
          <t>li-4356544599</t>
        </is>
      </c>
      <c r="B117" t="inlineStr">
        <is>
          <t>Senior Software Engineer - HashiCorp Vault, Radar, Boundary</t>
        </is>
      </c>
      <c r="C117" t="inlineStr">
        <is>
          <t>IBM</t>
        </is>
      </c>
      <c r="D117" t="inlineStr">
        <is>
          <t>linkedin</t>
        </is>
      </c>
      <c r="E117">
        <f>HYPERLINK("https://www.linkedin.com/jobs/view/4356544599", "https://www.linkedin.com/jobs/view/4356544599")</f>
        <v/>
      </c>
      <c r="F117">
        <f>HYPERLINK("https://ibmglobal.avature.net/en_US/careers/JobDetail?jobId=88994&amp;src=SN_LinkedIn&amp;urlHash=Cn5B", "https://ibmglobal.avature.net/en_US/careers/JobDetail?jobId=88994&amp;src=SN_LinkedIn&amp;urlHash=Cn5B")</f>
        <v/>
      </c>
      <c r="G117" t="inlineStr">
        <is>
          <t>Lowell, MA</t>
        </is>
      </c>
      <c r="H117" t="inlineStr"/>
      <c r="I117"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Act as a subject matter expert on quality development with an emphasis on Golang development
* Lead and execute large\-scale projects, ensuring the reliable delivery of key features from design through full implementation and troubleshooting.
* Drive end\-to\-end project lifecycle, including architecture design, implementation, and issue resolution, with a focus on quality and efficiency.
* Evaluate project tradeoffs and propose solutions, proactively removing blockers and keeping stakeholders informed on progress, issues, and milestones.
* Collaborate with internal teams, customers, and external stakeholders to design solutions that align with requirements and customer needs.
* Advocate for strategic technical roadmap initiatives that enhance the system’s overall effectiveness across teams and the organization.
* Debug and resolve complex issues to improve the quality and stability of products or solutions
* Review and assess code for quality, design patterns, and optimization opportunities, ensuring best practices are followed
* Mentor and guide software engineers, sharing technical knowledge and promoting best practices in development processes
* Facilitate collaborative team activities, such as code pairing and group troubleshooting, to foster a productive and cohesive team environment
* Support reliable production environments, including participating in an on\-call rotation
* Strive for quality through maintainable code and comprehensive testing from development to deployment
**Preferred Education**
 Bachelor's Degree
**Required Technical And Professional Expertise**
* You have at least 6\+ years of experience as an engineer
* You have professional experience developing with modern programming languages and frameworks, and are interested in working in Golang and Ruby specifically
* You have experience working with distributed systems, particularly cloud providers such as AWS, Azure or GCP, with a focus on scalability, resilience, and security.
* Emerging ability to direct work and influence others, with a strategic approach to problem\-solving and decision\-making in a collaborative environment
* Demonstrated business acumen and customer focus, with a readiness for change and adaptability in dynamic situations
* Cloud\-native mindset and solid understanding of DevOps principles in a cloud environment
* Familiarity with cloud monitoring tools to implement robust observability practices that prioritize metrics, logging, and tracing for high reliability and performance.
* Intentional focus on stakeholder management and effective communication, fostering trust and relationship\-building across diverse teams
* Integrated skills in critical thinking and data\-driven analysis, promoting a growth mindset and continuous improvement to support high\-quality outcomes
**Preferred Technical And Professional Experience**
* You have experience using HashiCorp products (Terraform, Packer, Waypoint, Nomad, Vault, Boundary, Consul).
* You have prior experience working in cloud platform engineering teams</t>
        </is>
      </c>
    </row>
    <row r="118">
      <c r="A118" t="inlineStr">
        <is>
          <t>li-4377798499</t>
        </is>
      </c>
      <c r="B118" t="inlineStr">
        <is>
          <t>Senior Full-Stack Software Engineer (JavaScript) - S&amp;P Global</t>
        </is>
      </c>
      <c r="C118" t="inlineStr">
        <is>
          <t>Jobs via eFinancialCareers</t>
        </is>
      </c>
      <c r="D118" t="inlineStr">
        <is>
          <t>linkedin</t>
        </is>
      </c>
      <c r="E118">
        <f>HYPERLINK("https://www.linkedin.com/jobs/view/4377798499", "https://www.linkedin.com/jobs/view/4377798499")</f>
        <v/>
      </c>
      <c r="F118">
        <f>HYPERLINK("https://click.appcast.io/t/NKtyJBV6z9RCVRpRBvtdSuaFro6GsTsE4cWCjJDEQxY=&amp;urlHash=2Rlv", "https://click.appcast.io/t/NKtyJBV6z9RCVRpRBvtdSuaFro6GsTsE4cWCjJDEQxY=&amp;urlHash=2Rlv")</f>
        <v/>
      </c>
      <c r="G118" t="inlineStr">
        <is>
          <t>Cambridge, MA</t>
        </is>
      </c>
      <c r="H118" t="inlineStr"/>
      <c r="I118"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Our App Experiences team focuses on breathing life into novel ML capabilities, translating them into valuable and intuitive end\-user experiences. We collaborate closely with our Product and Design teams to understand user needs, looking for creative applications and delivery mechanisms of our technology. We demo early and often, and we keep a tight iteration loop. We sweat the details when it comes to UX.
 As a Senior Full\-Stack Software Engineer, you will build AI\-centric web applications in TypeScript ranging from experimental POCs to full\-fledged product offerings. You'll have significant autonomy over technical and architectural choices, and be responsible for managing short\- and long\-term trade\-offs. The ideal candidate loves product and views technology as a means, not an end, and is excited to collaborate across all aspects of the software development lifecycle.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Build full\-stack and SPA TypeScript applications ranging from experiments to flagship products
* Collaborate on product decisions and communicate technical constraints and considerations
* Own and collaborate on technology/architecture decisions and conventions
* Teach and learn from the team and the broader organization via mentorship, code review, knowledge sharing, etc.
* Self\-sufficiently manage project priorities, estimates, and deliverables
****What You'll Need:****
* At least five years of direct experience building commercial web applications in JavaScript/TypeScript
* At least three years of that experience working directly on web UIs in a modern framework
* At least one domain of deep technical expertise (e.g., web performance, design systems, framework knowledge, etc.)
* Product sense, or a strong interest in developing it
* Kind, thoughtful, and high\-signal communication skills for both technical and non\-technical audiences
* Ability to translate ambiguous needs and constraints into clear technical requirements
****Technologies \&amp; Tools We Use:****
* Development : TypeScript, React, Next.js, Tailwind, LangGraph, AI SDK, Drizzle
* Ops : Git, GitHub, Amazon EKS, AWS, Sentry, Langfuse, Prometheus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t>
        </is>
      </c>
    </row>
    <row r="119">
      <c r="A119" t="inlineStr">
        <is>
          <t>li-4356474610</t>
        </is>
      </c>
      <c r="B119" t="inlineStr">
        <is>
          <t>Senior Software Engineer - HashiCorp Vault, Radar, Boundary</t>
        </is>
      </c>
      <c r="C119" t="inlineStr">
        <is>
          <t>IBM</t>
        </is>
      </c>
      <c r="D119" t="inlineStr">
        <is>
          <t>linkedin</t>
        </is>
      </c>
      <c r="E119">
        <f>HYPERLINK("https://www.linkedin.com/jobs/view/4356474610", "https://www.linkedin.com/jobs/view/4356474610")</f>
        <v/>
      </c>
      <c r="F119">
        <f>HYPERLINK("https://ibmglobal.avature.net/en_US/careers/JobDetail?jobId=88994&amp;src=SN_LinkedIn&amp;urlHash=Cn5B", "https://ibmglobal.avature.net/en_US/careers/JobDetail?jobId=88994&amp;src=SN_LinkedIn&amp;urlHash=Cn5B")</f>
        <v/>
      </c>
      <c r="G119" t="inlineStr">
        <is>
          <t>Austin, TX</t>
        </is>
      </c>
      <c r="H119" t="inlineStr"/>
      <c r="I119"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Act as a subject matter expert on quality development with an emphasis on Golang development
* Lead and execute large\-scale projects, ensuring the reliable delivery of key features from design through full implementation and troubleshooting.
* Drive end\-to\-end project lifecycle, including architecture design, implementation, and issue resolution, with a focus on quality and efficiency.
* Evaluate project tradeoffs and propose solutions, proactively removing blockers and keeping stakeholders informed on progress, issues, and milestones.
* Collaborate with internal teams, customers, and external stakeholders to design solutions that align with requirements and customer needs.
* Advocate for strategic technical roadmap initiatives that enhance the system’s overall effectiveness across teams and the organization.
* Debug and resolve complex issues to improve the quality and stability of products or solutions
* Review and assess code for quality, design patterns, and optimization opportunities, ensuring best practices are followed
* Mentor and guide software engineers, sharing technical knowledge and promoting best practices in development processes
* Facilitate collaborative team activities, such as code pairing and group troubleshooting, to foster a productive and cohesive team environment
* Support reliable production environments, including participating in an on\-call rotation
* Strive for quality through maintainable code and comprehensive testing from development to deployment
**Preferred Education**
 Bachelor's Degree
**Required Technical And Professional Expertise**
* You have at least 6\+ years of experience as an engineer
* You have professional experience developing with modern programming languages and frameworks, and are interested in working in Golang and Ruby specifically
* You have experience working with distributed systems, particularly cloud providers such as AWS, Azure or GCP, with a focus on scalability, resilience, and security.
* Emerging ability to direct work and influence others, with a strategic approach to problem\-solving and decision\-making in a collaborative environment
* Demonstrated business acumen and customer focus, with a readiness for change and adaptability in dynamic situations
* Cloud\-native mindset and solid understanding of DevOps principles in a cloud environment
* Familiarity with cloud monitoring tools to implement robust observability practices that prioritize metrics, logging, and tracing for high reliability and performance.
* Intentional focus on stakeholder management and effective communication, fostering trust and relationship\-building across diverse teams
* Integrated skills in critical thinking and data\-driven analysis, promoting a growth mindset and continuous improvement to support high\-quality outcomes
**Preferred Technical And Professional Experience**
* You have experience using HashiCorp products (Terraform, Packer, Waypoint, Nomad, Vault, Boundary, Consul).
* You have prior experience working in cloud platform engineering teams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2026-03-06T17:05:47Z</dcterms:created>
  <dcterms:modified xsi:type="dcterms:W3CDTF">2026-03-06T17:05:47Z</dcterms:modified>
</cp:coreProperties>
</file>