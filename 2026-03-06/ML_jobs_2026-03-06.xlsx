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in-8a3cfa5fdb4d6d96</t>
        </is>
      </c>
      <c r="B2" t="inlineStr">
        <is>
          <t>Sr. Applied Scientist, Amazon Ads</t>
        </is>
      </c>
      <c r="C2" t="inlineStr">
        <is>
          <t>Amazon.com</t>
        </is>
      </c>
      <c r="D2" t="inlineStr">
        <is>
          <t>indeed</t>
        </is>
      </c>
      <c r="E2">
        <f>HYPERLINK("https://www.indeed.com/viewjob?jk=8a3cfa5fdb4d6d96", "https://www.indeed.com/viewjob?jk=8a3cfa5fdb4d6d96")</f>
        <v/>
      </c>
      <c r="F2">
        <f>HYPERLINK("https://www.amazon.jobs/jobs/3139328/sr-applied-scientist-amazon-ads?cmpid=DA_INAD200785B", "https://www.amazon.jobs/jobs/3139328/sr-applied-scientist-amazon-ads?cmpid=DA_INAD200785B")</f>
        <v/>
      </c>
      <c r="G2" t="inlineStr">
        <is>
          <t>Boulder, CO,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in-39888234391c7fe2</t>
        </is>
      </c>
      <c r="B3" t="inlineStr">
        <is>
          <t>Sr. Applied Scientist, Amazon Ads</t>
        </is>
      </c>
      <c r="C3" t="inlineStr">
        <is>
          <t>Amazon.com</t>
        </is>
      </c>
      <c r="D3" t="inlineStr">
        <is>
          <t>indeed</t>
        </is>
      </c>
      <c r="E3">
        <f>HYPERLINK("https://www.indeed.com/viewjob?jk=39888234391c7fe2", "https://www.indeed.com/viewjob?jk=39888234391c7fe2")</f>
        <v/>
      </c>
      <c r="F3">
        <f>HYPERLINK("https://www.amazon.jobs/jobs/3139328/sr-applied-scientist-amazon-ads?cmpid=DA_INAD200785B", "https://www.amazon.jobs/jobs/3139328/sr-applied-scientist-amazon-ads?cmpid=DA_INAD200785B")</f>
        <v/>
      </c>
      <c r="G3" t="inlineStr">
        <is>
          <t>Tukwila,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in-fc104c756a119a4e</t>
        </is>
      </c>
      <c r="B4" t="inlineStr">
        <is>
          <t>Sr. Applied Scientist, Amazon Ads</t>
        </is>
      </c>
      <c r="C4" t="inlineStr">
        <is>
          <t>Amazon.com</t>
        </is>
      </c>
      <c r="D4" t="inlineStr">
        <is>
          <t>indeed</t>
        </is>
      </c>
      <c r="E4">
        <f>HYPERLINK("https://www.indeed.com/viewjob?jk=fc104c756a119a4e", "https://www.indeed.com/viewjob?jk=fc104c756a119a4e")</f>
        <v/>
      </c>
      <c r="F4">
        <f>HYPERLINK("https://www.amazon.jobs/jobs/3139328/sr-applied-scientist-amazon-ads?cmpid=DA_INAD200785B", "https://www.amazon.jobs/jobs/3139328/sr-applied-scientist-amazon-ads?cmpid=DA_INAD200785B")</f>
        <v/>
      </c>
      <c r="G4" t="inlineStr">
        <is>
          <t>Brooklyn, NY,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in-c598a2de55d0460c</t>
        </is>
      </c>
      <c r="B5" t="inlineStr">
        <is>
          <t>Sr. Applied Scientist, Amazon Ads</t>
        </is>
      </c>
      <c r="C5" t="inlineStr">
        <is>
          <t>Amazon.com</t>
        </is>
      </c>
      <c r="D5" t="inlineStr">
        <is>
          <t>indeed</t>
        </is>
      </c>
      <c r="E5">
        <f>HYPERLINK("https://www.indeed.com/viewjob?jk=c598a2de55d0460c", "https://www.indeed.com/viewjob?jk=c598a2de55d0460c")</f>
        <v/>
      </c>
      <c r="F5">
        <f>HYPERLINK("https://www.amazon.jobs/jobs/3139328/sr-applied-scientist-amazon-ads?cmpid=DA_INAD200785B", "https://www.amazon.jobs/jobs/3139328/sr-applied-scientist-amazon-ads?cmpid=DA_INAD200785B")</f>
        <v/>
      </c>
      <c r="G5" t="inlineStr">
        <is>
          <t>Palo Alto, CA,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in-33b159930034318b</t>
        </is>
      </c>
      <c r="B6" t="inlineStr">
        <is>
          <t>Sr. Applied Scientist, Amazon Ads</t>
        </is>
      </c>
      <c r="C6" t="inlineStr">
        <is>
          <t>Amazon.com</t>
        </is>
      </c>
      <c r="D6" t="inlineStr">
        <is>
          <t>indeed</t>
        </is>
      </c>
      <c r="E6">
        <f>HYPERLINK("https://www.indeed.com/viewjob?jk=33b159930034318b", "https://www.indeed.com/viewjob?jk=33b159930034318b")</f>
        <v/>
      </c>
      <c r="F6">
        <f>HYPERLINK("https://www.amazon.jobs/jobs/3139328/sr-applied-scientist-amazon-ads?cmpid=DA_INAD200785B", "https://www.amazon.jobs/jobs/3139328/sr-applied-scientist-amazon-ads?cmpid=DA_INAD200785B")</f>
        <v/>
      </c>
      <c r="G6" t="inlineStr">
        <is>
          <t>New York, NY,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in-33c78ee3e07ce093</t>
        </is>
      </c>
      <c r="B7" t="inlineStr">
        <is>
          <t>Sr. Applied Scientist, Amazon Ads</t>
        </is>
      </c>
      <c r="C7" t="inlineStr">
        <is>
          <t>Amazon.com</t>
        </is>
      </c>
      <c r="D7" t="inlineStr">
        <is>
          <t>indeed</t>
        </is>
      </c>
      <c r="E7">
        <f>HYPERLINK("https://www.indeed.com/viewjob?jk=33c78ee3e07ce093", "https://www.indeed.com/viewjob?jk=33c78ee3e07ce093")</f>
        <v/>
      </c>
      <c r="F7">
        <f>HYPERLINK("https://www.amazon.jobs/jobs/3139328/sr-applied-scientist-amazon-ads?cmpid=DA_INAD200785B", "https://www.amazon.jobs/jobs/3139328/sr-applied-scientist-amazon-ads?cmpid=DA_INAD200785B")</f>
        <v/>
      </c>
      <c r="G7" t="inlineStr">
        <is>
          <t>Boston, MA,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in-68b42616b36bc4e4</t>
        </is>
      </c>
      <c r="B8" t="inlineStr">
        <is>
          <t>Sr. Applied Scientist, Amazon Ads</t>
        </is>
      </c>
      <c r="C8" t="inlineStr">
        <is>
          <t>Amazon.com</t>
        </is>
      </c>
      <c r="D8" t="inlineStr">
        <is>
          <t>indeed</t>
        </is>
      </c>
      <c r="E8">
        <f>HYPERLINK("https://www.indeed.com/viewjob?jk=68b42616b36bc4e4", "https://www.indeed.com/viewjob?jk=68b42616b36bc4e4")</f>
        <v/>
      </c>
      <c r="F8">
        <f>HYPERLINK("https://www.amazon.jobs/jobs/3139328/sr-applied-scientist-amazon-ads?cmpid=DA_INAD200785B", "https://www.amazon.jobs/jobs/3139328/sr-applied-scientist-amazon-ads?cmpid=DA_INAD200785B")</f>
        <v/>
      </c>
      <c r="G8" t="inlineStr">
        <is>
          <t>Santa Monica, CA,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in-bcbb3f9ec67f3b82</t>
        </is>
      </c>
      <c r="B9" t="inlineStr">
        <is>
          <t>Sr. Applied Scientist, Amazon Ads</t>
        </is>
      </c>
      <c r="C9" t="inlineStr">
        <is>
          <t>Amazon.com</t>
        </is>
      </c>
      <c r="D9" t="inlineStr">
        <is>
          <t>indeed</t>
        </is>
      </c>
      <c r="E9">
        <f>HYPERLINK("https://www.indeed.com/viewjob?jk=bcbb3f9ec67f3b82", "https://www.indeed.com/viewjob?jk=bcbb3f9ec67f3b82")</f>
        <v/>
      </c>
      <c r="F9">
        <f>HYPERLINK("https://www.amazon.jobs/jobs/3139328/sr-applied-scientist-amazon-ads?cmpid=DA_INAD200785B", "https://www.amazon.jobs/jobs/3139328/sr-applied-scientist-amazon-ads?cmpid=DA_INAD200785B")</f>
        <v/>
      </c>
      <c r="G9" t="inlineStr">
        <is>
          <t>Corvallis, OR,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in-c6f4b331e3fa057e</t>
        </is>
      </c>
      <c r="B10" t="inlineStr">
        <is>
          <t>Sr. Applied Scientist, Amazon Ads</t>
        </is>
      </c>
      <c r="C10" t="inlineStr">
        <is>
          <t>Amazon.com</t>
        </is>
      </c>
      <c r="D10" t="inlineStr">
        <is>
          <t>indeed</t>
        </is>
      </c>
      <c r="E10">
        <f>HYPERLINK("https://www.indeed.com/viewjob?jk=c6f4b331e3fa057e", "https://www.indeed.com/viewjob?jk=c6f4b331e3fa057e")</f>
        <v/>
      </c>
      <c r="F10">
        <f>HYPERLINK("https://www.amazon.jobs/jobs/3139328/sr-applied-scientist-amazon-ads?cmpid=DA_INAD200785B", "https://www.amazon.jobs/jobs/3139328/sr-applied-scientist-amazon-ads?cmpid=DA_INAD200785B")</f>
        <v/>
      </c>
      <c r="G10" t="inlineStr">
        <is>
          <t>Seattle, WA,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in-d16cbfbb41d7beba</t>
        </is>
      </c>
      <c r="B11" t="inlineStr">
        <is>
          <t>Sr. Applied Scientist, Amazon Ads</t>
        </is>
      </c>
      <c r="C11" t="inlineStr">
        <is>
          <t>Amazon.com</t>
        </is>
      </c>
      <c r="D11" t="inlineStr">
        <is>
          <t>indeed</t>
        </is>
      </c>
      <c r="E11">
        <f>HYPERLINK("https://www.indeed.com/viewjob?jk=d16cbfbb41d7beba", "https://www.indeed.com/viewjob?jk=d16cbfbb41d7beba")</f>
        <v/>
      </c>
      <c r="F11">
        <f>HYPERLINK("https://www.amazon.jobs/jobs/3139328/sr-applied-scientist-amazon-ads?cmpid=DA_INAD200785B", "https://www.amazon.jobs/jobs/3139328/sr-applied-scientist-amazon-ads?cmpid=DA_INAD200785B")</f>
        <v/>
      </c>
      <c r="G11" t="inlineStr">
        <is>
          <t>Sunnyvale, CA,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in-77d01266f8f1c60a</t>
        </is>
      </c>
      <c r="B12" t="inlineStr">
        <is>
          <t>Senior Applied Scientist, Sponsored Products and Brands</t>
        </is>
      </c>
      <c r="C12" t="inlineStr">
        <is>
          <t>Amazon.com</t>
        </is>
      </c>
      <c r="D12" t="inlineStr">
        <is>
          <t>indeed</t>
        </is>
      </c>
      <c r="E12">
        <f>HYPERLINK("https://www.indeed.com/viewjob?jk=77d01266f8f1c60a", "https://www.indeed.com/viewjob?jk=77d01266f8f1c60a")</f>
        <v/>
      </c>
      <c r="F12">
        <f>HYPERLINK("https://www.amazon.jobs/jobs/3130062/senior-applied-scientist-sponsored-products-and-brands?cmpid=DA_INAD200785B", "https://www.amazon.jobs/jobs/3130062/senior-applied-scientist-sponsored-products-and-brands?cmpid=DA_INAD200785B")</f>
        <v/>
      </c>
      <c r="G12" t="inlineStr">
        <is>
          <t>New York, NY, US</t>
        </is>
      </c>
      <c r="H12" s="1" t="n">
        <v>45979</v>
      </c>
      <c r="I1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3">
      <c r="A13" t="inlineStr">
        <is>
          <t>in-e17eaca63bf8bf3f</t>
        </is>
      </c>
      <c r="B13" t="inlineStr">
        <is>
          <t>Applied Scientist II, Prime Video - Personalization and Discovery Science, Personalization and Discovery Science</t>
        </is>
      </c>
      <c r="C13" t="inlineStr">
        <is>
          <t>Amazon.com</t>
        </is>
      </c>
      <c r="D13" t="inlineStr">
        <is>
          <t>indeed</t>
        </is>
      </c>
      <c r="E13">
        <f>HYPERLINK("https://www.indeed.com/viewjob?jk=e17eaca63bf8bf3f", "https://www.indeed.com/viewjob?jk=e17eaca63bf8bf3f")</f>
        <v/>
      </c>
      <c r="F1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 t="inlineStr">
        <is>
          <t>New York, NY,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in-139a7101253f2249</t>
        </is>
      </c>
      <c r="B14" t="inlineStr">
        <is>
          <t>Applied Scientist II, Prime Video - Personalization and Discovery Science, Personalization and Discovery Science</t>
        </is>
      </c>
      <c r="C14" t="inlineStr">
        <is>
          <t>Amazon.com</t>
        </is>
      </c>
      <c r="D14" t="inlineStr">
        <is>
          <t>indeed</t>
        </is>
      </c>
      <c r="E14">
        <f>HYPERLINK("https://www.indeed.com/viewjob?jk=139a7101253f2249", "https://www.indeed.com/viewjob?jk=139a7101253f2249")</f>
        <v/>
      </c>
      <c r="F1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 t="inlineStr">
        <is>
          <t>Seattle, WA,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in-7e76871974483f98</t>
        </is>
      </c>
      <c r="B15" t="inlineStr">
        <is>
          <t>Applied Scientist II, Prime Video - Personalization and Discovery Science, Personalization and Discovery Science</t>
        </is>
      </c>
      <c r="C15" t="inlineStr">
        <is>
          <t>Amazon.com</t>
        </is>
      </c>
      <c r="D15" t="inlineStr">
        <is>
          <t>indeed</t>
        </is>
      </c>
      <c r="E15">
        <f>HYPERLINK("https://www.indeed.com/viewjob?jk=7e76871974483f98", "https://www.indeed.com/viewjob?jk=7e76871974483f98")</f>
        <v/>
      </c>
      <c r="F1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5" t="inlineStr">
        <is>
          <t>Sunnyvale, CA, US</t>
        </is>
      </c>
      <c r="H15" s="1" t="n">
        <v>45930</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in-e8e9602f1064bd68</t>
        </is>
      </c>
      <c r="B16" t="inlineStr">
        <is>
          <t>Applied Scientist II, Prime Video - Personalization and Discovery Science</t>
        </is>
      </c>
      <c r="C16" t="inlineStr">
        <is>
          <t>Amazon.com</t>
        </is>
      </c>
      <c r="D16" t="inlineStr">
        <is>
          <t>indeed</t>
        </is>
      </c>
      <c r="E16">
        <f>HYPERLINK("https://www.indeed.com/viewjob?jk=e8e9602f1064bd68", "https://www.indeed.com/viewjob?jk=e8e9602f1064bd68")</f>
        <v/>
      </c>
      <c r="F16">
        <f>HYPERLINK("https://www.amazon.jobs/jobs/3059253/applied-scientist-ii-prime-video--personalization-and-discovery-science?cmpid=DA_INAD200785B", "https://www.amazon.jobs/jobs/3059253/applied-scientist-ii-prime-video--personalization-and-discovery-science?cmpid=DA_INAD200785B")</f>
        <v/>
      </c>
      <c r="G16" t="inlineStr">
        <is>
          <t>New York, NY,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in-c718a02e48890485</t>
        </is>
      </c>
      <c r="B17" t="inlineStr">
        <is>
          <t>Sr. Applied Scientist, Prime Video - Personalization and Discovery Science</t>
        </is>
      </c>
      <c r="C17" t="inlineStr">
        <is>
          <t>Amazon.com</t>
        </is>
      </c>
      <c r="D17" t="inlineStr">
        <is>
          <t>indeed</t>
        </is>
      </c>
      <c r="E17">
        <f>HYPERLINK("https://www.indeed.com/viewjob?jk=c718a02e48890485", "https://www.indeed.com/viewjob?jk=c718a02e48890485")</f>
        <v/>
      </c>
      <c r="F17">
        <f>HYPERLINK("https://www.amazon.jobs/jobs/3059256/sr-applied-scientist-prime-video--personalization-and-discovery-science?cmpid=DA_INAD200785B", "https://www.amazon.jobs/jobs/3059256/sr-applied-scientist-prime-video--personalization-and-discovery-science?cmpid=DA_INAD200785B")</f>
        <v/>
      </c>
      <c r="G17" t="inlineStr">
        <is>
          <t>Sunnyvale, CA,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in-45322ba10e12c1fd</t>
        </is>
      </c>
      <c r="B18" t="inlineStr">
        <is>
          <t>Sr. Applied Scientist, Prime Video - Personalization and Discovery Science</t>
        </is>
      </c>
      <c r="C18" t="inlineStr">
        <is>
          <t>Amazon.com</t>
        </is>
      </c>
      <c r="D18" t="inlineStr">
        <is>
          <t>indeed</t>
        </is>
      </c>
      <c r="E18">
        <f>HYPERLINK("https://www.indeed.com/viewjob?jk=45322ba10e12c1fd", "https://www.indeed.com/viewjob?jk=45322ba10e12c1fd")</f>
        <v/>
      </c>
      <c r="F18">
        <f>HYPERLINK("https://www.amazon.jobs/jobs/3059256/sr-applied-scientist-prime-video--personalization-and-discovery-science?cmpid=DA_INAD200785B", "https://www.amazon.jobs/jobs/3059256/sr-applied-scientist-prime-video--personalization-and-discovery-science?cmpid=DA_INAD200785B")</f>
        <v/>
      </c>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in-77c904a820175c19</t>
        </is>
      </c>
      <c r="B19" t="inlineStr">
        <is>
          <t>Applied Scientist II, Prime Video - Personalization and Discovery Science</t>
        </is>
      </c>
      <c r="C19" t="inlineStr">
        <is>
          <t>Amazon.com</t>
        </is>
      </c>
      <c r="D19" t="inlineStr">
        <is>
          <t>indeed</t>
        </is>
      </c>
      <c r="E19">
        <f>HYPERLINK("https://www.indeed.com/viewjob?jk=77c904a820175c19", "https://www.indeed.com/viewjob?jk=77c904a820175c19")</f>
        <v/>
      </c>
      <c r="F19">
        <f>HYPERLINK("https://www.amazon.jobs/jobs/3059253/applied-scientist-ii-prime-video--personalization-and-discovery-science?cmpid=DA_INAD200785B", "https://www.amazon.jobs/jobs/3059253/applied-scientist-ii-prime-video--personalization-and-discovery-science?cmpid=DA_INAD200785B")</f>
        <v/>
      </c>
      <c r="G19" t="inlineStr">
        <is>
          <t>Sunnyvale, CA,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in-5111fb23a3625f7d</t>
        </is>
      </c>
      <c r="B20" t="inlineStr">
        <is>
          <t>Applied Scientist II, Prime Video - Personalization and Discovery Science</t>
        </is>
      </c>
      <c r="C20" t="inlineStr">
        <is>
          <t>Amazon.com</t>
        </is>
      </c>
      <c r="D20" t="inlineStr">
        <is>
          <t>indeed</t>
        </is>
      </c>
      <c r="E20">
        <f>HYPERLINK("https://www.indeed.com/viewjob?jk=5111fb23a3625f7d", "https://www.indeed.com/viewjob?jk=5111fb23a3625f7d")</f>
        <v/>
      </c>
      <c r="F20">
        <f>HYPERLINK("https://www.amazon.jobs/jobs/3059253/applied-scientist-ii-prime-video--personalization-and-discovery-science?cmpid=DA_INAD200785B", "https://www.amazon.jobs/jobs/3059253/applied-scientist-ii-prime-video--personalization-and-discovery-science?cmpid=DA_INAD200785B")</f>
        <v/>
      </c>
      <c r="G20" t="inlineStr">
        <is>
          <t>Seattle, WA,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in-eb1faa68c243f4a6</t>
        </is>
      </c>
      <c r="B21" t="inlineStr">
        <is>
          <t>Sr. Applied Scientist, Prime Video - Personalization and Discovery Science</t>
        </is>
      </c>
      <c r="C21" t="inlineStr">
        <is>
          <t>Amazon.com</t>
        </is>
      </c>
      <c r="D21" t="inlineStr">
        <is>
          <t>indeed</t>
        </is>
      </c>
      <c r="E21">
        <f>HYPERLINK("https://www.indeed.com/viewjob?jk=eb1faa68c243f4a6", "https://www.indeed.com/viewjob?jk=eb1faa68c243f4a6")</f>
        <v/>
      </c>
      <c r="F21">
        <f>HYPERLINK("https://www.amazon.jobs/jobs/3059256/sr-applied-scientist-prime-video--personalization-and-discovery-science?cmpid=DA_INAD200785B", "https://www.amazon.jobs/jobs/3059256/sr-applied-scientist-prime-video--personalization-and-discovery-science?cmpid=DA_INAD200785B")</f>
        <v/>
      </c>
      <c r="G21" t="inlineStr">
        <is>
          <t>Seattle, WA, US</t>
        </is>
      </c>
      <c r="H21" s="1" t="n">
        <v>45881</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in-787ecc1f14e39924</t>
        </is>
      </c>
      <c r="B22" t="inlineStr">
        <is>
          <t>Applied Scientist , Prime Video - Personalization and Discovery Science</t>
        </is>
      </c>
      <c r="C22" t="inlineStr">
        <is>
          <t>Amazon.com</t>
        </is>
      </c>
      <c r="D22" t="inlineStr">
        <is>
          <t>indeed</t>
        </is>
      </c>
      <c r="E22">
        <f>HYPERLINK("https://www.indeed.com/viewjob?jk=787ecc1f14e39924", "https://www.indeed.com/viewjob?jk=787ecc1f14e39924")</f>
        <v/>
      </c>
      <c r="F22">
        <f>HYPERLINK("https://www.amazon.jobs/jobs/3183547/applied-scientist--prime-video--personalization-and-discovery-science?cmpid=DA_INAD200785B", "https://www.amazon.jobs/jobs/3183547/applied-scientist--prime-video--personalization-and-discovery-science?cmpid=DA_INAD200785B")</f>
        <v/>
      </c>
      <c r="G22" t="inlineStr">
        <is>
          <t>Seattle, WA, US</t>
        </is>
      </c>
      <c r="H22" s="1" t="n">
        <v>46069</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3">
      <c r="A23" t="inlineStr">
        <is>
          <t>in-ffea81e72bfd8114</t>
        </is>
      </c>
      <c r="B23" t="inlineStr">
        <is>
          <t>Applied Scientist , Prime Video - Personalization and Discovery Science</t>
        </is>
      </c>
      <c r="C23" t="inlineStr">
        <is>
          <t>Amazon.com</t>
        </is>
      </c>
      <c r="D23" t="inlineStr">
        <is>
          <t>indeed</t>
        </is>
      </c>
      <c r="E23">
        <f>HYPERLINK("https://www.indeed.com/viewjob?jk=ffea81e72bfd8114", "https://www.indeed.com/viewjob?jk=ffea81e72bfd8114")</f>
        <v/>
      </c>
      <c r="F23">
        <f>HYPERLINK("https://www.amazon.jobs/jobs/3183547/applied-scientist--prime-video--personalization-and-discovery-science?cmpid=DA_INAD200785B", "https://www.amazon.jobs/jobs/3183547/applied-scientist--prime-video--personalization-and-discovery-science?cmpid=DA_INAD200785B")</f>
        <v/>
      </c>
      <c r="G23" t="inlineStr">
        <is>
          <t>Sunnyvale, CA, US</t>
        </is>
      </c>
      <c r="H23" s="1" t="n">
        <v>46069</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personalized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**PREFERRED QUALIFICATIONS**
----------------------------
* PhD in computer science, machine learning, engineering, or related fields
* Experience with Machine Learning and Large Language Model fundamentals, including architecture, training/inference lifecycles, and optimization of model execution, or experience in machine learning, data mining, information retrieval, statistics or natural language processing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24">
      <c r="A24" t="inlineStr">
        <is>
          <t>in-ea6dd9d7a9e05ad5</t>
        </is>
      </c>
      <c r="B24" t="inlineStr">
        <is>
          <t>Principal Applied Scientist, AWS Marketplace &amp; Partner Services</t>
        </is>
      </c>
      <c r="C24" t="inlineStr">
        <is>
          <t>Amazon Web Services</t>
        </is>
      </c>
      <c r="D24" t="inlineStr">
        <is>
          <t>indeed</t>
        </is>
      </c>
      <c r="E24">
        <f>HYPERLINK("https://www.indeed.com/viewjob?jk=ea6dd9d7a9e05ad5", "https://www.indeed.com/viewjob?jk=ea6dd9d7a9e05ad5")</f>
        <v/>
      </c>
      <c r="F24">
        <f>HYPERLINK("https://www.amazon.jobs/jobs/3177084/principal-applied-scientist-aws-marketplace--partner-services?cmpid=DA_INAD200785B", "https://www.amazon.jobs/jobs/3177084/principal-applied-scientist-aws-marketplace--partner-services?cmpid=DA_INAD200785B")</f>
        <v/>
      </c>
      <c r="G24" t="inlineStr">
        <is>
          <t>Austin, TX, US</t>
        </is>
      </c>
      <c r="H24" s="1" t="n">
        <v>46056</v>
      </c>
      <c r="I2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5">
      <c r="A25" t="inlineStr">
        <is>
          <t>in-f6a2294147f4a7cd</t>
        </is>
      </c>
      <c r="B25" t="inlineStr">
        <is>
          <t>Principal Applied Scientist, AWS Marketplace &amp; Partner Services</t>
        </is>
      </c>
      <c r="C25" t="inlineStr">
        <is>
          <t>Amazon Web Services</t>
        </is>
      </c>
      <c r="D25" t="inlineStr">
        <is>
          <t>indeed</t>
        </is>
      </c>
      <c r="E25">
        <f>HYPERLINK("https://www.indeed.com/viewjob?jk=f6a2294147f4a7cd", "https://www.indeed.com/viewjob?jk=f6a2294147f4a7cd")</f>
        <v/>
      </c>
      <c r="F25">
        <f>HYPERLINK("https://www.amazon.jobs/jobs/3177084/principal-applied-scientist-aws-marketplace--partner-services?cmpid=DA_INAD200785B", "https://www.amazon.jobs/jobs/3177084/principal-applied-scientist-aws-marketplace--partner-services?cmpid=DA_INAD200785B")</f>
        <v/>
      </c>
      <c r="G25" t="inlineStr">
        <is>
          <t>New York, NY, US</t>
        </is>
      </c>
      <c r="H25" s="1" t="n">
        <v>46056</v>
      </c>
      <c r="I2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6">
      <c r="A26" t="inlineStr">
        <is>
          <t>in-d7dac115e79dcb34</t>
        </is>
      </c>
      <c r="B26" t="inlineStr">
        <is>
          <t>Principal Applied Scientist, AWS Marketplace &amp; Partner Services</t>
        </is>
      </c>
      <c r="C26" t="inlineStr">
        <is>
          <t>Amazon Web Services</t>
        </is>
      </c>
      <c r="D26" t="inlineStr">
        <is>
          <t>indeed</t>
        </is>
      </c>
      <c r="E26">
        <f>HYPERLINK("https://www.indeed.com/viewjob?jk=d7dac115e79dcb34", "https://www.indeed.com/viewjob?jk=d7dac115e79dcb34")</f>
        <v/>
      </c>
      <c r="F26">
        <f>HYPERLINK("https://www.amazon.jobs/jobs/3177084/principal-applied-scientist-aws-marketplace--partner-services?cmpid=DA_INAD200785B", "https://www.amazon.jobs/jobs/3177084/principal-applied-scientist-aws-marketplace--partner-services?cmpid=DA_INAD200785B")</f>
        <v/>
      </c>
      <c r="G26" t="inlineStr">
        <is>
          <t>Seattle, WA, US</t>
        </is>
      </c>
      <c r="H26" s="1" t="n">
        <v>46056</v>
      </c>
      <c r="I2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7">
      <c r="A27" t="inlineStr">
        <is>
          <t>in-dbd9a73e6bd8d218</t>
        </is>
      </c>
      <c r="B27" t="inlineStr">
        <is>
          <t>Principal Applied Scientist, AWS Marketplace &amp; Partner Services</t>
        </is>
      </c>
      <c r="C27" t="inlineStr">
        <is>
          <t>Amazon Web Services</t>
        </is>
      </c>
      <c r="D27" t="inlineStr">
        <is>
          <t>indeed</t>
        </is>
      </c>
      <c r="E27">
        <f>HYPERLINK("https://www.indeed.com/viewjob?jk=dbd9a73e6bd8d218", "https://www.indeed.com/viewjob?jk=dbd9a73e6bd8d218")</f>
        <v/>
      </c>
      <c r="F27">
        <f>HYPERLINK("https://www.amazon.jobs/jobs/3177084/principal-applied-scientist-aws-marketplace--partner-services?cmpid=DA_INAD200785B", "https://www.amazon.jobs/jobs/3177084/principal-applied-scientist-aws-marketplace--partner-services?cmpid=DA_INAD200785B")</f>
        <v/>
      </c>
      <c r="G27" t="inlineStr">
        <is>
          <t>San Diego, CA, US</t>
        </is>
      </c>
      <c r="H27" s="1" t="n">
        <v>46056</v>
      </c>
      <c r="I27"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8">
      <c r="A28" t="inlineStr">
        <is>
          <t>in-3025cc427f4e586f</t>
        </is>
      </c>
      <c r="B28" t="inlineStr">
        <is>
          <t>Sr. Applied Scientist, AWS Healthcare-AI</t>
        </is>
      </c>
      <c r="C28" t="inlineStr">
        <is>
          <t>Amazon.com</t>
        </is>
      </c>
      <c r="D28" t="inlineStr">
        <is>
          <t>indeed</t>
        </is>
      </c>
      <c r="E28">
        <f>HYPERLINK("https://www.indeed.com/viewjob?jk=3025cc427f4e586f", "https://www.indeed.com/viewjob?jk=3025cc427f4e586f")</f>
        <v/>
      </c>
      <c r="F28">
        <f>HYPERLINK("https://www.amazon.jobs/jobs/3179064/sr-applied-scientist-aws-healthcareai?cmpid=DA_INAD200785B", "https://www.amazon.jobs/jobs/3179064/sr-applied-scientist-aws-healthcareai?cmpid=DA_INAD200785B")</f>
        <v/>
      </c>
      <c r="G28" t="inlineStr">
        <is>
          <t>Mountain View, CA, US</t>
        </is>
      </c>
      <c r="H28" s="1" t="n">
        <v>46055</v>
      </c>
      <c r="I2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9">
      <c r="A29" t="inlineStr">
        <is>
          <t>in-bb82333a1f4013a7</t>
        </is>
      </c>
      <c r="B29" t="inlineStr">
        <is>
          <t>Sr. Applied Scientist, AWS Healthcare-AI</t>
        </is>
      </c>
      <c r="C29" t="inlineStr">
        <is>
          <t>Amazon.com</t>
        </is>
      </c>
      <c r="D29" t="inlineStr">
        <is>
          <t>indeed</t>
        </is>
      </c>
      <c r="E29">
        <f>HYPERLINK("https://www.indeed.com/viewjob?jk=bb82333a1f4013a7", "https://www.indeed.com/viewjob?jk=bb82333a1f4013a7")</f>
        <v/>
      </c>
      <c r="F29">
        <f>HYPERLINK("https://www.amazon.jobs/jobs/3179064/sr-applied-scientist-aws-healthcareai?cmpid=DA_INAD200785B", "https://www.amazon.jobs/jobs/3179064/sr-applied-scientist-aws-healthcareai?cmpid=DA_INAD200785B")</f>
        <v/>
      </c>
      <c r="G29" t="inlineStr">
        <is>
          <t>Seattle, WA, US</t>
        </is>
      </c>
      <c r="H29" s="1" t="n">
        <v>46055</v>
      </c>
      <c r="I29"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0">
      <c r="A30" t="inlineStr">
        <is>
          <t>in-2d1c430326cb7a1e</t>
        </is>
      </c>
      <c r="B30" t="inlineStr">
        <is>
          <t>Applied Scientist (Contract), Artificial General Intelligence</t>
        </is>
      </c>
      <c r="C30" t="inlineStr">
        <is>
          <t>Amazon.com</t>
        </is>
      </c>
      <c r="D30" t="inlineStr">
        <is>
          <t>indeed</t>
        </is>
      </c>
      <c r="E30">
        <f>HYPERLINK("https://www.indeed.com/viewjob?jk=2d1c430326cb7a1e", "https://www.indeed.com/viewjob?jk=2d1c430326cb7a1e")</f>
        <v/>
      </c>
      <c r="F30">
        <f>HYPERLINK("https://www.amazon.jobs/jobs/3179168/applied-scientist-contract-artificial-general-intelligence?cmpid=DA_INAD200785B", "https://www.amazon.jobs/jobs/3179168/applied-scientist-contract-artificial-general-intelligence?cmpid=DA_INAD200785B")</f>
        <v/>
      </c>
      <c r="G30" t="inlineStr">
        <is>
          <t>Boston, MA, US</t>
        </is>
      </c>
      <c r="H30" s="1" t="n">
        <v>46055</v>
      </c>
      <c r="I3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1">
      <c r="A31" t="inlineStr">
        <is>
          <t>in-630f5c950b2bad82</t>
        </is>
      </c>
      <c r="B31" t="inlineStr">
        <is>
          <t>Applied Scientist (Contract), Artificial General Intelligence</t>
        </is>
      </c>
      <c r="C31" t="inlineStr">
        <is>
          <t>Amazon.com</t>
        </is>
      </c>
      <c r="D31" t="inlineStr">
        <is>
          <t>indeed</t>
        </is>
      </c>
      <c r="E31">
        <f>HYPERLINK("https://www.indeed.com/viewjob?jk=630f5c950b2bad82", "https://www.indeed.com/viewjob?jk=630f5c950b2bad82")</f>
        <v/>
      </c>
      <c r="F31">
        <f>HYPERLINK("https://www.amazon.jobs/jobs/3179168/applied-scientist-contract-artificial-general-intelligence?cmpid=DA_INAD200785B", "https://www.amazon.jobs/jobs/3179168/applied-scientist-contract-artificial-general-intelligence?cmpid=DA_INAD200785B")</f>
        <v/>
      </c>
      <c r="G31" t="inlineStr">
        <is>
          <t>Bellevue, WA, US</t>
        </is>
      </c>
      <c r="H31" s="1" t="n">
        <v>46055</v>
      </c>
      <c r="I3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2">
      <c r="A32" t="inlineStr">
        <is>
          <t>in-2040517360711fdc</t>
        </is>
      </c>
      <c r="B32" t="inlineStr">
        <is>
          <t>Applied Scientist (Contract), Artificial General Intelligence</t>
        </is>
      </c>
      <c r="C32" t="inlineStr">
        <is>
          <t>Amazon.com</t>
        </is>
      </c>
      <c r="D32" t="inlineStr">
        <is>
          <t>indeed</t>
        </is>
      </c>
      <c r="E32">
        <f>HYPERLINK("https://www.indeed.com/viewjob?jk=2040517360711fdc", "https://www.indeed.com/viewjob?jk=2040517360711fdc")</f>
        <v/>
      </c>
      <c r="F32">
        <f>HYPERLINK("https://www.amazon.jobs/jobs/3179188/applied-scientist-contract-artificial-general-intelligence?cmpid=DA_INAD200785B", "https://www.amazon.jobs/jobs/3179188/applied-scientist-contract-artificial-general-intelligence?cmpid=DA_INAD200785B")</f>
        <v/>
      </c>
      <c r="G32" t="inlineStr">
        <is>
          <t>Bellevue, WA, US</t>
        </is>
      </c>
      <c r="H32" s="1" t="n">
        <v>46055</v>
      </c>
      <c r="I3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3">
      <c r="A33" t="inlineStr">
        <is>
          <t>in-1ff05411dfb96bfa</t>
        </is>
      </c>
      <c r="B33" t="inlineStr">
        <is>
          <t>Applied Scientist (Contract), Artificial General Intelligence</t>
        </is>
      </c>
      <c r="C33" t="inlineStr">
        <is>
          <t>Amazon.com</t>
        </is>
      </c>
      <c r="D33" t="inlineStr">
        <is>
          <t>indeed</t>
        </is>
      </c>
      <c r="E33">
        <f>HYPERLINK("https://www.indeed.com/viewjob?jk=1ff05411dfb96bfa", "https://www.indeed.com/viewjob?jk=1ff05411dfb96bfa")</f>
        <v/>
      </c>
      <c r="F33">
        <f>HYPERLINK("https://www.amazon.jobs/jobs/3179169/applied-scientist-contract-artificial-general-intelligence?cmpid=DA_INAD200785B", "https://www.amazon.jobs/jobs/3179169/applied-scientist-contract-artificial-general-intelligence?cmpid=DA_INAD200785B")</f>
        <v/>
      </c>
      <c r="G33" t="inlineStr">
        <is>
          <t>Bellevue, WA, US</t>
        </is>
      </c>
      <c r="H33" s="1" t="n">
        <v>46055</v>
      </c>
      <c r="I3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4">
      <c r="A34" t="inlineStr">
        <is>
          <t>in-0702c442b8d7ffe8</t>
        </is>
      </c>
      <c r="B34" t="inlineStr">
        <is>
          <t>Applied Scientist (Contract), Artificial General Intelligence</t>
        </is>
      </c>
      <c r="C34" t="inlineStr">
        <is>
          <t>Amazon.com</t>
        </is>
      </c>
      <c r="D34" t="inlineStr">
        <is>
          <t>indeed</t>
        </is>
      </c>
      <c r="E34">
        <f>HYPERLINK("https://www.indeed.com/viewjob?jk=0702c442b8d7ffe8", "https://www.indeed.com/viewjob?jk=0702c442b8d7ffe8")</f>
        <v/>
      </c>
      <c r="F34">
        <f>HYPERLINK("https://www.amazon.jobs/jobs/3179169/applied-scientist-contract-artificial-general-intelligence?cmpid=DA_INAD200785B", "https://www.amazon.jobs/jobs/3179169/applied-scientist-contract-artificial-general-intelligence?cmpid=DA_INAD200785B")</f>
        <v/>
      </c>
      <c r="G34" t="inlineStr">
        <is>
          <t>Boston, MA, US</t>
        </is>
      </c>
      <c r="H34" s="1" t="n">
        <v>46055</v>
      </c>
      <c r="I3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5">
      <c r="A35" t="inlineStr">
        <is>
          <t>in-079acf91d2a8fa54</t>
        </is>
      </c>
      <c r="B35" t="inlineStr">
        <is>
          <t>Applied Scientist (Contract), Artificial General Intelligence</t>
        </is>
      </c>
      <c r="C35" t="inlineStr">
        <is>
          <t>Amazon.com</t>
        </is>
      </c>
      <c r="D35" t="inlineStr">
        <is>
          <t>indeed</t>
        </is>
      </c>
      <c r="E35">
        <f>HYPERLINK("https://www.indeed.com/viewjob?jk=079acf91d2a8fa54", "https://www.indeed.com/viewjob?jk=079acf91d2a8fa54")</f>
        <v/>
      </c>
      <c r="F35">
        <f>HYPERLINK("https://www.amazon.jobs/jobs/3179188/applied-scientist-contract-artificial-general-intelligence?cmpid=DA_INAD200785B", "https://www.amazon.jobs/jobs/3179188/applied-scientist-contract-artificial-general-intelligence?cmpid=DA_INAD200785B")</f>
        <v/>
      </c>
      <c r="G35" t="inlineStr">
        <is>
          <t>Boston, MA, US</t>
        </is>
      </c>
      <c r="H35" s="1" t="n">
        <v>46055</v>
      </c>
      <c r="I3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6">
      <c r="A36" t="inlineStr">
        <is>
          <t>in-5acbc18e22dfba7a</t>
        </is>
      </c>
      <c r="B36" t="inlineStr">
        <is>
          <t>Applied Scientist (Contract), Artificial General Intelligence</t>
        </is>
      </c>
      <c r="C36" t="inlineStr">
        <is>
          <t>Amazon.com</t>
        </is>
      </c>
      <c r="D36" t="inlineStr">
        <is>
          <t>indeed</t>
        </is>
      </c>
      <c r="E36">
        <f>HYPERLINK("https://www.indeed.com/viewjob?jk=5acbc18e22dfba7a", "https://www.indeed.com/viewjob?jk=5acbc18e22dfba7a")</f>
        <v/>
      </c>
      <c r="F36">
        <f>HYPERLINK("https://www.amazon.jobs/jobs/3179187/applied-scientist-contract-artificial-general-intelligence?cmpid=DA_INAD200785B", "https://www.amazon.jobs/jobs/3179187/applied-scientist-contract-artificial-general-intelligence?cmpid=DA_INAD200785B")</f>
        <v/>
      </c>
      <c r="G36" t="inlineStr">
        <is>
          <t>Bellevue, WA, US</t>
        </is>
      </c>
      <c r="H36" s="1" t="n">
        <v>46051</v>
      </c>
      <c r="I3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7">
      <c r="A37" t="inlineStr">
        <is>
          <t>in-6f8d15b9eb75f63e</t>
        </is>
      </c>
      <c r="B37" t="inlineStr">
        <is>
          <t>Applied Scientist (Contract), Artificial General Intelligence</t>
        </is>
      </c>
      <c r="C37" t="inlineStr">
        <is>
          <t>Amazon.com</t>
        </is>
      </c>
      <c r="D37" t="inlineStr">
        <is>
          <t>indeed</t>
        </is>
      </c>
      <c r="E37">
        <f>HYPERLINK("https://www.indeed.com/viewjob?jk=6f8d15b9eb75f63e", "https://www.indeed.com/viewjob?jk=6f8d15b9eb75f63e")</f>
        <v/>
      </c>
      <c r="F37">
        <f>HYPERLINK("https://www.amazon.jobs/jobs/3179187/applied-scientist-contract-artificial-general-intelligence?cmpid=DA_INAD200785B", "https://www.amazon.jobs/jobs/3179187/applied-scientist-contract-artificial-general-intelligence?cmpid=DA_INAD200785B")</f>
        <v/>
      </c>
      <c r="G37" t="inlineStr">
        <is>
          <t>Boston, MA, US</t>
        </is>
      </c>
      <c r="H37" s="1" t="n">
        <v>46051</v>
      </c>
      <c r="I3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8">
      <c r="A38" t="inlineStr">
        <is>
          <t>in-0882c387f03ef338</t>
        </is>
      </c>
      <c r="B38" t="inlineStr">
        <is>
          <t>Sr. Applied Scientist - SLAM, Amazon Industrial Robotics</t>
        </is>
      </c>
      <c r="C38" t="inlineStr">
        <is>
          <t>Amazon.com</t>
        </is>
      </c>
      <c r="D38" t="inlineStr">
        <is>
          <t>indeed</t>
        </is>
      </c>
      <c r="E38">
        <f>HYPERLINK("https://www.indeed.com/viewjob?jk=0882c387f03ef338", "https://www.indeed.com/viewjob?jk=0882c387f03ef338")</f>
        <v/>
      </c>
      <c r="F38">
        <f>HYPERLINK("https://www.amazon.jobs/jobs/3172078/sr-applied-scientist--slam-amazon-industrial-robotics?cmpid=DA_INAD200785B", "https://www.amazon.jobs/jobs/3172078/sr-applied-scientist--slam-amazon-industrial-robotics?cmpid=DA_INAD200785B")</f>
        <v/>
      </c>
      <c r="G38" t="inlineStr">
        <is>
          <t>Reading, MA, US</t>
        </is>
      </c>
      <c r="H38" s="1" t="n">
        <v>46050</v>
      </c>
      <c r="I3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9">
      <c r="A39" t="inlineStr">
        <is>
          <t>in-1437a509c5a3576b</t>
        </is>
      </c>
      <c r="B39" t="inlineStr">
        <is>
          <t>Sr. Applied Scientist - SLAM, Amazon Industrial Robotics</t>
        </is>
      </c>
      <c r="C39" t="inlineStr">
        <is>
          <t>Amazon.com</t>
        </is>
      </c>
      <c r="D39" t="inlineStr">
        <is>
          <t>indeed</t>
        </is>
      </c>
      <c r="E39">
        <f>HYPERLINK("https://www.indeed.com/viewjob?jk=1437a509c5a3576b", "https://www.indeed.com/viewjob?jk=1437a509c5a3576b")</f>
        <v/>
      </c>
      <c r="F39">
        <f>HYPERLINK("https://www.amazon.jobs/jobs/3172078/sr-applied-scientist--slam-amazon-industrial-robotics?cmpid=DA_INAD200785B", "https://www.amazon.jobs/jobs/3172078/sr-applied-scientist--slam-amazon-industrial-robotics?cmpid=DA_INAD200785B")</f>
        <v/>
      </c>
      <c r="G39" t="inlineStr">
        <is>
          <t>Reading, MA, US</t>
        </is>
      </c>
      <c r="H39" s="1" t="n">
        <v>46050</v>
      </c>
      <c r="I3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0">
      <c r="A40" t="inlineStr">
        <is>
          <t>in-be911b29c6d87f96</t>
        </is>
      </c>
      <c r="B40" t="inlineStr">
        <is>
          <t>Principal Applied Scientist, Sensing, Industrial Robotics Group</t>
        </is>
      </c>
      <c r="C40" t="inlineStr">
        <is>
          <t>Amazon.com</t>
        </is>
      </c>
      <c r="D40" t="inlineStr">
        <is>
          <t>indeed</t>
        </is>
      </c>
      <c r="E40">
        <f>HYPERLINK("https://www.indeed.com/viewjob?jk=be911b29c6d87f96", "https://www.indeed.com/viewjob?jk=be911b29c6d87f96")</f>
        <v/>
      </c>
      <c r="F40">
        <f>HYPERLINK("https://www.amazon.jobs/jobs/3170953/principal-applied-scientist-sensing-industrial-robotics-group-?cmpid=DA_INAD200785B", "https://www.amazon.jobs/jobs/3170953/principal-applied-scientist-sensing-industrial-robotics-group-?cmpid=DA_INAD200785B")</f>
        <v/>
      </c>
      <c r="G40" t="inlineStr">
        <is>
          <t>Reading, MA, US</t>
        </is>
      </c>
      <c r="H40" s="1" t="n">
        <v>46050</v>
      </c>
      <c r="I4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1">
      <c r="A41" t="inlineStr">
        <is>
          <t>in-005f361a98bcc081</t>
        </is>
      </c>
      <c r="B41" t="inlineStr">
        <is>
          <t>Principal Applied Scientist, Sensing, Industrial Robotics Group</t>
        </is>
      </c>
      <c r="C41" t="inlineStr">
        <is>
          <t>Amazon.com</t>
        </is>
      </c>
      <c r="D41" t="inlineStr">
        <is>
          <t>indeed</t>
        </is>
      </c>
      <c r="E41">
        <f>HYPERLINK("https://www.indeed.com/viewjob?jk=005f361a98bcc081", "https://www.indeed.com/viewjob?jk=005f361a98bcc081")</f>
        <v/>
      </c>
      <c r="F41">
        <f>HYPERLINK("https://www.amazon.jobs/jobs/3170953/principal-applied-scientist-sensing-industrial-robotics-group-?cmpid=DA_INAD200785B", "https://www.amazon.jobs/jobs/3170953/principal-applied-scientist-sensing-industrial-robotics-group-?cmpid=DA_INAD200785B")</f>
        <v/>
      </c>
      <c r="G41" t="inlineStr">
        <is>
          <t>Reading, MA, US</t>
        </is>
      </c>
      <c r="H41" s="1" t="n">
        <v>46050</v>
      </c>
      <c r="I41"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2">
      <c r="A42" t="inlineStr">
        <is>
          <t>in-68e863213d5860a8</t>
        </is>
      </c>
      <c r="B42" t="inlineStr">
        <is>
          <t>Applied Scientist II, Prime Video Personalization and Discovery Science</t>
        </is>
      </c>
      <c r="C42" t="inlineStr">
        <is>
          <t>Amazon.com</t>
        </is>
      </c>
      <c r="D42" t="inlineStr">
        <is>
          <t>indeed</t>
        </is>
      </c>
      <c r="E42">
        <f>HYPERLINK("https://www.indeed.com/viewjob?jk=68e863213d5860a8", "https://www.indeed.com/viewjob?jk=68e863213d5860a8")</f>
        <v/>
      </c>
      <c r="F42">
        <f>HYPERLINK("https://www.amazon.jobs/jobs/3168905/applied-scientist-ii-prime-video-personalization-and-discovery-science?cmpid=DA_INAD200785B", "https://www.amazon.jobs/jobs/3168905/applied-scientist-ii-prime-video-personalization-and-discovery-science?cmpid=DA_INAD200785B")</f>
        <v/>
      </c>
      <c r="G42" t="inlineStr">
        <is>
          <t>New York, NY, US</t>
        </is>
      </c>
      <c r="H42" s="1" t="n">
        <v>46047</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3">
      <c r="A43" t="inlineStr">
        <is>
          <t>in-51f0e21e7f3c5c5f</t>
        </is>
      </c>
      <c r="B43" t="inlineStr">
        <is>
          <t>Applied Scientist, Amazon Connect</t>
        </is>
      </c>
      <c r="C43" t="inlineStr">
        <is>
          <t>Amazon Web Services</t>
        </is>
      </c>
      <c r="D43" t="inlineStr">
        <is>
          <t>indeed</t>
        </is>
      </c>
      <c r="E43">
        <f>HYPERLINK("https://www.indeed.com/viewjob?jk=51f0e21e7f3c5c5f", "https://www.indeed.com/viewjob?jk=51f0e21e7f3c5c5f")</f>
        <v/>
      </c>
      <c r="F43">
        <f>HYPERLINK("https://www.amazon.jobs/jobs/3168981/applied-scientist-amazon-connect?cmpid=DA_INAD200785B", "https://www.amazon.jobs/jobs/3168981/applied-scientist-amazon-connect?cmpid=DA_INAD200785B")</f>
        <v/>
      </c>
      <c r="G43" t="inlineStr">
        <is>
          <t>Seattle, WA,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in-95df93ab7c6a9626</t>
        </is>
      </c>
      <c r="B44" t="inlineStr">
        <is>
          <t>Applied Scientist II, Prime Video Personalization and Discovery Science</t>
        </is>
      </c>
      <c r="C44" t="inlineStr">
        <is>
          <t>Amazon.com</t>
        </is>
      </c>
      <c r="D44" t="inlineStr">
        <is>
          <t>indeed</t>
        </is>
      </c>
      <c r="E44">
        <f>HYPERLINK("https://www.indeed.com/viewjob?jk=95df93ab7c6a9626", "https://www.indeed.com/viewjob?jk=95df93ab7c6a9626")</f>
        <v/>
      </c>
      <c r="F44">
        <f>HYPERLINK("https://www.amazon.jobs/jobs/3168905/applied-scientist-ii-prime-video-personalization-and-discovery-science?cmpid=DA_INAD200785B", "https://www.amazon.jobs/jobs/3168905/applied-scientist-ii-prime-video-personalization-and-discovery-science?cmpid=DA_INAD200785B")</f>
        <v/>
      </c>
      <c r="G44" t="inlineStr">
        <is>
          <t>Sunnyvale, CA, US</t>
        </is>
      </c>
      <c r="H44" s="1" t="n">
        <v>46047</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in-5665d9fd2e17a959</t>
        </is>
      </c>
      <c r="B45" t="inlineStr">
        <is>
          <t>Applied Scientist II, Prime Video Personalization and Discovery Science</t>
        </is>
      </c>
      <c r="C45" t="inlineStr">
        <is>
          <t>Amazon.com</t>
        </is>
      </c>
      <c r="D45" t="inlineStr">
        <is>
          <t>indeed</t>
        </is>
      </c>
      <c r="E45">
        <f>HYPERLINK("https://www.indeed.com/viewjob?jk=5665d9fd2e17a959", "https://www.indeed.com/viewjob?jk=5665d9fd2e17a959")</f>
        <v/>
      </c>
      <c r="F45">
        <f>HYPERLINK("https://www.amazon.jobs/jobs/3168905/applied-scientist-ii-prime-video-personalization-and-discovery-science?cmpid=DA_INAD200785B", "https://www.amazon.jobs/jobs/3168905/applied-scientist-ii-prime-video-personalization-and-discovery-science?cmpid=DA_INAD200785B")</f>
        <v/>
      </c>
      <c r="G45" t="inlineStr">
        <is>
          <t>Seattle, WA, US</t>
        </is>
      </c>
      <c r="H45" s="1" t="n">
        <v>46047</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in-b5abd471c926a4df</t>
        </is>
      </c>
      <c r="B46" t="inlineStr">
        <is>
          <t>Applied Scientist, Amazon Connect</t>
        </is>
      </c>
      <c r="C46" t="inlineStr">
        <is>
          <t>Amazon Web Services</t>
        </is>
      </c>
      <c r="D46" t="inlineStr">
        <is>
          <t>indeed</t>
        </is>
      </c>
      <c r="E46">
        <f>HYPERLINK("https://www.indeed.com/viewjob?jk=b5abd471c926a4df", "https://www.indeed.com/viewjob?jk=b5abd471c926a4df")</f>
        <v/>
      </c>
      <c r="F46">
        <f>HYPERLINK("https://www.amazon.jobs/jobs/3168981/applied-scientist-amazon-connect?cmpid=DA_INAD200785B", "https://www.amazon.jobs/jobs/3168981/applied-scientist-amazon-connect?cmpid=DA_INAD200785B")</f>
        <v/>
      </c>
      <c r="G46" t="inlineStr">
        <is>
          <t>New York, NY, US</t>
        </is>
      </c>
      <c r="H46" s="1" t="n">
        <v>46047</v>
      </c>
      <c r="I4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7">
      <c r="A47" t="inlineStr">
        <is>
          <t>in-3561a5c31072af83</t>
        </is>
      </c>
      <c r="B47" t="inlineStr">
        <is>
          <t>Applied Scientist, Safety ML</t>
        </is>
      </c>
      <c r="C47" t="inlineStr">
        <is>
          <t>Amazon.com</t>
        </is>
      </c>
      <c r="D47" t="inlineStr">
        <is>
          <t>indeed</t>
        </is>
      </c>
      <c r="E47">
        <f>HYPERLINK("https://www.indeed.com/viewjob?jk=3561a5c31072af83", "https://www.indeed.com/viewjob?jk=3561a5c31072af83")</f>
        <v/>
      </c>
      <c r="F47">
        <f>HYPERLINK("https://www.amazon.jobs/jobs/3161224/applied-scientist-safety-ml?cmpid=DA_INAD200785B", "https://www.amazon.jobs/jobs/3161224/applied-scientist-safety-ml?cmpid=DA_INAD200785B")</f>
        <v/>
      </c>
      <c r="G47" t="inlineStr">
        <is>
          <t>Seattle, WA, US</t>
        </is>
      </c>
      <c r="H47" s="1" t="n">
        <v>46037</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8">
      <c r="A48" t="inlineStr">
        <is>
          <t>in-bd63930db17dd217</t>
        </is>
      </c>
      <c r="B48" t="inlineStr">
        <is>
          <t>Applied Scientist, Safety ML</t>
        </is>
      </c>
      <c r="C48" t="inlineStr">
        <is>
          <t>Amazon.com</t>
        </is>
      </c>
      <c r="D48" t="inlineStr">
        <is>
          <t>indeed</t>
        </is>
      </c>
      <c r="E48">
        <f>HYPERLINK("https://www.indeed.com/viewjob?jk=bd63930db17dd217", "https://www.indeed.com/viewjob?jk=bd63930db17dd217")</f>
        <v/>
      </c>
      <c r="F48">
        <f>HYPERLINK("https://www.amazon.jobs/jobs/3161224/applied-scientist-safety-ml?cmpid=DA_INAD200785B", "https://www.amazon.jobs/jobs/3161224/applied-scientist-safety-ml?cmpid=DA_INAD200785B")</f>
        <v/>
      </c>
      <c r="G48" t="inlineStr">
        <is>
          <t>San Francisco, CA, US</t>
        </is>
      </c>
      <c r="H48" s="1" t="n">
        <v>46037</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9">
      <c r="A49" t="inlineStr">
        <is>
          <t>in-ac6ea8afa83dd48f</t>
        </is>
      </c>
      <c r="B49" t="inlineStr">
        <is>
          <t>Principal Applied Scientist, Measurement, AdTech and Data Science, Ads Performance Measurement</t>
        </is>
      </c>
      <c r="C49" t="inlineStr">
        <is>
          <t>Amazon.com</t>
        </is>
      </c>
      <c r="D49" t="inlineStr">
        <is>
          <t>indeed</t>
        </is>
      </c>
      <c r="E49">
        <f>HYPERLINK("https://www.indeed.com/viewjob?jk=ac6ea8afa83dd48f", "https://www.indeed.com/viewjob?jk=ac6ea8afa83dd48f")</f>
        <v/>
      </c>
      <c r="F49">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49" t="inlineStr">
        <is>
          <t>Palo Alto, CA, US</t>
        </is>
      </c>
      <c r="H49" s="1" t="n">
        <v>46037</v>
      </c>
      <c r="I49"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0">
      <c r="A50" t="inlineStr">
        <is>
          <t>in-52baad91ec895170</t>
        </is>
      </c>
      <c r="B50" t="inlineStr">
        <is>
          <t>Principal Applied Scientist, Measurement, AdTech and Data Science, Ads Performance Measurement</t>
        </is>
      </c>
      <c r="C50" t="inlineStr">
        <is>
          <t>Amazon.com</t>
        </is>
      </c>
      <c r="D50" t="inlineStr">
        <is>
          <t>indeed</t>
        </is>
      </c>
      <c r="E50">
        <f>HYPERLINK("https://www.indeed.com/viewjob?jk=52baad91ec895170", "https://www.indeed.com/viewjob?jk=52baad91ec895170")</f>
        <v/>
      </c>
      <c r="F50">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50" t="inlineStr">
        <is>
          <t>New York, NY, US</t>
        </is>
      </c>
      <c r="H50" s="1" t="n">
        <v>46037</v>
      </c>
      <c r="I5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1">
      <c r="A51" t="inlineStr">
        <is>
          <t>in-6ee5d6d4e05eae96</t>
        </is>
      </c>
      <c r="B51" t="inlineStr">
        <is>
          <t>Principal Applied Scientist, Measurement, AdTech and Data Science, Ads Performance Measurement</t>
        </is>
      </c>
      <c r="C51" t="inlineStr">
        <is>
          <t>Amazon.com</t>
        </is>
      </c>
      <c r="D51" t="inlineStr">
        <is>
          <t>indeed</t>
        </is>
      </c>
      <c r="E51">
        <f>HYPERLINK("https://www.indeed.com/viewjob?jk=6ee5d6d4e05eae96", "https://www.indeed.com/viewjob?jk=6ee5d6d4e05eae96")</f>
        <v/>
      </c>
      <c r="F51">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51" t="inlineStr">
        <is>
          <t>Seattle, WA, US</t>
        </is>
      </c>
      <c r="H51" s="1" t="n">
        <v>46037</v>
      </c>
      <c r="I5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2">
      <c r="A52" t="inlineStr">
        <is>
          <t>in-905e57058fad2aa0</t>
        </is>
      </c>
      <c r="B52" t="inlineStr">
        <is>
          <t>Applied Scientist, LLM Code Agents, Kiro Science</t>
        </is>
      </c>
      <c r="C52" t="inlineStr">
        <is>
          <t>Amazon.com</t>
        </is>
      </c>
      <c r="D52" t="inlineStr">
        <is>
          <t>indeed</t>
        </is>
      </c>
      <c r="E52">
        <f>HYPERLINK("https://www.indeed.com/viewjob?jk=905e57058fad2aa0", "https://www.indeed.com/viewjob?jk=905e57058fad2aa0")</f>
        <v/>
      </c>
      <c r="F52">
        <f>HYPERLINK("https://www.amazon.jobs/jobs/3161363/applied-scientist-llm-code-agents-kiro-science?cmpid=DA_INAD200785B", "https://www.amazon.jobs/jobs/3161363/applied-scientist-llm-code-agents-kiro-science?cmpid=DA_INAD200785B")</f>
        <v/>
      </c>
      <c r="G52" t="inlineStr">
        <is>
          <t>Santa Clara, CA, US</t>
        </is>
      </c>
      <c r="H52" s="1" t="n">
        <v>46035</v>
      </c>
      <c r="I5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3">
      <c r="A53" t="inlineStr">
        <is>
          <t>in-0ab8c97a863cedfa</t>
        </is>
      </c>
      <c r="B53" t="inlineStr">
        <is>
          <t>Applied Scientist, LLM Code Agents, Kiro Science</t>
        </is>
      </c>
      <c r="C53" t="inlineStr">
        <is>
          <t>Amazon.com</t>
        </is>
      </c>
      <c r="D53" t="inlineStr">
        <is>
          <t>indeed</t>
        </is>
      </c>
      <c r="E53">
        <f>HYPERLINK("https://www.indeed.com/viewjob?jk=0ab8c97a863cedfa", "https://www.indeed.com/viewjob?jk=0ab8c97a863cedfa")</f>
        <v/>
      </c>
      <c r="F53">
        <f>HYPERLINK("https://www.amazon.jobs/jobs/3161363/applied-scientist-llm-code-agents-kiro-science?cmpid=DA_INAD200785B", "https://www.amazon.jobs/jobs/3161363/applied-scientist-llm-code-agents-kiro-science?cmpid=DA_INAD200785B")</f>
        <v/>
      </c>
      <c r="G53" t="inlineStr">
        <is>
          <t>Seattle, WA, US</t>
        </is>
      </c>
      <c r="H53" s="1" t="n">
        <v>46035</v>
      </c>
      <c r="I5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4">
      <c r="A54" t="inlineStr">
        <is>
          <t>in-8d301e607679fa49</t>
        </is>
      </c>
      <c r="B54" t="inlineStr">
        <is>
          <t>Applied Scientist II, Prime Video Personalization and Discovery Science</t>
        </is>
      </c>
      <c r="C54" t="inlineStr">
        <is>
          <t>Amazon.com</t>
        </is>
      </c>
      <c r="D54" t="inlineStr">
        <is>
          <t>indeed</t>
        </is>
      </c>
      <c r="E54">
        <f>HYPERLINK("https://www.indeed.com/viewjob?jk=8d301e607679fa49", "https://www.indeed.com/viewjob?jk=8d301e607679fa49")</f>
        <v/>
      </c>
      <c r="F54">
        <f>HYPERLINK("https://www.amazon.jobs/jobs/3165157/applied-scientist-ii-prime-video-personalization-and-discovery-science?cmpid=DA_INAD200785B", "https://www.amazon.jobs/jobs/3165157/applied-scientist-ii-prime-video-personalization-and-discovery-science?cmpid=DA_INAD200785B")</f>
        <v/>
      </c>
      <c r="G54" t="inlineStr">
        <is>
          <t>Sunnyvale, CA, US</t>
        </is>
      </c>
      <c r="H54" s="1" t="n">
        <v>46034</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in-ec61f7b5dc2c820d</t>
        </is>
      </c>
      <c r="B55" t="inlineStr">
        <is>
          <t>Applied Scientist II, Prime Video Personalization and Discovery Science</t>
        </is>
      </c>
      <c r="C55" t="inlineStr">
        <is>
          <t>Amazon.com</t>
        </is>
      </c>
      <c r="D55" t="inlineStr">
        <is>
          <t>indeed</t>
        </is>
      </c>
      <c r="E55">
        <f>HYPERLINK("https://www.indeed.com/viewjob?jk=ec61f7b5dc2c820d", "https://www.indeed.com/viewjob?jk=ec61f7b5dc2c820d")</f>
        <v/>
      </c>
      <c r="F55">
        <f>HYPERLINK("https://www.amazon.jobs/jobs/3165157/applied-scientist-ii-prime-video-personalization-and-discovery-science?cmpid=DA_INAD200785B", "https://www.amazon.jobs/jobs/3165157/applied-scientist-ii-prime-video-personalization-and-discovery-science?cmpid=DA_INAD200785B")</f>
        <v/>
      </c>
      <c r="G55" t="inlineStr">
        <is>
          <t>Seattle, WA, US</t>
        </is>
      </c>
      <c r="H55" s="1" t="n">
        <v>46034</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in-3643167d673ea1ea</t>
        </is>
      </c>
      <c r="B56" t="inlineStr">
        <is>
          <t>Applied Scientist, Alexa Smart Home</t>
        </is>
      </c>
      <c r="C56" t="inlineStr">
        <is>
          <t>Amazon.com</t>
        </is>
      </c>
      <c r="D56" t="inlineStr">
        <is>
          <t>indeed</t>
        </is>
      </c>
      <c r="E56">
        <f>HYPERLINK("https://www.indeed.com/viewjob?jk=3643167d673ea1ea", "https://www.indeed.com/viewjob?jk=3643167d673ea1ea")</f>
        <v/>
      </c>
      <c r="F56">
        <f>HYPERLINK("https://www.amazon.jobs/jobs/3169205/applied-scientist-alexa-smart-home?cmpid=DA_INAD200785B", "https://www.amazon.jobs/jobs/3169205/applied-scientist-alexa-smart-home?cmpid=DA_INAD200785B")</f>
        <v/>
      </c>
      <c r="G56" t="inlineStr">
        <is>
          <t>Sunnyvale, CA, US</t>
        </is>
      </c>
      <c r="H56" s="1" t="n">
        <v>46033</v>
      </c>
      <c r="I5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7">
      <c r="A57" t="inlineStr">
        <is>
          <t>in-0189346132506ebd</t>
        </is>
      </c>
      <c r="B57" t="inlineStr">
        <is>
          <t>Applied Scientist, Alexa Smart Home</t>
        </is>
      </c>
      <c r="C57" t="inlineStr">
        <is>
          <t>Amazon.com</t>
        </is>
      </c>
      <c r="D57" t="inlineStr">
        <is>
          <t>indeed</t>
        </is>
      </c>
      <c r="E57">
        <f>HYPERLINK("https://www.indeed.com/viewjob?jk=0189346132506ebd", "https://www.indeed.com/viewjob?jk=0189346132506ebd")</f>
        <v/>
      </c>
      <c r="F57">
        <f>HYPERLINK("https://www.amazon.jobs/jobs/3169205/applied-scientist-alexa-smart-home?cmpid=DA_INAD200785B", "https://www.amazon.jobs/jobs/3169205/applied-scientist-alexa-smart-home?cmpid=DA_INAD200785B")</f>
        <v/>
      </c>
      <c r="G57" t="inlineStr">
        <is>
          <t>Seattle, WA, US</t>
        </is>
      </c>
      <c r="H57" s="1" t="n">
        <v>46033</v>
      </c>
      <c r="I5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8">
      <c r="A58" t="inlineStr">
        <is>
          <t>in-2f3b799c62d61bd4</t>
        </is>
      </c>
      <c r="B58" t="inlineStr">
        <is>
          <t>Applied Scientist, AWS Applied AI Solutions</t>
        </is>
      </c>
      <c r="C58" t="inlineStr">
        <is>
          <t>Amazon Web Services</t>
        </is>
      </c>
      <c r="D58" t="inlineStr">
        <is>
          <t>indeed</t>
        </is>
      </c>
      <c r="E58">
        <f>HYPERLINK("https://www.indeed.com/viewjob?jk=2f3b799c62d61bd4", "https://www.indeed.com/viewjob?jk=2f3b799c62d61bd4")</f>
        <v/>
      </c>
      <c r="F58">
        <f>HYPERLINK("https://www.amazon.jobs/jobs/3166907/applied-scientist-aws-applied-ai-solutions?cmpid=DA_INAD200785B", "https://www.amazon.jobs/jobs/3166907/applied-scientist-aws-applied-ai-solutions?cmpid=DA_INAD200785B")</f>
        <v/>
      </c>
      <c r="G58" t="inlineStr">
        <is>
          <t>New York, NY, US</t>
        </is>
      </c>
      <c r="H58" s="1" t="n">
        <v>46030</v>
      </c>
      <c r="I5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9">
      <c r="A59" t="inlineStr">
        <is>
          <t>in-a6a77f23b0df036a</t>
        </is>
      </c>
      <c r="B59" t="inlineStr">
        <is>
          <t>Applied Scientist, AWS Applied AI Solutions</t>
        </is>
      </c>
      <c r="C59" t="inlineStr">
        <is>
          <t>Amazon Web Services</t>
        </is>
      </c>
      <c r="D59" t="inlineStr">
        <is>
          <t>indeed</t>
        </is>
      </c>
      <c r="E59">
        <f>HYPERLINK("https://www.indeed.com/viewjob?jk=a6a77f23b0df036a", "https://www.indeed.com/viewjob?jk=a6a77f23b0df036a")</f>
        <v/>
      </c>
      <c r="F59">
        <f>HYPERLINK("https://www.amazon.jobs/jobs/3166907/applied-scientist-aws-applied-ai-solutions?cmpid=DA_INAD200785B", "https://www.amazon.jobs/jobs/3166907/applied-scientist-aws-applied-ai-solutions?cmpid=DA_INAD200785B")</f>
        <v/>
      </c>
      <c r="G59" t="inlineStr">
        <is>
          <t>Seattle, WA, US</t>
        </is>
      </c>
      <c r="H59" s="1" t="n">
        <v>46030</v>
      </c>
      <c r="I5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in-641e97a49eb73528</t>
        </is>
      </c>
      <c r="B60" t="inlineStr">
        <is>
          <t>Applied Scientist II, Prime Video Personalization and Discovery Science</t>
        </is>
      </c>
      <c r="C60" t="inlineStr">
        <is>
          <t>Amazon.com</t>
        </is>
      </c>
      <c r="D60" t="inlineStr">
        <is>
          <t>indeed</t>
        </is>
      </c>
      <c r="E60">
        <f>HYPERLINK("https://www.indeed.com/viewjob?jk=641e97a49eb73528", "https://www.indeed.com/viewjob?jk=641e97a49eb73528")</f>
        <v/>
      </c>
      <c r="F60">
        <f>HYPERLINK("https://www.amazon.jobs/jobs/3155448/applied-scientist-ii-prime-video-personalization-and-discovery-science?cmpid=DA_INAD200785B", "https://www.amazon.jobs/jobs/3155448/applied-scientist-ii-prime-video-personalization-and-discovery-science?cmpid=DA_INAD200785B")</f>
        <v/>
      </c>
      <c r="G60" t="inlineStr">
        <is>
          <t>Seattle, WA, US</t>
        </is>
      </c>
      <c r="H60" s="1" t="n">
        <v>46028</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in-59893c43d580a091</t>
        </is>
      </c>
      <c r="B61" t="inlineStr">
        <is>
          <t>Applied Scientist II, Prime Video Personalization and Discovery Science</t>
        </is>
      </c>
      <c r="C61" t="inlineStr">
        <is>
          <t>Amazon.com</t>
        </is>
      </c>
      <c r="D61" t="inlineStr">
        <is>
          <t>indeed</t>
        </is>
      </c>
      <c r="E61">
        <f>HYPERLINK("https://www.indeed.com/viewjob?jk=59893c43d580a091", "https://www.indeed.com/viewjob?jk=59893c43d580a091")</f>
        <v/>
      </c>
      <c r="F61">
        <f>HYPERLINK("https://www.amazon.jobs/jobs/3155448/applied-scientist-ii-prime-video-personalization-and-discovery-science?cmpid=DA_INAD200785B", "https://www.amazon.jobs/jobs/3155448/applied-scientist-ii-prime-video-personalization-and-discovery-science?cmpid=DA_INAD200785B")</f>
        <v/>
      </c>
      <c r="G61" t="inlineStr">
        <is>
          <t>New York, NY, US</t>
        </is>
      </c>
      <c r="H61" s="1" t="n">
        <v>46028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2">
      <c r="A62" t="inlineStr">
        <is>
          <t>in-b1397c3ccd57dca1</t>
        </is>
      </c>
      <c r="B62" t="inlineStr">
        <is>
          <t>Applied Scientist II, Prime Video Personalization and Discovery Science</t>
        </is>
      </c>
      <c r="C62" t="inlineStr">
        <is>
          <t>Amazon.com</t>
        </is>
      </c>
      <c r="D62" t="inlineStr">
        <is>
          <t>indeed</t>
        </is>
      </c>
      <c r="E62">
        <f>HYPERLINK("https://www.indeed.com/viewjob?jk=b1397c3ccd57dca1", "https://www.indeed.com/viewjob?jk=b1397c3ccd57dca1")</f>
        <v/>
      </c>
      <c r="F62">
        <f>HYPERLINK("https://www.amazon.jobs/jobs/3155448/applied-scientist-ii-prime-video-personalization-and-discovery-science?cmpid=DA_INAD200785B", "https://www.amazon.jobs/jobs/3155448/applied-scientist-ii-prime-video-personalization-and-discovery-science?cmpid=DA_INAD200785B")</f>
        <v/>
      </c>
      <c r="G62" t="inlineStr">
        <is>
          <t>Sunnyvale, CA, US</t>
        </is>
      </c>
      <c r="H62" s="1" t="n">
        <v>46028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3">
      <c r="A63" t="inlineStr">
        <is>
          <t>in-924dc1f62d5332d6</t>
        </is>
      </c>
      <c r="B63" t="inlineStr">
        <is>
          <t>Applied Scientist II, Locomotion, Amazon Industrial Robotics</t>
        </is>
      </c>
      <c r="C63" t="inlineStr">
        <is>
          <t>Amazon.com</t>
        </is>
      </c>
      <c r="D63" t="inlineStr">
        <is>
          <t>indeed</t>
        </is>
      </c>
      <c r="E63">
        <f>HYPERLINK("https://www.indeed.com/viewjob?jk=924dc1f62d5332d6", "https://www.indeed.com/viewjob?jk=924dc1f62d5332d6")</f>
        <v/>
      </c>
      <c r="F63">
        <f>HYPERLINK("https://www.amazon.jobs/jobs/3154607/applied-scientist-ii-locomotion-amazon-industrial-robotics?cmpid=DA_INAD200785B", "https://www.amazon.jobs/jobs/3154607/applied-scientist-ii-locomotion-amazon-industrial-robotics?cmpid=DA_INAD200785B")</f>
        <v/>
      </c>
      <c r="G63" t="inlineStr">
        <is>
          <t>Reading, MA, US</t>
        </is>
      </c>
      <c r="H63" s="1" t="n">
        <v>46028</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64">
      <c r="A64" t="inlineStr">
        <is>
          <t>in-89330c3b37ccbdce</t>
        </is>
      </c>
      <c r="B64" t="inlineStr">
        <is>
          <t>Applied Scientist II, Locomotion, Amazon Industrial Robotics</t>
        </is>
      </c>
      <c r="C64" t="inlineStr">
        <is>
          <t>Amazon.com</t>
        </is>
      </c>
      <c r="D64" t="inlineStr">
        <is>
          <t>indeed</t>
        </is>
      </c>
      <c r="E64">
        <f>HYPERLINK("https://www.indeed.com/viewjob?jk=89330c3b37ccbdce", "https://www.indeed.com/viewjob?jk=89330c3b37ccbdce")</f>
        <v/>
      </c>
      <c r="F64">
        <f>HYPERLINK("https://www.amazon.jobs/jobs/3154607/applied-scientist-ii-locomotion-amazon-industrial-robotics?cmpid=DA_INAD200785B", "https://www.amazon.jobs/jobs/3154607/applied-scientist-ii-locomotion-amazon-industrial-robotics?cmpid=DA_INAD200785B")</f>
        <v/>
      </c>
      <c r="G64" t="inlineStr">
        <is>
          <t>Reading, MA, US</t>
        </is>
      </c>
      <c r="H64" s="1" t="n">
        <v>46028</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and implementation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Implement and optimize control algorithms for robot locomotion
* Support development of behaviors that enable robots to traverse diverse terrain
* Contribute to methods that integrate stability, locomotion, and manipulation tasks
* Help create dynamics models and simulations that enable sim2real transfer of algorithms
* Collaborate effectively with multi\-disciplinary teams on hardware and algorithms for loco\-manipulation
**BASIC QUALIFICATIONS**
------------------------
* PhD, or Master's degree and 4\+ years of CS, CE, ML or related field experience
*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with Java, C\+\+, or pother programming languages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\- 142,800\.00 \- 193,200\.00 USD annually</t>
        </is>
      </c>
    </row>
    <row r="65">
      <c r="A65" t="inlineStr">
        <is>
          <t>in-b8ad2f2cf8cec50a</t>
        </is>
      </c>
      <c r="B65" t="inlineStr">
        <is>
          <t>Senior Applied Scientist, Industrial Robotics Group</t>
        </is>
      </c>
      <c r="C65" t="inlineStr">
        <is>
          <t>Amazon.com</t>
        </is>
      </c>
      <c r="D65" t="inlineStr">
        <is>
          <t>indeed</t>
        </is>
      </c>
      <c r="E65">
        <f>HYPERLINK("https://www.indeed.com/viewjob?jk=b8ad2f2cf8cec50a", "https://www.indeed.com/viewjob?jk=b8ad2f2cf8cec50a")</f>
        <v/>
      </c>
      <c r="F65">
        <f>HYPERLINK("https://www.amazon.jobs/jobs/3154866/senior-applied-scientist-industrial-robotics-group?cmpid=DA_INAD200785B", "https://www.amazon.jobs/jobs/3154866/senior-applied-scientist-industrial-robotics-group?cmpid=DA_INAD200785B")</f>
        <v/>
      </c>
      <c r="G65" t="inlineStr">
        <is>
          <t>Reading, MA, US</t>
        </is>
      </c>
      <c r="H65" s="1" t="n">
        <v>46027</v>
      </c>
      <c r="I65"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6">
      <c r="A66" t="inlineStr">
        <is>
          <t>in-a570aac4918878bc</t>
        </is>
      </c>
      <c r="B66" t="inlineStr">
        <is>
          <t>Senior Applied Scientist, Industrial Robotics Group</t>
        </is>
      </c>
      <c r="C66" t="inlineStr">
        <is>
          <t>Amazon.com</t>
        </is>
      </c>
      <c r="D66" t="inlineStr">
        <is>
          <t>indeed</t>
        </is>
      </c>
      <c r="E66">
        <f>HYPERLINK("https://www.indeed.com/viewjob?jk=a570aac4918878bc", "https://www.indeed.com/viewjob?jk=a570aac4918878bc")</f>
        <v/>
      </c>
      <c r="F66">
        <f>HYPERLINK("https://www.amazon.jobs/jobs/3154866/senior-applied-scientist-industrial-robotics-group?cmpid=DA_INAD200785B", "https://www.amazon.jobs/jobs/3154866/senior-applied-scientist-industrial-robotics-group?cmpid=DA_INAD200785B")</f>
        <v/>
      </c>
      <c r="G66" t="inlineStr">
        <is>
          <t>Reading, MA, US</t>
        </is>
      </c>
      <c r="H66" s="1" t="n">
        <v>46027</v>
      </c>
      <c r="I66" t="inlineStr">
        <is>
          <t>**DESCRIPTION**
---------------
Amazon Industrial Robotics Group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67">
      <c r="A67" t="inlineStr">
        <is>
          <t>in-749391211aecaf3f</t>
        </is>
      </c>
      <c r="B67" t="inlineStr">
        <is>
          <t>Senior Applied Scientist, Distributed SQL</t>
        </is>
      </c>
      <c r="C67" t="inlineStr">
        <is>
          <t>Amazon Web Services</t>
        </is>
      </c>
      <c r="D67" t="inlineStr">
        <is>
          <t>indeed</t>
        </is>
      </c>
      <c r="E67">
        <f>HYPERLINK("https://www.indeed.com/viewjob?jk=749391211aecaf3f", "https://www.indeed.com/viewjob?jk=749391211aecaf3f")</f>
        <v/>
      </c>
      <c r="F67">
        <f>HYPERLINK("https://www.amazon.jobs/jobs/3148444/senior-applied-scientist-distributed-sql?cmpid=DA_INAD200785B", "https://www.amazon.jobs/jobs/3148444/senior-applied-scientist-distributed-sql?cmpid=DA_INAD200785B")</f>
        <v/>
      </c>
      <c r="G67" t="inlineStr">
        <is>
          <t>East Palo Alto, CA, US</t>
        </is>
      </c>
      <c r="H67" s="1" t="n">
        <v>46012</v>
      </c>
      <c r="I6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8">
      <c r="A68" t="inlineStr">
        <is>
          <t>in-699c3e89ef1bb4d0</t>
        </is>
      </c>
      <c r="B68" t="inlineStr">
        <is>
          <t>Senior Applied Scientist, Distributed SQL</t>
        </is>
      </c>
      <c r="C68" t="inlineStr">
        <is>
          <t>Amazon Web Services</t>
        </is>
      </c>
      <c r="D68" t="inlineStr">
        <is>
          <t>indeed</t>
        </is>
      </c>
      <c r="E68">
        <f>HYPERLINK("https://www.indeed.com/viewjob?jk=699c3e89ef1bb4d0", "https://www.indeed.com/viewjob?jk=699c3e89ef1bb4d0")</f>
        <v/>
      </c>
      <c r="F68">
        <f>HYPERLINK("https://www.amazon.jobs/jobs/3148444/senior-applied-scientist-distributed-sql?cmpid=DA_INAD200785B", "https://www.amazon.jobs/jobs/3148444/senior-applied-scientist-distributed-sql?cmpid=DA_INAD200785B")</f>
        <v/>
      </c>
      <c r="G68" t="inlineStr">
        <is>
          <t>Seattle, WA, US</t>
        </is>
      </c>
      <c r="H68" s="1" t="n">
        <v>46012</v>
      </c>
      <c r="I6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9">
      <c r="A69" t="inlineStr">
        <is>
          <t>in-8969e69e3f3d90a8</t>
        </is>
      </c>
      <c r="B69" t="inlineStr">
        <is>
          <t>Principal Applied Scientist, Kiro Science</t>
        </is>
      </c>
      <c r="C69" t="inlineStr">
        <is>
          <t>Amazon Web Services</t>
        </is>
      </c>
      <c r="D69" t="inlineStr">
        <is>
          <t>indeed</t>
        </is>
      </c>
      <c r="E69">
        <f>HYPERLINK("https://www.indeed.com/viewjob?jk=8969e69e3f3d90a8", "https://www.indeed.com/viewjob?jk=8969e69e3f3d90a8")</f>
        <v/>
      </c>
      <c r="F69">
        <f>HYPERLINK("https://www.amazon.jobs/jobs/3161064/principal-applied-scientist-kiro-science?cmpid=DA_INAD200785B", "https://www.amazon.jobs/jobs/3161064/principal-applied-scientist-kiro-science?cmpid=DA_INAD200785B")</f>
        <v/>
      </c>
      <c r="G69" t="inlineStr">
        <is>
          <t>Santa Clara, CA, US</t>
        </is>
      </c>
      <c r="H69" s="1" t="n">
        <v>45999</v>
      </c>
      <c r="I6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0">
      <c r="A70" t="inlineStr">
        <is>
          <t>in-59b5909f0ba9f3fa</t>
        </is>
      </c>
      <c r="B70" t="inlineStr">
        <is>
          <t>Principal Applied Scientist, Kiro Science</t>
        </is>
      </c>
      <c r="C70" t="inlineStr">
        <is>
          <t>Amazon Web Services</t>
        </is>
      </c>
      <c r="D70" t="inlineStr">
        <is>
          <t>indeed</t>
        </is>
      </c>
      <c r="E70">
        <f>HYPERLINK("https://www.indeed.com/viewjob?jk=59b5909f0ba9f3fa", "https://www.indeed.com/viewjob?jk=59b5909f0ba9f3fa")</f>
        <v/>
      </c>
      <c r="F70">
        <f>HYPERLINK("https://www.amazon.jobs/jobs/3161064/principal-applied-scientist-kiro-science?cmpid=DA_INAD200785B", "https://www.amazon.jobs/jobs/3161064/principal-applied-scientist-kiro-science?cmpid=DA_INAD200785B")</f>
        <v/>
      </c>
      <c r="G70" t="inlineStr">
        <is>
          <t>New York, NY, US</t>
        </is>
      </c>
      <c r="H70" s="1" t="n">
        <v>45999</v>
      </c>
      <c r="I7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71">
      <c r="A71" t="inlineStr">
        <is>
          <t>in-e2619d4830bd38a2</t>
        </is>
      </c>
      <c r="B71" t="inlineStr">
        <is>
          <t>Principal Applied Scientist, Sponsored Products and Brands</t>
        </is>
      </c>
      <c r="C71" t="inlineStr">
        <is>
          <t>Amazon.com</t>
        </is>
      </c>
      <c r="D71" t="inlineStr">
        <is>
          <t>indeed</t>
        </is>
      </c>
      <c r="E71">
        <f>HYPERLINK("https://www.indeed.com/viewjob?jk=e2619d4830bd38a2", "https://www.indeed.com/viewjob?jk=e2619d4830bd38a2")</f>
        <v/>
      </c>
      <c r="F71">
        <f>HYPERLINK("https://www.amazon.jobs/jobs/3130855/principal-applied-scientist-sponsored-products-and-brands?cmpid=DA_INAD200785B", "https://www.amazon.jobs/jobs/3130855/principal-applied-scientist-sponsored-products-and-brands?cmpid=DA_INAD200785B")</f>
        <v/>
      </c>
      <c r="G71" t="inlineStr">
        <is>
          <t>New York, NY, US</t>
        </is>
      </c>
      <c r="H71" s="1" t="n">
        <v>45979</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in-9b28dfab3ff6988f</t>
        </is>
      </c>
      <c r="B72" t="inlineStr">
        <is>
          <t>Principal Applied Scientist, Sponsored Products and Brands</t>
        </is>
      </c>
      <c r="C72" t="inlineStr">
        <is>
          <t>Amazon.com</t>
        </is>
      </c>
      <c r="D72" t="inlineStr">
        <is>
          <t>indeed</t>
        </is>
      </c>
      <c r="E72">
        <f>HYPERLINK("https://www.indeed.com/viewjob?jk=9b28dfab3ff6988f", "https://www.indeed.com/viewjob?jk=9b28dfab3ff6988f")</f>
        <v/>
      </c>
      <c r="F72">
        <f>HYPERLINK("https://www.amazon.jobs/jobs/3130855/principal-applied-scientist-sponsored-products-and-brands?cmpid=DA_INAD200785B", "https://www.amazon.jobs/jobs/3130855/principal-applied-scientist-sponsored-products-and-brands?cmpid=DA_INAD200785B")</f>
        <v/>
      </c>
      <c r="G72" t="inlineStr">
        <is>
          <t>Seattle, WA, US</t>
        </is>
      </c>
      <c r="H72" s="1" t="n">
        <v>45979</v>
      </c>
      <c r="I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in-a432e7c3aff1c970</t>
        </is>
      </c>
      <c r="B73" t="inlineStr">
        <is>
          <t>Senior Applied Scientist, Sponsored Products and Brands</t>
        </is>
      </c>
      <c r="C73" t="inlineStr">
        <is>
          <t>Amazon.com</t>
        </is>
      </c>
      <c r="D73" t="inlineStr">
        <is>
          <t>indeed</t>
        </is>
      </c>
      <c r="E73">
        <f>HYPERLINK("https://www.indeed.com/viewjob?jk=a432e7c3aff1c970", "https://www.indeed.com/viewjob?jk=a432e7c3aff1c970")</f>
        <v/>
      </c>
      <c r="F73">
        <f>HYPERLINK("https://www.amazon.jobs/jobs/3130062/senior-applied-scientist-sponsored-products-and-brands?cmpid=DA_INAD200785B", "https://www.amazon.jobs/jobs/3130062/senior-applied-scientist-sponsored-products-and-brands?cmpid=DA_INAD200785B")</f>
        <v/>
      </c>
      <c r="G73" t="inlineStr">
        <is>
          <t>Seattle, WA, US</t>
        </is>
      </c>
      <c r="H73" s="1" t="n">
        <v>45979</v>
      </c>
      <c r="I7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4">
      <c r="A74" t="inlineStr">
        <is>
          <t>in-5c32214641e7d2e6</t>
        </is>
      </c>
      <c r="B74" t="inlineStr">
        <is>
          <t>Sr. Applied Scientist, Sponsored Products</t>
        </is>
      </c>
      <c r="C74" t="inlineStr">
        <is>
          <t>Amazon.com</t>
        </is>
      </c>
      <c r="D74" t="inlineStr">
        <is>
          <t>indeed</t>
        </is>
      </c>
      <c r="E74">
        <f>HYPERLINK("https://www.indeed.com/viewjob?jk=5c32214641e7d2e6", "https://www.indeed.com/viewjob?jk=5c32214641e7d2e6")</f>
        <v/>
      </c>
      <c r="F74">
        <f>HYPERLINK("https://www.amazon.jobs/jobs/3136156/sr-applied-scientist-sponsored-products?cmpid=DA_INAD200785B", "https://www.amazon.jobs/jobs/3136156/sr-applied-scientist-sponsored-products?cmpid=DA_INAD200785B")</f>
        <v/>
      </c>
      <c r="G74" t="inlineStr">
        <is>
          <t>Arlington, VA, US</t>
        </is>
      </c>
      <c r="H74" s="1" t="n">
        <v>45976</v>
      </c>
      <c r="I7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5">
      <c r="A75" t="inlineStr">
        <is>
          <t>in-ceaa9f74a320ff12</t>
        </is>
      </c>
      <c r="B75" t="inlineStr">
        <is>
          <t>Sr. Applied Scientist, Sponsored Products</t>
        </is>
      </c>
      <c r="C75" t="inlineStr">
        <is>
          <t>Amazon.com</t>
        </is>
      </c>
      <c r="D75" t="inlineStr">
        <is>
          <t>indeed</t>
        </is>
      </c>
      <c r="E75">
        <f>HYPERLINK("https://www.indeed.com/viewjob?jk=ceaa9f74a320ff12", "https://www.indeed.com/viewjob?jk=ceaa9f74a320ff12")</f>
        <v/>
      </c>
      <c r="F75">
        <f>HYPERLINK("https://www.amazon.jobs/jobs/3136156/sr-applied-scientist-sponsored-products?cmpid=DA_INAD200785B", "https://www.amazon.jobs/jobs/3136156/sr-applied-scientist-sponsored-products?cmpid=DA_INAD200785B")</f>
        <v/>
      </c>
      <c r="G75" t="inlineStr">
        <is>
          <t>Seattle, WA, US</t>
        </is>
      </c>
      <c r="H75" s="1" t="n">
        <v>45976</v>
      </c>
      <c r="I7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6">
      <c r="A76" t="inlineStr">
        <is>
          <t>in-e9785ec2b2e6ae21</t>
        </is>
      </c>
      <c r="B76" t="inlineStr">
        <is>
          <t>Sr. Applied Scientist, Sponsored Products</t>
        </is>
      </c>
      <c r="C76" t="inlineStr">
        <is>
          <t>Amazon.com</t>
        </is>
      </c>
      <c r="D76" t="inlineStr">
        <is>
          <t>indeed</t>
        </is>
      </c>
      <c r="E76">
        <f>HYPERLINK("https://www.indeed.com/viewjob?jk=e9785ec2b2e6ae21", "https://www.indeed.com/viewjob?jk=e9785ec2b2e6ae21")</f>
        <v/>
      </c>
      <c r="F76">
        <f>HYPERLINK("https://www.amazon.jobs/jobs/3136156/sr-applied-scientist-sponsored-products?cmpid=DA_INAD200785B", "https://www.amazon.jobs/jobs/3136156/sr-applied-scientist-sponsored-products?cmpid=DA_INAD200785B")</f>
        <v/>
      </c>
      <c r="G76" t="inlineStr">
        <is>
          <t>New York, NY, US</t>
        </is>
      </c>
      <c r="H76" s="1" t="n">
        <v>45976</v>
      </c>
      <c r="I7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7">
      <c r="A77" t="inlineStr">
        <is>
          <t>in-e8a02750abb5315b</t>
        </is>
      </c>
      <c r="B77" t="inlineStr">
        <is>
          <t>Applied Scientist, AWS Agentic AI</t>
        </is>
      </c>
      <c r="C77" t="inlineStr">
        <is>
          <t>Amazon Web Services</t>
        </is>
      </c>
      <c r="D77" t="inlineStr">
        <is>
          <t>indeed</t>
        </is>
      </c>
      <c r="E77">
        <f>HYPERLINK("https://www.indeed.com/viewjob?jk=e8a02750abb5315b", "https://www.indeed.com/viewjob?jk=e8a02750abb5315b")</f>
        <v/>
      </c>
      <c r="F77">
        <f>HYPERLINK("https://www.amazon.jobs/jobs/3141517/applied-scientist-aws-agentic-ai-?cmpid=DA_INAD200785B", "https://www.amazon.jobs/jobs/3141517/applied-scientist-aws-agentic-ai-?cmpid=DA_INAD200785B")</f>
        <v/>
      </c>
      <c r="G77" t="inlineStr">
        <is>
          <t>Santa Clara, CA, US</t>
        </is>
      </c>
      <c r="H77" s="1" t="n">
        <v>45962</v>
      </c>
      <c r="I7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in-632cc4d5f766cc73</t>
        </is>
      </c>
      <c r="B78" t="inlineStr">
        <is>
          <t>Applied Scientist, AWS Agentic AI</t>
        </is>
      </c>
      <c r="C78" t="inlineStr">
        <is>
          <t>Amazon Web Services</t>
        </is>
      </c>
      <c r="D78" t="inlineStr">
        <is>
          <t>indeed</t>
        </is>
      </c>
      <c r="E78">
        <f>HYPERLINK("https://www.indeed.com/viewjob?jk=632cc4d5f766cc73", "https://www.indeed.com/viewjob?jk=632cc4d5f766cc73")</f>
        <v/>
      </c>
      <c r="F78">
        <f>HYPERLINK("https://www.amazon.jobs/jobs/3141517/applied-scientist-aws-agentic-ai-?cmpid=DA_INAD200785B", "https://www.amazon.jobs/jobs/3141517/applied-scientist-aws-agentic-ai-?cmpid=DA_INAD200785B")</f>
        <v/>
      </c>
      <c r="G78" t="inlineStr">
        <is>
          <t>Seattle, WA, US</t>
        </is>
      </c>
      <c r="H78" s="1" t="n">
        <v>45962</v>
      </c>
      <c r="I7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in-6f6a09f316a7447c</t>
        </is>
      </c>
      <c r="B79" t="inlineStr">
        <is>
          <t>Applied Scientist, AWS Agentic AI</t>
        </is>
      </c>
      <c r="C79" t="inlineStr">
        <is>
          <t>Amazon Web Services</t>
        </is>
      </c>
      <c r="D79" t="inlineStr">
        <is>
          <t>indeed</t>
        </is>
      </c>
      <c r="E79">
        <f>HYPERLINK("https://www.indeed.com/viewjob?jk=6f6a09f316a7447c", "https://www.indeed.com/viewjob?jk=6f6a09f316a7447c")</f>
        <v/>
      </c>
      <c r="F79">
        <f>HYPERLINK("https://www.amazon.jobs/jobs/3141517/applied-scientist-aws-agentic-ai-?cmpid=DA_INAD200785B", "https://www.amazon.jobs/jobs/3141517/applied-scientist-aws-agentic-ai-?cmpid=DA_INAD200785B")</f>
        <v/>
      </c>
      <c r="G79" t="inlineStr">
        <is>
          <t>New York, NY, US</t>
        </is>
      </c>
      <c r="H79" s="1" t="n">
        <v>45962</v>
      </c>
      <c r="I7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in-552a1ace635201ec</t>
        </is>
      </c>
      <c r="B80" t="inlineStr">
        <is>
          <t>Applied Scientist, Prime Video - Content Understanding, Localization &amp; Enrichment Team</t>
        </is>
      </c>
      <c r="C80" t="inlineStr">
        <is>
          <t>Amazon.com</t>
        </is>
      </c>
      <c r="D80" t="inlineStr">
        <is>
          <t>indeed</t>
        </is>
      </c>
      <c r="E80">
        <f>HYPERLINK("https://www.indeed.com/viewjob?jk=552a1ace635201ec", "https://www.indeed.com/viewjob?jk=552a1ace635201ec")</f>
        <v/>
      </c>
      <c r="F80">
        <f>HYPERLINK("https://www.amazon.jobs/jobs/3111928/applied-scientist-prime-video--content-understanding-localization--enrichment-team?cmpid=DA_INAD200785B", "https://www.amazon.jobs/jobs/3111928/applied-scientist-prime-video--content-understanding-localization--enrichment-team?cmpid=DA_INAD200785B")</f>
        <v/>
      </c>
      <c r="G80" t="inlineStr">
        <is>
          <t>Seattle, WA, US</t>
        </is>
      </c>
      <c r="H80" s="1" t="n">
        <v>45943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1">
      <c r="A81" t="inlineStr">
        <is>
          <t>in-4dd5122254d03635</t>
        </is>
      </c>
      <c r="B81" t="inlineStr">
        <is>
          <t>Applied Scientist, Prime Video - Content Understanding, Localization &amp; Enrichment Team</t>
        </is>
      </c>
      <c r="C81" t="inlineStr">
        <is>
          <t>Amazon.com</t>
        </is>
      </c>
      <c r="D81" t="inlineStr">
        <is>
          <t>indeed</t>
        </is>
      </c>
      <c r="E81">
        <f>HYPERLINK("https://www.indeed.com/viewjob?jk=4dd5122254d03635", "https://www.indeed.com/viewjob?jk=4dd5122254d03635")</f>
        <v/>
      </c>
      <c r="F81">
        <f>HYPERLINK("https://www.amazon.jobs/jobs/3111928/applied-scientist-prime-video--content-understanding-localization--enrichment-team?cmpid=DA_INAD200785B", "https://www.amazon.jobs/jobs/3111928/applied-scientist-prime-video--content-understanding-localization--enrichment-team?cmpid=DA_INAD200785B")</f>
        <v/>
      </c>
      <c r="G81" t="inlineStr">
        <is>
          <t>San Francisco, CA, US</t>
        </is>
      </c>
      <c r="H81" s="1" t="n">
        <v>45943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2">
      <c r="A82" t="inlineStr">
        <is>
          <t>in-cb634ab2e53c0e94</t>
        </is>
      </c>
      <c r="B82" t="inlineStr">
        <is>
          <t>Principal Applied Scientist, Advertiser Growth, Amazon Sponsored Products &amp; Brands</t>
        </is>
      </c>
      <c r="C82" t="inlineStr">
        <is>
          <t>Amazon.com</t>
        </is>
      </c>
      <c r="D82" t="inlineStr">
        <is>
          <t>indeed</t>
        </is>
      </c>
      <c r="E82">
        <f>HYPERLINK("https://www.indeed.com/viewjob?jk=cb634ab2e53c0e94", "https://www.indeed.com/viewjob?jk=cb634ab2e53c0e94")</f>
        <v/>
      </c>
      <c r="F82">
        <f>HYPERLINK("https://www.amazon.jobs/jobs/3115279/principal-applied-scientist-advertiser-growth-amazon-sponsored-products--brands?cmpid=DA_INAD200785B", "https://www.amazon.jobs/jobs/3115279/principal-applied-scientist-advertiser-growth-amazon-sponsored-products--brands?cmpid=DA_INAD200785B")</f>
        <v/>
      </c>
      <c r="G82" t="inlineStr">
        <is>
          <t>Palo Alto, CA, US</t>
        </is>
      </c>
      <c r="H82" s="1"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in-b226a1a959e73050</t>
        </is>
      </c>
      <c r="B83" t="inlineStr">
        <is>
          <t>Principal Applied Scientist, Advertiser Growth, Amazon Sponsored Products &amp; Brands</t>
        </is>
      </c>
      <c r="C83" t="inlineStr">
        <is>
          <t>Amazon.com</t>
        </is>
      </c>
      <c r="D83" t="inlineStr">
        <is>
          <t>indeed</t>
        </is>
      </c>
      <c r="E83">
        <f>HYPERLINK("https://www.indeed.com/viewjob?jk=b226a1a959e73050", "https://www.indeed.com/viewjob?jk=b226a1a959e73050")</f>
        <v/>
      </c>
      <c r="F83">
        <f>HYPERLINK("https://www.amazon.jobs/jobs/3115279/principal-applied-scientist-advertiser-growth-amazon-sponsored-products--brands?cmpid=DA_INAD200785B", "https://www.amazon.jobs/jobs/3115279/principal-applied-scientist-advertiser-growth-amazon-sponsored-products--brands?cmpid=DA_INAD200785B")</f>
        <v/>
      </c>
      <c r="G83" t="inlineStr">
        <is>
          <t>Seattle, WA, US</t>
        </is>
      </c>
      <c r="H83" s="1"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in-a789fd90196f32c3</t>
        </is>
      </c>
      <c r="B84" t="inlineStr">
        <is>
          <t>Principal Applied Scientist, Advertiser Growth, Amazon Sponsored Products &amp; Brands</t>
        </is>
      </c>
      <c r="C84" t="inlineStr">
        <is>
          <t>Amazon.com</t>
        </is>
      </c>
      <c r="D84" t="inlineStr">
        <is>
          <t>indeed</t>
        </is>
      </c>
      <c r="E84">
        <f>HYPERLINK("https://www.indeed.com/viewjob?jk=a789fd90196f32c3", "https://www.indeed.com/viewjob?jk=a789fd90196f32c3")</f>
        <v/>
      </c>
      <c r="F84">
        <f>HYPERLINK("https://www.amazon.jobs/jobs/3115279/principal-applied-scientist-advertiser-growth-amazon-sponsored-products--brands?cmpid=DA_INAD200785B", "https://www.amazon.jobs/jobs/3115279/principal-applied-scientist-advertiser-growth-amazon-sponsored-products--brands?cmpid=DA_INAD200785B")</f>
        <v/>
      </c>
      <c r="G84" t="inlineStr">
        <is>
          <t>New York, NY, US</t>
        </is>
      </c>
      <c r="H84" s="1" t="n">
        <v>45942</v>
      </c>
      <c r="I8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in-f0dd503dec49ebac</t>
        </is>
      </c>
      <c r="B85" t="inlineStr">
        <is>
          <t>Sr. Applied Scientist, Prime Video - Personalization and Discovery Science</t>
        </is>
      </c>
      <c r="C85" t="inlineStr">
        <is>
          <t>Amazon.com</t>
        </is>
      </c>
      <c r="D85" t="inlineStr">
        <is>
          <t>indeed</t>
        </is>
      </c>
      <c r="E85">
        <f>HYPERLINK("https://www.indeed.com/viewjob?jk=f0dd503dec49ebac", "https://www.indeed.com/viewjob?jk=f0dd503dec49ebac")</f>
        <v/>
      </c>
      <c r="F85">
        <f>HYPERLINK("https://www.amazon.jobs/jobs/3084479/sr-applied-scientist-prime-video--personalization-and-discovery-science?cmpid=DA_INAD200785B", "https://www.amazon.jobs/jobs/3084479/sr-applied-scientist-prime-video--personalization-and-discovery-science?cmpid=DA_INAD200785B")</f>
        <v/>
      </c>
      <c r="G85" t="inlineStr">
        <is>
          <t>New York, NY, US</t>
        </is>
      </c>
      <c r="H85" s="1" t="n">
        <v>45896</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6">
      <c r="A86" t="inlineStr">
        <is>
          <t>in-3e028ef9f2865ba4</t>
        </is>
      </c>
      <c r="B86" t="inlineStr">
        <is>
          <t>Sr. Applied Scientist, Prime Video - Personalization and Discovery Science</t>
        </is>
      </c>
      <c r="C86" t="inlineStr">
        <is>
          <t>Amazon.com</t>
        </is>
      </c>
      <c r="D86" t="inlineStr">
        <is>
          <t>indeed</t>
        </is>
      </c>
      <c r="E86">
        <f>HYPERLINK("https://www.indeed.com/viewjob?jk=3e028ef9f2865ba4", "https://www.indeed.com/viewjob?jk=3e028ef9f2865ba4")</f>
        <v/>
      </c>
      <c r="F86">
        <f>HYPERLINK("https://www.amazon.jobs/jobs/3084479/sr-applied-scientist-prime-video--personalization-and-discovery-science?cmpid=DA_INAD200785B", "https://www.amazon.jobs/jobs/3084479/sr-applied-scientist-prime-video--personalization-and-discovery-science?cmpid=DA_INAD200785B")</f>
        <v/>
      </c>
      <c r="G86" t="inlineStr">
        <is>
          <t>Sunnyvale, CA, US</t>
        </is>
      </c>
      <c r="H86" s="1" t="n">
        <v>45896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7">
      <c r="A87" t="inlineStr">
        <is>
          <t>in-3ae39fe0a24e9080</t>
        </is>
      </c>
      <c r="B87" t="inlineStr">
        <is>
          <t>Sr. Applied Scientist, Prime Video - Personalization and Discovery Science</t>
        </is>
      </c>
      <c r="C87" t="inlineStr">
        <is>
          <t>Amazon.com</t>
        </is>
      </c>
      <c r="D87" t="inlineStr">
        <is>
          <t>indeed</t>
        </is>
      </c>
      <c r="E87">
        <f>HYPERLINK("https://www.indeed.com/viewjob?jk=3ae39fe0a24e9080", "https://www.indeed.com/viewjob?jk=3ae39fe0a24e9080")</f>
        <v/>
      </c>
      <c r="F87">
        <f>HYPERLINK("https://www.amazon.jobs/jobs/3084479/sr-applied-scientist-prime-video--personalization-and-discovery-science?cmpid=DA_INAD200785B", "https://www.amazon.jobs/jobs/3084479/sr-applied-scientist-prime-video--personalization-and-discovery-science?cmpid=DA_INAD200785B")</f>
        <v/>
      </c>
      <c r="G87" t="inlineStr">
        <is>
          <t>Seattle, WA, US</t>
        </is>
      </c>
      <c r="H87" s="1" t="n">
        <v>45896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8">
      <c r="A88" t="inlineStr">
        <is>
          <t>in-dc2bbaac473c5552</t>
        </is>
      </c>
      <c r="B88" t="inlineStr">
        <is>
          <t>Sr. Applied Scientist, Amazon Advertising</t>
        </is>
      </c>
      <c r="C88" t="inlineStr">
        <is>
          <t>Amazon.com</t>
        </is>
      </c>
      <c r="D88" t="inlineStr">
        <is>
          <t>indeed</t>
        </is>
      </c>
      <c r="E88">
        <f>HYPERLINK("https://www.indeed.com/viewjob?jk=dc2bbaac473c5552", "https://www.indeed.com/viewjob?jk=dc2bbaac473c5552")</f>
        <v/>
      </c>
      <c r="F88">
        <f>HYPERLINK("https://www.amazon.jobs/jobs/3035686/sr-applied-scientist-amazon-advertising?cmpid=DA_INAD200785B", "https://www.amazon.jobs/jobs/3035686/sr-applied-scientist-amazon-advertising?cmpid=DA_INAD200785B")</f>
        <v/>
      </c>
      <c r="G88" t="inlineStr">
        <is>
          <t>Seattle, WA, US</t>
        </is>
      </c>
      <c r="H88" s="1"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in-f5637496a8507705</t>
        </is>
      </c>
      <c r="B89" t="inlineStr">
        <is>
          <t>Sr. Applied Scientist, Amazon Advertising</t>
        </is>
      </c>
      <c r="C89" t="inlineStr">
        <is>
          <t>Amazon.com</t>
        </is>
      </c>
      <c r="D89" t="inlineStr">
        <is>
          <t>indeed</t>
        </is>
      </c>
      <c r="E89">
        <f>HYPERLINK("https://www.indeed.com/viewjob?jk=f5637496a8507705", "https://www.indeed.com/viewjob?jk=f5637496a8507705")</f>
        <v/>
      </c>
      <c r="F89">
        <f>HYPERLINK("https://www.amazon.jobs/jobs/3035686/sr-applied-scientist-amazon-advertising?cmpid=DA_INAD200785B", "https://www.amazon.jobs/jobs/3035686/sr-applied-scientist-amazon-advertising?cmpid=DA_INAD200785B")</f>
        <v/>
      </c>
      <c r="G89" t="inlineStr">
        <is>
          <t>Simi Valley, CA, US</t>
        </is>
      </c>
      <c r="H89" s="1"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in-5c0df8ba9ea3b9df</t>
        </is>
      </c>
      <c r="B90" t="inlineStr">
        <is>
          <t>Sr. Applied Scientist, Amazon Advertising</t>
        </is>
      </c>
      <c r="C90" t="inlineStr">
        <is>
          <t>Amazon.com</t>
        </is>
      </c>
      <c r="D90" t="inlineStr">
        <is>
          <t>indeed</t>
        </is>
      </c>
      <c r="E90">
        <f>HYPERLINK("https://www.indeed.com/viewjob?jk=5c0df8ba9ea3b9df", "https://www.indeed.com/viewjob?jk=5c0df8ba9ea3b9df")</f>
        <v/>
      </c>
      <c r="F90">
        <f>HYPERLINK("https://www.amazon.jobs/jobs/3035686/sr-applied-scientist-amazon-advertising?cmpid=DA_INAD200785B", "https://www.amazon.jobs/jobs/3035686/sr-applied-scientist-amazon-advertising?cmpid=DA_INAD200785B")</f>
        <v/>
      </c>
      <c r="G90" t="inlineStr">
        <is>
          <t>Austin, TX, US</t>
        </is>
      </c>
      <c r="H90" s="1"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in-a51b85df2dd17f02</t>
        </is>
      </c>
      <c r="B91" t="inlineStr">
        <is>
          <t>Sr. Applied Scientist, Amazon Advertising</t>
        </is>
      </c>
      <c r="C91" t="inlineStr">
        <is>
          <t>Amazon.com</t>
        </is>
      </c>
      <c r="D91" t="inlineStr">
        <is>
          <t>indeed</t>
        </is>
      </c>
      <c r="E91">
        <f>HYPERLINK("https://www.indeed.com/viewjob?jk=a51b85df2dd17f02", "https://www.indeed.com/viewjob?jk=a51b85df2dd17f02")</f>
        <v/>
      </c>
      <c r="F91">
        <f>HYPERLINK("https://www.amazon.jobs/jobs/3035686/sr-applied-scientist-amazon-advertising?cmpid=DA_INAD200785B", "https://www.amazon.jobs/jobs/3035686/sr-applied-scientist-amazon-advertising?cmpid=DA_INAD200785B")</f>
        <v/>
      </c>
      <c r="G91" t="inlineStr">
        <is>
          <t>Palo Alto, CA, US</t>
        </is>
      </c>
      <c r="H91" s="1"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in-bda3b17662ef77c4</t>
        </is>
      </c>
      <c r="B92" t="inlineStr">
        <is>
          <t>Sr. Applied Scientist, Amazon Advertising</t>
        </is>
      </c>
      <c r="C92" t="inlineStr">
        <is>
          <t>Amazon.com</t>
        </is>
      </c>
      <c r="D92" t="inlineStr">
        <is>
          <t>indeed</t>
        </is>
      </c>
      <c r="E92">
        <f>HYPERLINK("https://www.indeed.com/viewjob?jk=bda3b17662ef77c4", "https://www.indeed.com/viewjob?jk=bda3b17662ef77c4")</f>
        <v/>
      </c>
      <c r="F92">
        <f>HYPERLINK("https://www.amazon.jobs/jobs/3035686/sr-applied-scientist-amazon-advertising?cmpid=DA_INAD200785B", "https://www.amazon.jobs/jobs/3035686/sr-applied-scientist-amazon-advertising?cmpid=DA_INAD200785B")</f>
        <v/>
      </c>
      <c r="G92" t="inlineStr">
        <is>
          <t>Arlington, VA, US</t>
        </is>
      </c>
      <c r="H92" s="1"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in-cd31df0b35a1dc7a</t>
        </is>
      </c>
      <c r="B93" t="inlineStr">
        <is>
          <t>Sr. Applied Scientist, Amazon Advertising</t>
        </is>
      </c>
      <c r="C93" t="inlineStr">
        <is>
          <t>Amazon.com</t>
        </is>
      </c>
      <c r="D93" t="inlineStr">
        <is>
          <t>indeed</t>
        </is>
      </c>
      <c r="E93">
        <f>HYPERLINK("https://www.indeed.com/viewjob?jk=cd31df0b35a1dc7a", "https://www.indeed.com/viewjob?jk=cd31df0b35a1dc7a")</f>
        <v/>
      </c>
      <c r="F93">
        <f>HYPERLINK("https://www.amazon.jobs/jobs/3035686/sr-applied-scientist-amazon-advertising?cmpid=DA_INAD200785B", "https://www.amazon.jobs/jobs/3035686/sr-applied-scientist-amazon-advertising?cmpid=DA_INAD200785B")</f>
        <v/>
      </c>
      <c r="G93" t="inlineStr">
        <is>
          <t>Los Angeles, CA, US</t>
        </is>
      </c>
      <c r="H93" s="1"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in-861c45e5d662a853</t>
        </is>
      </c>
      <c r="B94" t="inlineStr">
        <is>
          <t>Sr. Applied Scientist, Amazon Advertising</t>
        </is>
      </c>
      <c r="C94" t="inlineStr">
        <is>
          <t>Amazon.com</t>
        </is>
      </c>
      <c r="D94" t="inlineStr">
        <is>
          <t>indeed</t>
        </is>
      </c>
      <c r="E94">
        <f>HYPERLINK("https://www.indeed.com/viewjob?jk=861c45e5d662a853", "https://www.indeed.com/viewjob?jk=861c45e5d662a853")</f>
        <v/>
      </c>
      <c r="F94">
        <f>HYPERLINK("https://www.amazon.jobs/jobs/3035686/sr-applied-scientist-amazon-advertising?cmpid=DA_INAD200785B", "https://www.amazon.jobs/jobs/3035686/sr-applied-scientist-amazon-advertising?cmpid=DA_INAD200785B")</f>
        <v/>
      </c>
      <c r="G94" t="inlineStr">
        <is>
          <t>West Hollywood, CA, US</t>
        </is>
      </c>
      <c r="H94" s="1"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in-af782160663c9870</t>
        </is>
      </c>
      <c r="B95" t="inlineStr">
        <is>
          <t>Sr. Applied Scientist, Amazon Advertising</t>
        </is>
      </c>
      <c r="C95" t="inlineStr">
        <is>
          <t>Amazon.com</t>
        </is>
      </c>
      <c r="D95" t="inlineStr">
        <is>
          <t>indeed</t>
        </is>
      </c>
      <c r="E95">
        <f>HYPERLINK("https://www.indeed.com/viewjob?jk=af782160663c9870", "https://www.indeed.com/viewjob?jk=af782160663c9870")</f>
        <v/>
      </c>
      <c r="F95">
        <f>HYPERLINK("https://www.amazon.jobs/jobs/3035686/sr-applied-scientist-amazon-advertising?cmpid=DA_INAD200785B", "https://www.amazon.jobs/jobs/3035686/sr-applied-scientist-amazon-advertising?cmpid=DA_INAD200785B")</f>
        <v/>
      </c>
      <c r="G95" t="inlineStr">
        <is>
          <t>New York, NY, US</t>
        </is>
      </c>
      <c r="H95" s="1"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in-9af4cf4d3d0368e4</t>
        </is>
      </c>
      <c r="B96" t="inlineStr">
        <is>
          <t>Applied Scientist, Prime Video - Personalization and Discovery Science</t>
        </is>
      </c>
      <c r="C96" t="inlineStr">
        <is>
          <t>Amazon.com</t>
        </is>
      </c>
      <c r="D96" t="inlineStr">
        <is>
          <t>indeed</t>
        </is>
      </c>
      <c r="E96">
        <f>HYPERLINK("https://www.indeed.com/viewjob?jk=9af4cf4d3d0368e4", "https://www.indeed.com/viewjob?jk=9af4cf4d3d0368e4")</f>
        <v/>
      </c>
      <c r="F96">
        <f>HYPERLINK("https://www.amazon.jobs/jobs/3033050/applied-scientist-prime-video--personalization-and-discovery-science?cmpid=DA_INAD200785B", "https://www.amazon.jobs/jobs/3033050/applied-scientist-prime-video--personalization-and-discovery-science?cmpid=DA_INAD200785B")</f>
        <v/>
      </c>
      <c r="G96" t="inlineStr">
        <is>
          <t>New York, NY, US</t>
        </is>
      </c>
      <c r="H96" s="1" t="n">
        <v>45845</v>
      </c>
      <c r="I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7">
      <c r="A97" t="inlineStr">
        <is>
          <t>in-91ae1c1668c8a000</t>
        </is>
      </c>
      <c r="B97" t="inlineStr">
        <is>
          <t>Applied Scientist, Prime Video - Personalization and Discovery Science</t>
        </is>
      </c>
      <c r="C97" t="inlineStr">
        <is>
          <t>Amazon.com</t>
        </is>
      </c>
      <c r="D97" t="inlineStr">
        <is>
          <t>indeed</t>
        </is>
      </c>
      <c r="E97">
        <f>HYPERLINK("https://www.indeed.com/viewjob?jk=91ae1c1668c8a000", "https://www.indeed.com/viewjob?jk=91ae1c1668c8a000")</f>
        <v/>
      </c>
      <c r="F97">
        <f>HYPERLINK("https://www.amazon.jobs/jobs/3033050/applied-scientist-prime-video--personalization-and-discovery-science?cmpid=DA_INAD200785B", "https://www.amazon.jobs/jobs/3033050/applied-scientist-prime-video--personalization-and-discovery-science?cmpid=DA_INAD200785B")</f>
        <v/>
      </c>
      <c r="G97" t="inlineStr">
        <is>
          <t>Seattle, WA, US</t>
        </is>
      </c>
      <c r="H97" s="1" t="n">
        <v>45845</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8">
      <c r="A98" t="inlineStr">
        <is>
          <t>in-d76dce7f50841047</t>
        </is>
      </c>
      <c r="B98" t="inlineStr">
        <is>
          <t>Applied Scientist, Prime Video - Personalization and Discovery Science</t>
        </is>
      </c>
      <c r="C98" t="inlineStr">
        <is>
          <t>Amazon.com</t>
        </is>
      </c>
      <c r="D98" t="inlineStr">
        <is>
          <t>indeed</t>
        </is>
      </c>
      <c r="E98">
        <f>HYPERLINK("https://www.indeed.com/viewjob?jk=d76dce7f50841047", "https://www.indeed.com/viewjob?jk=d76dce7f50841047")</f>
        <v/>
      </c>
      <c r="F98">
        <f>HYPERLINK("https://www.amazon.jobs/jobs/3033050/applied-scientist-prime-video--personalization-and-discovery-science?cmpid=DA_INAD200785B", "https://www.amazon.jobs/jobs/3033050/applied-scientist-prime-video--personalization-and-discovery-science?cmpid=DA_INAD200785B")</f>
        <v/>
      </c>
      <c r="G98" t="inlineStr">
        <is>
          <t>Sunnyvale, CA, US</t>
        </is>
      </c>
      <c r="H98" s="1" t="n">
        <v>45845</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9">
      <c r="A99" t="inlineStr">
        <is>
          <t>in-28945298ab53ff42</t>
        </is>
      </c>
      <c r="B99" t="inlineStr">
        <is>
          <t>Principal Applied Scientist, Delivery Foundation Model</t>
        </is>
      </c>
      <c r="C99" t="inlineStr">
        <is>
          <t>Amazon.com</t>
        </is>
      </c>
      <c r="D99" t="inlineStr">
        <is>
          <t>indeed</t>
        </is>
      </c>
      <c r="E99">
        <f>HYPERLINK("https://www.indeed.com/viewjob?jk=28945298ab53ff42", "https://www.indeed.com/viewjob?jk=28945298ab53ff42")</f>
        <v/>
      </c>
      <c r="F99">
        <f>HYPERLINK("https://www.amazon.jobs/jobs/3006938/principal-applied-scientist-delivery-foundation-model-?cmpid=DA_INAD200785B", "https://www.amazon.jobs/jobs/3006938/principal-applied-scientist-delivery-foundation-model-?cmpid=DA_INAD200785B")</f>
        <v/>
      </c>
      <c r="G99" t="inlineStr">
        <is>
          <t>New York, NY, US</t>
        </is>
      </c>
      <c r="H99" s="1"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0">
      <c r="A100" t="inlineStr">
        <is>
          <t>in-2fcb2f497d69e69a</t>
        </is>
      </c>
      <c r="B100" t="inlineStr">
        <is>
          <t>Principal Applied Scientist, Delivery Foundation Model</t>
        </is>
      </c>
      <c r="C100" t="inlineStr">
        <is>
          <t>Amazon.com</t>
        </is>
      </c>
      <c r="D100" t="inlineStr">
        <is>
          <t>indeed</t>
        </is>
      </c>
      <c r="E100">
        <f>HYPERLINK("https://www.indeed.com/viewjob?jk=2fcb2f497d69e69a", "https://www.indeed.com/viewjob?jk=2fcb2f497d69e69a")</f>
        <v/>
      </c>
      <c r="F100">
        <f>HYPERLINK("https://www.amazon.jobs/jobs/3006938/principal-applied-scientist-delivery-foundation-model-?cmpid=DA_INAD200785B", "https://www.amazon.jobs/jobs/3006938/principal-applied-scientist-delivery-foundation-model-?cmpid=DA_INAD200785B")</f>
        <v/>
      </c>
      <c r="G100" t="inlineStr">
        <is>
          <t>Santa Clara, CA, US</t>
        </is>
      </c>
      <c r="H100" s="1" t="n">
        <v>45810</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1">
      <c r="A101" t="inlineStr">
        <is>
          <t>in-3631e9c476638a6e</t>
        </is>
      </c>
      <c r="B101" t="inlineStr">
        <is>
          <t>Principal Applied Scientist, Delivery Foundation Model</t>
        </is>
      </c>
      <c r="C101" t="inlineStr">
        <is>
          <t>Amazon.com</t>
        </is>
      </c>
      <c r="D101" t="inlineStr">
        <is>
          <t>indeed</t>
        </is>
      </c>
      <c r="E101">
        <f>HYPERLINK("https://www.indeed.com/viewjob?jk=3631e9c476638a6e", "https://www.indeed.com/viewjob?jk=3631e9c476638a6e")</f>
        <v/>
      </c>
      <c r="F101">
        <f>HYPERLINK("https://www.amazon.jobs/jobs/3006938/principal-applied-scientist-delivery-foundation-model-?cmpid=DA_INAD200785B", "https://www.amazon.jobs/jobs/3006938/principal-applied-scientist-delivery-foundation-model-?cmpid=DA_INAD200785B")</f>
        <v/>
      </c>
      <c r="G101" t="inlineStr">
        <is>
          <t>Bellevue, WA, US</t>
        </is>
      </c>
      <c r="H101" s="1" t="n">
        <v>45810</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2">
      <c r="A102" t="inlineStr">
        <is>
          <t>in-afcd945566334ce8</t>
        </is>
      </c>
      <c r="B102" t="inlineStr">
        <is>
          <t>Principal Applied Scientist, Delivery Foundation Model</t>
        </is>
      </c>
      <c r="C102" t="inlineStr">
        <is>
          <t>Amazon.com</t>
        </is>
      </c>
      <c r="D102" t="inlineStr">
        <is>
          <t>indeed</t>
        </is>
      </c>
      <c r="E102">
        <f>HYPERLINK("https://www.indeed.com/viewjob?jk=afcd945566334ce8", "https://www.indeed.com/viewjob?jk=afcd945566334ce8")</f>
        <v/>
      </c>
      <c r="F102">
        <f>HYPERLINK("https://www.amazon.jobs/jobs/3006938/principal-applied-scientist-delivery-foundation-model-?cmpid=DA_INAD200785B", "https://www.amazon.jobs/jobs/3006938/principal-applied-scientist-delivery-foundation-model-?cmpid=DA_INAD200785B")</f>
        <v/>
      </c>
      <c r="G102" t="inlineStr">
        <is>
          <t>Austin, TX, US</t>
        </is>
      </c>
      <c r="H102" s="1" t="n">
        <v>45810</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3">
      <c r="A103" t="inlineStr">
        <is>
          <t>in-0dbf1a80ab0725c5</t>
        </is>
      </c>
      <c r="B103" t="inlineStr">
        <is>
          <t>Senior Applied Scientist, Delivery Foundation Model</t>
        </is>
      </c>
      <c r="C103" t="inlineStr">
        <is>
          <t>Amazon.com</t>
        </is>
      </c>
      <c r="D103" t="inlineStr">
        <is>
          <t>indeed</t>
        </is>
      </c>
      <c r="E103">
        <f>HYPERLINK("https://www.indeed.com/viewjob?jk=0dbf1a80ab0725c5", "https://www.indeed.com/viewjob?jk=0dbf1a80ab0725c5")</f>
        <v/>
      </c>
      <c r="F103">
        <f>HYPERLINK("https://www.amazon.jobs/jobs/2998435/senior-applied-scientist-delivery-foundation-model-?cmpid=DA_INAD200785B", "https://www.amazon.jobs/jobs/2998435/senior-applied-scientist-delivery-foundation-model-?cmpid=DA_INAD200785B")</f>
        <v/>
      </c>
      <c r="G103" t="inlineStr">
        <is>
          <t>Santa Clara, CA, US</t>
        </is>
      </c>
      <c r="H103" s="1" t="n">
        <v>45806</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in-1156163a3235964f</t>
        </is>
      </c>
      <c r="B104" t="inlineStr">
        <is>
          <t>Senior Applied Scientist, Delivery Foundation Model</t>
        </is>
      </c>
      <c r="C104" t="inlineStr">
        <is>
          <t>Amazon.com</t>
        </is>
      </c>
      <c r="D104" t="inlineStr">
        <is>
          <t>indeed</t>
        </is>
      </c>
      <c r="E104">
        <f>HYPERLINK("https://www.indeed.com/viewjob?jk=1156163a3235964f", "https://www.indeed.com/viewjob?jk=1156163a3235964f")</f>
        <v/>
      </c>
      <c r="F104">
        <f>HYPERLINK("https://www.amazon.jobs/jobs/2998435/senior-applied-scientist-delivery-foundation-model-?cmpid=DA_INAD200785B", "https://www.amazon.jobs/jobs/2998435/senior-applied-scientist-delivery-foundation-model-?cmpid=DA_INAD200785B")</f>
        <v/>
      </c>
      <c r="G104" t="inlineStr">
        <is>
          <t>New York, NY, US</t>
        </is>
      </c>
      <c r="H104" s="1" t="n">
        <v>45806</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in-a2c29c0fabfe0ec8</t>
        </is>
      </c>
      <c r="B105" t="inlineStr">
        <is>
          <t>Senior Applied Scientist, Delivery Foundation Model</t>
        </is>
      </c>
      <c r="C105" t="inlineStr">
        <is>
          <t>Amazon.com</t>
        </is>
      </c>
      <c r="D105" t="inlineStr">
        <is>
          <t>indeed</t>
        </is>
      </c>
      <c r="E105">
        <f>HYPERLINK("https://www.indeed.com/viewjob?jk=a2c29c0fabfe0ec8", "https://www.indeed.com/viewjob?jk=a2c29c0fabfe0ec8")</f>
        <v/>
      </c>
      <c r="F105">
        <f>HYPERLINK("https://www.amazon.jobs/jobs/2998435/senior-applied-scientist-delivery-foundation-model-?cmpid=DA_INAD200785B", "https://www.amazon.jobs/jobs/2998435/senior-applied-scientist-delivery-foundation-model-?cmpid=DA_INAD200785B")</f>
        <v/>
      </c>
      <c r="G105" t="inlineStr">
        <is>
          <t>Bellevue, WA, US</t>
        </is>
      </c>
      <c r="H105" s="1" t="n">
        <v>45806</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in-e605c2dea58296a0</t>
        </is>
      </c>
      <c r="B106" t="inlineStr">
        <is>
          <t>Sr. Applied Scientist - Privacy, Privacy Engineering</t>
        </is>
      </c>
      <c r="C106" t="inlineStr">
        <is>
          <t>Amazon.com</t>
        </is>
      </c>
      <c r="D106" t="inlineStr">
        <is>
          <t>indeed</t>
        </is>
      </c>
      <c r="E106">
        <f>HYPERLINK("https://www.indeed.com/viewjob?jk=e605c2dea58296a0", "https://www.indeed.com/viewjob?jk=e605c2dea58296a0")</f>
        <v/>
      </c>
      <c r="F106">
        <f>HYPERLINK("https://www.amazon.jobs/jobs/2997657/sr-applied-scientist--privacy-privacy-engineering?cmpid=DA_INAD200785B", "https://www.amazon.jobs/jobs/2997657/sr-applied-scientist--privacy-privacy-engineering?cmpid=DA_INAD200785B")</f>
        <v/>
      </c>
      <c r="G106" t="inlineStr">
        <is>
          <t>San Francisco, CA, US</t>
        </is>
      </c>
      <c r="H106" s="1" t="n">
        <v>45787</v>
      </c>
      <c r="I10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in-aff4b3b2d5623b77</t>
        </is>
      </c>
      <c r="B107" t="inlineStr">
        <is>
          <t>Sr. Applied Scientist - Privacy, Privacy Engineering</t>
        </is>
      </c>
      <c r="C107" t="inlineStr">
        <is>
          <t>Amazon.com</t>
        </is>
      </c>
      <c r="D107" t="inlineStr">
        <is>
          <t>indeed</t>
        </is>
      </c>
      <c r="E107">
        <f>HYPERLINK("https://www.indeed.com/viewjob?jk=aff4b3b2d5623b77", "https://www.indeed.com/viewjob?jk=aff4b3b2d5623b77")</f>
        <v/>
      </c>
      <c r="F107">
        <f>HYPERLINK("https://www.amazon.jobs/jobs/2997657/sr-applied-scientist--privacy-privacy-engineering?cmpid=DA_INAD200785B", "https://www.amazon.jobs/jobs/2997657/sr-applied-scientist--privacy-privacy-engineering?cmpid=DA_INAD200785B")</f>
        <v/>
      </c>
      <c r="G107" t="inlineStr">
        <is>
          <t>Sunnyvale, CA, US</t>
        </is>
      </c>
      <c r="H107" s="1" t="n">
        <v>45787</v>
      </c>
      <c r="I10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in-69cd421d1b3a4f3e</t>
        </is>
      </c>
      <c r="B108" t="inlineStr">
        <is>
          <t>Sr. Applied Scientist - Privacy, Privacy Engineering</t>
        </is>
      </c>
      <c r="C108" t="inlineStr">
        <is>
          <t>Amazon.com</t>
        </is>
      </c>
      <c r="D108" t="inlineStr">
        <is>
          <t>indeed</t>
        </is>
      </c>
      <c r="E108">
        <f>HYPERLINK("https://www.indeed.com/viewjob?jk=69cd421d1b3a4f3e", "https://www.indeed.com/viewjob?jk=69cd421d1b3a4f3e")</f>
        <v/>
      </c>
      <c r="F108">
        <f>HYPERLINK("https://www.amazon.jobs/jobs/2997657/sr-applied-scientist--privacy-privacy-engineering?cmpid=DA_INAD200785B", "https://www.amazon.jobs/jobs/2997657/sr-applied-scientist--privacy-privacy-engineering?cmpid=DA_INAD200785B")</f>
        <v/>
      </c>
      <c r="G108" t="inlineStr">
        <is>
          <t>Seattle, WA, US</t>
        </is>
      </c>
      <c r="H108" s="1" t="n">
        <v>45787</v>
      </c>
      <c r="I108"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in-6b4184a7c6233019</t>
        </is>
      </c>
      <c r="B109" t="inlineStr">
        <is>
          <t>Sr. Applied Scientist - Privacy, Privacy Engineering</t>
        </is>
      </c>
      <c r="C109" t="inlineStr">
        <is>
          <t>Amazon.com</t>
        </is>
      </c>
      <c r="D109" t="inlineStr">
        <is>
          <t>indeed</t>
        </is>
      </c>
      <c r="E109">
        <f>HYPERLINK("https://www.indeed.com/viewjob?jk=6b4184a7c6233019", "https://www.indeed.com/viewjob?jk=6b4184a7c6233019")</f>
        <v/>
      </c>
      <c r="F109">
        <f>HYPERLINK("https://www.amazon.jobs/jobs/2997657/sr-applied-scientist--privacy-privacy-engineering?cmpid=DA_INAD200785B", "https://www.amazon.jobs/jobs/2997657/sr-applied-scientist--privacy-privacy-engineering?cmpid=DA_INAD200785B")</f>
        <v/>
      </c>
      <c r="G109" t="inlineStr">
        <is>
          <t>Santa Clara, CA, US</t>
        </is>
      </c>
      <c r="H109" s="1" t="n">
        <v>45787</v>
      </c>
      <c r="I10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in-9439c626c038e035</t>
        </is>
      </c>
      <c r="B110" t="inlineStr">
        <is>
          <t>Principal Applied Scientist, Delivery Foundation Model</t>
        </is>
      </c>
      <c r="C110" t="inlineStr">
        <is>
          <t>Amazon.com</t>
        </is>
      </c>
      <c r="D110" t="inlineStr">
        <is>
          <t>indeed</t>
        </is>
      </c>
      <c r="E110">
        <f>HYPERLINK("https://www.indeed.com/viewjob?jk=9439c626c038e035", "https://www.indeed.com/viewjob?jk=9439c626c038e035")</f>
        <v/>
      </c>
      <c r="F110">
        <f>HYPERLINK("https://www.amazon.jobs/jobs/2998635/principal-applied-scientist-delivery-foundation-model-?cmpid=DA_INAD200785B", "https://www.amazon.jobs/jobs/2998635/principal-applied-scientist-delivery-foundation-model-?cmpid=DA_INAD200785B")</f>
        <v/>
      </c>
      <c r="G110" t="inlineStr">
        <is>
          <t>Santa Clara, CA, US</t>
        </is>
      </c>
      <c r="H110" s="1" t="n">
        <v>45757</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1">
      <c r="A111" t="inlineStr">
        <is>
          <t>in-8d4664f7ae84b5a4</t>
        </is>
      </c>
      <c r="B111" t="inlineStr">
        <is>
          <t>Principal Applied Scientist, Delivery Foundation Model</t>
        </is>
      </c>
      <c r="C111" t="inlineStr">
        <is>
          <t>Amazon.com</t>
        </is>
      </c>
      <c r="D111" t="inlineStr">
        <is>
          <t>indeed</t>
        </is>
      </c>
      <c r="E111">
        <f>HYPERLINK("https://www.indeed.com/viewjob?jk=8d4664f7ae84b5a4", "https://www.indeed.com/viewjob?jk=8d4664f7ae84b5a4")</f>
        <v/>
      </c>
      <c r="F111">
        <f>HYPERLINK("https://www.amazon.jobs/jobs/2998635/principal-applied-scientist-delivery-foundation-model-?cmpid=DA_INAD200785B", "https://www.amazon.jobs/jobs/2998635/principal-applied-scientist-delivery-foundation-model-?cmpid=DA_INAD200785B")</f>
        <v/>
      </c>
      <c r="G111" t="inlineStr">
        <is>
          <t>New York, NY, US</t>
        </is>
      </c>
      <c r="H111" s="1" t="n">
        <v>45757</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2">
      <c r="A112" t="inlineStr">
        <is>
          <t>in-cdec63a8da683186</t>
        </is>
      </c>
      <c r="B112" t="inlineStr">
        <is>
          <t>Principal Applied Scientist, Delivery Foundation Model</t>
        </is>
      </c>
      <c r="C112" t="inlineStr">
        <is>
          <t>Amazon.com</t>
        </is>
      </c>
      <c r="D112" t="inlineStr">
        <is>
          <t>indeed</t>
        </is>
      </c>
      <c r="E112">
        <f>HYPERLINK("https://www.indeed.com/viewjob?jk=cdec63a8da683186", "https://www.indeed.com/viewjob?jk=cdec63a8da683186")</f>
        <v/>
      </c>
      <c r="F112">
        <f>HYPERLINK("https://www.amazon.jobs/jobs/2998635/principal-applied-scientist-delivery-foundation-model-?cmpid=DA_INAD200785B", "https://www.amazon.jobs/jobs/2998635/principal-applied-scientist-delivery-foundation-model-?cmpid=DA_INAD200785B")</f>
        <v/>
      </c>
      <c r="G112" t="inlineStr">
        <is>
          <t>Bellevue, WA, US</t>
        </is>
      </c>
      <c r="H112" s="1" t="n">
        <v>45757</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3">
      <c r="A113" t="inlineStr">
        <is>
          <t>in-ed25feb9abc0a01c</t>
        </is>
      </c>
      <c r="B113" t="inlineStr">
        <is>
          <t>Sr. Manager, Machine Learning Engineering</t>
        </is>
      </c>
      <c r="C113" t="inlineStr">
        <is>
          <t>Disney Entertainment Television</t>
        </is>
      </c>
      <c r="D113" t="inlineStr">
        <is>
          <t>indeed</t>
        </is>
      </c>
      <c r="E113">
        <f>HYPERLINK("https://www.indeed.com/viewjob?jk=ed25feb9abc0a01c", "https://www.indeed.com/viewjob?jk=ed25feb9abc0a01c")</f>
        <v/>
      </c>
      <c r="F113">
        <f>HYPERLINK("https://www.disneycareers.com/job/-/-/391/92432703072", "https://www.disneycareers.com/job/-/-/391/92432703072")</f>
        <v/>
      </c>
      <c r="G113" t="inlineStr">
        <is>
          <t>New York, NY, US</t>
        </is>
      </c>
      <c r="H113" s="1" t="n">
        <v>46086</v>
      </c>
      <c r="I113" t="inlineStr">
        <is>
          <t>**This is not a remote role. You must be in the area or open to relocating.**
**Department/Group Overview:**
The cross\-media measurement and advanced analytics organization is responsible for data strategy \&amp; management, cross\-platform content measurement, Content marketing measurement, and linear and digital inventory forecasting. The team provides advanced analytics and actionable insights related to Disney entertainment's content, monetization, and audience development.
**The Data and Analytics Operations team is part of the Cross\-Media Measurement and Advanced Analytics organization (CMAA)**. Reporting to the Executive Director of Data and Analytics Operations, this team leverages advanced machine learning techniques to deliver a robust suite of analytics solutions. Their portfolio includes descriptive, predictive, and prescriptive analytics, underpinned by strong data management practices and an interoperability layer. These capabilities are structured to support a range of business goals, such as content production, marketing and monetization.
**Job Summary:**
The Senior Manager, Machine Learning Engineering will lead a team responsible for building and operating production ML systems that deliver predictive outcomes at scale for cross\-media measurement, identity resolution, and audience development. This role requires deep hands\-on understanding of applied machine learning and ML engineering and is accountable for ensuring that machine learning techniques are applied in code (e.g., supervised / unsupervised learning, deep learning/neural networks where appropriate, and related modeling frameworks) and operationalized reliably through robust MLOps practices. The position also includes ownership of key data and pipeline foundations required to capture, manage, store, and utilize large\-scale structured and unstructured data from internal and external sources to support model training and inference, while enforcing privacy, governance, and audit readiness.
**Responsibilities and Duties of the Role:**
* **Lead delivery of machine learning systems for identity, audience modeling, and cross\-platform measurement; ensure ML techniques are applied in code and deployed as scalable, production\-grade services and/or pipelines.**
* **Oversee ML data and feature foundations: design and maintain pipelines that capture, transform, and deliver structured and unstructured cross\-media datasets from internal/external sources; ensure interoperability and data integrity across platforms (Airflow/Dagster; Snowflake/Databricks)**
* MLOps \&amp; monitoring ownership: implement and standardize CI/CD, model versioning/registry practices, automated evaluation/testing, drift detection, dashboards/alerts, and operational runbooks to ensure reliability and reproducibility.
* Lead a team of ML engineers: hiring, onboarding, coaching, performance management, code/design reviews, and career development; set technical direction and quality standards.
* Lead cross\-organization decision\-making: align stakeholders, define success metrics, and drive complex trade\-offs to deliver durable, scalable ML solutions.
* Stakeholder collaboration \&amp; roadmap execution: partner with product, analytics, engineering, and governance stakeholders to translate business needs into technical requirements, success metrics, and delivery plans.
* Champion data privacy, governance, and compliance: enforce GDPR/CCPA principles, PII safeguards, documentation, and audit readiness across ML workflows.
**Required Education, Experience/Skills/Training:**
**Minimum Qualifications:**
* **Must have 10\+ years of experience in machine learning engineering and/or applied ML roles delivering production ML systems (models \+ pipelines \+ monitoring)**
* **Must have 4\+ years in a technical leadership capacity, including people leadership and/or strong delivery ownership in ML environment**
* **Must have knowledge of data privacy regulations (GDPR, CCPA) and implementing privacy\-aware data and modeling practices**
* Proven experience applying machine learning techniques in code to develop predictive systems at scale (including deep learning where appropriate)
* Strong proficiency in Python and SQL; software engineering best practices (version control, CI/CD, automated testing)
* Hands\-on experience with cloud\-native data platforms and distributed processing (Snowflake/Databricks/BigQuery/Spark) and orchestration (Airflow/Dagster)
**Preferred Qualifications:**
* 12\+ years total experience, with hands\-on work in media, advertising technology, or cross\-platform audience measurement
* **Flagship production ownership experience with ML, deep\-learning, genAI, or retrieval\-augmented systems (PyTorch, vector databases) and real\-time data pipelines (Kafka, Pub/Sub, Kinesis)**
* **Strong understanding with modern MLOps stacks (e.g., MLflow, Kubeflow, Vertex AI, SageMaker) and model\-governance practices (metadata, lineage, drift detection)**
* Certifications such as Google Professional Machine Learning Engineer, AWS Certified Machine Learning – Specialty, or equivalent cloud/data credentials
* Contributions to open\-source ML or data\-engineering projects, conference presentations, or peer\-reviewed publications
* Experience in media/ad tech, identity graphs, audience measurement, or interoperability layers
* Experience with modern MLOps platforms (MLflow, Kubeflow, Vertex AI, SageMaker) and model governance practices
**Required Education:**
* Bachelor's degree in a relevant technical or science field (e.g. computer science, data science, mathematics, or a related discipline)
**Preferred Education:**
* Master’s degree or PhD in a relevant field (e.g., Applied Math, Computer Science, Computational Science, Operation Research, Data Science)
\#DISNEYTECH
The hiring range for this position in New York City is $217,300\.00\-$270,000\.00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14">
      <c r="A114" t="inlineStr">
        <is>
          <t>in-48db63e6beaaeb38</t>
        </is>
      </c>
      <c r="B114" t="inlineStr">
        <is>
          <t>AI &amp; ML Engineer</t>
        </is>
      </c>
      <c r="C114" t="inlineStr">
        <is>
          <t>Booz Allen Hamilton</t>
        </is>
      </c>
      <c r="D114" t="inlineStr">
        <is>
          <t>indeed</t>
        </is>
      </c>
      <c r="E114">
        <f>HYPERLINK("https://www.indeed.com/viewjob?jk=48db63e6beaaeb38", "https://www.indeed.com/viewjob?jk=48db63e6beaaeb38")</f>
        <v/>
      </c>
      <c r="F114">
        <f>HYPERLINK("https://careers.boozallen.com/careers/JobDetail?jobId=121550", "https://careers.boozallen.com/careers/JobDetail?jobId=121550")</f>
        <v/>
      </c>
      <c r="G114" t="inlineStr">
        <is>
          <t>McLean, VA, US</t>
        </is>
      </c>
      <c r="H114" s="1" t="n">
        <v>46086</v>
      </c>
      <c r="I114" t="inlineStr">
        <is>
          <t>AI \&amp; ML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As a machine learning engineer on our autonomy team, you’ll train, test, deploy, and maintain models that learn from data.
In this role, you’ll contribute to the direction of mission\-critical solutions by applying best\-fit ML algorithms and technologies. You will be responsible for the end\-to\-end training and deployment of edge LLMs and SLM, starting from data gathering or generation to training via LoRA, SFT, and unsupervised training like RL.
Work with us to solve real\-world challenges and define ML strategy for the U.S. military and operators.
Join us. The world can’t wait.
**You Have:**
* 4\+ years of experience with machine learning and AI, including training, testing, and deploying models
* 3\+ years of experience with GenAI, including fine\-tuning
* Experience performing distributed training across large GPU clusters
* Experience with LangChain, LangGraph, AutoGen, or LlamaIndex
* Experience with Model Context Protocol (MCP) for tool integration and A2A for agent\-to\-agent collaboration
* Experience in RAG architecture
* Knowledge of graphs, including Neo4j or NebulaGraph
* Knowledge of modern software design patterns, including microservice design or edge computing
* Ability to obtain a Secret clearance
* Bachelor’s degree in a Computer Science or AI field
**Nice If You Have:**
* Experience generating datasets for LLM or SLM fine\-tuning
* Experience deploying models to compute\-constrained environments
* Master’s degree in a Computer Science, AI, or similar field preferred; Doctorate degree in Computer Science, Statistics, or a similar field a plus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5">
      <c r="A115" t="inlineStr">
        <is>
          <t>in-52853b92f28236d3</t>
        </is>
      </c>
      <c r="B115" t="inlineStr">
        <is>
          <t>Artificial Intelligence and Machine Learning Engineer</t>
        </is>
      </c>
      <c r="C115" t="inlineStr">
        <is>
          <t>Booz Allen Hamilton</t>
        </is>
      </c>
      <c r="D115" t="inlineStr">
        <is>
          <t>indeed</t>
        </is>
      </c>
      <c r="E115">
        <f>HYPERLINK("https://www.indeed.com/viewjob?jk=52853b92f28236d3", "https://www.indeed.com/viewjob?jk=52853b92f28236d3")</f>
        <v/>
      </c>
      <c r="F115">
        <f>HYPERLINK("https://careers.boozallen.com/careers/JobDetail?jobId=121466", "https://careers.boozallen.com/careers/JobDetail?jobId=121466")</f>
        <v/>
      </c>
      <c r="G115" t="inlineStr">
        <is>
          <t>Bethesda, MD, US</t>
        </is>
      </c>
      <c r="H115" s="1" t="n">
        <v>46086</v>
      </c>
      <c r="I115" t="inlineStr">
        <is>
          <t>Artificial Intelligence and Machine Learning Engineer**The Opportunity:**
Are you ready to embark on a journey where your skills in data and artificial intelligence will drive innovation and propel businesses into the future? Are you fascinated by the possibilities presented by artificial intelligence advances? In an increasingly connected world, massive amounts of structured and unstructured data open up new opportunities. As an aspiring data scientist and AI engineer, you know you can help turn these complex data sets into useful information to solve global challenges. Across private and public sectors — from fraud detection to cancer research, to national intelligence — you see data scientists turning data into actions and you want to be part of the team.
As a data scientist on our team, you’ll use your analytical skills to help create real\-world impact. You’ll work closely with clients to understand their questions and needs, and then dig into their data\-rich environments to find the pieces of their information puzzle. You’ll work with and learn from your teammates as you develop algorithms and systems. You’ll use the right combination of tools and frameworks to turn sets of disparate data points into objective answers so that your clients can make informed decisions. If you are driven by curiosity, thrive in a fast\-paced setting, and have a deep fascination with the potential of AI, this is the place where you can make a significant impact. Join us and be part of a team that's not only shaping the future but also pushing the boundaries of what's possible.
Join us. The world can’t wait.
**You Have:**
* 1\+ years of experience leveraging scripting or statistical programming languages, such as Python, to develop predictive data models, quantitative analyses, and data visualizations
* 1\+ years of experience in AI, including machine learning, Agentic AI, Generative AI, or Natural Language Processing
* Experience writing efficient, clean, and maintainable code using programming languages such as Python
* Experience with machine learning libraries and frameworks
* Knowledge of statistical analysis, data preprocessing techniques, and feature engineering
* Ability to take poorly defined problems and convert them into questions for which practical quantitative solutions can be defined
* Ability to work with large, remote data sets
* Ability to employ best practices in software development, including using Git for version control and collaboration with other developers, and testing and code reviews to ensure the quality and reliability of AI solutions
* Ability to obtain and maintain a Public Trust or Suitability/Fitness determination based on client requirements
* Bachelor's degree in Computer Science, Machine Learning, Data Science, Engineering, Mathematics, or a STEM field
**Nice If You Have:**
* Experience with healthcare or medical device industry data
* Experience using query tools, such as SQL or Spark
* Experience with AWS, GCP, or Salesforce Cloud services
* Experience with Scikit\-Learn, TensorFlow, or PyTorch
* Experience with program automation, CI and CD, DevSecOps, and Agile
* Experience with Agile methodologies and best practices
* Experience with geospatial data analysis, including ArcGIS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$55,200\.00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6">
      <c r="A116" t="inlineStr">
        <is>
          <t>in-8adc3acfa021ad92</t>
        </is>
      </c>
      <c r="B116" t="inlineStr">
        <is>
          <t>Machine Learning Engineer</t>
        </is>
      </c>
      <c r="C116" t="inlineStr">
        <is>
          <t>Booz Allen Hamilton</t>
        </is>
      </c>
      <c r="D116" t="inlineStr">
        <is>
          <t>indeed</t>
        </is>
      </c>
      <c r="E116">
        <f>HYPERLINK("https://www.indeed.com/viewjob?jk=8adc3acfa021ad92", "https://www.indeed.com/viewjob?jk=8adc3acfa021ad92")</f>
        <v/>
      </c>
      <c r="F116">
        <f>HYPERLINK("https://careers.boozallen.com/careers/JobDetail?jobId=121456", "https://careers.boozallen.com/careers/JobDetail?jobId=121456")</f>
        <v/>
      </c>
      <c r="G116" t="inlineStr">
        <is>
          <t>McLean, VA, US</t>
        </is>
      </c>
      <c r="H116" s="1" t="n">
        <v>46086</v>
      </c>
      <c r="I116" t="inlineStr">
        <is>
          <t>Machine Learning Engineer**The Opportunity:**
As an experienced engineer,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5\+ years of experience with artificial intelligence, data science, or machine learning engineering, including developing and deploying MLE models
* 3\+ years of experience with Python coding and libraries, including scikit\-learn, TensorFlow, or PyTorch
* Experience developing code using a common programming language, including Python, C\+\+, Rust, or Java
* Experience with deep learning, computer vision, or generative AI
* Experience with data handling and model development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7">
      <c r="A117" t="inlineStr">
        <is>
          <t>in-a6fd2210d1c7d914</t>
        </is>
      </c>
      <c r="B117" t="inlineStr">
        <is>
          <t>AI and ML Engineer</t>
        </is>
      </c>
      <c r="C117" t="inlineStr">
        <is>
          <t>Booz Allen Hamilton</t>
        </is>
      </c>
      <c r="D117" t="inlineStr">
        <is>
          <t>indeed</t>
        </is>
      </c>
      <c r="E117">
        <f>HYPERLINK("https://www.indeed.com/viewjob?jk=a6fd2210d1c7d914", "https://www.indeed.com/viewjob?jk=a6fd2210d1c7d914")</f>
        <v/>
      </c>
      <c r="F117">
        <f>HYPERLINK("https://careers.boozallen.com/careers/JobDetail?jobId=121518", "https://careers.boozallen.com/careers/JobDetail?jobId=121518")</f>
        <v/>
      </c>
      <c r="G117" t="inlineStr">
        <is>
          <t>Offutt AFB, NE, US</t>
        </is>
      </c>
      <c r="H117" s="1" t="n">
        <v>46086</v>
      </c>
      <c r="I117" t="inlineStr">
        <is>
          <t>AI and ML Engineer**The Opportunity:**
As an experienced engineer, you know that machine learning (ML)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our client's desire to rapidly deploy artificial intelligence (AI) solutions in varied national security environments. As a machine learning engineer on our national security team, you’ll train, test, deploy, and maintain models that learn from data.
In this role, you’ll lead the direction of mission\-critical solutions by applying best\-fit ML algorithms and introducing leading\-edge technologies. You’ll share your knowledge with a large community of machine learning engineers across the company and collaborate with data engineers, data scientists, solutions architects, and product owners to deliver world class solutions to process data and information at a massive scale delivering new access to data for our clients in ways they have never been able to accomplish until now. Your skills and extensive technical expertise will guide clients as they navigate the landscape of ML algorithms, tools, and frameworks.
Work with us to solve real\-world challenges and define ML strategy for the national defense mission.
Join us. The world can’t wait.
**You Have:**
* 2\+ years of experience designing and developing AI, ML, or Natural Language Processing (NLP) solutions to guide LLM behavior and responses
* Experience designing, analyzing, and optimizing prompts for accuracy, consistency, and relevance across varied scenarios
* Experience working with cross\-functional teams translating business needs into actionable tasks by designing context\-aware prompts and integrating prompt engineering into broader AI development pipelines
* Experience using AI tools or frameworks, including OpenAI, LangChain, TensorFlow, PyTorch, Hugging Face, or Python
* Knowledge of deploying AI tools in the Cloud
* Knowledge of large language models (LLMs) and front\-end applications
* Top Secret clearance
* Bachelor's degree
**Nice If You Have:**
* 5\+ years of experience in Cloud deployments
* 5\+ years of experience in solutions architecture
* Ability to design creative and effective prompts to solve complex problems
* Ability to display an analytical mindset for evaluating and iterating on prompt performance
**Clearance:**
Applicants selected will be subject to a security investigation and may need to meet eligibility requirements for access to classified information; Top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8">
      <c r="A118" t="inlineStr">
        <is>
          <t>in-2aa7ecd9af4a26f3</t>
        </is>
      </c>
      <c r="B118" t="inlineStr">
        <is>
          <t>Machine Learning Engineer</t>
        </is>
      </c>
      <c r="C118" t="inlineStr">
        <is>
          <t>Booz Allen Hamilton</t>
        </is>
      </c>
      <c r="D118" t="inlineStr">
        <is>
          <t>indeed</t>
        </is>
      </c>
      <c r="E118">
        <f>HYPERLINK("https://www.indeed.com/viewjob?jk=2aa7ecd9af4a26f3", "https://www.indeed.com/viewjob?jk=2aa7ecd9af4a26f3")</f>
        <v/>
      </c>
      <c r="F118">
        <f>HYPERLINK("https://careers.boozallen.com/careers/JobDetail?jobId=121482", "https://careers.boozallen.com/careers/JobDetail?jobId=121482")</f>
        <v/>
      </c>
      <c r="G118" t="inlineStr">
        <is>
          <t>McLean, VA, US</t>
        </is>
      </c>
      <c r="H118" s="1" t="n">
        <v>46086</v>
      </c>
      <c r="I118" t="inlineStr">
        <is>
          <t>Machine Learning Engineer**The Opportunity:**
As a programmer, you know that machine learning is critical to understanding and processing massive datasets. Your ability to conduct statistical analyses on business processes using ML techniques makes you an integral part of delivering a customer\-focused solution. We need your technical knowledge and desire to problem\-solve to support innovation across the DoD market. As a machine learning engineer on our defense technology team, you’ll train, test, deploy, and maintain models that learn from data.
In this role, you’ll own and define the direction of mission\-critical solutions by implementing AI that enables faster mission success. You’ll be part of a large community of machine learning engineers across the company and collaborate with data engineers, data scientists, solutions architects, and product owners to deliver world\-class solutions to implement a wide variety of AI use cases. Your skills and extensive technical expertise will guide clients as they navigate the landscape of ML algorithms, tools, and frameworks.
Work with us to solve real\-world challenges and define AI strategy for national security.
Join us. The world can’t wait.
**You Have:**
* 2\+ years of experience with artificial intelligence, data science, or machine learning engineering, including developing and deploying MLE models
* Experience with Python coding and libraries, including scikit\-learn, TensorFlow, or PyTorch
* Experience with developing code using a common programming language, including Python, C\+\+, Rust, or Java
* Experience with deep learning, reinforcement learning, computer vision, or generative AI
* Experience with supervised and unsupervised learning
* Experience with data handling and model development
* Ability to solve client issues and problems
* Secret clearance
* Bachelor's degree
**Nice If You Have:**
* Experience with generative and agentic AI technologies, such as LLMs, MCP, LangChain, or LangGraph
* Ability to develop and maintain scalable data stores that supply big data in forms needed for business analysis
* Ability to create software for retrieving, parsing, and processing structured and unstructured data
* Master's degree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$77,600\.00 to $176,000\.00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9">
      <c r="A119" t="inlineStr">
        <is>
          <t>in-2ee274259b2b0969</t>
        </is>
      </c>
      <c r="B119" t="inlineStr">
        <is>
          <t>AI/ML Engineer</t>
        </is>
      </c>
      <c r="C119" t="inlineStr">
        <is>
          <t>rockITdata</t>
        </is>
      </c>
      <c r="D119" t="inlineStr">
        <is>
          <t>indeed</t>
        </is>
      </c>
      <c r="E119">
        <f>HYPERLINK("https://www.indeed.com/viewjob?jk=2ee274259b2b0969", "https://www.indeed.com/viewjob?jk=2ee274259b2b0969")</f>
        <v/>
      </c>
      <c r="F119">
        <f>HYPERLINK("https://rockitdata.applytojob.com/apply/vFQjiBiJCo/AIML-Engineer?source=INDE&amp;~", "https://rockitdata.applytojob.com/apply/vFQjiBiJCo/AIML-Engineer?source=INDE&amp;~")</f>
        <v/>
      </c>
      <c r="G119" t="inlineStr">
        <is>
          <t>Remote, US</t>
        </is>
      </c>
      <c r="H119" s="1" t="n">
        <v>46086</v>
      </c>
      <c r="I119" t="inlineStr">
        <is>
          <t>Driven by Innovation and built on Trust, rockITdata is a unique SDVOSB services company that partners with leading commercial healthcare/life sciences organizations on cutting edge innovations \- think AI, automation and data transformation. We then bring those commercially tested solutions to government entities to deliver predictable, measurable impact for the American taxpayer and consumer.  
rockITdata is seeking an AI/ML Engineer. This role is responsible for designing, building, and optimizing AI\-powered capabilities within an Amazon Connect contact center environment running in AWS GovCloud (IL4\). This role will focus on Amazon Bedrock Agent configuration, prompt engineering, knowledge base development, coaching ruleset design, QA scoring rubric implementation, and continuous model evaluation. The engineer will work across all four AI capabilities: IVR Call Taking, AI Coaching, Call Summaries, and Post Call Analysis.  
**Key Responsibilities*** Configure and optimize Amazon Bedrock Agents for virtual agent fulfillment, real\-time coaching, call summarization, and post\-call quality analysis
Design, version\-control, and iteratively refine prompt templates for each AI capability, measuring performance against SLA accuracy targets (* 95% QA match)
* Build and maintain the AWS Bedrock Knowledge Base, including content ingestion pipelines synced from Salesforce and semantic retrieval optimization using Amazon Nova models
* Develop coaching rulesets that map required disclosures, HIPAA\-sensitive language patterns, and DHA\-mandated scripts to specific call types for real\-time compliance monitoring
* Implement QA scoring rubrics for the post\-call analysis platform, enabling automated evaluation of sentiment, compliance, accuracy, and resolution effectiveness across 100% of calls
* Configure Bedrock Guardrails for PHI/PII redaction, hallucination detection, prompt\-injection protection, and content filtering on every inference call
* Evaluate new Amazon Nova model releases (Nova Pro, Nova Lite, Nova Micro) against production benchmarks for accuracy, latency, and cost efficiency, proposing model swaps through change management
* Collaborate with the Integration Engineer to ensure Bedrock inference outputs are properly formatted for delivery to Salesforce (via Lambda and Platform Events) and to Verint
* Monitor model performance using CloudWatch metrics and QuickSight dashboards; identify and remediate model drift at Day 30 and Day 60 re\-benchmarking intervals
* Participate in biweekly sprint demos, presenting AI performance data, prompt tuning results, and accuracy metrics to TriWest stakeholders
* Work with TriWest QA reviewers and SMEs to close knowledge gaps identified through post\-call analysis feedback loops
* Ensure all AI inference and logging complies with FedRAMP High, DFARS 252\.204\-7012, HIPAA, and NIST AI RMF requirements
**Required Qualifications*** 3\+ years of experience in applied AI/ML engineering, with hands\-on work building LLM\-based applications (prompt engineering, RAG architectures, agent frameworks)
* Direct experience with Amazon Bedrock, including Agent configuration, Knowledge Base setup, Guardrails, and foundation model invocation
* Proficiency with Amazon Nova model family or equivalent foundation models (e.g., Claude, Titan) in production environments
* Strong Python and/or Node.js skills for Lambda function development and AI pipeline integration
* Experience with retrieval\-augmented generation (RAG) patterns, including vector store management, chunking strategies, and semantic search optimization
* Familiarity with AWS serverless services: Lambda, Kinesis, S3, CloudWatch, and IAM within GovCloud environments
* Understanding of healthcare data privacy requirements (HIPAA, PHI/PII handling) and federal compliance frameworks (FedRAMP, NIST 800\-53\)
* Experience with version\-controlled prompt management and A/B testing of prompt variants
* Strong analytical skills for interpreting model performance metrics and translating findings into prompt or architecture improvements
* Bachelor’s degree in Computer Science, Data Science, AI/ML, or related field (or equivalent experience)
**Preferred Qualifications*** Experience with Amazon Connect, Contact Lens, and contact center AI workflows
* Prior work in FedRAMP High or IL4/IL5 environments
* Familiarity with Salesforce integration patterns (Platform Events, Streaming API, REST/SOAP APIs)
* AWS certifications: Machine Learning Specialty, Solutions Architect, or DevOps Professional
* Experience with TRICARE, DHA, or healthcare insurance domain knowledge
* Background in conversational AI design (IVR, chatbots, voice agents)
\#LIREMOTE  
**Here at rockITdata, we are committed to following our 10 Guiding Principles.**  
Our Guiding Principles define our culture. They’re who we are, how we work, and what inspires us to be the best. We empower our people to be themselves and encourage an entrepreneurial way of thinking. In our challenging, fast\-paced environment, no day is the same.
Know the Why.
Value People Above All Else.
Transparency to a Fault.
Progress, Not Perfection.
Be Good by Doing Good.
Smart People Can Disagree.
Bend but Don’t Break.
Represent Your Brand.
Think Differently.
Be Amazing, Be Fearless, Smile, Have Fun!
Interested in joining something unique? Join us on our rockIT ship as we begin to blast off to the next chapter in our organization!
*rockITdata has become aware of a recruitment scam where unauthorized individuals are impersonating rockITdata recruiters, issuing fake job offers, and attempting to setup payment for the job seeker’s new hire costs. No one is ever required to complete any monetary transactions before starting employment with rockITdata. Legitimate rockITdata communications only come from @rockitdata.com email addresses and our official Applicant Tracking system, JazzHR (@applytojob.com email addresses). Please refer to our official Careers page at www.rockitdata.com/careers to accurately submit your application with us. You may also verify any suspicious communication by contacting our recruitment team directly through our official email, dreamjob@rockitdata.com.*
*rockITdata is an equal opportunity employer and is committed to non\-discrimination in all employment practices and decisions.* *All qualified applicants will receive consideration for employment without regard to disability status, veteran status* *or any characteristic protected by Federal, state, or local law.*
*rockITdata wants all interested and qualified candidates to be able to use our career site to review and apply for employment opportunities. If you have a disability and need an accommodation to access the application process, please contact us for assistance at dreamjob@rockitdata.com.*
vFQjiBiJCo</t>
        </is>
      </c>
    </row>
    <row r="120">
      <c r="A120" t="inlineStr">
        <is>
          <t>in-1547c8cb8bae1b7b</t>
        </is>
      </c>
      <c r="B120" t="inlineStr">
        <is>
          <t>Lead AI Engineer</t>
        </is>
      </c>
      <c r="C120" t="inlineStr">
        <is>
          <t>Capital One</t>
        </is>
      </c>
      <c r="D120" t="inlineStr">
        <is>
          <t>indeed</t>
        </is>
      </c>
      <c r="E120">
        <f>HYPERLINK("https://www.indeed.com/viewjob?jk=1547c8cb8bae1b7b", "https://www.indeed.com/viewjob?jk=1547c8cb8bae1b7b")</f>
        <v/>
      </c>
      <c r="F120">
        <f>HYPERLINK("https://www.capitalonecareers.com/job/-/-/1732/92423459024", "https://www.capitalonecareers.com/job/-/-/1732/92423459024")</f>
        <v/>
      </c>
      <c r="G120" t="inlineStr">
        <is>
          <t>San Jose, CA, US</t>
        </is>
      </c>
      <c r="H120" s="1" t="n">
        <v>46085</v>
      </c>
      <c r="I120" t="inlineStr">
        <is>
          <t>Lead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1">
      <c r="A121" t="inlineStr">
        <is>
          <t>in-7682b35bbf97b83a</t>
        </is>
      </c>
      <c r="B121" t="inlineStr">
        <is>
          <t>Senior Agentic AI Engineer</t>
        </is>
      </c>
      <c r="C121" t="inlineStr">
        <is>
          <t>Citizens</t>
        </is>
      </c>
      <c r="D121" t="inlineStr">
        <is>
          <t>indeed</t>
        </is>
      </c>
      <c r="E121">
        <f>HYPERLINK("https://www.indeed.com/viewjob?jk=7682b35bbf97b83a", "https://www.indeed.com/viewjob?jk=7682b35bbf97b83a")</f>
        <v/>
      </c>
      <c r="F121">
        <f>HYPERLINK("https://jobs.citizensbank.com/job/-/-/288/92378681648", "https://jobs.citizensbank.com/job/-/-/288/92378681648")</f>
        <v/>
      </c>
      <c r="G121" t="inlineStr">
        <is>
          <t>Johnston, RI, US</t>
        </is>
      </c>
      <c r="H121" s="1" t="n">
        <v>46084</v>
      </c>
      <c r="I121" t="inlineStr">
        <is>
          <t>**Description**
**4 Days in the office from any of our locations in Johnston RI,****Iselin NJ, Westwood or Medford MA, or Phoenix AZ and couple other locations**
**Role is not relocation eligible.**
**Senior AI Software Engineer (Agentic AI / AI Agents)**
**About the Role**
We are seeking a hands\-on, results\-driven **Senior AI Software Engineer** to build and scale **Agentic AI capabilities**—AI systems that can plan, act, and complete tasks through tool use and workflow orchestration—across enterprise platforms. This role is pivotal in delivering secure, reliable, and compliant **AI Agents** that integrate into customer and colleague journeys, accelerate time\-to\-market, and improve operational efficiency.
You will operate at the intersection of **software engineering and applied AI**, owning end\-to\-end delivery—from architecture and implementation to deployment, observability, and operational excellence.
 **Key Responsibilities**
Build and Operate AI Agents (Agentic AI Engineering)
* Design and implement **AI Agent architectures** (planner/executor patterns, multi\-step reasoning flows, tool\-use orchestration) to execute business tasks end\-to\-end.
* Build **tooling and integrations** for agents (APIs, internal services, data tools, workflow engines), including secure action execution, approvals, and guardrails.
* Engineer agent behaviors for reliability: deterministic fallbacks, bounded autonomy, retries, idempotency, and safe failure modes for partial completion.
Agent Platforms, Reuse, and Scale
* Develop reusable **agent frameworks** and components: shared tool registry, prompt/tool contracts, agent memory strategies, policy enforcement, and standardized observability.
* Enable teams to embed agents into multiple products/channels via **SDKs, reference implementations, and well\-defined APIs**, reducing duplication and improving consistency.
* Implement evaluation pipelines for agents: task success rate, tool\-call accuracy, groundedness, latency/cost, and regression testing across agent versions.
* Build production\-grade **RAG pipelines** and grounding mechanisms to ensure agent outputs are traceable and based on authoritative enterprise knowledge sources.
* Implement agent memory patterns (session memory, long\-term memory, semantic caches) with strong privacy and retention controls.
* Apply prompt orchestration techniques (system policies, role prompts, tool prompts) to reliably guide agent behavior.
Production Engineering \&amp; LLMOps
* Build and maintain **production inference services** optimized for performance, resiliency, and cost (caching, batching, async execution, circuit breakers).
* Create CI/CD for agent services: automated tests, canary releases, rollback strategies, and safe progressive delivery.
* Implement full observability: distributed tracing for agent steps and tool calls, model/token telemetry, failure analytics, and incident runbooks.
Security, Privacy, and Responsible AI (Non\-Negotiable)
* Embed security\-by\-design into agent systems: secrets handling, least\-privilege tool access, encryption, audit logs, and tamper\-resistant action trails.
* Implement policy and governance guardrails for agent autonomy: approval flows, restricted actions, PII redaction, and prompt injection defenses.
* Partner with Risk/Compliance to ensure solutions meet enterprise governance expectations.
Technical Leadership \&amp; Collaboration
* Lead design reviews and mentor engineers on agentic architecture, production readiness, and engineering best practices.
* Collaborate with Product, Architecture, Security, and Data partners to translate business tasks into scalable agent workflows and services.
 **Required Qualifications**
* Bachelor’s or Master’s degree in Computer Science, Engineering, or related field (or equivalent practical experience).
* **7\+ years** building production software systems; **3\+ years** delivering AI/ML or GenAI solutions to production.
* Strong proficiency in **Python** plus at least one backend language (Java/Go/Node.js).
* Demonstrated experience building **distributed systems, APIs, microservices**, and event\-driven architectures in cloud environments.
* Hands\-on experience with LLM application development (tool calling/function calling, orchestration frameworks, evaluation).
* Strong engineering discipline: testing strategy, performance tuning, CI/CD, reliability, and on\-call/incident response.
 **Preferred Qualifications**
* Proven experience building **AI Agents / Agentic workflows** (multi\-step task execution, tool integration, planning/execution separation).
* Experience implementing **RAG** for enterprise knowledge grounding and traceability.
* Experience with containerization and orchestration (Docker/Kubernetes) and enterprise observability stacks.
* Experience in regulated environments (financial services), including SDLC controls, privacy constraints, and audit readiness.
 **What Success Looks Like**
* AI Agents reliably complete high\-value tasks end\-to\-end with measurable improvements in cycle time, quality, and customer/colleague experience.
* Agent behaviors are safe and governed: clear audit trails, strong access controls, predictable failure modes, and strong monitoring.
* Agent components are reusable across teams, accelerating adoption while reducing duplicated effort and operational risk.
 **Pay Transparency**
The salary range for this position is $ 107,360 \- $ 161,000 per year plus an opportunity to earn an annual discretionary bonus. Actual pay is based on various factors including but not limited to the work location, and relevant skills and experience.  
We offer competitive pay, comprehensive medical, dental and vision coverage, retirement benefits, maternity/paternity leave, flexible work arrangements, education reimbursement, wellness programs and more. Note, Citizens’ paid time off policy exceeds the mandatory, paid sick or paid time\-away policy of very local and state jurisdiction in the United States. For an overview of our benefits, visit https://jobs.citizensbank.com/benefits.
*Some job boards have started using jobseeker\-reported data to estimate salary ranges for roles. If you apply and qualify for this role, a recruiter will discuss accurate pay guidance.*
**Equal Employment Opportunity**
Citizens, its parent, subsidiaries, and related companies (Citizens) provide equal employment and advancement opportunities to all colleagues and applicants for employment without regard to age, ancestry, color, citizenship, physical or mental disability, perceived disability or history or record of a disability, ethnicity, gender, gender identity or expression, genetic information, genetic characteristic, marital or domestic partner status, victim of domestic violence, family status/parenthood, medical condition, military or veteran status, national origin, pregnancy/childbirth/lactation, colleague’s or a dependent’s reproductive health decision making, race, religion, sex, sexual orientation, or any other category protected by federal, state and/or local laws. At Citizens, we are committed to fostering an inclusive culture that enables all colleagues to bring their best selves to work every day and everyone is expected to be treated with respect and professionalism. Employment decisions are based solely on merit, qualifications, performance and capability.
**Why Work for Us**
At Citizens, you'll find a customer\-centric culture built around helping our customers and giving back to our local communities. When you join our team, you are part of a supportive and collaborative workforce, with access to training and tools to accelerate your potential and maximize your career growth
*Background Check*
*Any offer of employment is conditioned upon the candidate successfully passing a background check, which may include initial credit, motor vehicle record, public record, prior employment verification, and criminal background checks. Results of the background check are individually reviewed based upon legal requirements imposed by our regulators and with consideration of the nature and gravity of the background history and the job offered. Any offer of employment will include further information.*</t>
        </is>
      </c>
    </row>
    <row r="122">
      <c r="A122" t="inlineStr">
        <is>
          <t>in-7ffa7321c462e84a</t>
        </is>
      </c>
      <c r="B122" t="inlineStr">
        <is>
          <t>ML Engineer, GO-AI Technology &amp; Development Team</t>
        </is>
      </c>
      <c r="C122" t="inlineStr">
        <is>
          <t>Amazon.com</t>
        </is>
      </c>
      <c r="D122" t="inlineStr">
        <is>
          <t>indeed</t>
        </is>
      </c>
      <c r="E122">
        <f>HYPERLINK("https://www.indeed.com/viewjob?jk=7ffa7321c462e84a", "https://www.indeed.com/viewjob?jk=7ffa7321c462e84a")</f>
        <v/>
      </c>
      <c r="F122">
        <f>HYPERLINK("https://www.amazon.jobs/jobs/3173298/ml-engineer-goai-technology--development-team?cmpid=DA_INAD200785B", "https://www.amazon.jobs/jobs/3173298/ml-engineer-goai-technology--development-team?cmpid=DA_INAD200785B")</f>
        <v/>
      </c>
      <c r="G122" t="inlineStr">
        <is>
          <t>Seattle, WA, US</t>
        </is>
      </c>
      <c r="H122" s="1" t="n">
        <v>45998</v>
      </c>
      <c r="I1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3">
      <c r="A123" t="inlineStr">
        <is>
          <t>in-c54410e85502d70a</t>
        </is>
      </c>
      <c r="B123" t="inlineStr">
        <is>
          <t>ML Engineer, GO-AI Technology &amp; Development Team</t>
        </is>
      </c>
      <c r="C123" t="inlineStr">
        <is>
          <t>Amazon.com</t>
        </is>
      </c>
      <c r="D123" t="inlineStr">
        <is>
          <t>indeed</t>
        </is>
      </c>
      <c r="E123">
        <f>HYPERLINK("https://www.indeed.com/viewjob?jk=c54410e85502d70a", "https://www.indeed.com/viewjob?jk=c54410e85502d70a")</f>
        <v/>
      </c>
      <c r="F123">
        <f>HYPERLINK("https://www.amazon.jobs/jobs/3173298/ml-engineer-goai-technology--development-team?cmpid=DA_INAD200785B", "https://www.amazon.jobs/jobs/3173298/ml-engineer-goai-technology--development-team?cmpid=DA_INAD200785B")</f>
        <v/>
      </c>
      <c r="G123" t="inlineStr">
        <is>
          <t>Reading, MA, US</t>
        </is>
      </c>
      <c r="H123" s="1" t="n">
        <v>45998</v>
      </c>
      <c r="I12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4">
      <c r="A124" t="inlineStr">
        <is>
          <t>in-e7068b4064b18c4b</t>
        </is>
      </c>
      <c r="B124" t="inlineStr">
        <is>
          <t>ML Engineer, GO-AI Technology &amp; Development Team</t>
        </is>
      </c>
      <c r="C124" t="inlineStr">
        <is>
          <t>Amazon.com</t>
        </is>
      </c>
      <c r="D124" t="inlineStr">
        <is>
          <t>indeed</t>
        </is>
      </c>
      <c r="E124">
        <f>HYPERLINK("https://www.indeed.com/viewjob?jk=e7068b4064b18c4b", "https://www.indeed.com/viewjob?jk=e7068b4064b18c4b")</f>
        <v/>
      </c>
      <c r="F124">
        <f>HYPERLINK("https://www.amazon.jobs/jobs/3173298/ml-engineer-goai-technology--development-team?cmpid=DA_INAD200785B", "https://www.amazon.jobs/jobs/3173298/ml-engineer-goai-technology--development-team?cmpid=DA_INAD200785B")</f>
        <v/>
      </c>
      <c r="G124" t="inlineStr">
        <is>
          <t>Boston, MA, US</t>
        </is>
      </c>
      <c r="H124" s="1" t="n">
        <v>45998</v>
      </c>
      <c r="I12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5">
      <c r="A125" t="inlineStr">
        <is>
          <t>in-d4efcfb073b27c71</t>
        </is>
      </c>
      <c r="B125" t="inlineStr">
        <is>
          <t>ML Engineer, GO-AI Technology &amp; Development Team</t>
        </is>
      </c>
      <c r="C125" t="inlineStr">
        <is>
          <t>Amazon.com</t>
        </is>
      </c>
      <c r="D125" t="inlineStr">
        <is>
          <t>indeed</t>
        </is>
      </c>
      <c r="E125">
        <f>HYPERLINK("https://www.indeed.com/viewjob?jk=d4efcfb073b27c71", "https://www.indeed.com/viewjob?jk=d4efcfb073b27c71")</f>
        <v/>
      </c>
      <c r="F125">
        <f>HYPERLINK("https://www.amazon.jobs/jobs/3173298/ml-engineer-goai-technology--development-team?cmpid=DA_INAD200785B", "https://www.amazon.jobs/jobs/3173298/ml-engineer-goai-technology--development-team?cmpid=DA_INAD200785B")</f>
        <v/>
      </c>
      <c r="G125" t="inlineStr">
        <is>
          <t>Westborough, MA, US</t>
        </is>
      </c>
      <c r="H125" s="1" t="n">
        <v>45998</v>
      </c>
      <c r="I12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6">
      <c r="A126" t="inlineStr">
        <is>
          <t>in-0513023dd664a651</t>
        </is>
      </c>
      <c r="B126" t="inlineStr">
        <is>
          <t>Staff AI Engineer</t>
        </is>
      </c>
      <c r="C126" t="inlineStr">
        <is>
          <t>Openkyber</t>
        </is>
      </c>
      <c r="D126" t="inlineStr">
        <is>
          <t>indeed</t>
        </is>
      </c>
      <c r="E126">
        <f>HYPERLINK("https://www.indeed.com/viewjob?jk=0513023dd664a651", "https://www.indeed.com/viewjob?jk=0513023dd664a651")</f>
        <v/>
      </c>
      <c r="F126">
        <f>HYPERLINK("https://candidateportal.ceipal.com/job-details/Rp2DCXTl660VwTkcqC0MVEADlhaqbY6Xg7kxyyj5fdw#.job_boards.Indeed", "https://candidateportal.ceipal.com/job-details/Rp2DCXTl660VwTkcqC0MVEADlhaqbY6Xg7kxyyj5fdw#.job_boards.Indeed")</f>
        <v/>
      </c>
      <c r="G126" t="inlineStr">
        <is>
          <t>AK, US</t>
        </is>
      </c>
      <c r="H126" s="1" t="n">
        <v>46086</v>
      </c>
      <c r="I126" t="inlineStr">
        <is>
          <t>Seeking a Software Engineer/Architect with a .NET Engineering background and AI/ML experience to design and build out solutions to solve real\-world business research and problems.
Qualifications: Bachelor's degree in Computer Science, Software Engineering, or related field (or equivalent experience).
Proven experience as a .NET API Developer with a strong focus on Azure Functions and microservices.
Proficiency in C\#, .NET 6\.0 or later, and RESTful API design.
Deep knowledge of Azure services and serverless architecture, especially Azure Functions and Azure API Management.
Familiarity with CI/CD pipelines and version control (e.g., Git).
**For applications and inquiries, contact:** hirings@openkyber.com</t>
        </is>
      </c>
    </row>
    <row r="127">
      <c r="A127" t="inlineStr">
        <is>
          <t>in-5e68c1d2ac20e3e7</t>
        </is>
      </c>
      <c r="B127" t="inlineStr">
        <is>
          <t>Lead AI Engineer</t>
        </is>
      </c>
      <c r="C127" t="inlineStr">
        <is>
          <t>Openkyber</t>
        </is>
      </c>
      <c r="D127" t="inlineStr">
        <is>
          <t>indeed</t>
        </is>
      </c>
      <c r="E127">
        <f>HYPERLINK("https://www.indeed.com/viewjob?jk=5e68c1d2ac20e3e7", "https://www.indeed.com/viewjob?jk=5e68c1d2ac20e3e7")</f>
        <v/>
      </c>
      <c r="F127">
        <f>HYPERLINK("https://candidateportal.ceipal.com/job-details/vLAoe0B_ahKNoLFKiEVSNN3mvm5y7BlXRKMx8Wu3ekY#.job_boards.Indeed", "https://candidateportal.ceipal.com/job-details/vLAoe0B_ahKNoLFKiEVSNN3mvm5y7BlXRKMx8Wu3ekY#.job_boards.Indeed")</f>
        <v/>
      </c>
      <c r="G127" t="inlineStr">
        <is>
          <t>AK, US</t>
        </is>
      </c>
      <c r="H127" s="1" t="n">
        <v>46086</v>
      </c>
      <c r="I127" t="inlineStr">
        <is>
          <t>**Job Title:** Senior React Full Stack Engineer (Azure \&amp; AI/Cloud)
**Experience:** 8 12 Years
**Location:** Remote
**Employment Type:** \[Full\-Time / W2/1099]
**Role Overview**
We are seeking a Senior React Full Stack Engineer with deep expertise in Microsoft Azure Cloud , modern AI/GenAI integrations , and scalable enterprise application development. The ideal candidate will act as a technical lead , owning end\-to\-end architecture, cloud deployments, AI integrations, and mentoring junior engineers while delivering high\-performance, cloud\-native full\-stack applications.
**Key Responsibilities**
**Architecture \&amp; Design**
* Lead design and development of scalable full\-stack solutions.
* Architect cloud\-native applications using Azure services.
* Design secure, multi\-tenant, enterprise\-grade systems.
* Define coding standards, DevOps strategy, and best practices.
**Frontend (React)**
* Develop complex enterprise UI applications using React.js \+ TypeScript .
* Implement advanced state management (Redux Toolkit / Context API).
* Optimize performance and accessibility.
* Build reusable component libraries and UI frameworks.
**Backend \&amp; APIs**
* Develop RESTful APIs and microservices using: Node.js / .NET Core / Python
* Implement event\-driven architecture.
* Work with SQL and NoSQL databases.
* Design scalable data models and caching strategies.
**Azure Cloud Expertise**
* Hands\-on experience with: Azure App Services Azure Functions Azure Kubernetes Service (AKS) Azure API Management Azure Service Bus / Event Grid Azure Storage / Blob Azure Key Vault Azure Active Directory (Entra ID) Azure DevOps (CI/CD pipelines)
* Strong understanding of: Infrastructure as Code (Terraform / ARM / Bicep) Containerization (Docker \+ Kubernetes) Monitoring \&amp; Observability (App Insights, Log Analytics)
**AI / GenAI Integration Experience (Must Have)**
* Experience integrating: Azure OpenAI Azure Cognitive Services AI chatbots / Copilots Prompt engineering and AI workflow orchestration Secure AI API integration into enterprise apps Understanding of RAG (Retrieval Augmented Generation) architecture Model deployment and API integration knowledge
**Required Qualifications**
* 8 12 years of full\-stack development experience
* 5\+ years in React.js
* 4\+ years working with Azure Cloud
* Strong experience with microservices architecture
* Experience building scalable SaaS applications
* Solid understanding of security best practices (OAuth, JWT, RBAC)
**For applications and inquiries, contact:** hirings@openkyber.com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li-4365334814</t>
        </is>
      </c>
      <c r="B2" t="inlineStr">
        <is>
          <t>Senior Applied Scientist, Causal Inference</t>
        </is>
      </c>
      <c r="C2" t="inlineStr">
        <is>
          <t>LinkedIn</t>
        </is>
      </c>
      <c r="D2" t="inlineStr">
        <is>
          <t>linkedin</t>
        </is>
      </c>
      <c r="E2">
        <f>HYPERLINK("https://www.linkedin.com/jobs/view/4365334814", "https://www.linkedin.com/jobs/view/4365334814")</f>
        <v/>
      </c>
      <c r="F2" t="inlineStr"/>
      <c r="G2" t="inlineStr">
        <is>
          <t>Mountain View, CA</t>
        </is>
      </c>
      <c r="H2" t="inlineStr"/>
      <c r="I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**Job Description**
 LinkedIn's Data Science team leverages big data to empower business decisions and deliver data\-driven insights, metrics, and tools in order to drive member engagement, business growth, and monetization efforts. With over 1 billion members around the world, a focus on great user experience, and a mix of B2B and B2C programs, a career at LinkedIn offers countless ways for an ambitious data scientist to have an impact.
 We are now looking for a talented and driven individual to accelerate our efforts and be a major part of our data\-centric culture. It is expected that this person understands experimentation and/or machine learning techniques to be able to implement from scratch and have the ability to extend and enhance these techniques to specific applications like business problems. Successful candidates will exhibit technical acumen on inference and algorithms, and the business savviness to use these technical skills to drive better business decision\-making.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Work with a team of high\-performing analytics, data science professionals, and cross\-functional teams to identify business opportunities and develop algorithms and methodologies to address them.
* Analyze large\-scale structured and unstructured data.
* Conduct in\-depth and rigorous data science research, model improvement, advanced experiments, observational causal studies to quantify the cause and effect in the ecosystem, identify business opportunities and to drive member value and customer success.
* Develop methodologies to enhance LinkedIn's product and platform capabilities.
* Engage with technology partners to build, prototype and validate scalable tools/applications end to end (backend, frontend, data) for converting data to insights
* Promote and enable adoption of technical advances in Data Science; elevate the art of Data Science practice at LinkedIn.
* Improve LinkedIn's ability to measure and credibly speak to labor market trends and other economic phenomena.
* Initiate and drive projects to completion independently
* Act as a thought partner to senior leaders to prioritize/scope projects, provide recommendations and evangelize data\-driven business decisions in support of strategic goals
* Partner with cross\-functional teams to initiate, lead or contribute to large\-scale/complex strategic projects for team, department, and company
* Provide technical guidance and mentorship to junior team members on solution design as well as lead code/design reviews
**Qualifications**
 Basic Qualifications
* Bachelor's Degree in a quantitative discipline: Statistics, Operations Research, Computer Science, Informatics, Engineering, Applied Mathematics, Economics, etc.
* 3\+ years of industry or relevant academia experience
* Background in at least one programming language (eg. R, Python, Java, Ruby, Scala/Spark or Perl)
* Experience in applied statistics and statistical modeling in at least one statistical software package, (eg. R, Python)
**Preferred Qualifications**
* BS and 5\+ years of relevant work experience, MS and 3\+ years of relevant work experience, or Ph.D. and 1\+ years of relevant work/academia experience
* MS or PhD in a quantitative discipline: Statistics, Operations Research, Computer Science, Informatics, Engineering, Applied Mathematics, Economics, etc.
 Suggested Skills
* Machine Learning
* Research
* Causal Inference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$139,000\.00 to $229,000\.00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
      <c r="A3" t="inlineStr">
        <is>
          <t>li-4380276120</t>
        </is>
      </c>
      <c r="B3" t="inlineStr">
        <is>
          <t>Machine Learning Engineer Engineer</t>
        </is>
      </c>
      <c r="C3" t="inlineStr">
        <is>
          <t>WITHIN</t>
        </is>
      </c>
      <c r="D3" t="inlineStr">
        <is>
          <t>linkedin</t>
        </is>
      </c>
      <c r="E3">
        <f>HYPERLINK("https://www.linkedin.com/jobs/view/4380276120", "https://www.linkedin.com/jobs/view/4380276120")</f>
        <v/>
      </c>
      <c r="F3">
        <f>HYPERLINK("https://job-boards.greenhouse.io/agencywithin/jobs/4194441007&amp;urlHash=4qDo", "https://job-boards.greenhouse.io/agencywithin/jobs/4194441007&amp;urlHash=4qDo")</f>
        <v/>
      </c>
      <c r="G3" t="inlineStr"/>
      <c r="H3" t="inlineStr"/>
      <c r="I3" t="inlineStr">
        <is>
          <t>**About the Role** 
 : We are in search of an exceptional Machine Learning Engineer to join our accomplished team. In this role, you will take the lead in developing and fine\-tuning predictive ML models, with a primary focus on Ad Score and Ad Account Health. You will play a crucial part in delivering actionable insights and solutions to our clients, and your work will be integral to our mission.
**Responsibilities include but are not limited to;** 
* ML Model Development: Lead the development and refinement of predictive ML models, particularly Ad Score and Ad Account Health.
* Data Analysis: Conduct in\-depth data analysis to identify trends, patterns, and insights that inform model development and optimization.
* Feature Engineering: Collaborate with data engineers to create and maintain feature engineering pipelines to support model training.
* Model Evaluation: Implement rigorous evaluation methodologies to assess model performance, making necessary adjustments for continuous improvement.
* Deployment and Integration: Work closely with engineering teams to deploy models and integrate them into our products through APIs.
* Collaboration: Collaborate closely with product managers, full\-stack engineers, and TPMs to ensure seamless integration of data science solutions into our products.
* Research and Innovation: Stay up\-to\-date with the latest developments in the field of data science and machine learning, and explore innovative approaches to problem\-solving.
**Requirements** 
* Master's or Ph.D. in a related field with a strong academic background.
* Proven experience as a Data Scientist with a track record of developing and deploying predictive ML models.
* Expertise in machine learning techniques, including but not limited to regression, classification, clustering, and deep learning.
* Proficiency in data manipulation, feature engineering, and model evaluation.
* Strong programming skills in languages such as Python and experience with libraries like TensorFlow, PyTorch, or scikit\-learn.
* Excellent communication skills and the ability to collaborate effectively within cross\-functional teams.
* A passion for continuous learning and staying updated with the latest trends and technologies in data science.
* Strong problem\-solving abilities and the capacity to translate complex data into actionable insights.
**Our interview process includes, but is not limited to the following:** 
* Excel and Typing Test
**We offer a competitive salary and benefits based on ability level, including:** 
* Unlimited vacation policy
* Monthly Phone Stipend
* Comprehensive Medical, Dental, and Vision insurance options
* 401(K) plan with matching
* Dog friendly office
* Hybrid work opportunity
* Professional Development Program
* Bonus Perk \- Seamless allowance
 Total compensation based on education, experience, and skills level ($90,900\-$254,100\)
* **Level 1** 
 \- Possesses essential capabilities
* $90,900\-$123,540
* **Level 2** 
 \- Possesses developing capabilities
* $123,540\-$156,180
* **Level 3** 
 \- Possesses notable capabilities.
* $156,180\-$188,820
* **Level 4** 
 \- Possesses strong capabilities.
* $188,820\-$221,460
* **Level 5** 
 \- Possesses advanced capabilities.
* $221,460\-$254,100
**About WITHIN \&amp; Brkfst.io** 
**WITHIN**
 is the world's first Performance Branding company, partnering with some of the biggest brands in the world to drive business growth through innovative marketing strategies. Our integrated operating model collapses the traditional marketing silos between creative and media, performance and brand, and across media channels. With a full suite of offerings including media, creative, SEO, Lifecycle, Retail Media, Affiliate and Influencer, we’re able to work with our brand partners in an integrated fashion, allowing us to align marketing strategies back to core business objectives. Client teams at WITHIN are trained on how to always act as a trusted business partner, acting as a fiduciary to client needs above our own.
 Teams at WITHIN have the ability to work with iconic brands such as The North Face, Timberland, Ben and Jerry's and Jose Cuervo. Everyone at WITHIN wants to grow and be challenged. It’s a collaborative place made up of small, closely knit and versatile teams that are fast and adaptive to solve problems and build systems.
 Check out some of our
 **work**
 !
**Brkfst.io**
 is an incubated venture within WITHIN, focused on connecting creators with major brands to produce impactful ads at scale.
 We are, and we connect creators with big brands to make impactful ads at scale. We have a network of thousands of content creators with a variety of different skill\-sets, and we’re looking to build a program that empowers them to create great ads for brands like Corkcicle, Perfume.com, Casper Mattresses, \&amp; more!
 This is a very ambitious project and our roadmap is full of exciting features, so we’re looking for people who love innovation and want to be challenged. We’re a small team of scrappy individuals who are growing fast, and we’re looking for someone to grow with us.
 We
 **weave AI into everything we do** 
 , using the latest tech across all teams to innovate, work smarter, and make better decisions. Whether it’s in creative, operations, or anything else, AI helps us level up and do things at a whole new scale. We expect our people to use AI in their daily work, fully embracing it as a critical tool to help us succeed.
**Join Our Network!** 
 Stay connected with us and be the first to know about new opportunities, industry insights, and updates.
 Follow us on:
* **LinkedIn**
* **WhatsApp Community**
* **Instagram**
* **Tik Tok**
**Locations** 
* **New York City:** 
 43\-01 22nd St, Suite 602, Queens, NY 11101, United States
* **Bogotá:** 
 WeWork Av. Carrera 19 \#100\-45 Usaquén, Piso (Floor) 10, Bogotá, Distrito Capital de Bogotá 110111, Colombia
* **Mexico City: Av.** 
 Paseo de la Reforma 296, Piso (Floor) 25, Oficina 111, Ciudad de México, CDMX 06500, México</t>
        </is>
      </c>
    </row>
    <row r="4">
      <c r="A4" t="inlineStr">
        <is>
          <t>li-4381981236</t>
        </is>
      </c>
      <c r="B4" t="inlineStr">
        <is>
          <t>Applied Scientist II and Senior Applied Scientist</t>
        </is>
      </c>
      <c r="C4" t="inlineStr">
        <is>
          <t>Microsoft</t>
        </is>
      </c>
      <c r="D4" t="inlineStr">
        <is>
          <t>linkedin</t>
        </is>
      </c>
      <c r="E4">
        <f>HYPERLINK("https://www.linkedin.com/jobs/view/4381981236", "https://www.linkedin.com/jobs/view/4381981236")</f>
        <v/>
      </c>
      <c r="F4" t="inlineStr"/>
      <c r="G4" t="inlineStr">
        <is>
          <t>Redmond, WA</t>
        </is>
      </c>
      <c r="H4" t="inlineStr"/>
      <c r="I4" t="inlineStr">
        <is>
          <t>**Overview**
 Come build community, explore your passions and do your best work at Microsoft. This opportunity will allow you to bring your aspirations, talent, potential \- and excitement for the journey ahead.
 Monetization at Microsoft AI is at the forefront of one of the fastest growing areas on the Internet—online advertising and intelligent monetization solutions. Our work powers products like Bing Ads, Copilot, and the broader Microsoft ecosystem, serving billions of ad impressions and generating terabytes of user interaction data every day. The rapid evolution of this space presents incredible opportunities and complex technical challenges that require cutting\-edge solutions in machine learning, natural language processing, data mining, and large\-scale optimization.
 **A PhD is preferred for this role, as it reflects advanced proficiency in scientific methodology, rigorous experimental design, and a strong commitment to reproducible research practices.**
 We are a world\-class organization of passionate scientists and engineers working at the intersection of AI and monetization. Our mission is to select and deliver optimized, personalized content and ads across Microsoft surfaces to maximize a total utility function that balances revenue, user experience, and advertiser value. Whether it's helping users discover what they need, enabling advertisers to reach their ideal audience, or infusing intelligence into Copilot interactions, we are redefining what’s possible in the future of monetization through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Please note, this application is only for roles based in our Redmond, Washington office. For roles in other offices in the United States, please see our Careers site.
**Responsibilities**
* Building and maintaining production machine learning models for ad retrieval, quality prediction and creative generation.
* Finding insights and forming hypothesis on web\-scale data with various machine learning, feature engineering, statistical, and data mining techniques: e.g. regression, classification, NLP, optimization, p\-values analysis.
* Designing experiments, understanding the resulting data, and producing actionable, trustworthy conclusions from them.
* Craft and Optimize Prompts for Effective LLM Performance: Design, test, and refine prompts to elicit accurate, relevant, and useful responses from LLMs. This involves understanding the nuances of how the model interprets different inputs, experimenting with various prompt formulations, and iterating based on performance metrics and user feedback.
* Wrangling large amounts of data (think petabytes) using various tools, including open\-source ones and your own. All programming languages are welcome, especially Python, R, C\#, C\+\+, Java, and SQL.
* Taking complex problems and the associated data and giving the answers in a concise form to assist senior executives in making key business decision.
**Qualifications**
**Required Qualifications:**
*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**Preferred Qualifications**
*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 2\+ years experience delivering, scaling, and maintaining highly successful and innovative machine learning products.
* 1\+ year(s) experience creating publications (e.g., patents, peer\-reviewed academic papers).
* Experience with Large Language Models: Demonstrated experience working with LLMs, such as GPT, BERT, or similar models, including knowledge of their strengths, limitations, and capabilities.
* Understanding of NLP: In\-depth knowledge of natural language processing (NLP) techniques and concepts, including tokenization, semantic analysis, and text generation.
* Understanding of state\-of\-the\-art machine learning and deep learning technologies. In particular, hands\-on experiences with deep learning models (DNN, Attention, CNN, RNN) and frameworks (TensorFlow, PyTorch, Keras, etc.).
* Algorithmic and analytical background and understanding on how to apply advanced knowledge to solve real problems.
* Experience in parallel or distributed processing, high performance computing, stream computing and SCOPE.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Applied Sciences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li-4326454213</t>
        </is>
      </c>
      <c r="B5" t="inlineStr">
        <is>
          <t>Applied Scientist, NLP/GenAI</t>
        </is>
      </c>
      <c r="C5" t="inlineStr">
        <is>
          <t>Thomson Reuters</t>
        </is>
      </c>
      <c r="D5" t="inlineStr">
        <is>
          <t>linkedin</t>
        </is>
      </c>
      <c r="E5">
        <f>HYPERLINK("https://www.linkedin.com/jobs/view/4326454213", "https://www.linkedin.com/jobs/view/4326454213")</f>
        <v/>
      </c>
      <c r="F5">
        <f>HYPERLINK("https://thomsonreuters.wd5.myworkdayjobs.com/External_Career_Site/job/United-States-of-America-New-York-New-York/Applied-Scientist\u002d\u002dNLP-GenAI_JREQ195786?source=LinkedIn&amp;urlHash=hOPz", "https://thomsonreuters.wd5.myworkdayjobs.com/External_Career_Site/job/United-States-of-America-New-York-New-York/Applied-Scientist\u002d\u002dNLP-GenAI_JREQ195786?source=LinkedIn&amp;urlHash=hOPz")</f>
        <v/>
      </c>
      <c r="G5" t="inlineStr">
        <is>
          <t>New York, NY</t>
        </is>
      </c>
      <c r="H5" t="inlineStr"/>
      <c r="I5" t="inlineStr">
        <is>
          <t>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3\+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$136,000 USD \- $253,000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6">
      <c r="A6" t="inlineStr">
        <is>
          <t>li-4343420821</t>
        </is>
      </c>
      <c r="B6" t="inlineStr">
        <is>
          <t>Senior Applied Scientist, Ads Measurement Science</t>
        </is>
      </c>
      <c r="C6" t="inlineStr">
        <is>
          <t>Amazon</t>
        </is>
      </c>
      <c r="D6" t="inlineStr">
        <is>
          <t>linkedin</t>
        </is>
      </c>
      <c r="E6">
        <f>HYPERLINK("https://www.linkedin.com/jobs/view/4343420821", "https://www.linkedin.com/jobs/view/4343420821")</f>
        <v/>
      </c>
      <c r="F6">
        <f>HYPERLINK("https://www.amazon.jobs/jobs/3141404/senior-applied-scientist-ads-measurement-science?cmpid=SPLICX0248M&amp;utm_source=linkedin.com&amp;utm_campaign=cxro&amp;utm_medium=social_media&amp;utm_content=job_posting&amp;ss=paid&amp;urlHash=Lt56", "https://www.amazon.jobs/jobs/3141404/senior-applied-scientist-ads-measurement-science?cmpid=SPLICX0248M&amp;utm_source=linkedin.com&amp;utm_campaign=cxro&amp;utm_medium=social_media&amp;utm_content=job_posting&amp;ss=paid&amp;urlHash=Lt56")</f>
        <v/>
      </c>
      <c r="G6" t="inlineStr">
        <is>
          <t>New York, NY</t>
        </is>
      </c>
      <c r="H6" t="inlineStr"/>
      <c r="I6" t="inlineStr">
        <is>
          <t>**Description**
 The Ads Measurement Science team in the Measurement, Ad Tech, and Data Science (MADS) team of Amazon Ads serves a centralized role developing solutions for a multitude of performance measurement products. We create solutions that measure the comprehensive impact of ad spend, including sales impacts both online and offline and across timescales, and provide actionable insights that enable our advertisers to optimize their media portfolios. We leverage a host of scientific methods, approaches and technologies to accomplish this mission, including Generative AI, classical ML, Causal Inference, Natural Language Processing, and Computer Vision.
 As a Senior Applied Scientist on the team, you will lead the development of measurement solutions end\-to\-end from inception to production. You will propose, design, analyze, and productionize models to provide novel measurement insights to our customers.
 Key job responsibilities
* Lead a team of scientists to innovate on state\-of\-the\-art ads measurement solutions leveraging artificial intelligence, causal inference, natural language processing, computer vision, and large language models.
* Directly contribute to the end\-to\-end delivery of production solutions through careful designs and owning implementation of significant portions of critical\-path code
* Lead the decomposition of problems and development of roadmaps to execute on it.
* Set an example for others with exemplary analyses; maintainable, extensible code; and simple, effective solutions.
* Influence team business and engineering strategies.
* Communicate clearly and effectively with stakeholders to drive alignment and build consensus on key initiatives.
* Foster collaborations among scientists and engineers to move fast and broaden impact.
* Actively engage in the development of others, both within and outside of the team.
* Regularly engage with the broader science community with presentations, publications, and patents.
**About The Team**
 We are a team of scientists across Applied, Research, Data Science and Economist disciplines. You will work with colleagues with deep expertise in ML, NLP, CV, Gen AI, and Causal Inference with a diverse range of backgrounds. We partner closely with top\-notch engineers, product managers, sales leaders, and other scientists with expertise in the ads industry and on building scalable modeling and software solutions.
**Basic Qualifications**
* 5\+ years of building machine learning models for business application experience
* PhD, or Master's degree and 8\+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 Experience with popular deep learning frameworks such as MxNet and Tensor Flow.
* 5\+ years of building machine learning models or developing algorithms for business application experience
* Experience in patents or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**Company** 
 \- Amazon.com Services LLC
 Job ID: A3141404</t>
        </is>
      </c>
    </row>
    <row r="7">
      <c r="A7" t="inlineStr">
        <is>
          <t>li-4329767608</t>
        </is>
      </c>
      <c r="B7" t="inlineStr">
        <is>
          <t>Senior Applied Scientist, NLP/GenAI</t>
        </is>
      </c>
      <c r="C7" t="inlineStr">
        <is>
          <t>Thomson Reuters</t>
        </is>
      </c>
      <c r="D7" t="inlineStr">
        <is>
          <t>linkedin</t>
        </is>
      </c>
      <c r="E7">
        <f>HYPERLINK("https://www.linkedin.com/jobs/view/4329767608", "https://www.linkedin.com/jobs/view/4329767608")</f>
        <v/>
      </c>
      <c r="F7" t="inlineStr"/>
      <c r="G7" t="inlineStr">
        <is>
          <t>New York, NY</t>
        </is>
      </c>
      <c r="H7" t="inlineStr"/>
      <c r="I7"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8">
      <c r="A8" t="inlineStr">
        <is>
          <t>li-4326483627</t>
        </is>
      </c>
      <c r="B8" t="inlineStr">
        <is>
          <t>Lead Applied Scientist, NLP/GenAI</t>
        </is>
      </c>
      <c r="C8" t="inlineStr">
        <is>
          <t>Thomson Reuters</t>
        </is>
      </c>
      <c r="D8" t="inlineStr">
        <is>
          <t>linkedin</t>
        </is>
      </c>
      <c r="E8">
        <f>HYPERLINK("https://www.linkedin.com/jobs/view/4326483627", "https://www.linkedin.com/jobs/view/4326483627")</f>
        <v/>
      </c>
      <c r="F8" t="inlineStr"/>
      <c r="G8" t="inlineStr">
        <is>
          <t>Eagan, MN</t>
        </is>
      </c>
      <c r="H8" t="inlineStr"/>
      <c r="I8" t="inlineStr">
        <is>
          <t>New Position: This position is open due to an existing vacancy to support our evolving business needs.
 Lead Applied Scientist, Document Understanding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 Lead Applied Scientist, you will:
 Innovate \&amp; Deliver at Scale
* Lead the design, build, test, and deployment of end\-to\-end AI solutions for complex document understanding tasks in the legal domain
* Direct the execution of large\-scale projects including: advanced semantic chunking models for lengthy, non\-uniformly structured legal documents with adjustable granularity; document enrichment systems with legal and customer\-defined taxonomies; LLM\-based knowledge graph construction pipelines that extract and link heterogeneous legal knowledge; and scalable synthetic data generation systems
* Serve as the technical lead and primary point of reference, ensuring full accountability for all research deliverables
* Partner with engineering to guarantee well\-managed software delivery and reliability at scale across multiple product lines
 Evaluate, Optimize \&amp; Advance Capabilities
* Design comprehensive evaluation strategies for both component\-level and end\-to\-end quality, leveraging expert annotation and synthetic data
* Apply robust training methodologies that balance performance with latency requirements
* Lead knowledge distillation initiatives to compress large models into production\-ready SLMs
* Maintain scientific and technical expertise through product deliverables, published research, and intellectual property contributions
* Inform Labs shared capabilities and research themes through novel approaches to challenging business problems
 Drive Strategic Technical Direction
* Independently determine appropriate architectures for complex document understanding challenges, balancing accuracy, efficiency, and scalability
* Make critical technical decisions on semantic chunking strategies, document classification approaches, LLM\-based knowledge extraction methods, and multi\-document reasoning architectures
* Provide input to business stakeholders, mid\-to\-senior level leadership, and Labs leadership on long\-term AI strategy
* Develop in\-depth knowledge of TR customers and data infrastructure across multiple products to shape technical roadmaps
 Align, Communicate \&amp; Lead
* Partner closely with Engineering and Product teams to translate complex legal document understanding challenges into scalable, production\-ready solutions
* Engage stakeholders across multiple product lines to deeply understand use case requirements, shaping objectives that align document understanding capabilities with diverse business needs including next\-generation search and deep legal research
* Mentor and coach team members with varied ML/NLP abilities, building technical capability across the organization
**About You**
 Required Qualifications
* PhD in Computer Science, AI, NLP, or a related field, or a Master's degree with equivalent research/industry experience
* 7\+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Demonstrated ability to provide technical leadership, mentor team members, and influence without formal authority in an applied research setting
* Strong programming skills (e.g., Python) and experience with modern deep learning frameworks (e.g., PyTorch, Hugging Face Transformers, DeepSpeed)
* Publications at relevant venues such as ACL, EMNLP, ICLR, NeurIPS, SIGIR, or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building systems that perform analysis, question answering, or retrieval across large document collections
* Experience with knowledge graph frameworks and methodologies for legal or enterprise applications
* Understanding of RAG and agentic workflows for enterprise knowledge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$147,600 USD \- $274,200 USD. For Ontario, Canada, the base compensation range for this role is $140,000 CAD \- $175,000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9">
      <c r="A9" t="inlineStr">
        <is>
          <t>li-4329649973</t>
        </is>
      </c>
      <c r="B9" t="inlineStr">
        <is>
          <t>Senior Applied Scientist, NLP/GenAI</t>
        </is>
      </c>
      <c r="C9" t="inlineStr">
        <is>
          <t>Thomson Reuters</t>
        </is>
      </c>
      <c r="D9" t="inlineStr">
        <is>
          <t>linkedin</t>
        </is>
      </c>
      <c r="E9">
        <f>HYPERLINK("https://www.linkedin.com/jobs/view/4329649973", "https://www.linkedin.com/jobs/view/4329649973")</f>
        <v/>
      </c>
      <c r="F9">
        <f>HYPERLINK("https://thomsonreuters.wd5.myworkdayjobs.com/External_Career_Site/job/United-States-of-America-New-York-New-York/Senior-Applied-Scientist\u002d\u002dNLP-GenAI_JREQ195787?source=LinkedIn&amp;urlHash=odsL", "https://thomsonreuters.wd5.myworkdayjobs.com/External_Career_Site/job/United-States-of-America-New-York-New-York/Senior-Applied-Scientist\u002d\u002dNLP-GenAI_JREQ195787?source=LinkedIn&amp;urlHash=odsL")</f>
        <v/>
      </c>
      <c r="G9" t="inlineStr">
        <is>
          <t>Frisco, TX</t>
        </is>
      </c>
      <c r="H9" t="inlineStr"/>
      <c r="I9"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0">
      <c r="A10" t="inlineStr">
        <is>
          <t>li-4329709556</t>
        </is>
      </c>
      <c r="B10" t="inlineStr">
        <is>
          <t>Senior Applied Scientist, NLP/GenAI</t>
        </is>
      </c>
      <c r="C10" t="inlineStr">
        <is>
          <t>Thomson Reuters</t>
        </is>
      </c>
      <c r="D10" t="inlineStr">
        <is>
          <t>linkedin</t>
        </is>
      </c>
      <c r="E10">
        <f>HYPERLINK("https://www.linkedin.com/jobs/view/4329709556", "https://www.linkedin.com/jobs/view/4329709556")</f>
        <v/>
      </c>
      <c r="F10">
        <f>HYPERLINK("https://thomsonreuters.wd5.myworkdayjobs.com/External_Career_Site/job/United-States-of-America-New-York-New-York/Senior-Applied-Scientist\u002d\u002dNLP-GenAI_JREQ195787?source=LinkedIn&amp;urlHash=odsL", "https://thomsonreuters.wd5.myworkdayjobs.com/External_Career_Site/job/United-States-of-America-New-York-New-York/Senior-Applied-Scientist\u002d\u002dNLP-GenAI_JREQ195787?source=LinkedIn&amp;urlHash=odsL")</f>
        <v/>
      </c>
      <c r="G10" t="inlineStr">
        <is>
          <t>Ann Arbor, MI</t>
        </is>
      </c>
      <c r="H10" t="inlineStr"/>
      <c r="I10" t="inlineStr">
        <is>
          <t>New Position: This position is open due to an existing vacancy to support our evolving business needs.
 Document understanding is a foundational intelligence layer that powers every major capability across our legal AI platform—from search and information extraction to agentic reasoning in products like Westlaw, PracticalLaw, and CoCounsel.
 You'll build state\-of\-the\-art semantic chunking, document enrichment, and knowledge graph construction systems that serve as the cognitive foundation multiple product teams depend on, working across authoritative legal, tax and accounting content and extraordinarily diverse customer data.
 This is a rare opportunity to solve publishing\-quality research problems with immediate production impact—your innovations will directly shape how millions of legal professionals research, analyze, and reason over complex legal documents while advancing the capabilities that enable the next generation of intelligent legal AI agents.
**About The Role**
 As an Senior Applied Scientist you will:
* Innovate \&amp; Deliver: Design, build, test, and deploy end\-to\-end AI solutions for complex document understanding tasks in the legal domain. Develop advanced models for semantic chunking of lengthy, non\-uniformly structured legal documents with adjustable granularity levels for different use cases. Build document enrichment systems that classify documents according to legal and customer\-defined taxonomies and extract rich metadata. Create LLM\-based knowledge graph construction pipelines that extract and link heterogeneous legal knowledge including citations, entities, and legal concepts across diverse legal content. Develop scalable synthetic data generation systems to support model training, simulate complex legal research queries and generate hallucination\-free answers. Work in collaboration with engineering to ensure well\-managed software delivery and reliability at scale.
* Evaluate \&amp; Optimize: Develop comprehensive data and evaluation strategies for both component\-level and end\-to\-end quality, leveraging expert human annotation and synthetic data generation. Apply robust training and evaluation methodologies that balance model performance with latency requirements, particularly for SLM\-based solutions. Apply knowledge distillation techniques to compress large models into efficient SLMs suitable for production deployment.
* Drive Technical Decisions: Independently determine appropriate architectures for challenging document understanding problems including: semantic chunking strategies that handle diverse document formats, preserve legal document structure, and adapt to different granularity needs; document classification approaches that work across varying legal taxonomies and generalize to customer\-defined schemas; LLM\-based knowledge extraction methods that handle challenges like citation recognition errors and contextual references; multi\-document reasoning architectures for generating synthetic multi\-hop queries that reflect complex legal research patterns. Balance accuracy, efficiency, and scalability while solving real\-world challenges like handling diverse document formats and content types.
* Align \&amp; Communicate: Partner closely with Engineering and Product teams to translate complex legal document understanding challenges into scalable, production\-ready solutions. Engage stakeholders across multiple product lines to deeply understand use case requirements, shaping objectives that align document understanding capabilities with diverse business needs including next\-generation search and deep legal research.
* Advance the Field: Maintain scientific and technical expertise in one or more relevant areas as demonstrated through product deliverables, published research at top venues (e.g., ACL, EMNLP, ICLR, NeurIPS, SIGIR, KDD) , and intellectual property.
**About You**
* PhD in Computer Science, AI, NLP, or a related field, or a Master's with equivalent research/industry experience
* 5\+ years of hands\-on experience building and deploying document understanding systems, information extraction pipelines, or knowledge graph construction using deep learning, LLMs and NLP methods
* Proven ability to translate complex document understanding problems into innovative AI applications that balance accuracy and efficiency
* Professional experience scaling yourself and leading through others, in an applied research setting
* Strong programming skills (e.g., Python) and experience with modern deep learning frameworks (e.g., PyTorch, Hugging Face Transformers, DeepSpeed)
* Publications at relevant venues such as ACL, EMNLP, ICLR, NeurIPS, SIGIR, KDD
**Technical Qualifications**
* Deep understanding of document understanding fundamentals: document layout analysis, semantic chunking approaches beyond fixed\-size or paragraph\-based methods, document classification handling hierarchical taxonomies, imbalanced multi\-label classification, and adapting to domain\-specific schemas
* Expertise in knowledge extraction and knowledge graph construction: entity recognition and linking, relation extraction, citation parsing, and building graph representations from unstructured text
* Expertise in LLM\-based information extraction, few\-shot and multi\-task learning, post\-training and knowledge distillation
* Solid understanding of synthetic data generation techniques for NLP, including query \- answer generation with verification and scalable data augmentation for training specialized models
* Solid understanding of efficiency optimization including knowledge distillation, model compression, and designing SLM\-based solutions that balance performance with computational constraints
* Solid understanding of DL/ML approaches used for NLP tasks
* Experience designing annotation workflows, creating high\-quality labeled datasets with clear guidelines, and developing evaluation frameworks for document understanding tasks
**Preferred Qualifications**
* Prior work on legal document understanding, legal information extraction, knowledge representation including legal citations and legal domain concepts or legal AI applications
* Prior work handling complex document structures common in legal documents: non\-uniform formatting, nested hierarchies, cross\-references, and embedded elements
* Experience with building systems that perform analysis, question answering or retrieval across large document collections
* Experience with knowledge graph frameworks and methodologies for legal or enterprise applications
* Understanding of RAG and agentic workflows for enterprise knowledge
* Publications at relevant venues such as ACL, EMNLP, ICLR, NeurIPS, SIGIR, KDD
* Experience working with AzureML or AWS SageMaker
**What’s in it For You?**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This job posting will close .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is>
      </c>
    </row>
    <row r="11">
      <c r="A11" t="inlineStr">
        <is>
          <t>li-4365414764</t>
        </is>
      </c>
      <c r="B11" t="inlineStr">
        <is>
          <t>Applied Scientist II, AWS Just-Walk-Out Science Team</t>
        </is>
      </c>
      <c r="C11" t="inlineStr">
        <is>
          <t>Amazon Web Services (AWS)</t>
        </is>
      </c>
      <c r="D11" t="inlineStr">
        <is>
          <t>linkedin</t>
        </is>
      </c>
      <c r="E11">
        <f>HYPERLINK("https://www.linkedin.com/jobs/view/4365414764", "https://www.linkedin.com/jobs/view/4365414764")</f>
        <v/>
      </c>
      <c r="F11" t="inlineStr"/>
      <c r="G11" t="inlineStr">
        <is>
          <t>Seattle, WA</t>
        </is>
      </c>
      <c r="H11" t="inlineStr"/>
      <c r="I11" t="inlineStr">
        <is>
          <t>**Description**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Team
 Our research team is tackling fundamental challenges in visual reasoning that combine generative AI and agentic frameworks. We're investigating novel approaches to how AI systems understand spatial relationships, reason about object interactions, and maintain contextual awareness across time. Working at the intersection of computer vision and large language models, we're developing theoretical frameworks and practical techniques that advance the state\-of\-the\-art in visual AI.
 As part of the AWS Applied AI Solutions organization, we’re advancing the frontier of visual reasoning and agentic AI technologies. Our vision is to develop sophisticated AI systems that can understand, interpret, and reason about visual information at human\-like levels, enabling breakthrough applications across multiple industries.
 Key job responsibilities
 Everyone on the team needs to be entrepreneurial, wear many hats and work in a highly collaborative environment that’s more startup than big company. We’ll need to tackle problems that span a variety of domains: computer vision, image recognition, machine learning, real\-time and distributed systems.
 As an Applied Scientist, you will help solve a variety of technical challenges and mentor other scientists. You will tackle challenging, novel situations every day and given the size of this initiative, you’ll have the opportunity to work with multiple technical teams at Amazon in different locations. You should be comfortable with a degree of ambiguity that’s higher than most projects and relish the idea of solving problems that, frankly, haven’t been solved at scale before \- anywhere. Along the way, we guarantee that you’ll learn a ton, have fun and make a positive impact on millions of people.
 A key focus of this role will be developing and implementing advanced visual reasoning systems that can understand complex spatial relationships and object interactions in real\-time. You'll work on designing autonomous AI agents that can make intelligent decisions based on visual inputs, understand customer behavior patterns, and adapt to dynamic retail environments. This includes developing systems that can perform complex scene understanding, reason about object permanence, and predict customer intentions through visual cues.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\- 142,800\.00 \- 193,200\.00 USD annually
**Company** 
 \- Amazon.com Services LLC
 Job ID: A3164695</t>
        </is>
      </c>
    </row>
    <row r="12">
      <c r="A12" t="inlineStr">
        <is>
          <t>li-4372215343</t>
        </is>
      </c>
      <c r="B12" t="inlineStr">
        <is>
          <t>Principal Applied Scientist, Measurement, AdTech and Data Science, Ads Performance Measurement</t>
        </is>
      </c>
      <c r="C12" t="inlineStr">
        <is>
          <t>Amazon</t>
        </is>
      </c>
      <c r="D12" t="inlineStr">
        <is>
          <t>linkedin</t>
        </is>
      </c>
      <c r="E12">
        <f>HYPERLINK("https://www.linkedin.com/jobs/view/4372215343", "https://www.linkedin.com/jobs/view/4372215343")</f>
        <v/>
      </c>
      <c r="F12" t="inlineStr"/>
      <c r="G12" t="inlineStr">
        <is>
          <t>New York, United States</t>
        </is>
      </c>
      <c r="H12" t="inlineStr"/>
      <c r="I12" t="inlineStr">
        <is>
          <t>**Description**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PhD in Computer Science, Statistics or related field.
* 10\+ years of applied ML experience in building complex, real\-time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
**Company** 
 \- Amazon.com Services LLC
 Job ID: A3179997</t>
        </is>
      </c>
    </row>
    <row r="13">
      <c r="A13" t="inlineStr">
        <is>
          <t>li-4381963442</t>
        </is>
      </c>
      <c r="B13" t="inlineStr">
        <is>
          <t>Senior ML Engineer (GenAI)</t>
        </is>
      </c>
      <c r="C13" t="inlineStr">
        <is>
          <t>Provectus</t>
        </is>
      </c>
      <c r="D13" t="inlineStr">
        <is>
          <t>linkedin</t>
        </is>
      </c>
      <c r="E13">
        <f>HYPERLINK("https://www.linkedin.com/jobs/view/4381963442", "https://www.linkedin.com/jobs/view/4381963442")</f>
        <v/>
      </c>
      <c r="F13" t="inlineStr"/>
      <c r="G13" t="inlineStr"/>
      <c r="H13" t="inlineStr"/>
      <c r="I13" t="inlineStr">
        <is>
          <t>As a Senior ML Engineer at Provectus, you'll be responsible for designing, developing, and deploying production\-grade machine learning solutions for our clients. You will work on complex ML problems, mentor junior engineers, and contribute to building ML accelerators and best practices.
**Core Responsibilities:**
* 1\. Technical Delivery (60%)
* Design and implement end\-to\-end ML solutions from experimentation to production
* Build scalable ML pipelines and infrastructure
* Optimize model performance, efficiency, and reliability
* Write clean, maintainable, production\-quality code
* Conduct rigorous experimentation and model evaluation
* Troubleshoot and resolve complex technical challenges
* 2\. Collaboration and Contribution (25%)
* Mentor junior and mid\-level ML engineers
* Conduct code reviews and provide constructive feedback
* Share knowledge through documentation, presentations, and workshops
* Collaborate with cross\-functional teams (DevOps, Data Engineering, SAs)
* Contribute to internal ML practice development
* 3\. Innovation and Growth (15%)
* Stay current with ML research and emerging technologies
* Propose improvements to existing solutions and processes
* Contribute to the development of reusable ML accelerators
* Participate in technical discussions and architectural decisions
**Requirements:**
* 1\. Machine Learning Core
* \- ML Fundamentals: supervised, unsupervised, and reinforcement learning
* \- Model Development: feature engineering, model training, evaluation, hyperparameter tuning, and validation
* \- ML Frameworks: classical ML libraries, TensorFlow, PyTorch, or similar frameworks
* \- Deep Learning: CNNs, RNNs, Transformers
* 2\. LLMs and Generative AI
* \- LLM Applications: Experience building production LLM\-based applications
* \- Prompt Engineering: Ability to design effective prompts and chain\-of\-thought strategies
* \- RAG Systems: Experience building retrieval\-augmented generation architectures
* \- Vector Databases: Familiarity with embedding models and vector search
* \- LLM Evaluation: Experience with evaluation metrics and techniques for LLM outputs
* 3\. Data and Programming
* \- Python: Advanced proficiency in Python for ML applications
* \- Data Manipulation: Expert with pandas, numpy, and data processing libraries
* \- SQL: Ability to work with structured data and databases
* \- Data Pipelines: Experience building ETL/ELT pipelines \- Big Data: Experience with Spark or similar distributed computing frameworks
* 4\. MLOps and Production
* \- Model Deployment: Experience deploying ML models to production environments
* \- Containerization: Proficiency with Docker and container orchestration
* \- CI/CD: Understanding of continuous integration and deployment for ML
* \- Monitoring: Experience with model monitoring and observability
* \- Experiment Tracking: Familiarity with MLflow, Weights and Biases, or similar tools
* 5\. Cloud and Infrastructure
* \- AWS Services: Strong experience with AWS ML services (SageMaker, Lambda, etc.)
* \-GCP Expertise: Advanced knowledge of GCP ML and data services
* \- Cloud Architecture: Understanding of cloud\-native ML architectures
* \- Infrastructure as Code: Experience with Terraform, CloudFormation, or similar
**Will be a plus:**
* Practical experience with cloud platforms (AWS stack is preferred, e.g. Amazon SageMaker, ECR, EMR, S3, AWS Lambda)
* Practical experience with deep learning models
* Experience with taxonomies or ontologies
* Practical experience with machine learning pipelines to orchestrate complicated workflows
* Practical experience with Spark/Dask, Great Expectations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
      <c r="A14" t="inlineStr">
        <is>
          <t>li-4372117012</t>
        </is>
      </c>
      <c r="B14" t="inlineStr">
        <is>
          <t>Machine Learning Engineer II</t>
        </is>
      </c>
      <c r="C14" t="inlineStr">
        <is>
          <t>Attentive</t>
        </is>
      </c>
      <c r="D14" t="inlineStr">
        <is>
          <t>linkedin</t>
        </is>
      </c>
      <c r="E14">
        <f>HYPERLINK("https://www.linkedin.com/jobs/view/4372117012", "https://www.linkedin.com/jobs/view/4372117012")</f>
        <v/>
      </c>
      <c r="F14">
        <f>HYPERLINK("https://job-boards.greenhouse.io/attentive/jobs/4130087009?gh_src=63pk6gu69us&amp;urlHash=I_94", "https://job-boards.greenhouse.io/attentive/jobs/4130087009?gh_src=63pk6gu69us&amp;urlHash=I_94")</f>
        <v/>
      </c>
      <c r="G14" t="inlineStr">
        <is>
          <t>New York, NY</t>
        </is>
      </c>
      <c r="H14" t="inlineStr"/>
      <c r="I14"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from health \&amp; wellness to equity, to help you bring your best self to work.
**For US Based Applicants**
* The US base salary range for this full\-time position is $212,000 \- 280,000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5">
      <c r="A15" t="inlineStr">
        <is>
          <t>li-4380697615</t>
        </is>
      </c>
      <c r="B15" t="inlineStr">
        <is>
          <t>Senior Machine Learning Engineer</t>
        </is>
      </c>
      <c r="C15" t="inlineStr">
        <is>
          <t>A1</t>
        </is>
      </c>
      <c r="D15" t="inlineStr">
        <is>
          <t>linkedin</t>
        </is>
      </c>
      <c r="E15">
        <f>HYPERLINK("https://www.linkedin.com/jobs/view/4380697615", "https://www.linkedin.com/jobs/view/4380697615")</f>
        <v/>
      </c>
      <c r="F15" t="inlineStr"/>
      <c r="G15" t="inlineStr">
        <is>
          <t>Palo Alto, CA</t>
        </is>
      </c>
      <c r="H15" t="inlineStr"/>
      <c r="I15" t="inlineStr">
        <is>
          <t>**About the Role** 
 A1 is building a proactive AI system that carries work forward across conversations, tools, and time.
 You will be a core owner of significant ML systems in production. This role is for engineers who can independently drive complex ML problems from idea to deployment and make strong trade\-offs along the way.
**Focus** 
* Build core ML systems that power a proactive, long\-horizon AI product.
* Own work end\-to\-end: data preparation, training, evaluation, inference, and iteration.
* Turn research ideas into working systems that run reliably in production.
* Debug model failures and system issues using real production signals.
* Iterate quickly: ship, measure outcomes, refine, and repeat.
* Collaborate closely with research, product, and engineering to deliver real user impact.
* Mentor and review work from other ML engineers through example and technical judgment.
* Work under real production constraints: latency, cost, reliability, and safety
**Tech Stack** 
* Python
* PyTorch / JAX
* GPU\-based training and inference systems
**Ideal Experience** 
* You have built and shipped ML systems used by real users.
* You understand how modern ML models behave — and misbehave — in production.
* You write strong, production\-quality code and think in systems, not scripts.
* You take ownership, work independently, and push work across the finish line.
* You learn fast, communicate clearly, and improve through iteration.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16">
      <c r="A16" t="inlineStr">
        <is>
          <t>li-4372108305</t>
        </is>
      </c>
      <c r="B16" t="inlineStr">
        <is>
          <t>Machine Learning Engineer II</t>
        </is>
      </c>
      <c r="C16" t="inlineStr">
        <is>
          <t>Attentive</t>
        </is>
      </c>
      <c r="D16" t="inlineStr">
        <is>
          <t>linkedin</t>
        </is>
      </c>
      <c r="E16">
        <f>HYPERLINK("https://www.linkedin.com/jobs/view/4372108305", "https://www.linkedin.com/jobs/view/4372108305")</f>
        <v/>
      </c>
      <c r="F16" t="inlineStr"/>
      <c r="G16" t="inlineStr">
        <is>
          <t>San Francisco, CA</t>
        </is>
      </c>
      <c r="H16" t="inlineStr"/>
      <c r="I16"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As a Machine Learning Engineer II, you will contribute to building and improving machine learning models and infrastructure that power real\-time personalization across the Attentive platform. This role is ideal for an engineer who has solid production ML experience and is looking to grow their impact, technical depth, and ownership within a collaborative team environment.
 You will work closely with senior ML engineers, product managers, and platform teams to implement end\-to\-end ML use cases while continuing to develop strong ML engineering fundamentals.
**What You’ll Accomplish**
* Build and maintain machine learning models and pipelines used in production
* Contribute to data processing, feature engineering, model training, and evaluation workflows
* Assist in deploying, monitoring, and validating ML models in production environments
* Partner with senior engineers and product managers to implement ML\-driven features
* Write high\-quality, well\-tested code and help prevent regressions through testing and monitoring
* Learn and apply best practices in ML engineering, system reliability, and scalability
* Participate in design discussions, code reviews, and team knowledge sharing
* Grow your technical skills in a fast\-paced, high\-impact environment
**Your Expertise**
* 3\+ years of professional software engineering experience, with 2\+ years working on machine learning or data\-driven systems
* Proficiency in Python and familiarity with ML frameworks such as PyTorch, TensorFlow, or xgboost
* Experience with data analysis and processing tools such as pandas, SQL, Spark, or similar
* Exposure to building or supporting ML pipelines for training, validation, or deployment
* Understanding of production concerns such as monitoring, performance, and data quality
* Strong collaboration and communication skills, with a growth\-oriented mindset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from health \&amp; wellness to equity, to help you bring your best self to work.
**For US Based Applicants**
* The US base salary range for this full\-time position is $212,000 \- 280,000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17">
      <c r="A17" t="inlineStr">
        <is>
          <t>li-4297979510</t>
        </is>
      </c>
      <c r="B17" t="inlineStr">
        <is>
          <t>AI/ML Engineer</t>
        </is>
      </c>
      <c r="C17" t="inlineStr">
        <is>
          <t>hackajob</t>
        </is>
      </c>
      <c r="D17" t="inlineStr">
        <is>
          <t>linkedin</t>
        </is>
      </c>
      <c r="E17">
        <f>HYPERLINK("https://www.linkedin.com/jobs/view/4297979510", "https://www.linkedin.com/jobs/view/4297979510")</f>
        <v/>
      </c>
      <c r="F17" t="inlineStr"/>
      <c r="G17" t="inlineStr"/>
      <c r="H17" t="inlineStr"/>
      <c r="I17" t="inlineStr">
        <is>
          <t>***hackajob** 
 is collaborating with
 **Leo Technologies** 
 to connect them with exceptional professionals for this role.*
 As an AI/NLP Engineer on our Data Science team, you will be at the forefront of leveraging Large Language Models (LLMs) and cutting\-edge AI techniques to create transformative solutions for public safety and intelligence workflows. You will apply your expertise in LLMs, Retrieval\-Augmented Generation (RAG), semantic search, Agentic AI, GraphRAG, and other advanced AI solutions to develop, enhance, and deploy robust features that enable real\-time decision\-making for our end users. You will work closely with product, engineering, and data science teams to translate real\-world problems into scalable, production\-grade solutions. This is an individual contributor (IC) role that emphasizes technical depth, experimentation, and hands\-on engineering. You will participate in all phases of the AI solution lifecycle, from architecture and design through prototyping, implementation, evaluation, productionization and continuous improvement.
* Design, build, and optimize AI\-powered solutions using LLMs, RAG pipelines, semantic search, GraphRAG, and Agentic AI architectures.
* Implement and experiment with the latest advancements in large\-scale language modeling, including prompt engineering, model fine\-tuning, evaluation, and monitoring.
* Collaborate with product, backend, and data engineering teams to define requirements, break down complex problems, and deliver high\-impact features aligned with business objectives.
* Inform robust data ingestion and retrieval pipelines that power real\-time and batch AI applications using open\-source and proprietary tools.
* Integrate external data sources (e.g., knowledge graphs, internal databases, third\-party APIs) to enhance the context\-awareness and capabilities of LLM\-based workflows.
* Evaluate and implement best practices for prompt design, model alignment, safety, and guardrails for responsible AI deployment.
* Stay on top of emerging AI research and contribute to internal knowledge\-sharing, tech talks, and proof\-of\-concept projects.
* Author clean, well\-documented, and testable code; participate in peer code reviews and engineering design discussions.
* Proactively identify bottlenecks and propose solutions to improve system scalability, efficiency, and reliability.
* Bachelor's or Master's degree in Computer Science, Artificial Intelligence, Data Science, or a related field.
* 5\+ years of hands\-on experience in applied AI, NLP, or ML engineering (with at least 2 years working directly with LLMs, RAG, semantic search and Agentic AI).
* Deep familiarity with LLMs (e.g. OpenAI, Claude, Gemini), prompt engineering, and responsible deployment in production settings.
* Experience designing, building, and optimizing RAG pipelines, semantic search, vector databases (e.g. ElasticSearch, Pinecone), and Agentic or multi\-agent AI workflows in in large scale production setup. Exposure to MCP and A2A protocol is a plus.
* Exposure to GraphRAG or graph\-based knowledge retrieval techniques is a strong plus.
* Strong proficiency with modern ML frameworks and libraries (e.g. LangChain, LlamaIndex, PyTorch, HuggingFace Transformers).
* Ability to design APIs and scalable backend services, with hands\-on experience in Python.
* Experience building, deploying, and monitoring AI/ML workloads in cloud environments (AWS, Azure) using services like AWS SageMaker, AWS Bedrock, AzureAI, etc. Experience with tools to load balance different LLMs providers is a plus.
* Familiarity with MLOps practices, CI/CD for AI, model monitoring, data versioning, and continuous integration.
* Demonstrated ability to work with large, complex datasets, perform data cleaning, feature engineering, and develop scalable data pipelines.
* Excellent problem\-solving, collaboration, and communication skills; able to work effectively across remote and distributed teams.
* Proven record of shipping robust, high\-impact AI solutions, ideally in fast\-paced or regulated environments.</t>
        </is>
      </c>
    </row>
    <row r="18">
      <c r="A18" t="inlineStr">
        <is>
          <t>li-4176588544</t>
        </is>
      </c>
      <c r="B18" t="inlineStr">
        <is>
          <t>Machine Learning Engineer, AI Decisioning</t>
        </is>
      </c>
      <c r="C18" t="inlineStr">
        <is>
          <t>Hightouch</t>
        </is>
      </c>
      <c r="D18" t="inlineStr">
        <is>
          <t>linkedin</t>
        </is>
      </c>
      <c r="E18">
        <f>HYPERLINK("https://www.linkedin.com/jobs/view/4176588544", "https://www.linkedin.com/jobs/view/4176588544")</f>
        <v/>
      </c>
      <c r="F18">
        <f>HYPERLINK("https://job-boards.greenhouse.io/hightouch/jobs/5155115004&amp;urlHash=sxzq", "https://job-boards.greenhouse.io/hightouch/jobs/5155115004&amp;urlHash=sxzq")</f>
        <v/>
      </c>
      <c r="G18" t="inlineStr"/>
      <c r="H18" t="inlineStr"/>
      <c r="I18"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looking to hire a
 **machine learning engineer** 
 as we expand our data activation products to include an intelligence layer.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Some of the problems we’ll be working on include:
* Personalization and Product Recommendation: There are often many options for what content a company could message a user with, including which products to show from catalogues. Given this large state space, how can Hightouch help personalize messages with the most relevant content for each user?
* Automated Experimentation: Helping companies intelligently navigate and automate experiments across the extensive number of options for messaging customers.
* Predictive Audiences: Building models to predict which users are most likely to convert, churn, or take desired actions.
* Content Generation: Particularly with recent advances in LLMs, how can we help marketers generate text, images, and creatives that are compelling to their customers?
* Budget Optimization: Helping companies assess which marketing spend is driving the most incremental conversions, and where the marginal CAC is lowest.
 As an early machine learning engineer, you will help build comprehensive solutions to the above domains from scratch. Responsibilities will be highly varied and include working on customer research, problem definition, predictive modeling, machine learning infrastructure, and partnering with customers.
 We are looking for talented, intellectually curious, and motivated individuals who are interested in tackling the problems above. This is a senior role, but we focus on impact and potential for growth more than years of experience. The salary range for this position is $200,000 \- $260,000 USD per year, which is location independent in accordance with our remote\-first policy.
**Interview Process**
 Our interview process focuses on evaluating fit for the most important dimensions of the role: product sense, ability to architect backend and distributed systems, and alignment with Hightouch’s values. Notably, we don’t do any programming interviews as we believe they are low signal to noise and aren’t a good evaluation mechanism.
* Intro Call \[15\-30m]: Introductory call with either a member of our recruiting team or the hiring manager to get to know each other and see if the role could be a good mutual fit.
* System Design Screen \[45m]: Designing a data processing feature end\-to\-end.
* Machine Learning Modeling Interview \[90m]: Designing a predictive model end\-to\-end, including data collection and preparation, model training and evaluation, and what systems would be needed to run the model in production.
* System Design Interview \[90m]: Work with the interviewer to architect a system at a conceptual level. The problem will be at a pretty high level \- and have both product and customer requirements as well as technical.
* Hiring Manager Interview \[30m]: Chat with hiring manager about past experiences and future operating preferences to assess fit on company values and operating principles.
 We have limited inbound applications to one application per candidate. You will be auto\-rejected if you apply to multiple roles. Please only apply to the position you are most qualified for.</t>
        </is>
      </c>
    </row>
    <row r="19">
      <c r="A19" t="inlineStr">
        <is>
          <t>li-4094561302</t>
        </is>
      </c>
      <c r="B19" t="inlineStr">
        <is>
          <t>AI Engineer</t>
        </is>
      </c>
      <c r="C19" t="inlineStr">
        <is>
          <t>Loop</t>
        </is>
      </c>
      <c r="D19" t="inlineStr">
        <is>
          <t>linkedin</t>
        </is>
      </c>
      <c r="E19">
        <f>HYPERLINK("https://www.linkedin.com/jobs/view/4094561302", "https://www.linkedin.com/jobs/view/4094561302")</f>
        <v/>
      </c>
      <c r="F19">
        <f>HYPERLINK("https://app.dover.com/apply/loop/356dc7b1-c084-46b3-b7db-20db32668ecc?rs=42706078&amp;urlHash=u0fA", "https://app.dover.com/apply/loop/356dc7b1-c084-46b3-b7db-20db32668ecc?rs=42706078&amp;urlHash=u0fA")</f>
        <v/>
      </c>
      <c r="G19" t="inlineStr">
        <is>
          <t>San Francisco, CA</t>
        </is>
      </c>
      <c r="H19" t="inlineStr"/>
      <c r="I19" t="inlineStr">
        <is>
          <t>**About Loop**
 Loop is on a mission to unlock profits trapped in the supply chain (https://loop.com/article/unlock\-profit\-trapped\-in\-your\-supply\-chain) and lower costs for consumers. Bad data and inefficient workflows create friction that limits working capital and raises costs for every supply chain stakeholder.
 Loop’s modern audit and pay platform uses our domain\-driven AI to harness the complexity of supply chain data and documentation. We improve transportation spend visibility so companies can control their costs and power profit. That is why industry leaders like J.P. Morgan Chase, Great Dane, Emerge, and Loadsmart work with Loop.
 Our investors include J.P. Morgan, Index Ventures, Founders Fund, 8VC, Susa Ventures, Flexport, and 50 industry\-leading angel investors. Our team brings subject matter expertise from companies like Uber, Google, Flexport, Meta, Samsara, Intuit, Rakuten, and long\-standing industry leaders like C.H. Robinson.
**About The Role**
 Loop is growing its AI team and you’ll have the opportunity to build both AI models and features that directly impact Loop’s business. Loop is positioned to disrupt the incumbent freight audit and pay market, and is one of the companies leading the AI services wave, utilizing AI to automate complex back\-office workflows and tasks. You will face and solve many complex technical challenges while you receive guidance and feedback from the team. The range of work here is broad, you can work on everything from training and deploying in\-house multimodal LLMs, scaling our inference infrastructure, or building out and shipping AI agent workflows. In doing so, you’ll have the opportunity to define how the AI and broader Loop team will grow.
**What You Will Work On**
 Our primary focus has been on document extraction and understanding, where we utilize multimodal LLMs, including our own in\-house foundation model, to extract, normalize, and link data together into our domain model. As Loop’s customers rely on Loop to ingest and normalize highly accurate data, we hold ourselves to a high standard to build models with a very high level of accuracy. In tandem, Loop’s machine learning platform requires a high degree of reliability and scalability, and we expect our training and inference volume to scale several orders of magnitude in the coming year. Going forward, Loop will expand its AI capabilities, expanding into other areas such as workflow automation and audit, where we will utilize agents to tackle these problems.
**This Role Spans Multiple Domains**
* ML modeling – training, evaluating, and deploying models.
* AI engineering – utilizing and orchestrating API LLM models to solve business problems at Loop.
* Backend engineering – building out atomic tasks, general backend work in the servicing or automation domain.
**Some Projects You Might Work On**
* Building the next generation of our foundation model to scale document extraction to multiple languages as Loop scales internationally.
* Developing agents to audit freight invoices and ingest long contracts.
**Qualifications**
* 1\+ years of hands\-on experience in deep learning frameworks (e.g., PyTorch, Tensorflow, etc.)
* Solid understanding of fundamental ML algorithms, especially multimodal LLMs.
* Experience fine\-tuning LLMs and deploying them to production or building out agentic systems.
* Ability to ship high\-quality code to production.
* Experience in cloud environments (AWS, Google, Azure).
* Strong communication skills and willingness to collaborate in a cross\-functional team environment with domain experts.
* Keep up to date with the latest AI research.
* Ability to work in a fast\-paced environment.
 Bonus Points
* Prior startup experience.
* End\-to\-end experience building out machine learning models and features.
**Compensation**
* Base pay 130k \- 200k
**Benefits \&amp; Perks**
* Premium Medical, Dental, and Vision Insurance plans
* Insurance premiums covered 100% for you
* Unlimited PTO
* Fireside chats with industry leading keynote speakers
* Off\-sites in locales such as Napa and Tahoe
* Generous professional development budget to feed your curiosity
* Physical and Mental fitness subsidies for yoga, meditation, gym, or ski memberships</t>
        </is>
      </c>
    </row>
    <row r="20">
      <c r="A20" t="inlineStr">
        <is>
          <t>li-4381001555</t>
        </is>
      </c>
      <c r="B20" t="inlineStr">
        <is>
          <t>Principal Machine Learning Engineer</t>
        </is>
      </c>
      <c r="C20" t="inlineStr">
        <is>
          <t>A1</t>
        </is>
      </c>
      <c r="D20" t="inlineStr">
        <is>
          <t>linkedin</t>
        </is>
      </c>
      <c r="E20">
        <f>HYPERLINK("https://www.linkedin.com/jobs/view/4381001555", "https://www.linkedin.com/jobs/view/4381001555")</f>
        <v/>
      </c>
      <c r="F20" t="inlineStr"/>
      <c r="G20" t="inlineStr">
        <is>
          <t>Palo Alto, CA</t>
        </is>
      </c>
      <c r="H20" t="inlineStr"/>
      <c r="I20" t="inlineStr">
        <is>
          <t>**About the Role** 
 A1 is building a proactive AI system that understands context across conversations, plans actions, and carries work forward over time.
 You will be responsible for turning research direction into working, production\-grade ML systems. This role owns the execution layer of A1’s intelligence – training pipelines, inference systems, evaluation tooling, and deployment.
**Focus** 
* Build and own end\-to\-end ML pipelines spanning data, training, evaluation, inference, and deployment.
* Fine\-tune and adapt models using state\-of\-the\-art methods such as LoRA, QLoRA, SFT, DPO, and distillation.
* Architect and operate scalable inference systems, balancing latency, cost, and reliability.
* Design and maintain data systems for high\-quality synthetic and real\-world training data.
* Implement evaluation pipelines covering performance, robustness, safety, and bias, in partnership with research leadership.
* Own production deployment, including GPU optimization, memory efficiency, latency reduction, and scaling policies.
* Collaborate closely with application engineering to integrate ML systems cleanly into backend, mobile, and desktop products.
* Make pragmatic trade\-offs and ship improvements quickly, learning from real usage.
* Work under real production constraints: latency, cost, reliability, and safety
**Requirements** 
* Strong background in deep learning and transformer\-based architectures.
* Hands\-on experience training, fine\-tuning, or deploying large\-scale ML models in production.
* Proficiency with at least one modern ML framework (e.g. PyTorch, JAX), and ability to learn others quickly.
* Experience with distributed training and inference frameworks (e.g. DeepSpeed, FSDP, Megatron, ZeRO, Ray).
* Strong software engineering fundamentals – you write robust, maintainable, production\-grade systems.
* Experience with GPU optimization, including memory efficiency, quantization, and mixed precision.
* Comfort owning ambiguous, zero\-to\-one ML systems end\-to\-end.
* A bias toward shipping, learning fast, and improving systems through iteration.
**Ideal Experience** 
* Experience with LLM inference frameworks such as vLLM, TensorRT\-LLM, or FasterTransformer.
* Contributions to open\-source ML or systems libraries.
* Background in scientific computing, compilers, or GPU kernels.
* Experience with RLHF pipelines (PPO, DPO, ORPO).
* Experience training or deploying multimodal or diffusion models.
* Experience with large\-scale data processing (Apache Arrow, Spark, Ray).
**How We Work** 
 Our organization is very flat and our team is small, highly motivated, and focused on engineering and product excellence. All members are expected to be hands\-on and to contribute directly to the company’s mission.
**Interview process** 
 If there appears to be a fit, we'll reach to schedule 3, but no more than 4 interviews.
 Applications are evaluated by our technical team members. Interviews will be conducted via virtual meetings and/or onsite.
 We value transparency and efficiency, so expect a prompt decision. If you've demonstrated the exceptional skills and mindset we're looking for, we'll extend an offer to join us. This isn't just a job offer; it's an invitation to be part of a team that's bringing AI to have practical benefits to billions globally.</t>
        </is>
      </c>
    </row>
    <row r="21">
      <c r="A21" t="inlineStr">
        <is>
          <t>li-4381049168</t>
        </is>
      </c>
      <c r="B21" t="inlineStr">
        <is>
          <t>AI/ML Engineer</t>
        </is>
      </c>
      <c r="C21" t="inlineStr">
        <is>
          <t>Tekgence Inc</t>
        </is>
      </c>
      <c r="D21" t="inlineStr">
        <is>
          <t>linkedin</t>
        </is>
      </c>
      <c r="E21">
        <f>HYPERLINK("https://www.linkedin.com/jobs/view/4381049168", "https://www.linkedin.com/jobs/view/4381049168")</f>
        <v/>
      </c>
      <c r="F21" t="inlineStr"/>
      <c r="G21" t="inlineStr">
        <is>
          <t>Alpharetta, GA</t>
        </is>
      </c>
      <c r="H21" t="inlineStr"/>
      <c r="I21" t="inlineStr">
        <is>
          <t>We are looking for an experienced AI/ML Engineer with strong expertise in Python and machine learning frameworks such as TensorFlow or PyTorch. The role involves developing, deploying, and integrating ML models into applications using REST APIs. Candidates should have a solid understanding of machine learning algorithms and model lifecycle management. Experience with data preprocessing tools like Pandas and NumPy is preferred. Exposure to NLP, deep learning, and cloud ML platforms (AWS SageMaker or Azure AI) is a plus.</t>
        </is>
      </c>
    </row>
    <row r="22">
      <c r="A22" t="inlineStr">
        <is>
          <t>li-4371558759</t>
        </is>
      </c>
      <c r="B22" t="inlineStr">
        <is>
          <t>Applied AI Engineer</t>
        </is>
      </c>
      <c r="C22" t="inlineStr">
        <is>
          <t>ATEC Spine</t>
        </is>
      </c>
      <c r="D22" t="inlineStr">
        <is>
          <t>linkedin</t>
        </is>
      </c>
      <c r="E22">
        <f>HYPERLINK("https://www.linkedin.com/jobs/view/4371558759", "https://www.linkedin.com/jobs/view/4371558759")</f>
        <v/>
      </c>
      <c r="F22" t="inlineStr"/>
      <c r="G22" t="inlineStr">
        <is>
          <t>Carlsbad, CA</t>
        </is>
      </c>
      <c r="H22" t="inlineStr"/>
      <c r="I22" t="inlineStr">
        <is>
          <t>We are seeking a motivated and innovative Applied AI Engineer to join our team. This role focuses on designing and developing enterprise AI solutions powered by Large Language Models (LLMs), including Retrieval\-Augmented Generation (RAG)\-based information extraction applications and intelligent workflow automation systems.
 This is an excellent opportunity for candidates with a strong technical foundation who are passionate about applying AI to solve real\-world business problems.
**Essential Duties And Responsibilities**
* Design, develop, and deploy LLM\-based AI applications.
* Build and optimize RAG\-based information extraction and agentic AI applications.
* Develop backend services and APIs to support AI\-driven applications.
* Implement web\-based interfaces for AI applications.
* Work closely with stakeholders to gather user requirements and translate business needs into technical solutions.
* Fine\-tune prompts, optimize LLM workflows, and evaluate model performance.
* Integrate AI solutions with enterprise systems and databases.
* Collaborate with cross\-functional teams including product, engineering, and business users.
* Document system architecture, workflows, and technical decisions.
* Other duties as assigned.
**Requirements**
 The requirements listed below are representative of the knowledge, skill, and/or ability required. Reasonable accommodations may be made to enable individuals with disabilities to perform the essential functions.
* Experience with web technologies such as:JavaScript (React, Node.js, or similar frameworks), or Other modern web application frameworks.
* Understanding of modern AI systems (including machine learning and large language models), their capabilities, limitations, and practical application in software products.
* Familiarity with basic ML concepts (training vs inference, overfitting, generalization)
* Familiarity with LLM frameworks and tools (e.g., OpenAI APIs, vector databases, LangChain, LlamaIndex,).
* Basic experience with data preprocessing, cleaning, and transformation for AI/ML workflows.
* Understanding of APIs, RESTful services, and backend development.
* Knowledge of databases (SQL and/or NoSQL).
* Ability to gather requirements from users and convert them into working applications.
* Strong problem\-solving skills and attention to detail.
* Strong inter\-person skills and communication skills
**Preferred Qualifications**
* Experience building RAG pipelines and working with vector databases.
* Experience in creating agentic AI applications
* Familiarity with cloud platforms (AWS, Azure, or GCP).
* Understanding of prompt engineering and model evaluation techniques.
* Experience with enterprise software integration.
* Exposure to DevOps practices and deployment pipelines.
**Education And Experience**
* Bachelor's degree (BS) in a STEM field (Computer Science, Engineering, Mathematics, physics, Data Science, or related discipline).
* At least 3\-6 \+ years of experience in software development or AI/ML engineering.
 For roles based in the United States that require access to hospital facilities, must be eligible for and maintain credentials at all required hospitals, including meeting any applicable physical requirements or vaccination requirements (including the COVID\-19 vaccine, as applicable).
 ATEC is committed to providing equal employment opportunities to its employees and applicants without regard to race, color, religion, national origin, age, sex, sexual orientation, gender identity, gender expression, or any other protected status in accordance with all applicable federal, state or local laws. Further, ATEC will make reasonable accommodations that are necessary to comply with disability discrimination laws.
**Salary Range**
 Alphatec Spine, Inc. complies with state and federal wage and hour laws and compensation depends upon candidate's qualifications, education, skill set, years of experience, and internal equity. $110,000 to $125,000 Full\-Time Annual Salary
*Please Note: The employer will not sponsor applicants for work visas for this position.*</t>
        </is>
      </c>
    </row>
    <row r="23">
      <c r="A23" t="inlineStr">
        <is>
          <t>li-4362556325</t>
        </is>
      </c>
      <c r="B23" t="inlineStr">
        <is>
          <t>AI Engineer</t>
        </is>
      </c>
      <c r="C23" t="inlineStr">
        <is>
          <t>Precision Medicine Group</t>
        </is>
      </c>
      <c r="D23" t="inlineStr">
        <is>
          <t>linkedin</t>
        </is>
      </c>
      <c r="E23">
        <f>HYPERLINK("https://www.linkedin.com/jobs/view/4362556325", "https://www.linkedin.com/jobs/view/4362556325")</f>
        <v/>
      </c>
      <c r="F23" t="inlineStr"/>
      <c r="G23" t="inlineStr"/>
      <c r="H23" t="inlineStr"/>
      <c r="I23" t="inlineStr">
        <is>
          <t>The AI Engineer is responsible for helping build, deploy and scale innovative AI\-powered products and productivity solutions. This role is focused on turning business ideas into real\-world applications using modern AI frameworks, Azure/AWS components, and XOps workflows.
 This role works in close partnership with the AI Solutions Architect, software development engineering teams, and data engineering teams. The responsibilities of this role will center around (a) XOps engineering for AI (building, extending, optimizing pipelines and modules that effectively productionize AI solutions), and (b) helping build AI products based on existing (internally or externally created) models and components.
**Key Responsibilities**
* Build and deploy enterprise\-ready AI solutions using LLMs, other GenAI approaches, and deep learning capabilities.
* Scale out AI solutions: optimize performance of solutions, automate deployment and testing
* Rapidly prototype and iterate on AI applications using Azure, AWS, and off\-the\-shelf tools.
* Partner with the AI Solutions Architect to ensure scalable, secure, and compliant system design.
* Develop APIs and lightweight UIs (e.g., Dash, Flask and others) to deliver AI tools to end users.
* Stay current on emerging AI technologies, including vector databases, RAG pipelines, and productivity AI platforms.
* Drive delivery of AI components aligned with product roadmaps and business priorities.
**Core Technologies**
* Data \&amp; Cloud: Azure, AWS, Google Cloud, Snowflake
* ML/AI Frameworks: PyTorch, MLflow, Hugging Face, LangChain, MCP
* UI \&amp; Deployment: Dash, Flask, FastAPI
* Databases: SQL, NoSQL, Graph Databases (Neo4J or others), Document Databases (MongoDB or others)
* MLOps: GitHub Actions, CI/CD, containerization, pipeline orchestration
**Qualifications**
 Education
* Bachelor’s or Master’s degree in Computer Science, AI/ML, Data Science, or related field.
**Work Experience**
* 3\+ years of hands\-on experience in machine learning engineering or AI solution delivery.
* Experience working with Agile (SAFe) teams, iterative delivery cycles, and DevOps practices.
* Prior experience with deploying and scaling GenAI or ML\-based solutions. Within clinical/pharmaceutical/CRO industries a plus.
* Experience working within a clinical regulated industry, and developing CRF Part11 compliant solutions is a plus.
* Strong experience with many of the technologies mentioned above under ‘Core Technologies’.
**Skills \&amp; Competencies**
* Strong software engineering fundamentals, with a focus on model observability, testing, and automation.
* Clear communicator who can distill technical detail for non\-technical stakeholders.
* Agile mindset with comfort in fast\-paced, iterative environments.
* Deep appreciation for data privacy, bias mitigation, and responsible AI practices.
* Commitment to ethical AI development and AI governance principles.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$133,500 USD \- $165,000 USD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24">
      <c r="A24" t="inlineStr">
        <is>
          <t>li-4382108035</t>
        </is>
      </c>
      <c r="B24" t="inlineStr">
        <is>
          <t>Senior AI Engineer</t>
        </is>
      </c>
      <c r="C24" t="inlineStr">
        <is>
          <t>Paper</t>
        </is>
      </c>
      <c r="D24" t="inlineStr">
        <is>
          <t>linkedin</t>
        </is>
      </c>
      <c r="E24">
        <f>HYPERLINK("https://www.linkedin.com/jobs/view/4382108035", "https://www.linkedin.com/jobs/view/4382108035")</f>
        <v/>
      </c>
      <c r="F24">
        <f>HYPERLINK("https://paper.wd3.myworkdayjobs.com/Paper_Careers/job/All-North-America\u002d\u002d-Remote/Senior-AI-Engineer_R-100319?source=LinkedIn&amp;urlHash=UgtU", "https://paper.wd3.myworkdayjobs.com/Paper_Careers/job/All-North-America\u002d\u002d-Remote/Senior-AI-Engineer_R-100319?source=LinkedIn&amp;urlHash=UgtU")</f>
        <v/>
      </c>
      <c r="G24" t="inlineStr"/>
      <c r="H24" t="inlineStr"/>
      <c r="I24" t="inlineStr">
        <is>
          <t>We’re building the first B2B, in\-classroom Voice \+ Video AI Tutor designed for real\-world learning environments. This system operates in live classrooms—processing noisy audio, interpreting visual signals, and delivering low\-latency, safe, pedagogically aligned AI support to educators and students.
 We are seeking a Senior AI Engineer to architect and operationalize multimodal AI systems at production scale. You will own end\-to\-end AI initiatives—from research and experimentation through deployment and continuous optimization—powering AI features used by millions of learners.
 This is a high\-impact role with significant technical ownership in defining how AI is embedded into our platform.
 Paper is reimagining how schools support students so that every learner can reach their full potential. Our vision is a world where every student receives timely, personalized, and relevant academic support. We offer a suite of scalable solutions including 24/7 tutoring, writing feedback, math practice, college and career support, and AI\-powered instructional tools that provide personalized support to all students, including multilingual learners. Our GROW high\-impact tutoring program accelerates learning through targeted small\-group instruction, delivers measurable gains in student achievement, and eases teacher workloads. Trusted by 500\+ school districts across 40\+ states and backed by leading investors including IVP, Sapphire Ventures, Framework Capital, and Reach Capital, we’re pursuing a bold goal: to drive the best academic outcomes for as many students as possible.
 Recent articles:
* GROW by Paper Drives 201% Increase in Grade\-Level Proficiency in Just 12 Weeks
* GROW by Paper Earns Stanford’s NSSA Tutoring Program Design Badge, Signaling Excellence in Research\-Aligned Design
* Paper Appoints Marisa Burkhart as CRO
**Job Description**
**What You’ll Own**
**Multimodal AI Architecture**
* Design and deploy real\-time voice and vision AI systems for classroom environments.
* Evaluate tradeoffs between fine\-tuning, RAG pipelines, prompt\-based approaches, and tool\-using agents.
* Build scalable inference systems with strict latency and cost constraints.
**Model Development \&amp; Experimentation**
* Fine\-tune and evaluate LLMs, ASR models, and vision/multimodal architectures.
* Design robust evaluation frameworks (offline \+ online).
* Implement safety guardrails and bias mitigation strategies.
**Productionization**
* Own the full ML lifecycle: data ingestion, training, validation, deployment, monitoring, and iteration.
* Optimize infrastructure for GPU utilization, latency, and cost efficiency.
* Partner with MLOps to build reliable, versioned AI pipelines.
**Cross\-Functional Collaboration**
* Work closely with Product and Engineering to translate classroom needs into production\-ready AI systems.
* Clearly communicate tradeoffs between model complexity, performance, and cost.
* Contribute to long\-term AI roadmap and architecture decisions.
**Required Experience**
* 5\+ years building and deploying production AI/ML systems.
* Hands\-on experience operationalizing LLM\-based systems (RAG, agents, prompt workflows, fine\-tuning).
* Experience with multimodal or vision systems.
* Demonstrated ownership of AI systems in production (monitoring, evaluation, iteration).
* Strong Python proficiency and experience with PyTorch or TensorFlow.
* Experience working with distributed/cloud infrastructure for ML workloads.
**Strongly Preferred**
* Experience building real\-time or low\-latency ML systems.
* Experience working with educational data or regulated environments (FERPA/COPPA).
* Experience designing evaluation frameworks for generative systems.
* Background in optimizing ML systems for cost at scale.
*The annual salary range for this position is $160000 \- $190,000 USD or $145,000 \- $173,000 CAD, plus equity. Please note that the final offer amount is determined by multiple factors, including geographic location as well as candidate experience, and may vary from the amounts listed above*
****What is it like to work at Paper? You will:****
* Be joining a remote\-first company with a collaborative, mission\-driven culture working together to write the next chapter of Paper!
* Have opportunities to connect in person throughout the year, even while working remotely day\-to\-day.
* Be part of an exciting new era of growth, with fresh leadership, a bold product vision, and a redefined charter.
* Thrive in a fast\-moving, build\-from\-scratch environment where agility and critical thinking guide decisions, collaboration is built on trust and healthy challenge, and every team member takes ownership to deliver real customer impact and grow every day.
**Additional Benefits:**
* Comprehensive \&amp; competitive compensation, health benefits, retirement plan, stock options, and more.
* In addition to vacation days, we provide Paperites with sick days and 4 extra weeks off \- including statutory holidays, Paper Days throughout the year, and a full Paper Week from Dec 25 to Jan 1\.
* A $500 stipend to set\-up your workspace and $100 monthly stipends to support with on\-going workspace needs.
* We support growing families with generous paid parental leave.
* Unlimited access to tutoring and educational support for children of Paper employees.
 You’ll be joining a team of mission\-driven builders who care deeply about equity in education, and who thrive in a culture of ownership, velocity, and continuous learning. If you’re energized by challenges, inspired by impact, and ready to help lead a high\-growth business through its next phase, we’d love to meet you.
*We believe diverse teams build better products and we are committed to creating an inclusive environment for all employees. Paper does not discriminate on the basis of race, color, religion, gender, gender orientation, gender expression, sexual orientation, age, national origin, disability, marital status, or military status.*
**Requisition ID**
 R\-100319</t>
        </is>
      </c>
    </row>
    <row r="25">
      <c r="A25" t="inlineStr">
        <is>
          <t>li-4380291197</t>
        </is>
      </c>
      <c r="B25" t="inlineStr">
        <is>
          <t>Machine Learning Engineer</t>
        </is>
      </c>
      <c r="C25" t="inlineStr">
        <is>
          <t>Acceler8 Talent</t>
        </is>
      </c>
      <c r="D25" t="inlineStr">
        <is>
          <t>linkedin</t>
        </is>
      </c>
      <c r="E25">
        <f>HYPERLINK("https://www.linkedin.com/jobs/view/4380291197", "https://www.linkedin.com/jobs/view/4380291197")</f>
        <v/>
      </c>
      <c r="F25" t="inlineStr"/>
      <c r="G25" t="inlineStr"/>
      <c r="H25" t="inlineStr"/>
      <c r="I25" t="inlineStr">
        <is>
          <t>**Machine Learning Engineer** 
 We’re partnering with a fast\-growing AI company building intelligent systems that help consumer brands optimise digital marketing performance automatically. Their platform replaces manual campaign management with
 **machine learning–driven optimisation engines** 
 that continuously improve results and drive measurable revenue impact.
 They’re now looking for a
 **Machine Learning Engineer** 
 to help design and scale the core models behind the platform. This role offers the chance to work on
 **real\-world ML problems at scale** 
 — including experimentation, forecasting, causal modelling, and optimisation — while owning projects from research through to production.
 The Role
* Design and deploy machine learning systems that optimise large\-scale advertising budgets in real time
* Build models across experimentation, forecasting, and optimisation problems
* Work closely with product and engineering to turn complex problems into scalable ML solutions
* Own the full ML lifecycle — from research and prototyping to production deployment and iteration
 What They’re Looking For
* Experience building and deploying
 **ML models in production**
* Strong background in
 **statistics, optimisation, or applied machine learning**
* Comfortable owning problems end\-to\-end in fast\-moving environments
* Pragmatic and impact\-driven with a strong product mindset
 Why Join
* Build core AI systems used by
 **global consumer brands**
* High ownership with strong engineering standards
* Competitive compensation and meaningful equity
* Opportunity to help scale a category\-defining AI platform</t>
        </is>
      </c>
    </row>
    <row r="26">
      <c r="A26" t="inlineStr">
        <is>
          <t>li-4381970154</t>
        </is>
      </c>
      <c r="B26" t="inlineStr">
        <is>
          <t>ML Engineer</t>
        </is>
      </c>
      <c r="C26" t="inlineStr">
        <is>
          <t>Wiraa</t>
        </is>
      </c>
      <c r="D26" t="inlineStr">
        <is>
          <t>linkedin</t>
        </is>
      </c>
      <c r="E26">
        <f>HYPERLINK("https://www.linkedin.com/jobs/view/4381970154", "https://www.linkedin.com/jobs/view/4381970154")</f>
        <v/>
      </c>
      <c r="F26" t="inlineStr"/>
      <c r="G26" t="inlineStr"/>
      <c r="H26" t="inlineStr"/>
      <c r="I26" t="inlineStr">
        <is>
          <t>**About The Company**
 Automation Anywhere is a global leader in Agentic Process Automation (APA), revolutionizing the way organizations operate by integrating AI\-powered automation solutions. The company's innovative platform combines industry\-first technologies such as the Process Reasoning Engine (PRE), advanced AI agents, process discovery, robotic process automation (RPA), end\-to\-end orchestration, document processing, and comprehensive analytics. With a focus on enterprise\-grade security and governance, Automation Anywhere empowers organizations across various industries to enhance productivity, accelerate growth, and unlock human potential. Committed to shaping the future of work, the company continuously innovates to deliver scalable, reliable, and intelligent automation solutions that meet the evolving needs of global enterprises.
**About The Role**
 Automation Anywhere is seeking a highly skilled and experienced Staff Machine Learning Engineer to join its innovative team. In this pivotal role, you will be responsible for designing, developing, and deploying cutting\-edge machine learning systems that operate at enterprise scale. Your work will focus on advancing capabilities in Generative AI, Natural Language Processing (NLP), and Computer Vision, integrating these technologies into our industry\-leading automation platform. You will collaborate closely with cross\-functional teams including product management, engineering, data science, and platform development to translate groundbreaking research into impactful production systems used by global organizations. This role offers a unique opportunity to lead the development of robust ML infrastructure, champion modern MLOps practices, and optimize system performance, scalability, and reliability across distributed environments. If you are passionate about transforming advanced AI research into enterprise\-grade solutions that deliver measurable business outcomes, this is your chance to influence the future of intelligent automation at scale.
**Qualifications**
* 7\+ years of hands\-on experience in designing, building, and deploying machine learning models
* Expertise in Natural Language Processing, Computer Vision, and Generative AI solutions
* Proven track record of taking ML models from development to production at scale
* Strong proficiency in Python programming language; working knowledge of R and SQL
* Experience with big data technologies such as Spark and Hadoop
* Deep familiarity with ML frameworks like TensorFlow and PyTorch, including optimization techniques
* Experience building and managing end\-to\-end ML pipelines
* Hands\-on experience with MLOps best practices, including CI/CD, model versioning, and automated monitoring
* Proficiency with cloud platforms such as AWS SageMaker, Azure ML, and Google AI Platform
* Experience with containerization (Docker, Kubernetes) and model serving platforms (Triton, ONNX)
* Familiarity with large language models (LLMs) and Generative AI techniques
* Distributed training experience across multi\-GPU or cloud environments (preferred)
**Responsibilities**
* Develop and optimize machine learning models leveraging NLP, Computer Vision, and Generative AI technologies
* Architect and implement scalable ML pipelines for training, validation, deployment, and monitoring of models
* Lead the development of large\-scale ML infrastructure, ensuring low\-latency inference and efficient resource utilization
* Implement MLOps best practices, automating processes for model training, deployment, and performance monitoring
* Collaborate with data engineers, software engineers, and product teams to integrate ML solutions seamlessly into production systems
* Optimize models for performance, scalability, and efficiency using techniques like quantization and pruning
* Enhance model reliability through automated monitoring, CI/CD pipelines, and versioning strategies
* Lead data acquisition, annotation, and preprocessing efforts to improve model accuracy
* Stay updated with the latest ML research and identify opportunities to incorporate new techniques into production systems
**Benefits**
* Flexible work schedule and remote work options
* Unlimited Personal Time Off
* 12 holidays per year
* Four days of volunteer time off annually
* Participation in four company achievement days off per year
* Comprehensive health care and well\-being benefits
* Paid family and parental leave
* Opportunities for professional growth and development
* Recognition as a “Best Place to Work” for two consecutive years
* Inclusion in Newsweek’s Top 100 Most Loved Workplaces in America 2023
 Equal Opportunity
 Automation Anywhere is an Affirmative Action and Equal Opportunity Employer. We are committed to creating an inclusive environment where all qualified applicants receive consideration for employment without regard to race, color, religion, gender, sexual orientation, national origin, genetic information, age, disability, veteran status, or any other legally protected characteristic. We welcome applicants with disabilities or special needs and provide reasonable accommodations to support the application process. At this time, we do not sponsor visas for this position.</t>
        </is>
      </c>
    </row>
    <row r="27">
      <c r="A27" t="inlineStr">
        <is>
          <t>li-4319420315</t>
        </is>
      </c>
      <c r="B27" t="inlineStr">
        <is>
          <t>AI Engineer, Research &amp; Development</t>
        </is>
      </c>
      <c r="C27" t="inlineStr">
        <is>
          <t>Bandwidth Inc.</t>
        </is>
      </c>
      <c r="D27" t="inlineStr">
        <is>
          <t>linkedin</t>
        </is>
      </c>
      <c r="E27">
        <f>HYPERLINK("https://www.linkedin.com/jobs/view/4319420315", "https://www.linkedin.com/jobs/view/4319420315")</f>
        <v/>
      </c>
      <c r="F27" t="inlineStr"/>
      <c r="G27" t="inlineStr">
        <is>
          <t>Raleigh, NC</t>
        </is>
      </c>
      <c r="H27" t="inlineStr"/>
      <c r="I27"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Bandwidth's Research \&amp; Development (R\&amp;D) team is at the forefront of exploring and harnessing transformative technologies to define the next generation of communication experiences. We operate as a small, agile, and T\-shaped group, diving deep into emerging areas like Artificial Intelligence and Machine Learning. We're seeking a highly motivated AI/ML Engineer to join this dynamic team in our Raleigh, NC headquarters.
 You thrive in a collaborative, fast\-paced environment where you can rapidly iterate on ideas and prototypes. You have a startup mentality, comfortable with ambiguity and driven by a relentless curiosity to explore, build, and learn. If you're passionate about applying cutting\-edge AI/ML, especially Large Language Models (LLMs), to solve real\-world problems and shape future products, this is the role for you. This position requires working full\-time from our Raleigh office.
**What You'll Do:** 
* Dive deep into the latest AI/ML research, particularly in the LLM space, identifying opportunities relevant to Bandwidth's domain.
* Design, build, and test proof\-of\-concepts and prototypes for novel AI\-powered features and services.
* Implement and integrate AI/ML models, including those based on LLMs, into potential future Bandwidth offerings.
* Collaborate intensely within a small, cross\-functional R\&amp;D team, sharing knowledge and contributing to a T\-shaped skill set.
* Experiment with various AI techniques, including advanced prompting strategies, Retrieval\-Augmented Generation (RAG), and potentially agentic systems.
* Stay constantly updated on the rapidly evolving AI landscape, evaluating new tools, models, and methodologies.
* Leverage LLM\-powered IDEs and development tools (like GitHub Copilot, Cursor, etc.) to accelerate the innovation cycle.
* Clearly articulate and present research findings, experiment results, and prototype demonstrations to technical and non\-technical stakeholders.
**What You Need:** 
* Bachelor’s degree in Computer Science, AI, ML, or a related technical field, or equivalent practical experience.
* Demonstrable expertise and hands\-on experience in Artificial Intelligence and Machine Learning, with deep knowledge in at least one specific AI domain (e.g., NLP, LLMs, Speech Recognition).
* Proven experience (typically 3\+ years) designing, building, and evaluating AI/ML models and systems.
* Strong programming skills, particularly in Python and familiarity with common ML libraries/frameworks (e.g., PyTorch, TensorFlow, scikit\-learn, Hugging Face).
* Solid understanding and practical experience with Large Language Models (LLMs) and associated concepts, including Retrieval\-Augmented Generation (RAG) and various prompting techniques (e.g., Zero\-shot, Few\-shot, Chain of Thought).
* Experience implementing services or applications built on top of foundational LLMs (via APIs or open\-source models).
* Proven ability to thrive in a small, highly collaborative team environment with an urgent, results\-oriented culture. Significant experience in startups or similar fast\-moving, resource\-constrained organizations is highly desirable.
* A relentless curiosity and passion for exploring new technologies and techniques in the AI/ML space.
* Experience using LLM\-powered IDEs or coding assistants.
* Excellent problem\-solving skills and the ability to navigate ambiguity.
* Must be able to work full\-time from the Bandwidth headquarters in Raleigh, NC.
**Bonus Points:** 
* Master’s degree or PhD in Computer Science, AI, ML, or a related field.
* Experience with LLM training, fine\-tuning (e.g., LoRa), and/or developing custom evaluation benchmarks.
* Familiarity with advanced AI architectures and concepts such as agentic systems (e.g., ReAct), multi\-modal models, Mixture of Experts (MoE), or LLM tooling/external capabilities.
* Experience with MLOps practices and cloud\-based ML platforms (e.g., AWS SageMaker, Azure ML, Google AI Platform).
* Familiarity with AI Developer and Agentic Frameworks (e.g., OpenAI, LangChain, CrewAI, Autogen)
* Experience contributing to AI/ML research, publications, or open\-source projects.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28">
      <c r="A28" t="inlineStr">
        <is>
          <t>li-4304280986</t>
        </is>
      </c>
      <c r="B28" t="inlineStr">
        <is>
          <t>AI Engineer</t>
        </is>
      </c>
      <c r="C28" t="inlineStr">
        <is>
          <t>3E</t>
        </is>
      </c>
      <c r="D28" t="inlineStr">
        <is>
          <t>linkedin</t>
        </is>
      </c>
      <c r="E28">
        <f>HYPERLINK("https://www.linkedin.com/jobs/view/4304280986", "https://www.linkedin.com/jobs/view/4304280986")</f>
        <v/>
      </c>
      <c r="F28">
        <f>HYPERLINK("https://jobs.lever.co/3eco/b27e2802-c90a-47b9-8013-8d133762cb72/apply?source=LinkedIn&amp;urlHash=2zT_", "https://jobs.lever.co/3eco/b27e2802-c90a-47b9-8013-8d133762cb72/apply?source=LinkedIn&amp;urlHash=2zT_")</f>
        <v/>
      </c>
      <c r="G28" t="inlineStr">
        <is>
          <t>Bethesda, MD</t>
        </is>
      </c>
      <c r="H28" t="inlineStr"/>
      <c r="I28" t="inlineStr">
        <is>
          <t>**About 3E:**
 We are a mission\-driven company dedicated to creating a safer and more sustainable world!
 3E provides award\-winning regulatory expertise and cutting\-edge technology that seamlessly integrates data and intelligence regarding chemicals, regulations, products, and supply chains for over 5,000 customers globally.
 With more than 35 years of experience and 15 locations across North America, Europe, and Asia, we are connecting our customers to a new class of expert\-led AI solutions, specifically designed to accelerate future product compliance with trust, speed, and domain authority.
 Are you ready to help shape the future?
 **Join** 
**us!**
**About the Role: Use AI to Transform How the World Works**
 As an AI Engineer, you will play a critical role in turning powerful AI models and proprietary data into transformative, user\-facing solutions. This is a unique opportunity to operate at the intersection of product, engineering, and AI, with the support of experienced leadership, access to high\-value data assets, and the autonomy to build from the ground up.
**Why This Role Matters:**
 You’ll work closely with our CTO, a seasoned AI leader and partner, cross\-functionally, to create intelligent systems that drive real customer value. From orchestrating agent\-based frameworks to integrating AI into product workflows, your contributions will shape the future of how our customers operate, solve problems, and create competitive advantage. You’ll move fast, think boldly, and help scale innovations that deliver meaningful outcomes for customers and the company.
**What You'll Do**
* Lead Development of Secure, Autonomous AI Systems: Architect intelligent, agent\-based tools leveraging solutions like Claude Code, MCPs, A2A, Gemini CLI, the OpenAI Agents SDK, and using Knowledge Graph concepts to solve complex, high\-value problems.
* Develop A2A Systems: Build frameworks to enable LLMs to work together internally and externally, increasing the reach of 3E\-enabled generative AI systems.
* Bridge Product \&amp; Engineering: Partner with Product, Engineering, and Customer teams to embed AI into tools that enhance usability, decision\-making, and automation.
* Build Seamless API Integrations: Create scalable, secure APIs that connect AI models with web applications, internal systems, and external platforms. Integrate these with MCP for agentic use.
* Contribute to Responsible AI Practices: Stay current with AI advancements and help define responsible development standards, alignment strategies, and safety protocols.
**What Makes You A Great Fit**
* Minimum Qualifications
* Bachelor's degree in Computer Science, Data Science, Machine Learning, or a related field, or equivalent experience in developing and deploying production\-grade AI systems or Software as a Service (SaaS systems) as a Software Engineer or Machine Learning engineer (or similar role)
* Deep experience developing and deploying production\-grade AI systems as a Software Engineer or Machine Learning engineer, or in a similar role
* Hands\-on experience with LLMs, generative AI, and agentic frameworks such as MCP, A2A, and the OpenAI Agents SDK.
* Proven ability in AI infrastructure setting up production\-grade model inference serving, MLOps pipelines, and shared services.
* Solid understanding of AI safety, alignment, and ethical development practices.
* Preferred Qualifications:
* Master's degree or Ph.D. in Computer Science, Data Science, Machine Learning, or a related field
* Experience with agent orchestration frameworks such as Claude Subagents, AutoGen, or CrewAI.
* Expertise in prompt engineering, context engineering, RAG pipelines, and optimization.
* Expertise in using and deploying open\-source LLMs into production, such as variants of Qwen, DeepSeek, Llama, Mistral, Gemma.
* Familiarity with cloud\-based AI tools (e.g., AWS Bedrock, GCP Vertex AI, Azure ML).
* Experience integrating AI capabilities into legacy web applications, desktop applications, and APIs.
**What's in it for you?**
* Solve Complex, High\-Impact Problems: Use AI to address mission\-critical challenges that directly influence revenue and drive business value.
* Work with Proprietary Data: Leverage exclusive datasets and real\-world signals to build intelligent systems with lasting competitive advantage.
* Learn from Proven Leadership: Partner with seasoned executives who’ve scaled AI and product teams at high\-growth companies.
* Best of Both Worlds: Experience the pace and innovation of a startup culture with the stability and resources of a trusted global enterprise.
**Pay Transparency:**
 The expected base salary for this position
 **starts at $150,000 per year plus incentives** 
 . The final offer will depend on several factors, including the successful candidate’s skills, depth of work experience, location, and relevant licenses/ qualifications. Each offer is determined based on individual strengths and relevant business considerations.
 In addition to the base salary, certain roles may qualify for a performance\-based incentive and/or equity, with eligibility depending on the position. These rewards are based on a combination of company performance and individual achievements.
**Our US Benefits Include:**
* Health, dental, and vision insurance
* Life insurance and disability coverage
* Open PTO and parental leave
* 401(k) plan with company matching
* Employee assistance program
* Voluntary supplemental benefits (Accident, Hospital Indemnity, Critical Illness)
**3E is currently authorized to hire in the following U.S. states:**
 Alabama, Arizona, California (excluding Los Angeles), Colorado (excluding Denver), Connecticut, Delaware, District of Columbia, Florida, Georgia, Illinois (excluding Chicago), Indiana, Kansas, Kentucky, Maryland, Massachusetts, Michigan, Minnesota, Nevada, New Jersey, New York (excluding New York City), North Carolina, Ohio, Oklahoma, Oregon, Pennsylvania, South Carolina, Tennessee, Texas, Utah, Virginia, and Washington.
**Disclosures:**
 3E is committed to a diverse and inclusive work environment. 3E is an equal opportunity employer and does not discriminate based on race, nationality, gender, gender identity, sexual orientation, protected veteran status, age, disability, or any other legally protected status. For applicants who would like to request accommodation please send an email to \[email protected]
 Visit us at https://www.3eco.com/
 Follow us at https://www.linkedin.com/company/3e\-safer\-world/
 Privacy Policy and Candidate Privacy Notice
**Agencies** 
 : 3E is not accepting unsolicited assistance from search firms for this employment opportunity. Please, no phone calls or emails. All resumes submitted by search firms to any employee at 3E via email, the Internet, or in any form and/or method without a valid written search agreement in place for this position will be deemed the sole property of 3E. No fee will be paid in the event the candidate is hired by 3E because of the referral or through other means.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9">
      <c r="A29" t="inlineStr">
        <is>
          <t>li-4381031517</t>
        </is>
      </c>
      <c r="B29" t="inlineStr">
        <is>
          <t>Machine Learning Engineer - Early Career</t>
        </is>
      </c>
      <c r="C29" t="inlineStr">
        <is>
          <t>Jobright.ai</t>
        </is>
      </c>
      <c r="D29" t="inlineStr">
        <is>
          <t>linkedin</t>
        </is>
      </c>
      <c r="E29">
        <f>HYPERLINK("https://www.linkedin.com/jobs/view/4381031517", "https://www.linkedin.com/jobs/view/4381031517")</f>
        <v/>
      </c>
      <c r="F29">
        <f>HYPERLINK("https://jobright.ai/jobs/info/b2b_1770935515039_172?utm_source=5012&amp;utm_campaign=b2b_1770935515039_172&amp;urlHash=SFV0", "https://jobright.ai/jobs/info/b2b_1770935515039_172?utm_source=5012&amp;utm_campaign=b2b_1770935515039_172&amp;urlHash=SFV0")</f>
        <v/>
      </c>
      <c r="G29" t="inlineStr"/>
      <c r="H29" t="inlineStr"/>
      <c r="I29" t="inlineStr">
        <is>
          <t>Jobright is your personal AI job search agent that transforms the job search process into a fast, expert\-guided journey. They are seeking an AI Engineer to build and scale business\-facing AI agents, managing the entire lifecycle from prototype to production.
**Why Join Us** 
* Build real, production AI agents used by real users
* High ownership and impact
* Work at the intersection of AI, agents, and product
* Shape how people experience AI\-driven job search
**Responsibilities** 
* Design, build, and maintain the scalable infrastructure required to deploy and serve production\-grade AI agents
* Implement and optimize Large Language Model (LLM) pipelines, focusing on latency reduction, throughput, and efficient resource utilization
* Develop automated systems for model monitoring, testing, and continuous integration to ensure the reliability of our AI agents
* Optimize data ingestion and processing layers to support real\-time agent responsiveness and complex RAG (Retrieval\-Augmented Generation) architectures
* Architect and refine APIs and backend services that bridge the gap between AI models and the user\-facing product
**Qualification** 
 Required
* Recent graduate or early\-career professional (0–2 years of experience) with a degree in Computer Science, Software Engineering, or a related technical field
* Strong proficiency in Python and experience with backend frameworks (such as FastAPI, Flask, or Django)
* Practical experience with machine learning frameworks (PyTorch or TensorFlow) and a solid understanding of software engineering best practices (version control, CI/CD, unit testing)
* Familiarity with the deployment of LLMs and an understanding of the infrastructure required to support autonomous agents
* Must live in and be authorized to work in the United States
 Preferred
* Previous internship or project experience in ML Ops, backend engineering, or distributed systems within an AI\-focused company
* Hands\-on experience with containerization (Docker, Kubernetes) and cloud infrastructure (AWS, GCP, or Azure)
* Knowledge of vector databases (such as Pinecone, Milvus, or Weaviate) and their role in production AI systems
* Strong foundation in SQL and NoSQL database management for high\-scale data handling</t>
        </is>
      </c>
    </row>
    <row r="30">
      <c r="A30" t="inlineStr">
        <is>
          <t>li-4372142212</t>
        </is>
      </c>
      <c r="B30" t="inlineStr">
        <is>
          <t>Senior Machine Learning Engineer, Shopping AI</t>
        </is>
      </c>
      <c r="C30" t="inlineStr">
        <is>
          <t>Zillow</t>
        </is>
      </c>
      <c r="D30" t="inlineStr">
        <is>
          <t>linkedin</t>
        </is>
      </c>
      <c r="E30">
        <f>HYPERLINK("https://www.linkedin.com/jobs/view/4372142212", "https://www.linkedin.com/jobs/view/4372142212")</f>
        <v/>
      </c>
      <c r="F30" t="inlineStr"/>
      <c r="G30" t="inlineStr"/>
      <c r="H30" t="inlineStr"/>
      <c r="I30" t="inlineStr">
        <is>
          <t>**About The Team**
 As the engine behind Zillow Group's mission to build a seamless digital real estate marketplace, the Shopping AI team is fundamentally redefining how millions of people discover and shop for homes. Our team of engineers and scientists builds and owns the production machine learning systems that power Zillow's core user experience, including personalized ranking \&amp; recommendations, semantic search, autocomplete, and display optimization. Working closely with product and design, we apply the latest advancements in AI to solve unique, large\-scale challenges. As we look forward, we are tackling the next generation of questions, including how generative AI can unlock intuitive, personalized experiences for every home shopper.
**About The Role**
 You Will Get To:
* Design, build, and ship production new machine learning models that power core product features on the Zillow app, website, and email/push notifications.
* Re\-architect our core home ranking and recommendation systems to support advanced neural networks and dramatically accelerate the pace of experimentation across surfaces.
* Own the full lifecycle of your models, from offline experimentation and prototyping with massive datasets to online deployment, A/B testing, and performance monitoring.
* Pioneer the application of cutting\-edge deep learning and large language models (LLMs) to improve our home shopping experience.
* Develop new AI components that optimize how we display and when we recommend homes, ensuring we connect shoppers with the right content on the right properties at the right time.
* Collaborate in a cross\-functional group of engineers, applied scientists, product managers, and designers to define, execute, and iterate on the team's strategic roadmap.
* Contribute to the team's engineering excellence by improving our machine learning infrastructure, development standards, and shared tooling.
* Act as a key technical voice, mentoring other engineers and helping to shape the long\-term vision for artificial intelligence in the home shopping experience.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$171,700\.00 \- $274,300\.00 annually. This base pay range is specific to these locations and may not be applicable to other locations. In Colorado, Hawaii, Illinois, Minnesota, Nevada, Ohio, Rhode Island, and Vermont the standard base pay range for this role is $163,200\.00 \- $260,600\.00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Must Have:
* 3\-5 years of experience in developing applications in search, personalized ranking, or recommender systems
* Experience developing and deploying ML models that scale to high\-traffic, latency sensitive customer\-facing services (100s of millions of requests per day)
* Strong programming skills in a high\-level language such as Python or Java
* Familiarity with common machine learning libraries like PyTorch, TensorFlow, Catboost, scikit\-learn and huggingface (repository)
* Expertise with large scale distributed data processing systems such as Hive, Spark, Airflow, or Databricks
* Experience owning the full lifecycle of customer facing machine learning models, from offline experimentation and prototyping to online deployment, A/B testing, and performance monitoring
* Here at Zillow \- we value the experience and perspective of candidates with non\-traditional backgrounds. We encourage you to apply if you have transferable skills or related experiences
 Preferred:
* A Master's degree \+ 3 yrs or BS with a minimum of 5 yrs of experience (preferably in large consumer tech companies)
* Prior experience or high level of curiosity with generative AI and excitement to collaborate on what they’ve learned!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1">
      <c r="A31" t="inlineStr">
        <is>
          <t>li-4372115228</t>
        </is>
      </c>
      <c r="B31" t="inlineStr">
        <is>
          <t>Senior Machine Learning Engineer</t>
        </is>
      </c>
      <c r="C31" t="inlineStr">
        <is>
          <t>Attentive</t>
        </is>
      </c>
      <c r="D31" t="inlineStr">
        <is>
          <t>linkedin</t>
        </is>
      </c>
      <c r="E31">
        <f>HYPERLINK("https://www.linkedin.com/jobs/view/4372115228", "https://www.linkedin.com/jobs/view/4372115228")</f>
        <v/>
      </c>
      <c r="F31" t="inlineStr"/>
      <c r="G31" t="inlineStr">
        <is>
          <t>New York, NY</t>
        </is>
      </c>
      <c r="H31" t="inlineStr"/>
      <c r="I31"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Our Machine Learning Engineering team powers personalized experiences for hundreds of millions of customers across thousands of brands. As a Senior Machine Learning Engineer, you will play a critical role in building, scaling, and operating production\-grade ML systems that drive real\-time personalization across the Attentive platform.
 You will operate with a high degree of ownership, partner closely with Product and Engineering, and help raise the technical bar across our ML systems in a fast\-paced, high\-impact environment.
**What You’ll Accomplish**
* Design, build, and operate scalable machine learning systems used in real\-time targeting, decisioning, personalization systems
* Own ML projects end\-to\-end, from data exploration and modeling to deployment, monitoring, and iteration
* Proactively safeguard model and system quality through testing, monitoring, validation, and alerting
* Collaborate cross\-functionally with product, data, and other engineering partners to translate business problems into ML solutions
* Continuously improve system reliability, performance, and engineering efficiency
* Contribute to technical direction and best practices across the ML engineering team
* Mentor and support other engineers through code reviews, design discussions, and knowledge sharing
* Thrive in a high\-impact, fast\-paced, late\-stage startup environment
**Your Expertise**
* 6\+ years of professional experience building production machine\-learning software systems
* Proven experience owning ML systems long enough to see the downstream impact of design decisions
* Strong proficiency in Python and experience with ML frameworks such as PyTorch, TensorFlow, or xgboost
* Experience with data processing and analytics tools such as pandas, Spark, SQL, and matplotlib
* Hands\-on experience building automated pipelines for data processing, model training, validation, and deployment
* Experience collaborating with cross\-functional teams to deliver ML\-powered features
* Strong communication skills and a high sense of ownership
**What We Use**
* Infrastructure: Kubernetes (AWS EKS), Istio, Datadog, Terraform, Cloudflare, Helm
* Backend: Java / Spring Boot microservices (Gradle), DynamoDB, Kinesis, Airflow, Postgres, PlanetScale, Redis
* Frontend: React, TypeScript, GraphQL, Storybook, Radix UI, Vite, Playwright
* ML \&amp; Data: Python, Metaflow, HuggingFace 🤗, PyTorch, TensorFlow, Panda
 You'll get competitive perks and benefits, from health \&amp; wellness to equity, to help you bring your best self to work.
**For US Based Applicants**
* The US base salary range for this full\-time position is $244,000 \- 320,000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32">
      <c r="A32" t="inlineStr">
        <is>
          <t>li-4381979070</t>
        </is>
      </c>
      <c r="B32" t="inlineStr">
        <is>
          <t>Software AI Engineer</t>
        </is>
      </c>
      <c r="C32" t="inlineStr">
        <is>
          <t>micro1</t>
        </is>
      </c>
      <c r="D32" t="inlineStr">
        <is>
          <t>linkedin</t>
        </is>
      </c>
      <c r="E32">
        <f>HYPERLINK("https://www.linkedin.com/jobs/view/4381979070", "https://www.linkedin.com/jobs/view/4381979070")</f>
        <v/>
      </c>
      <c r="F32" t="inlineStr"/>
      <c r="G32" t="inlineStr"/>
      <c r="H32" t="inlineStr"/>
      <c r="I32" t="inlineStr">
        <is>
          <t>**Job Title:** 
 Software AI Engineer
**Job Type:** 
 Full\-time, Contractual
**Job Summary** 
 Join our customer's team as a Software AI Engineer and play a pivotal role in driving mission\-critical government initiatives while also contributing to micro1’s proprietary AI infrastructure. This position offers the unique opportunity to work at the intersection of applied AI research and high\-impact, production\-grade deployment, leveraging the latest in LLMs, RAG, and multi\-agent systems.
**Key Responsibilities** 
* Design, build, and deploy advanced AI/ML solutions for government clients, ensuring robust and secure implementation at scale.
* Collaborate with internal and external teams to architect and enhance AI\-driven platforms, focusing on RAG, LLM orchestration, and multi\-agent workflows.
* Develop and maintain APIs, SDK integrations, and scalable pipelines, utilizing Python and RESTful best practices.
* Leverage cloud platforms such as AWS GovCloud, Vertex AI, and AWS Bedrock to deliver secure, enterprise\-grade solutions.
* Implement data ontologies, metadata catalogs, and ETL pipelines to support advanced AI and analytics use cases.
* Apply best practices in prompt engineering, LangGraph/LangChain, and tool integration for agentic AI systems.
* Ensure clear, concise, and effective written and verbal communication across all collaborative efforts.
**Required Skills and Qualifications** 
* Proven experience with large language models (LLMs), retrieval\-augmented generation (RAG), and agentic AI techniques.
* Expertise in Python development, REST API design, and secure coding principles.
* Hands\-on knowledge of AWS, and familiarity with other government cloud offerings (e.g., Google GovCloud, Azure IL5\+).
* Demonstrated ability to work with AI platforms such as Anthropic for Gov, OpenAI Enterprise, Gemini Enterprise, and Grok Enterprise.
* Strong background in building and maintaining robust data pipelines and ontologies.
* Proficiency in CI/CD practices for deploying production AI/ML systems.
* Exceptional written and verbal communication skills, with the ability to articulate complex concepts to both technical and non\-technical stakeholders.
**Preferred Qualifications** 
* Experience with advanced agent orchestration frameworks such as LangGraph and LangChain.
* Background in secure, scalable government or enterprise deployments of AI/ML solutions.
* Knowledge of metadata catalogs, MCP, and multi\-cloud environments.</t>
        </is>
      </c>
    </row>
    <row r="33">
      <c r="A33" t="inlineStr">
        <is>
          <t>li-4342913090</t>
        </is>
      </c>
      <c r="B33" t="inlineStr">
        <is>
          <t>Senior AI Engineer</t>
        </is>
      </c>
      <c r="C33" t="inlineStr">
        <is>
          <t>Valorem Reply</t>
        </is>
      </c>
      <c r="D33" t="inlineStr">
        <is>
          <t>linkedin</t>
        </is>
      </c>
      <c r="E33">
        <f>HYPERLINK("https://www.linkedin.com/jobs/view/4342913090", "https://www.linkedin.com/jobs/view/4342913090")</f>
        <v/>
      </c>
      <c r="F33" t="inlineStr"/>
      <c r="G33" t="inlineStr"/>
      <c r="H33" t="inlineStr"/>
      <c r="I33" t="inlineStr">
        <is>
          <t>Valorem Reply is an award\-winning digital transformation firm focused on delivering data\-driven enterprise, IT modernization, customer experience, product transformation and digital workplace. Through the expertise of their people and power of Microsoft technologies, they provide hyper\-scale and agile delivery of unique digital business services, strategic business models and design\-led user experiences. Their innovative strategies and solutions securely and rapidly transform the way their clients do business.
 As a Senior AI Engineer, you will understand how AI is positioned to meet business objectives and then deliver projects for customers as part of a team. This is a hands\-on role involving consulting, leading, coding, and delivering sophisticated AI solutions. Projects will span from workshops to comprehensive enterprise\-level deployments.
**Responsibilities**
* Implementing AI solutions through people, processes, and technology
* Facilitate customer education and ideation workshops focused on developing use cases and implementing modern AI/ML solutions
* Consulting with stakeholders to identify opportunities for AI integration, advising on best practices, and tailoring AI strategies to meet business objectives
* Defining project requirements clearly, designing robust solution architectures, and ensuring alignment with business goals and technical capabilities
* Leading the development and implementation of AI\-driven solutions, managing the entire AI project lifecycle, including data collection, model training, deployment, and monitoring. Demonstrated expertise in Microsoft Azure AI services and proficiency in leveraging OpenAI technologies is essential
* Facilitating cross\-functional collaboration, working closely with technical and non\-technical teams to deliver outstanding service to customers and ensure the successful integration of AI solutions into business processes
* Staying updated on the latest advancements in AI and Generative AI, and advising teams on integrating cutting\-edge techniques, to enhance project outcomes and drive innovation
**Minimum Requirements**
* Bachelor’s degree in computer science, artificial intelligence, data science, or a related field
* Proven client facing experience, translating complex requirements into actionable AI solutions that meet business objectives
* 5 years of professional software engineering experience in Azure and Python
* 3 years of experience with relational and nonrelational databases such as SQL Server, PostgreSQL, Cosmos DB, MongoDB, etc
* 2 years demonstratable experience with Azure AI solution design and production delivery,highlighting proficiency in natural language processing (NLP), retrieval augmented generation (RAG), and Azure AI Services (OpenAI, Speech, Vision, etc.) using tools like Azure AI Foundry, prompt flow, and Copilot Studio
* Production experience with Azure AI platform, and the implementation of enterprise solutions
* Experience with open\-source models, fine\-tuning, advanced prompt engineering, responsible AI practices, and managing an organization’s models
**Preferred Qualifications**
* Professional software engineering experience in C\#.net
* Full software development life cycle, including coding standards, code reviews, source control management, build processes, testing, and operations experience
* Developing cloud software services and an understanding of design for scalability, performance, and reliability in Azure
* Ability to support go\-to\-market content with technical support and present AI related research to customers and at events
* Experience with DevOps tools and processes such as Azure DevOps, GitHub, Docker and Kubernetes
**About Reply**
 Reply specializes in the design and implementation of solutions based on new communication channels and digital media. Reply is a network of highly specialized companies supporting global industrial groups operating in the telecom and media, industry and services, banking, insurance and public administration sectors in the definition and development of business models enabled for the new paradigms of AI, cloud computing, digital media and the Internet of Things. Reply services include Consulting, System Integration and Digital Services.
 The base compensation range for this full\-time position is between $140,000 \- $180,000 plus benefits. Compensation decisions are supported through market data, where regional variances may exist based on cost of labor. We also take into consideration prior experience, relevant skills, education and/or training, certifications and, as applicable, other required qualifications. If you have questions regarding compensation, the talent acquisition team can provide relevant details during the interview process.
 Reply is an equal opportunity employer. We are committed to provide equal opportunity regardless of race, color, ancestry, religion, sex, national origin, sexual orientation, age, citizenship, marital status, disability, gender identity or Veteran status. If you need assistance and reasonable accommodation due to a disability during the application or the recruiting process, email us at jobusa@reply.com. Visit our website at www.reply.com to learn more about our open roles.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
      <c r="A34" t="inlineStr">
        <is>
          <t>li-4381651979</t>
        </is>
      </c>
      <c r="B34" t="inlineStr">
        <is>
          <t>Gen AI Engineer</t>
        </is>
      </c>
      <c r="C34" t="inlineStr">
        <is>
          <t>Capgemini</t>
        </is>
      </c>
      <c r="D34" t="inlineStr">
        <is>
          <t>linkedin</t>
        </is>
      </c>
      <c r="E34">
        <f>HYPERLINK("https://www.linkedin.com/jobs/view/4381651979", "https://www.linkedin.com/jobs/view/4381651979")</f>
        <v/>
      </c>
      <c r="F34">
        <f>HYPERLINK("https://careers.capgemini.com/job/New-York%2C-NY-Gen-AI-Engineer-NY-10001/1370574133/?feedId=388933&amp;utm_source=LinkedInJobPostings&amp;urlHash=auPH", "https://careers.capgemini.com/job/New-York%2C-NY-Gen-AI-Engineer-NY-10001/1370574133/?feedId=388933&amp;utm_source=LinkedInJobPostings&amp;urlHash=auPH")</f>
        <v/>
      </c>
      <c r="G34" t="inlineStr">
        <is>
          <t>New York, NY</t>
        </is>
      </c>
      <c r="H34" t="inlineStr"/>
      <c r="I34"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Location \- Job Location \- NYC NY (Day One Onsite \- Hybrid)
**Job Description**
 Job Description
 We are looking for a skilled Generative AI Developer to join our Controls Technology team and contribute to the development and integration of innovative generative AI solutions In this role you will work closely with senior developers AI architects and business stakeholders to deliver impactful AIdriven features and products.
**Key Responsibilities**
 Implement and finetune generative AI models under the guidance of senior team members
 Contribute to prompt engineering and development of AIpowered workflows
 Assist with the deployment monitoring and maintenance of AI models in production environments
 Collaborate with data scientists and engineers to ensure seamless integration of AI capabilities
 Perform data preprocessing feature engineering and API development for AI applications
 Participate in code reviews testing and documentation to ensure quality and reliability
 Stay updated with advancements in GenAI and share relevant learnings with the team
**Required Technical Skills**
 Handson experience with at least one major machine learning framework PyTorch TensorFlow Keras
 Familiarity with LLMs prompt engineering and finetuning eg LoRA QLoRA
 Exposure to RAG systems and basic knowledge of hybrid search techniques
 Understanding of model deployment and containerization Docker
 Proficiency in Python for AI development data preprocessing and scripting
 Experience with generative AI tools LangChain Hugging Face LlamaIndex is a plus
 Understanding of version control systems Git
 Awareness of AI compliance data privacy and responsible AI principles
**Required Soft Skills**
 Strong teamwork and communication abilities
 Willingness to learn new AIML technologies and frameworks
 Analytical mindset and attention to detail
 Openness to feedback and continuous improvement
**Qualifications**
 Bachelors degree or Masters degree in Computer Science Data Science AI or a related field
 3\-5 years of professional experience in AIML development with exposure to Generative AI
 Experience delivering AIML projects in a collaborative setting
 Exposure to cloud based AIML environments AWS GCP or Azure is a plus
 The base compensation range for this role in the posted location is : $ 56186 \- 87556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5">
      <c r="A35" t="inlineStr">
        <is>
          <t>li-4365244666</t>
        </is>
      </c>
      <c r="B35" t="inlineStr">
        <is>
          <t>Sr. Machine Learning Engineer</t>
        </is>
      </c>
      <c r="C35" t="inlineStr">
        <is>
          <t>Cisco</t>
        </is>
      </c>
      <c r="D35" t="inlineStr">
        <is>
          <t>linkedin</t>
        </is>
      </c>
      <c r="E35">
        <f>HYPERLINK("https://www.linkedin.com/jobs/view/4365244666", "https://www.linkedin.com/jobs/view/4365244666")</f>
        <v/>
      </c>
      <c r="F35">
        <f>HYPERLINK("https://careers.cisco.com/global/en/job/CISCISGLOBAL2004822EXTERNALENGLOBAL/Sr-Machine-Learning-Engineer?utm_source=linkedin&amp;utm_medium=phenom-feeds&amp;urlHash=ilB1", "https://careers.cisco.com/global/en/job/CISCISGLOBAL2004822EXTERNALENGLOBAL/Sr-Machine-Learning-Engineer?utm_source=linkedin&amp;utm_medium=phenom-feeds&amp;urlHash=ilB1")</f>
        <v/>
      </c>
      <c r="G35" t="inlineStr">
        <is>
          <t>San Jose, CA</t>
        </is>
      </c>
      <c r="H35" t="inlineStr"/>
      <c r="I35"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**Minimum Qualifications**
* Master's degree in computer science or related field and 4\+ years of software engineering experience, or bachelor's degree with 7\+ years of experience.
* Experience designing and building scalable cloud\-based systems (AWS, Azure, or GCP), including container orchestration (e.g., Kubernetes, Docker).
* Experience with API design and frameworks (e.g. OpenAPI, GraphQL, gRPC, REST, etc.)
* Prior working experience in delivering RAG and Agentic products into production
* Expert at using vibe coding tools (Claude Code, Codex, Copilot, Windsurf, Cursor) is a must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6">
      <c r="A36" t="inlineStr">
        <is>
          <t>li-4365262077</t>
        </is>
      </c>
      <c r="B36" t="inlineStr">
        <is>
          <t>Sr. Machine Learning Engineer</t>
        </is>
      </c>
      <c r="C36" t="inlineStr">
        <is>
          <t>Cisco</t>
        </is>
      </c>
      <c r="D36" t="inlineStr">
        <is>
          <t>linkedin</t>
        </is>
      </c>
      <c r="E36">
        <f>HYPERLINK("https://www.linkedin.com/jobs/view/4365262077", "https://www.linkedin.com/jobs/view/4365262077")</f>
        <v/>
      </c>
      <c r="F36" t="inlineStr"/>
      <c r="G36" t="inlineStr">
        <is>
          <t>San Francisco, CA</t>
        </is>
      </c>
      <c r="H36" t="inlineStr"/>
      <c r="I36"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**Minimum Qualifications**
* Master's degree in computer science or related field and 4\+ years of software engineering experience, or bachelor's degree with 7\+ years of experience.
* Experience designing and building scalable cloud\-based systems (AWS, Azure, or GCP), including container orchestration (e.g., Kubernetes, Docker).
* Experience with API design and frameworks (e.g. OpenAPI, GraphQL, gRPC, REST, etc.)
* Prior working experience in delivering RAG and Agentic products into production
* Expert at using vibe coding tools (Claude Code, Codex, Copilot, Windsurf, Cursor) is a must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37">
      <c r="A37" t="inlineStr">
        <is>
          <t>li-4381027971</t>
        </is>
      </c>
      <c r="B37" t="inlineStr">
        <is>
          <t>AI/ML Engineer  - MCP - Agentic AI</t>
        </is>
      </c>
      <c r="C37" t="inlineStr">
        <is>
          <t>Yochana</t>
        </is>
      </c>
      <c r="D37" t="inlineStr">
        <is>
          <t>linkedin</t>
        </is>
      </c>
      <c r="E37">
        <f>HYPERLINK("https://www.linkedin.com/jobs/view/4381027971", "https://www.linkedin.com/jobs/view/4381027971")</f>
        <v/>
      </c>
      <c r="F37" t="inlineStr"/>
      <c r="G37" t="inlineStr">
        <is>
          <t>Salt Lake City, UT</t>
        </is>
      </c>
      <c r="H37" t="inlineStr"/>
      <c r="I37" t="inlineStr">
        <is>
          <t>**Position: AI/ML Engineer \- MCP \- Agentic AI** 
**Location: Salt Lake City, Utah (Onsite)** 
**Type: Full Time** 
**Job Description:** 
 • 5\+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**Regards** 
**Mamatha k,** 
**Sr. Resource Specialist,** 
 Email:
 **mamatha@yochana.com**
 /
 **www.yochana.com**</t>
        </is>
      </c>
    </row>
    <row r="38">
      <c r="A38" t="inlineStr">
        <is>
          <t>li-4372120464</t>
        </is>
      </c>
      <c r="B38" t="inlineStr">
        <is>
          <t>Staff Machine Learning Engineer</t>
        </is>
      </c>
      <c r="C38" t="inlineStr">
        <is>
          <t>Attentive</t>
        </is>
      </c>
      <c r="D38" t="inlineStr">
        <is>
          <t>linkedin</t>
        </is>
      </c>
      <c r="E38">
        <f>HYPERLINK("https://www.linkedin.com/jobs/view/4372120464", "https://www.linkedin.com/jobs/view/4372120464")</f>
        <v/>
      </c>
      <c r="F38">
        <f>HYPERLINK("https://job-boards.greenhouse.io/attentive/jobs/4120594009?gh_src=63pk6gu69us&amp;urlHash=TMiu", "https://job-boards.greenhouse.io/attentive/jobs/4120594009?gh_src=63pk6gu69us&amp;urlHash=TMiu")</f>
        <v/>
      </c>
      <c r="G38" t="inlineStr"/>
      <c r="H38" t="inlineStr"/>
      <c r="I38"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Inc.’s Best Workplaces, and the Human Rights Campaign Foundation's Corporate Equality Index!
**About The Role**
 Our Machine Learning Engineering team powers personalized experiences for hundreds of millions of customers across thousands of brands. We build advanced ML models that predict customer behaviors in real\-time, enabling highly personalized shopping experiences. Joining our team offers a high\-growth career opportunity to work with some of the world’s most talented machine learning engineers in a high\-performance and high\-impact culture.
 We are seeking a self\-driven and highly motivated Machine Learning Engineer to join our growing machine learning teams. As an early hire, you will contribute to the development of machine learning models and infrastructure needs across the Attentive platform and work with Product Management and Engineering to implement end\-to\-end modeling use cases.
**What You’ll Accomplish**
* You have a proven track record of building systems that maintain a high bar of quality
* You deeply loathe regressions and take proactive steps to protect against them through a variety of testing techniques
* You are a collaborator, technical leader, and a great communicator
* You are constantly improving the quality of the project you are working on, both via direct contributions as well as long\-term advocacy for larger\-scale changes
* You are enthusiastic about the high impact, fast\-paced work environment of an late\-stage startup
* 10\+ years experience is ideal
**Your Expertise**
* You have worked professionally building systems for 6\+ years with experience on a single system long enough to see the consequences of your decisions
* Experience with TensorFlow/Pytorch, xgboost, pandas, matplotlib, SQL, Spark or similar tools
* You have proficiency or experience with Python
* You have extensive experience using machine learning and data analysis, or similar, to build scalable systems and data\-driven products, working with cross\-functional teams
* You have a proven track record of building scalable, efficient, automated processes for large\-scale data analyses, model development, model validation, and model implementation from modern research
* You have led cross\-functional machine learning projects across teams
**What We Use**
* Our infrastructure runs primarily in Kubernetes hosted in AWS’s EKS
* Infrastructure tooling includes Istio, Datadog, Terraform, CloudFlare, and Helm
* Our backend is Java / Spring Boot microservices, built with Gradle, coupled with things like DynamoDB, Kinesis, AirFlow, Postgres, Planetscale, and Redis, hosted via AWS
* Our frontend is built with React and TypeScript, and uses best practices like GraphQL, Storybook, Radix UI, Vite, esbuild, and Playwright
* Our automation is driven by custom and open source machine learning models, lots of data and built with Python, Metaflow, HuggingFace 🤗, PyTorch, TensorFlow, and Pandas
 You'll get competitive perks and benefits, from health \&amp; wellness to equity, to help you bring your best self to work.
**For US Based Applicants**
* The US base salary range for this full\-time position is $288,000 \- $330,000 annually \+ equity \+ benefits
* Our salary ranges are determined by role, level and location
**By applying for this position, your data will be processed as per Attentive's Privacy Policy.**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39">
      <c r="A39" t="inlineStr">
        <is>
          <t>li-4363994094</t>
        </is>
      </c>
      <c r="B39" t="inlineStr">
        <is>
          <t>Founding Machine Learning Engineer</t>
        </is>
      </c>
      <c r="C39" t="inlineStr">
        <is>
          <t>Adaptive Security</t>
        </is>
      </c>
      <c r="D39" t="inlineStr">
        <is>
          <t>linkedin</t>
        </is>
      </c>
      <c r="E39">
        <f>HYPERLINK("https://www.linkedin.com/jobs/view/4363994094", "https://www.linkedin.com/jobs/view/4363994094")</f>
        <v/>
      </c>
      <c r="F39">
        <f>HYPERLINK("https://jobs.ashbyhq.com/adaptivesecurity/547fef33-6371-4a49-9085-5810744f95b0?source=Linkedin&amp;urlHash=fCWr", "https://jobs.ashbyhq.com/adaptivesecurity/547fef33-6371-4a49-9085-5810744f95b0?source=Linkedin&amp;urlHash=fCWr")</f>
        <v/>
      </c>
      <c r="G39" t="inlineStr">
        <is>
          <t>New York, NY</t>
        </is>
      </c>
      <c r="H39" t="inlineStr"/>
      <c r="I39" t="inlineStr">
        <is>
          <t>**About Adaptive**
 NVIDIA and OpenAI’s only AI cybersecurity investment.
 Adaptive is a cybersecurity startup on a mission to stop AI\-powered cyberattacks. In December 2025, the company announced an $81M Series B led by NVIDIA and Bain Capital Ventures, with participation from Capital One Ventures, Citi Ventures, and continued support from Andreessen Horowitz (a16z), the OpenAI Startup Fund, and Abstract Ventures. The round marked NVIDIA’s first AI cybersecurity investment.
 Adaptive was founded by Brian Long and Andrew Jones, repeat entrepreneurs who have built and scaled category\-defining companies. Brian and Andrew previously co\-founded Attentive, which grew to more than $500M in annual revenue and a $10B\+ valuation, and TapCommerce, which was acquired by Twitter. Together, they bring deep experience building high\-growth, product\-led businesses at massive scale as Adaptive builds the security layer for the AI era.
 Trusted by leading banks, technology companies, and healthcare organizations, Adaptive protects teams from emerging threats like deepfakes, smishing, and AI\-powered voice scams. With rapid enterprise adoption and a $200B\+ market ahead, the company is just getting started.
**Role**
 We are seeking a Founding ML Engineer to define and build Adaptive's ML capabilities. Our products use LLMs and ML models to detect, classify, and respond to cybersecurity threats in real time. The ML problems here are adversarial by nature. Attackers actively evolve to evade detection, labeled data is scarce for novel attack vectors, and models need to operate at production scale with strict latency constraints.
 We don't have dedicated ML infrastructure or an ML team today. You'll be building this from the ground up. You will set the technical direction, stand up the infrastructure, and do the hands\-on work yourself. You’ll hire your first engineers and grow the function as our ML surface area expands this year and beyond.
**Compensation**
 Adaptive has raised $146M from top\-tier investors including BCV, a16z, NVIDIA, and OpenAI. Our roadmap depends on standing up an ML function that doesn’t yet exist, and we’re ready to compensate accordingly. Expect market level compensation and huge ownership over the ML platform from day one.
**Responsibilities**
* Define Adaptive's ML strategy: where ML should be applied across our products, what infrastructure we need, and how we should approach build vs. buy decisions.
* Design and build production ML systems end\-to\-end — data pipelines, model training, evaluation frameworks, and inference serving.
* Establish evaluation methodology. Define how we measure model quality, catch regressions, and make data\-driven decisions about model changes.
* Own the strategy for getting the data you need, in the format you need it — what/how to label, how to build feedback loops, and how our models improve over time.
* Partner with product engineers to integrate ML into the product. You will write production code and work within our existing codebase.
* Build and lead the ML team as scope grows.
**Qualifications**
* 8\+ years of experience building ML systems in production, ideally with experience standing up the ML function at an early stage startup or as the senior or lead ML person at a previous company.
* Strong software engineering fundamentals. You write production\-quality code in modern languages (Python, Java, TypeScript) and work within large codebases.
* Experience with cloud ML infrastructure (AWS SageMaker, Bedrock, Modal, Baseten, or similar).
* Experience with common ML and data processing frameworks (PyTorch, Tensorflow, Spark)
* Comfortable working across the stack — infrastructure, backend services, and data systems.
* Track record of mentoring MLEs and other engineers with observable, clear improvements in those you've worked with.
* High autonomy. You'll have support and context from leadership, but you're expected to define the path forward and drive it.</t>
        </is>
      </c>
    </row>
    <row r="40">
      <c r="A40" t="inlineStr">
        <is>
          <t>li-4365438184</t>
        </is>
      </c>
      <c r="B40" t="inlineStr">
        <is>
          <t>Senior Machine Learning Engineer</t>
        </is>
      </c>
      <c r="C40" t="inlineStr">
        <is>
          <t>Nexxen</t>
        </is>
      </c>
      <c r="D40" t="inlineStr">
        <is>
          <t>linkedin</t>
        </is>
      </c>
      <c r="E40">
        <f>HYPERLINK("https://www.linkedin.com/jobs/view/4365438184", "https://www.linkedin.com/jobs/view/4365438184")</f>
        <v/>
      </c>
      <c r="F40" t="inlineStr"/>
      <c r="G40" t="inlineStr">
        <is>
          <t>Bellevue, WA</t>
        </is>
      </c>
      <c r="H40" t="inlineStr"/>
      <c r="I40"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1">
      <c r="A41" t="inlineStr">
        <is>
          <t>li-4365440179</t>
        </is>
      </c>
      <c r="B41" t="inlineStr">
        <is>
          <t>Senior Machine Learning Engineer</t>
        </is>
      </c>
      <c r="C41" t="inlineStr">
        <is>
          <t>Nexxen</t>
        </is>
      </c>
      <c r="D41" t="inlineStr">
        <is>
          <t>linkedin</t>
        </is>
      </c>
      <c r="E41">
        <f>HYPERLINK("https://www.linkedin.com/jobs/view/4365440179", "https://www.linkedin.com/jobs/view/4365440179")</f>
        <v/>
      </c>
      <c r="F41" t="inlineStr"/>
      <c r="G41" t="inlineStr">
        <is>
          <t>Dallas, TX</t>
        </is>
      </c>
      <c r="H41" t="inlineStr"/>
      <c r="I41"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2">
      <c r="A42" t="inlineStr">
        <is>
          <t>li-4381039433</t>
        </is>
      </c>
      <c r="B42" t="inlineStr">
        <is>
          <t>AI Engineer</t>
        </is>
      </c>
      <c r="C42" t="inlineStr">
        <is>
          <t>Haystack</t>
        </is>
      </c>
      <c r="D42" t="inlineStr">
        <is>
          <t>linkedin</t>
        </is>
      </c>
      <c r="E42">
        <f>HYPERLINK("https://www.linkedin.com/jobs/view/4381039433", "https://www.linkedin.com/jobs/view/4381039433")</f>
        <v/>
      </c>
      <c r="F42">
        <f>HYPERLINK("https://us.haystackapp.io/roles/69a75de32383b2bb201b9e1a?src=google-paid&amp;urlHash=EGVK", "https://us.haystackapp.io/roles/69a75de32383b2bb201b9e1a?src=google-paid&amp;urlHash=EGVK")</f>
        <v/>
      </c>
      <c r="G42" t="inlineStr"/>
      <c r="H42" t="inlineStr"/>
      <c r="I42" t="inlineStr">
        <is>
          <t>**AI Software Developer \| Gaithersburg, MD or Eagan, MN \| Hybrid \| $69,550 \- $125,725** 
 We're working with a global aerospace and defense powerhouse that outthinks and outbuilds the status quo on this exciting opportunity. Join a mission\-critical team developing a future\-ready, hybrid cloud data mesh architecture that integrates AI\-enabled capabilities with globally deployed safety\-critical systems.
 This is your chance to move beyond the ordinary and work on the Leidos Common Automation Platform (L\-CAP), an innovative solution driving the next generation of air traffic and homeland security automation. Use your expertise in Java, Python, and microservices to deliver predictable, high\-impact outcomes in a highly regulated Scaled Agile (SAFe) environment.
**The Role** 
 • Design and implement mission\-critical microservices\-based applications using modern software engineering best practices.
 • Collaborate within a Scaled Agile (SAFe) framework, driving technical execution through sprint planning, daily standups, and retrospectives.
 • Build clean, testable, and maintainable code while integrating automation and AI/ML capabilities into data\-driven systems.
 • Work across the full software lifecycle, integrating services with databases, messaging systems like Kafka, and external APIs.
 • Lead performance tuning and troubleshooting efforts while implementing modern automated testing strategies (Unit, Integration, and End\-to\-End).
**What You'll Need** 
 • At least 2\+ years of professional software development experience (or a Master’s degree) with a strong foundation in Computer Science.
 • Proven proficiency in building microservices using modern languages such as Java, Python, or C\+\+ on Linux platforms.
 • Hands\-on experience working in Agile/SAFe environments with exposure to CI/CD pipelines and DevSecOps practices.
 • Familiarity with distributed systems, cloud environments (AWS, Azure, or GCP), and containerization tools like Docker or Kubernetes.
 • U.S. Citizenship and the ability to obtain and maintain a Public Trust security clearance.
**What's On Offer** 
 • Competitive salary range ($69,550 \- $125,725\) with a performance\-driven culture.
 • True hybrid flexibility with a 3\-day onsite / 2\-day remote schedule to balance collaboration and focus.
 • Comprehensive benefits including Health/Wellness programs, Income Protection, and an industry\-leading retirement plan.
 • The opportunity to work on safety\-critical, national\-scale automation platforms that serve millions.
**Apply via Haystack today!**</t>
        </is>
      </c>
    </row>
    <row r="43">
      <c r="A43" t="inlineStr">
        <is>
          <t>li-4349474811</t>
        </is>
      </c>
      <c r="B43" t="inlineStr">
        <is>
          <t>Senior Machine Learning Engineer</t>
        </is>
      </c>
      <c r="C43" t="inlineStr">
        <is>
          <t>Cambridge Mobile Telematics</t>
        </is>
      </c>
      <c r="D43" t="inlineStr">
        <is>
          <t>linkedin</t>
        </is>
      </c>
      <c r="E43">
        <f>HYPERLINK("https://www.linkedin.com/jobs/view/4349474811", "https://www.linkedin.com/jobs/view/4349474811")</f>
        <v/>
      </c>
      <c r="F43" t="inlineStr"/>
      <c r="G43" t="inlineStr">
        <is>
          <t>Massachusetts, United States</t>
        </is>
      </c>
      <c r="H43" t="inlineStr"/>
      <c r="I43"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As a Senior Machine Learning Engineer embedded within the Claims Data Science team, you will design, develop, and ship ML/AI systems that support the Crash \&amp; Claims product suite. You'll own end\-to\-end projects that integrate telematics and unstructured data to deliver robust, production\-ready models and algorithms that improve and streamline claims processing, triage and overall claims outcomes. This is a hands\-on role focused on building reliable, scalable systems, improving model performance and robustness, and productionizing models to meet real\-world product needs.
 CMT is looking for a collaborative, customer\-committed, and creative
 **Senior Machine Learning Engineer** 
 who wants to join us in making roads safer by making drivers better!
**Responsibilities:** 
* Use independent judgment and discretion to develop ML / DL models which pattern driving behaviors and vehicle kinematics in data collected via smartphone sensors
* Leads projects and solutions through the full development stages, from data pre\-processing, modeling, testing, through roll\-out with minimum management oversight
* Write code for debugging complex issues and creating new solutions that will run as part of production systems
* Support customers' requests regarding the production ML models and derive deep insights from data
* Communicate and present the data science work within the data science team as well as to stakeholders across the org and to collaborate across different teams
* Complete any additional tasks as they arise
**Qualifications:** 
* Bachelor's degree or equivalent years of experience and/or certification in Data Science, Computer Science, Statistics, Mathematics or Engineering
* 4\+ years of relevant working experience in Data Science
* Must possess a deep understanding of data science principles, algorithms and practices, such as machine learning, deep learning, statistics and probability
* Must possess a thorough knowledge of software development process, and proven coding skills using scripting languages e.g. Python, Pandas, NumPy, scikit\-learn and SQL
* Ability to write and navigate code, request data from data sources and code from scratch
* Experience with deep learning frameworks (TensorFlow, Keras, Torch, Caffe, etc.) and knowledge of Big Data infrastructure (Hadoop, Spark, etc.) will be a plus
* A great team player and quick learner
**Nice to Haves:** 
* Master's or PhD preferred
* Experience working with sensor, telematics or other high\-frequency time\-series data and the associated data\-quality and pipeline challenges
* Hands\-on experience with deploying and monitoring models in production (MLOps best practices, model versioning, CI/CD for ML)
* Familiarity with modern vision model approaches and practical experience applying them to image and video problems (model selection, evaluation, and deployment)
* Practical experience with large language models and LLM inference approaches — able to evaluate model tradeoffs and select appropriate models and AI tools for a given task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$147,600 to $184,500\. This range is specifically for Cambridge, MA
**A** 
**dditional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 
**t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 
*arital status, veteran status or disability state. CMT is headquartered in Cambridge, MA. To learn more, visit www.cmtelematics.com and follow us on X @cmtelematics.*</t>
        </is>
      </c>
    </row>
    <row r="44">
      <c r="A44" t="inlineStr">
        <is>
          <t>li-4365449072</t>
        </is>
      </c>
      <c r="B44" t="inlineStr">
        <is>
          <t>Senior Machine Learning Engineer</t>
        </is>
      </c>
      <c r="C44" t="inlineStr">
        <is>
          <t>Nexxen</t>
        </is>
      </c>
      <c r="D44" t="inlineStr">
        <is>
          <t>linkedin</t>
        </is>
      </c>
      <c r="E44">
        <f>HYPERLINK("https://www.linkedin.com/jobs/view/4365449072", "https://www.linkedin.com/jobs/view/4365449072")</f>
        <v/>
      </c>
      <c r="F44">
        <f>HYPERLINK("https://jobs.ashbyhq.com/nexxen/d3002843-c8a8-48bf-94bd-8e21400cf602/application?utm_source=LinkedinPaid&amp;urlHash=a0h8", "https://jobs.ashbyhq.com/nexxen/d3002843-c8a8-48bf-94bd-8e21400cf602/application?utm_source=LinkedinPaid&amp;urlHash=a0h8")</f>
        <v/>
      </c>
      <c r="G44" t="inlineStr">
        <is>
          <t>Los Angeles, CA</t>
        </is>
      </c>
      <c r="H44" t="inlineStr"/>
      <c r="I44"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5">
      <c r="A45" t="inlineStr">
        <is>
          <t>li-4381642980</t>
        </is>
      </c>
      <c r="B45" t="inlineStr">
        <is>
          <t>Generative AI Engineer</t>
        </is>
      </c>
      <c r="C45" t="inlineStr">
        <is>
          <t>Compunnel Inc.</t>
        </is>
      </c>
      <c r="D45" t="inlineStr">
        <is>
          <t>linkedin</t>
        </is>
      </c>
      <c r="E45">
        <f>HYPERLINK("https://www.linkedin.com/jobs/view/4381642980", "https://www.linkedin.com/jobs/view/4381642980")</f>
        <v/>
      </c>
      <c r="F45" t="inlineStr"/>
      <c r="G45" t="inlineStr">
        <is>
          <t>Dallas, TX</t>
        </is>
      </c>
      <c r="H45" t="inlineStr"/>
      <c r="I45" t="inlineStr">
        <is>
          <t>**Job Title: GenAI Engineer \- W2 only \- We can provide sponsorship.** 
**Duration: Long Term** 
**Location: Westlake, TX \- Hybrid \- 2 weeks in a month onsite** 
**MUST HAVE:** 
**Agentic AI and hands\-on experience orchestrating agents with LangChain, Semantic Kernel, AutoGen, CrewAI, expert python (asyncio, typing, Pydantic, FastAPI, etc.), and experienced in building Retrieval\-Augmented Generation (RAG) systems, implementing vector databases, and integrating LLMs. If they don’t have clear, recent experience doing that, they won’t be a fit.** 
**The Expertise and Skills You Bring** 
* Bachelor’s Degree or equivalent in a technology related field (e.g. Computer Science, Engineering, etc.) required.
* 8\+ years of demonstrable experience in software engineering
* Solid experience working with public cloud and cloud infrastructure
* Cloud platform experience with certifications preferred (AWS or Azure)
* Solid understanding of Generative and Agentic AI concepts
* Hands\-on experience designing and building multi\-agent systems (planner, executor, critic patterns).
* Hands\-on experience orchestrating agents with LangChain, Semantic Kernel, AutoGen, CrewAI, etc.
* Experience implementing reasoning, task decomposition, iterative self\-critique and tool use strategies.
* Experience in designing secure code execution and isolation.
* Ability to perform root\-cause analysis across model, data, and infrastructure layers.
* Expert Python (asyncio, typing, Pydantic, FastAPI, etc.) and familiarity with languages like Java, Go, Javascript, shell, etc.
* Ability to author unit, integration, and end\-to\-end agent tests.
* Experienced in building Retrieval\-Augmented Generation (RAG) systems, implementing vector databases, and integrating LLMs.
* Demonstrated ability to utilize modern monitoring tools (DataDog, Prometheus, Splunk, …)
* Experience managing systems using infrastructure as code tools (CloudFormation, Terraform, ARM etc..)
* Experience building CI\-CD pipelines for DevSecOps functions
* Knowledge of Docker containers and PaaS (such as Cloud Foundry, Kubernetes, OpenShift, Rancher) highly desired.
* Experience engineering/sizing, installing, configuring, and maintaining mission critical applications.
* Strong analytical, technical, problem\-solving and troubleshooting skills
* Passion for learning and experimenting with new technologies and patterns</t>
        </is>
      </c>
    </row>
    <row r="46">
      <c r="A46" t="inlineStr">
        <is>
          <t>li-4303793849</t>
        </is>
      </c>
      <c r="B46" t="inlineStr">
        <is>
          <t>Senior AI Engineer - Professional Services</t>
        </is>
      </c>
      <c r="C46" t="inlineStr">
        <is>
          <t>DataRobot</t>
        </is>
      </c>
      <c r="D46" t="inlineStr">
        <is>
          <t>linkedin</t>
        </is>
      </c>
      <c r="E46">
        <f>HYPERLINK("https://www.linkedin.com/jobs/view/4303793849", "https://www.linkedin.com/jobs/view/4303793849")</f>
        <v/>
      </c>
      <c r="F46" t="inlineStr"/>
      <c r="G46" t="inlineStr">
        <is>
          <t>New York, United States</t>
        </is>
      </c>
      <c r="H46" t="inlineStr"/>
      <c r="I46" t="inlineStr">
        <is>
          <t>**Job Description:**
 DataRobot delivers AI that maximizes impact and minimizes business risk. Our platform and applications integrate into core business processes so teams can develop, deliver, and govern AI at scale. DataRobot empowers practitioners to deliver predictive and generative AI, and enables leaders to secure their AI assets. Organizations worldwide rely on DataRobot for AI that makes sense for their business — today and in the future.
 As an AI Engineer on our Professional Services team, you will be at the forefront of the AI revolution, working directly with our most strategic customers. You'll be a trusted advisor and hands\-on builder, translating complex business challenges into cutting\-edge AI solutions that deliver tangible business value.
 This is a unique opportunity to design, build, and deploy a wide range of applications—from powerful predictive models to sophisticated Generative AI agents and chatbots. If you thrive on solving real\-world problems and want to work with the latest in AI technology, this role is for you.
**This is a fully remote position with no requirement to go into an office on a regular basis. There will be travel requirements associated with this position to visit clients onsite up to 25% \- 50% of the time.**
****Key Responsibilities:****
* Partner with Customers: Collaborate closely with customer stakeholders to understand their business goals, identify high\-impact use cases, and define technical requirements for AI solutions.
* Build \&amp; Deploy AI Solutions: Design, develop, and deploy end\-to\-end AI solutions using the DataRobot platform and open\-source tools. This includes:
* Agentic AI: Developing and deploying agents on DataRobot leveraging common frameworks such as Langgraph, CrewAI, Llama Index
* Generative AI: Building custom GenAI chatbots, Retrieval\-Augmented Generation (RAG) systems.
* Predictive AI: Developing and deploying classic machine learning models for use cases like forecasting, churn prediction, and fraud detection.
* Serve as a Technical Expert: Act as a subject matter expert on the DataRobot platform and modern AI/ML development, guiding customers on best practices for MLOps, model governance, and scaling AI initiatives.
* Deliver Value: Ensure that the solutions you build are robust, scalable, and directly contribute to the customer's business objectives.
* Communicate \&amp; Collaborate: Clearly communicate complex technical concepts and project outcomes to both technical and non\-technical audiences, from data scientists to C\-level executives.
****Knowledge, Skills and Abilities** 
 :**
**AI \&amp; Machine Learning Expertise:**
* Strong proficiency in Python and common data science libraries (e.g., pandas, scikit\-learn, NumPy, etc.).
* Practical experience with Generative AI technologies, including Large Language Models (LLMs), vector databases,
* Solid understanding of the end\-to\-end agentic AI lifecycle from building agents in frameworks like LangGraph or CrewAI, to at scale deployment and monitoring.
**Application Development \&amp; Operations:**
* Demonstrable experience developing and deploying applications, including building REST APIs (e.g., using Flask, FastAPI) to serve ML models and GenAI logic.
* Proficiency with containerization using Docker and experience deploying and managing applications on container orchestration platforms like Kubernetes (K8s).
* Solid understanding of secure application development practices, including authentication/authorization (e.g., OAuth, API keys), secrets management, and securing public\-facing endpoints.
* Customer Focus: Experience in a client\-facing or consulting role with exceptional verbal and written communication skills. You must be comfortable leading technical discussions and presenting to diverse audiences.
* Problem\-Solving Mindset: A deep curiosity and a passion for solving complex, unstructured problems.
****Requisite Education and Experience / Minimum Qualifications:****
* Experience: Approximately 6\-8 years of hands\-on experience in AI Application development, software engineering, machine learning engineering, or a similar role with a proven track record of deploying AI solutions or applications into production.
* Education: A Master’s Degree or Ph.D. in Computer Science, Statistics, Artificial Intelligence, Engineering, or a related quantitative field.
* Cloud Experience: Hands\-on experience with a major cloud platform (AWS, Azure, or GCP).
* DataRobot Experience: Familiarity with the DataRobot AI Platform is a strong plus.
* MLOps Knowledge: Understanding of MLOps principles and tools for model CI/CD, monitoring, and governance.
****Compensation Statement****
 The U.S. annual on\-target earnings (OTE) range for this full\-time position is between $165,000 and $225,000 USD/year. This range represents a combination of annual base pay and targeted commission. Actual offers may be higher or lower than this range based on various factors, including (but not limited to) the candidate’s work location, job\-related skills, experience, and education.
 The talent and dedication of our employees are at the core of DataRobot’s journey to be an iconic company. We strive to attract and retain the best talent by providing competitive pay and benefits with our employees’ well\-being at the core. Here’s what your benefits package may include depending on your location and local legal requirements: Medical, Dental \&amp; Vision Insurance, Flexible Time Off Program, Paid Holidays, Paid Parental Leave, Global Employee Assistance Program (EAP) and more!
**DataRobot Operating Principles:**
* Wow Our Customers
* Set High Standards
* Be Better Than Yesterday
* Be Rigorous
* Assume Positive Intent
* Have the Tough Conversations
* Be Better Together
* Debate, Decide, Commit
* Deliver Results
* Overcommunicate
 Research shows that many women only apply to jobs when they meet 100% of the qualifications while many men apply to jobs when they meet 60%.
 **At DataRobot we encourage ALL candidates, especially women, people of color, LGBTQ\+ identifying people, differently abled, and other people from marginalized groups to apply to our jobs, even if you do not check every box.** 
 We’d love to have a conversation with you and see if you might be a great fit.
 DataRobot is proud to be an Equal Employment Opportunity and Affirmative Action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DataRobot is committed to working with and providing reasonable accommodations to applicants with physical and mental disabilities. Please see the United States Department of Labor’s EEO poster and EEO poster supplement for additional information.
 All applicant data submitted is handled in accordance with our Applicant Privacy Policy.</t>
        </is>
      </c>
    </row>
    <row r="47">
      <c r="A47" t="inlineStr">
        <is>
          <t>li-4365427922</t>
        </is>
      </c>
      <c r="B47" t="inlineStr">
        <is>
          <t>Senior Machine Learning Engineer</t>
        </is>
      </c>
      <c r="C47" t="inlineStr">
        <is>
          <t>Nexxen</t>
        </is>
      </c>
      <c r="D47" t="inlineStr">
        <is>
          <t>linkedin</t>
        </is>
      </c>
      <c r="E47">
        <f>HYPERLINK("https://www.linkedin.com/jobs/view/4365427922", "https://www.linkedin.com/jobs/view/4365427922")</f>
        <v/>
      </c>
      <c r="F47">
        <f>HYPERLINK("https://jobs.ashbyhq.com/nexxen/d3002843-c8a8-48bf-94bd-8e21400cf602/application?utm_source=LinkedinPaid&amp;urlHash=a0h8", "https://jobs.ashbyhq.com/nexxen/d3002843-c8a8-48bf-94bd-8e21400cf602/application?utm_source=LinkedinPaid&amp;urlHash=a0h8")</f>
        <v/>
      </c>
      <c r="G47" t="inlineStr">
        <is>
          <t>Chicago, IL</t>
        </is>
      </c>
      <c r="H47" t="inlineStr"/>
      <c r="I47"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We are a hybrid company where our team works 3 days a week in the NY office and remotely the rest of the week.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8">
      <c r="A48" t="inlineStr">
        <is>
          <t>li-4365444085</t>
        </is>
      </c>
      <c r="B48" t="inlineStr">
        <is>
          <t>Senior Machine Learning Engineer, AdTech</t>
        </is>
      </c>
      <c r="C48" t="inlineStr">
        <is>
          <t>Nexxen</t>
        </is>
      </c>
      <c r="D48" t="inlineStr">
        <is>
          <t>linkedin</t>
        </is>
      </c>
      <c r="E48">
        <f>HYPERLINK("https://www.linkedin.com/jobs/view/4365444085", "https://www.linkedin.com/jobs/view/4365444085")</f>
        <v/>
      </c>
      <c r="F48">
        <f>HYPERLINK("https://jobs.ashbyhq.com/nexxen/e42cb0a4-e44c-4305-970b-6260ad466c6a/application?utm_source=LinkedinPaid&amp;urlHash=C4Dq", "https://jobs.ashbyhq.com/nexxen/e42cb0a4-e44c-4305-970b-6260ad466c6a/application?utm_source=LinkedinPaid&amp;urlHash=C4Dq")</f>
        <v/>
      </c>
      <c r="G48" t="inlineStr">
        <is>
          <t>Baltimore, MD</t>
        </is>
      </c>
      <c r="H48" t="inlineStr"/>
      <c r="I48"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This role can be based in our local office
 **Locations** 
**.** 
 Our team follows a hybrid schedule,
 **working in the office three days** 
 a week and remotely for the rest, or is open to remote work for anyone with senior hands\-on adtech vendor experience.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a leading AdTech Vendor Company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*For information about how we handle your personal information please view our* 
*Applicant and Candidate Privacy Notice*</t>
        </is>
      </c>
    </row>
    <row r="49">
      <c r="A49" t="inlineStr">
        <is>
          <t>li-4381028947</t>
        </is>
      </c>
      <c r="B49" t="inlineStr">
        <is>
          <t>AI Engineer – Data Engineering &amp; Experimentation (Mid/Senior Level)</t>
        </is>
      </c>
      <c r="C49" t="inlineStr">
        <is>
          <t>Jobright.ai</t>
        </is>
      </c>
      <c r="D49" t="inlineStr">
        <is>
          <t>linkedin</t>
        </is>
      </c>
      <c r="E49">
        <f>HYPERLINK("https://www.linkedin.com/jobs/view/4381028947", "https://www.linkedin.com/jobs/view/4381028947")</f>
        <v/>
      </c>
      <c r="F49" t="inlineStr"/>
      <c r="G49" t="inlineStr"/>
      <c r="H49" t="inlineStr"/>
      <c r="I49" t="inlineStr">
        <is>
          <t>This role is part of the Jobright TNT \- the private hiring network connecting top talent with top AI startups like Perplexity, Mercor, Cresta, Suno and 150 more.
 This is not a mass job posting. Only select, high\-signal candidates are invited to Jobright TNT and recommended directly to hiring teams
 Hiring Company: TOKADREAM
 One\-liner: TokaDream is a technology\-driven company focused on leveraging artificial intelligence and machine learning to deliver cutting\-edge products and services.
 Salary: $5,000/mo \- $12,000/mo
 Why Join Us:
 Role Responsibilities
 • Build and maintain scalable, automated ETL pipelines to support LLM\-based systems and broader AI products
 • Design and implement A/B testing frameworks to evaluate model, feature, and agent performance
 • Collaborate with product managers, engineers, and data scientists in agile teams to define requirements and deliver features
 • Participate in agile ceremonies including daily standups, sprint planning, and retrospectives
 • Instrument production systems for performance monitoring, user behavior tracking, and system health
 • Partner with analytics teams to ensure data quality, consistency, and accessibility across the organization
 • Work closely with infrastructure teams to deploy and monitor model endpoints and workflows in production
 • Contribute to documentation, code reviews, and team knowledge sharing to drive engineering excellence
 Qualifications
 Required
 • Bachelor's or Master's degree in Computer Science, Engineering, Data Science, or a related field
 • 3\+ years of professional experience in software engineering, data engineering, or AI/ML\-focused roles
 • Experience designing and maintaining robust ETL processes using tools like Airflow, Spark, dbt, or custom data pipelines
 • Familiarity with A/B testing tools, statistical evaluation metrics, and experimentation platforms
 • Solid understanding of Agile principles and experience working in Scrum or Kanban development teams
 • Strong proficiency in Python and SQL; experience with unit testing, Git, and CI/CD workflows
 • Solid understanding of cloud platforms (AWS, GCP, or Azure) and experience with data lakes, warehousing, and storage systems
 Preferred
 • Background in building or integrating AI/LLM models into production applications
 • Experience working with modern ML infrastructure (e.g., MLFlow, SageMaker, Vertex AI)
 • Exposure to analytics tools (Looker, Tableau, or similar)
 • Knowledge of data privacy and compliance concerns related to AI and user data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50">
      <c r="A50" t="inlineStr">
        <is>
          <t>li-4380350732</t>
        </is>
      </c>
      <c r="B50" t="inlineStr">
        <is>
          <t>AI Engineer</t>
        </is>
      </c>
      <c r="C50" t="inlineStr">
        <is>
          <t>Underdog.io -Apply to top tech jobs in 60 seconds. A place where companies apply to you</t>
        </is>
      </c>
      <c r="D50" t="inlineStr">
        <is>
          <t>linkedin</t>
        </is>
      </c>
      <c r="E50">
        <f>HYPERLINK("https://www.linkedin.com/jobs/view/4380350732", "https://www.linkedin.com/jobs/view/4380350732")</f>
        <v/>
      </c>
      <c r="F50" t="inlineStr"/>
      <c r="G50" t="inlineStr"/>
      <c r="H50" t="inlineStr"/>
      <c r="I50"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Huggingface
* **Infra** 
 : AWS/Azure, Kubernetes, Docker, Redis
* **Observability** 
 : LLM telemetry, cost optimization
**Who You Are** 
* 5\+ years in software engineering, including
 **2\+ years shipping production AI/ML systems** 
 (not just prototypes).
* **Proven expertise** 
 in:
* LLM integration (RAG, agentic)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51">
      <c r="A51" t="inlineStr">
        <is>
          <t>li-4362534843</t>
        </is>
      </c>
      <c r="B51" t="inlineStr">
        <is>
          <t>Lead Machine Learning Engineer, Ad Platforms</t>
        </is>
      </c>
      <c r="C51" t="inlineStr">
        <is>
          <t>The Walt Disney Company</t>
        </is>
      </c>
      <c r="D51" t="inlineStr">
        <is>
          <t>linkedin</t>
        </is>
      </c>
      <c r="E51">
        <f>HYPERLINK("https://www.linkedin.com/jobs/view/4362534843", "https://www.linkedin.com/jobs/view/4362534843")</f>
        <v/>
      </c>
      <c r="F51">
        <f>HYPERLINK("https://www.disneycareers.com/job/-/-/391/90832069632?source=LINKEDIN_JOB_SLOTS&amp;urlHash=AIpn", "https://www.disneycareers.com/job/-/-/391/90832069632?source=LINKEDIN_JOB_SLOTS&amp;urlHash=AIpn")</f>
        <v/>
      </c>
      <c r="G51" t="inlineStr">
        <is>
          <t>Santa Monica, CA</t>
        </is>
      </c>
      <c r="H51" t="inlineStr"/>
      <c r="I51"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Lead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Minimum 7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Databricks,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Experience in digital video advertising or digital marketing domain.
* Experience with forecasting models.
**Required Education**
 Bachelor's (MS or PhD preferred) in Computer Science, Software Engineering, or a related field
**Location** 
 : Seattle / Santa Monica
 \#DISNEYTECH
 The hiring range for this position in Santa Monica, CA is $171,600 to $230,100 per year and in Seattle is $179,700 to $241,000\.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52">
      <c r="A52" t="inlineStr">
        <is>
          <t>li-4341186539</t>
        </is>
      </c>
      <c r="B52" t="inlineStr">
        <is>
          <t>AI &amp; Machine Learning Engineering Consultant - Senior - Consulting - Location OPEN</t>
        </is>
      </c>
      <c r="C52" t="inlineStr">
        <is>
          <t>EY</t>
        </is>
      </c>
      <c r="D52" t="inlineStr">
        <is>
          <t>linkedin</t>
        </is>
      </c>
      <c r="E52">
        <f>HYPERLINK("https://www.linkedin.com/jobs/view/4341186539", "https://www.linkedin.com/jobs/view/4341186539")</f>
        <v/>
      </c>
      <c r="F52" t="inlineStr"/>
      <c r="G52" t="inlineStr">
        <is>
          <t>Boston, MA</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li-4381039376</t>
        </is>
      </c>
      <c r="B53" t="inlineStr">
        <is>
          <t>Founding AI Engineer</t>
        </is>
      </c>
      <c r="C53" t="inlineStr">
        <is>
          <t>Jobright.ai</t>
        </is>
      </c>
      <c r="D53" t="inlineStr">
        <is>
          <t>linkedin</t>
        </is>
      </c>
      <c r="E53">
        <f>HYPERLINK("https://www.linkedin.com/jobs/view/4381039376", "https://www.linkedin.com/jobs/view/4381039376")</f>
        <v/>
      </c>
      <c r="F53" t="inlineStr"/>
      <c r="G53" t="inlineStr">
        <is>
          <t>San Mateo, CA</t>
        </is>
      </c>
      <c r="H53" t="inlineStr"/>
      <c r="I53" t="inlineStr">
        <is>
          <t>This role is part of the
 **Jobright TNT** 
 \- the private hiring network connecting top talent with top AI startups like
 **Perplexity, Mercor, Cresta, Suno and 150 more.** 
 This is
 **not a mass job posting** 
 . Only select, high\-signal candidates are invited to Jobright TNT and recommended directly to hiring teams
**Hiring Company:** 
 Shiplight AI
**One\-liner:** 
 Shiplight brings autonomous AI agents to QA so every company can ship at lightspeed with confidence, backed by top investors like Pear VC.
**Salary:** 
 $130K/yr \- $200K/yr
 Why Join Us:
**Role Responsibilities** 
* Build core systems powering next\-generation intelligent agent capabilities
* Rapidly prototype, iterate, and ship production features used by enterprise customers
* Work directly with founders to shape product, architecture, and culture
* Collaborate with customers to deeply understand workflows and pain points
* Explore emerging techniques in reasoning, orchestration, and multi\-agent behavior
* Operate with extreme autonomy — owning projects end\-to\-end from idea → value
**Qualifications** 
 Required
* 1–7 years of strong engineering experience
* Fast learner who thrives in ambiguity and loves figuring things out
* Obsessed with customers — eager to talk to users and ship solutions they rely on
* Hands\-on builder comfortable moving from prototype → production quickly
* Strong fundamentals across Python, TypeScript, backend systems, or infra
* Great team player who enjoys collaborating in a high\-velocity environment
 Preferred
* Startup experience is strongly preferred
 How can I join Jobright TNT:
 If this is your first time applying to a Jobright TNT role, the process works as follows:
 1\. Apply to your first Jobright TNT role
 2\. We review your background to determine if you meet the TNT quality bar
 3\. If qualified, your application is directly recommended to the employer
 4\. Once accepted into TNT, you may be:
 \- Invited to apply for other exclusive TNT\-only roles
 \- Invited to private, invite\-only hiring events with top startups
 You will be notified of your TNT selection result.
 PS: All Jobright TNT roles are 100% real, directly hired by top AI startups we partner with, and come with priority review and higher response rates than the normal application queue.</t>
        </is>
      </c>
    </row>
    <row r="54">
      <c r="A54" t="inlineStr">
        <is>
          <t>li-4340946608</t>
        </is>
      </c>
      <c r="B54" t="inlineStr">
        <is>
          <t>AI &amp; Machine Learning Engineering Consultant - Senior - Consulting - Location OPEN</t>
        </is>
      </c>
      <c r="C54" t="inlineStr">
        <is>
          <t>EY</t>
        </is>
      </c>
      <c r="D54" t="inlineStr">
        <is>
          <t>linkedin</t>
        </is>
      </c>
      <c r="E54">
        <f>HYPERLINK("https://www.linkedin.com/jobs/view/4340946608", "https://www.linkedin.com/jobs/view/4340946608")</f>
        <v/>
      </c>
      <c r="F54" t="inlineStr"/>
      <c r="G54" t="inlineStr">
        <is>
          <t>Boca Raton, FL</t>
        </is>
      </c>
      <c r="H54" t="inlineStr"/>
      <c r="I5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5">
      <c r="A55" t="inlineStr">
        <is>
          <t>li-4372209785</t>
        </is>
      </c>
      <c r="B55" t="inlineStr">
        <is>
          <t>Lead Applied AI Engineer</t>
        </is>
      </c>
      <c r="C55" t="inlineStr">
        <is>
          <t>Material Bank®</t>
        </is>
      </c>
      <c r="D55" t="inlineStr">
        <is>
          <t>linkedin</t>
        </is>
      </c>
      <c r="E55">
        <f>HYPERLINK("https://www.linkedin.com/jobs/view/4372209785", "https://www.linkedin.com/jobs/view/4372209785")</f>
        <v/>
      </c>
      <c r="F55">
        <f>HYPERLINK("https://boards.greenhouse.io/materialbank/jobs/7630617003?gh_jid=7630617003&amp;gh_src=f71ad9f33us&amp;urlHash=DENW", "https://boards.greenhouse.io/materialbank/jobs/7630617003?gh_jid=7630617003&amp;gh_src=f71ad9f33us&amp;urlHash=DENW")</f>
        <v/>
      </c>
      <c r="G55" t="inlineStr">
        <is>
          <t>Boca Raton, FL</t>
        </is>
      </c>
      <c r="H55" t="inlineStr"/>
      <c r="I55"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 search, sample, and specify materials.
 As an
 **Applied AI Engineer,** 
 you will lead the design, build, and deployment of AI workflows across Material Bank. You will be responsible for creating innovative, scalable, and high\-performing AI systems that improve internal efficiency while strengthening the core mechanics of how we operate. Your work will span two major domains (1\) internal AI enablement \- automating and optimizing internal workflows (e.g. project tracking, reporting, etc.) and (2\) business\-embedded AI \- enhancing the systems and workflows that drive revenue and growth (e.g. sales prospecting, data enrichment, user support tools, etc.)
 This role requires deep cross\-functional collaboration. You will partner with technical teams (Engineering, Data) and non\-technical stakeholders (Sales, Operations, Marketing, and Executive Leadership) to identify high\-impact opportunities and translate business needs into practical, production\-ready AI solutions. You must be equally comfortable architecting systems with engineers and communicating AI capabilities, trade\-offs, and ROI to senior leaders.
 You will prioritize initiatives based on true organizational value, balancing speed, feasibility, scalability, and long\-term impact, and educate the executive team on where AI can create meaningful advantage and where focus matters most. This role requires a deep passion for applied AI, along with demonstrated experience deploying AI solutions in production and embedding them into operational and revenue\-driving workflows. AI will be foundational to how Material Bank scales, and you will help architect that future.
 This hybrid role is based in our Boca Raton headquarters, with three days per week onsite, partnering closely with our COO to drive AI initiatives.
**What you’ll do:**
* Design, build, and deploy end\-to\-end AI workflows from concept through production across internal and revenue\-driving functions.
* Identify and prioritize high\-impact AI opportunities that improve efficiency, decision\-making, and organizational velocity.
* Embed AI into core business processes, including sales prospecting, brand vetting, material classification, data enrichment, and user support tools.
* Architect scalable solutions leveraging LLMs, embeddings, agent frameworks, automation tools, and modern data infrastructure.
* Partner cross\-functionally with Engineering, Data, Sales, Marketing, Operations, and Executive Leadership to translate business needs into production\-ready AI systems.
* Educate and advise leadership on AI capabilities, trade\-offs, prioritization, and ROI to ensure focus on initiatives that drive the greatest business value.
* Continuously evaluate emerging AI technologies and ensure all implementations are built on clean, secure, and scalable data foundations.
**What you’ll bring:**
* 5\+ years of engineering experience, with demonstrated success building and deploying production\-grade AI/ML systems.
* Deep hands\-on experience with LLMs, embeddings, RAG architectures, and/or agent\-based frameworks.
* Strong programming proficiency in Python and/or TypeScript/JavaScript (additional languages a plus).
* Experience designing scalable data pipelines and working with SQL/NoSQL databases and modern data infrastructure.
* Proven ability to translate ambiguous business problems into practical, high\-impact technical solutions.
* Experience collaborating across technical and non\-technical teams, with strong communication skills at both operator and executive levels.
* Strong product and prioritization instincts, with a focus on measurable business impact and ROI.
* Passion for applied AI and a track record of integrating AI into operational and revenue\-driving workflows.
***What you’ll get from us:***
* Our people: We are a growth\-driven team that values efficiency, builds smart automation, operates in small empowered teams, and moves quickly from idea to execution.
* Relaxation and Celebrations: Flexible PTO, Sick Days, Paid National Holidays, and even more (ask us about this when we connect).
* Health Benefits: We contribute to your medical, dental, vision and short\-term/long\-term disability plans and have a strong employee assistance program.
* Plan for your Retirement: 401(k) eligible after your first 90 day's employed!
* Giving Back: We sponsor multiple events throughout the year to help out our communities.
* Growth: We’ll help you take your career to the next level. We want you to be creative and take initiative which will allow you to grow and create within the company. Most importantly, be the best at what matters!
* Flexible Work Schedules: With business units and employees across the globe, Material Technologies has embraced a hybrid  working model allowing department leaders to decide on the best approach for their respective teams, whether that be remote, in person, or a little of both.
 Material Bank is proud to be an equal opportunity employer. We value diversity, and all applicants will be considered for employment without attention to race, color, religion, sex, sexual orientation, gender identity, age, national origin, veteran or disability status or other status protected under any applicable federal, state or local law.</t>
        </is>
      </c>
    </row>
    <row r="56">
      <c r="A56" t="inlineStr">
        <is>
          <t>li-4341176479</t>
        </is>
      </c>
      <c r="B56" t="inlineStr">
        <is>
          <t>AI &amp; Machine Learning Engineering Consultant - Senior - Consulting - Location OPEN</t>
        </is>
      </c>
      <c r="C56" t="inlineStr">
        <is>
          <t>EY</t>
        </is>
      </c>
      <c r="D56" t="inlineStr">
        <is>
          <t>linkedin</t>
        </is>
      </c>
      <c r="E56">
        <f>HYPERLINK("https://www.linkedin.com/jobs/view/4341176479", "https://www.linkedin.com/jobs/view/4341176479")</f>
        <v/>
      </c>
      <c r="F56" t="inlineStr"/>
      <c r="G56" t="inlineStr">
        <is>
          <t>Fort Worth, TX</t>
        </is>
      </c>
      <c r="H56" t="inlineStr"/>
      <c r="I5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7">
      <c r="A57" t="inlineStr">
        <is>
          <t>li-4321721237</t>
        </is>
      </c>
      <c r="B57" t="inlineStr">
        <is>
          <t>Fullstack Agentic AI Engineer</t>
        </is>
      </c>
      <c r="C57" t="inlineStr">
        <is>
          <t>Kyndryl</t>
        </is>
      </c>
      <c r="D57" t="inlineStr">
        <is>
          <t>linkedin</t>
        </is>
      </c>
      <c r="E57">
        <f>HYPERLINK("https://www.linkedin.com/jobs/view/4321721237", "https://www.linkedin.com/jobs/view/4321721237")</f>
        <v/>
      </c>
      <c r="F57" t="inlineStr"/>
      <c r="G57" t="inlineStr">
        <is>
          <t>Dallas, TX</t>
        </is>
      </c>
      <c r="H57" t="inlineStr"/>
      <c r="I57" t="inlineStr">
        <is>
          <t>**Who We Are**
 At Kyndryl, we design, build, manage and modernize the mission\-critical technology systems that the world depends on every day. So why work at Kyndryl? We are always moving forward – always pushing ourselves to go further in our efforts to build a more equitable, inclusive world for our employees, our customers and our communities.
**The Role**
 As an Agentic AI Software Engineer at Kyndryl, you’ll take the architect’s vision and turn it into reality building and delivering the code and integrations that power our customer engagements, and next\-gen Agentic AI deployments. This is a hands\-on, highly technical role where you’ll work on enterprise\-grade software platforms that integrate Agentic AI capabilities.
 You’ll thrive in a true builder’s environment, where MVP rollouts happen in weeks, and you’ll have the autonomy to experiment, innovate, and solve complex problems. Expect a mix of technical work, some customer\-facing collaboration and a fast\-paced, iterative setting with evolving requirements.
 What You’ll Do
* Develop and maintain core software components for Agentic AI platforms.
* Implement secure, scalable integrations across cloud\-native environments (AWS, Azure, GCP).
* Collaborate with architects and data engineers to contribute to rapid MVP cycles, from concept to production deployment.
* Work in sprints, manage pull requests
* Work directly with customers as a subject matter expert, delivering bespoke solutions and driving innovation.
 \#AgenticAI
 Your Future at Kyndryl
 Every position at Kyndryl offers a way forward to grow your career. We have opportunities that you won’t find anywhere else, including hands\-on experience, learning opportunities, and the chance to certify in all four major platforms. Whether you want to broaden your knowledge base or narrow your scope and specialize in a specific sector, you can find your opportunity here.
 Kyndryl currently does not require employees to be fully vaccinated against COVID\-19, however, if you are hired to work at a client, customer, or partner location, you may be required to show proof of vaccination to align with their respective COVID\-19 vaccination policies. Those who believe they are eligible may apply for a medical or religious accommodation prior to the start of employment.
**Who You Are**
 You’re good at what you do and possess the required experience to prove it. However, equally as important – you have a growth mindset; keen to drive your own personal and professional development. You are customer\-focused – someone who prioritizes customer success in their work. And finally, you’re open and borderless – naturally inclusive in how you work with others.
**Required Skills And Experience**
* Strong programming skills in Python; experience with Rust, C\+\+, or C\# is a plus.
* Expertise in cloud\-native development, containerization (Docker), and orchestration.
* Familiarity with distributed systems, concurrency, and asynchronous programming.
* Experience with API design, observability, and secure execution environments.
**Preferred Skills And Experience**
* Background in startups or enterprise environments with exposure to multiple projects and technologies.
* Experience in digital transformation initiatives or AI\-native product development.
* Knowledge of Agentic AI concepts and integration strategies.
 Why Join Us
* Work on the next frontier: Agentic AI is new and transformative, be part of defining its enterprise adoption.
* Startup energy and enterprise scale: agile innovation backed by global resources.
* Direct impact: Your code will power Kyndryl’s AI\-native transformation.
 The compensation range for the position in the U.S. is $70,800 to $134,640 based on a full\-time schedule.
 Your actual compensation may vary depending on your geography, job\-related skills and experience. For part time roles, the compensation will be adjusted appropriately. The pay or salary range will not be below any applicable state, city or local minimum wage requirement.
 There is a different applicable compensation range for the following work locations:
 California: $77,880 to $161,520
 Colorado: $70,800 to $134,640
 New York City: $84,960 to $161,520
 Washington: $77,880 to $148,080
 Washington DC: $77,880 to $148,080
 This position will be eligible for Kyndryl’s discretionary annual bonus program, based on performance and subject to the terms of Kyndryl’s applicable plans. You may also receive a comprehensive benefits package which includes medical and dental coverage, disability, retirement benefits, paid leave, and paid time off. Note: If this is a sales commission eligible role, you will be eligible to participate in a sales commission plan in lieu of the annual discretionary bonus program.
 Applications will be accepted on a rolling basis.
**Being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
**Get Referred!**
 If you know someone that works at Kyndryl, when asked ‘How Did You Hear About Us’ during the application process, select ‘Employee Referral’ and enter your contact's Kyndryl email address.</t>
        </is>
      </c>
    </row>
    <row r="58">
      <c r="A58" t="inlineStr">
        <is>
          <t>li-4341176481</t>
        </is>
      </c>
      <c r="B58" t="inlineStr">
        <is>
          <t>AI &amp; Machine Learning Engineering Consultant - Senior - Consulting - Location OPEN</t>
        </is>
      </c>
      <c r="C58" t="inlineStr">
        <is>
          <t>EY</t>
        </is>
      </c>
      <c r="D58" t="inlineStr">
        <is>
          <t>linkedin</t>
        </is>
      </c>
      <c r="E58">
        <f>HYPERLINK("https://www.linkedin.com/jobs/view/4341176481", "https://www.linkedin.com/jobs/view/4341176481")</f>
        <v/>
      </c>
      <c r="F58">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58" t="inlineStr">
        <is>
          <t>Chantilly, VA</t>
        </is>
      </c>
      <c r="H58" t="inlineStr"/>
      <c r="I5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9">
      <c r="A59" t="inlineStr">
        <is>
          <t>li-4341136546</t>
        </is>
      </c>
      <c r="B59" t="inlineStr">
        <is>
          <t>AI &amp; Machine Learning Engineering Consultant - Senior - Consulting - Location OPEN</t>
        </is>
      </c>
      <c r="C59" t="inlineStr">
        <is>
          <t>EY</t>
        </is>
      </c>
      <c r="D59" t="inlineStr">
        <is>
          <t>linkedin</t>
        </is>
      </c>
      <c r="E59">
        <f>HYPERLINK("https://www.linkedin.com/jobs/view/4341136546", "https://www.linkedin.com/jobs/view/4341136546")</f>
        <v/>
      </c>
      <c r="F59">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59" t="inlineStr">
        <is>
          <t>Salt Lake City, UT</t>
        </is>
      </c>
      <c r="H59" t="inlineStr"/>
      <c r="I5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0">
      <c r="A60" t="inlineStr">
        <is>
          <t>li-4340936606</t>
        </is>
      </c>
      <c r="B60" t="inlineStr">
        <is>
          <t>AI &amp; Machine Learning Engineering Consultant - Senior - Consulting - Location OPEN</t>
        </is>
      </c>
      <c r="C60" t="inlineStr">
        <is>
          <t>EY</t>
        </is>
      </c>
      <c r="D60" t="inlineStr">
        <is>
          <t>linkedin</t>
        </is>
      </c>
      <c r="E60">
        <f>HYPERLINK("https://www.linkedin.com/jobs/view/4340936606", "https://www.linkedin.com/jobs/view/4340936606")</f>
        <v/>
      </c>
      <c r="F60" t="inlineStr"/>
      <c r="G60" t="inlineStr">
        <is>
          <t>Atlanta, GA</t>
        </is>
      </c>
      <c r="H60" t="inlineStr"/>
      <c r="I6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1">
      <c r="A61" t="inlineStr">
        <is>
          <t>li-4363017275</t>
        </is>
      </c>
      <c r="B61" t="inlineStr">
        <is>
          <t>Principal Machine Learning Engineer</t>
        </is>
      </c>
      <c r="C61" t="inlineStr">
        <is>
          <t>Workday</t>
        </is>
      </c>
      <c r="D61" t="inlineStr">
        <is>
          <t>linkedin</t>
        </is>
      </c>
      <c r="E61">
        <f>HYPERLINK("https://www.linkedin.com/jobs/view/4363017275", "https://www.linkedin.com/jobs/view/4363017275")</f>
        <v/>
      </c>
      <c r="F61">
        <f>HYPERLINK("https://workday.wd5.myworkdayjobs.com/Workday/job/USA-CA-Pleasanton/Principal-Machine-Learning-Engineer_JR-0104014?source=website_linkedin&amp;urlHash=CYHH", "https://workday.wd5.myworkdayjobs.com/Workday/job/USA-CA-Pleasanton/Principal-Machine-Learning-Engineer_JR-0104014?source=website_linkedin&amp;urlHash=CYHH")</f>
        <v/>
      </c>
      <c r="G61" t="inlineStr">
        <is>
          <t>Pleasanton, CA</t>
        </is>
      </c>
      <c r="H61" t="inlineStr"/>
      <c r="I61" t="inlineStr">
        <is>
          <t>**Your work days are brighter here.**
 We’re obsessed with making hard work pay off, for our people, our customers, and the world around us. As a Fortune 500 company and a leading AI platform for managing people, money, and agents, we’re shaping the future of work so teams can reach their potential and focus on what matters most. The minute you join, you’ll feel it. Not just in the products we build, but in how we show up for each other. Our culture is rooted in integrity, empathy, and shared enthusiasm. We’re in this together, tackling big challenges with bold ideas and genuine care. We look for curious minds and courageous collaborators who bring sun\-drenched optimism and drive. Whether you're building smarter solutions, supporting customers, or creating a space where everyone belongs, you’ll do meaningful work with Workmates who’ve got your back. In return, we’ll give you the trust to take risks, the tools to grow, the skills to develop and the support of a company invested in you for the long haul. So, if you want to inspire a brighter work day for everyone, including yourself, you’ve found a match in Workday, and we hope to be a match for you too.
**About The Team**
 Agent Factory is where Workday’s next chapter gets built. We’re forming small, senior, cross\-functional AI teams that bring together product leaders, machine learning engineers, and full\-stack builders to create intelligent agents used by millions of people every day. This is production\-grade AI—deeply embedded into Workday’s platform—not research experiments or maintenance work. Teams own problems end to end, collaborate tightly across disciplines, and use the right tools to solve real customer challenges at global scale. You’ll work at the intersection of AI, platform architecture, and human workflows, with the autonomy to shape how agents reason, act, and scale responsibly. High trust, high expectations, and real impact. Engineering, but brighter.
**About The Role**
 As a Principal Machine Learning Engineer in Agent Factory, you’ll design and build the core ML systems behind Workday’s next generation of AI agents. Working within a small, senior, cross\-functional pod, you’ll own how models, agent logic, and orchestration layers come together in production—across the full lifecycle from problem framing and data strategy to deployment, monitoring, and continuous improvement. You’ll implement and evolve frameworks for LLM\-powered agents, including RAG pipelines, workflow orchestration, evaluation, and feedback loops, ensuring solutions are scalable, observable, and enterprise\-ready. This role sits at the intersection of ML and platform engineering: partnering closely with software engineers, product managers, and data scientists to integrate agents deeply into the Workday stack. You’ll stay hands\-on with emerging techniques in agentic architectures while applying strong engineering judgment to turn them into systems that are reliable, explainable, and built to operate at global scale.
**About You**
**Basic Qualifications**
* 10\+ years experience as a member of a data science, machine learning engineering, or other relevant software development team building applied machine learning products at scale, including taking products through applied research, design, implementation, production, and production\-based evaluation
* 4\+ years of professional experience in machine learning and deep learning frameworks \&amp; toolkits such as Pytorch, TensorFlow
* 6\+ years of professional experience in building services to host machine learning models in production at scale
* 3\+ years of demonstrated experience working with large language models (LLMs), text generation models, and/or graph neural network models for real\-world use cases
* 6\+ years of proven experience with cloud computing platforms (e.g. AWS, GCP, etc.)
* Proven track record of successfully leading, mentoring, and/or managing ML Engineering teams, taking ownership of development lifecycle and sprint planning; fostering a culture of collaboration, transparency, innovation, and continuous improvement
* Bachelor’s (Master’s or PhD preferred) degree in engineering, computer science, physics, math or equivalent
**Other Qualifications:**
* Stay up to date with advancements in AI, LLMs, RAG, autonomous agents and orchestration frameworks to drive innovation
* Deep understanding of statistical analysis, unsupervised and supervised machine learning algorithms, and natural language processing for information retrieval and/or recommendation system use cases
* Professional experience in independently solving ambiguous, open\-ended problems and technically leading teams
* Excellent interpersonal and communication skills, with the ability to build strong relationships across teams and stakeholders
* Proven track record of successfully leading, mentoring, and/or managing ML Engineering teams, taking ownership of development lifecycle and sprint planning; fostering a culture of collaboration, transparency, innovation, and continuous improvement
**Workday Pay Transparency Statement**
 The annualized base salary ranges for the primary location and any additional locations are listed below. Workday pay ranges vary based on work location. As a part of the total compensation package, this role may be eligible for the Workday Bonus Plan or a role\-specific commission/bonus, as well as annual refresh stock grants. Recruiters can share more detail during the hiring process. Each candidate’s compensation offer will be based on multiple factors including, but not limited to, geography, experience, skills, job duties, and business need, among other things. For more information regarding Workday’s comprehensive benefits in Canada, please click here. For more information regarding Workday’s comprehensive benefits in the US, please click here.
 Primary Location: USA.CA.Pleasanton
 Primary Location Base Pay Range: $228,000 USD \- $342,000 USD
 Additional CAN Location(s) Base Pay Range: $188,000 \- $282,000 CAD
**Our Approach to Flexible Work**
 With Flex Work, we’re combining the best of both worlds: in\-person time and remote. Our approach enables our teams to deepen connections, maintain a strong community, and do their best work. We know that flexibility can take shape in many ways, so rather than a number of required days in\-office each week, we simply
 **spend at least half (50%) of our time each quarter in the office or in the field** 
 with our customers, prospects, and partners (depending on role). This means you'll have the freedom to create a flexible schedule that caters to your business, team, and personal needs, while being intentional to make the most of time spent together. Those in our remote "home office" roles also have the opportunity to come together in our offices for important moments that matter.
 Pursuant to applicable Fair Chance law, Workday will consider for employment qualified applicants with arrest and conviction records.
 Workday is an Equal Opportunity Employer including individuals with disabilities and protected veterans.
 At Workday, we are committed to providing an accessible and inclusive hiring experience where all candidates can fully demonstrate their skills. If you require assistance or an accommodation at any point, please email accommodations@workday.com.
**Are you being referred to one of our roles? If so, ask your connection at Workday about our Employee Referral process!**
 At Workday, we value our candidates’ privacy and data security. Workday will never ask candidates to apply to jobs through websites that are not Workday Careers.
 Please be aware of sites that may ask for you to input your data in connection with a job posting that appears to be from Workday but is not.
 In addition, Workday will never ask candidates to pay a recruiting fee, or pay for consulting or coaching services, in order to apply for a job at Workday.
 ,</t>
        </is>
      </c>
    </row>
    <row r="62">
      <c r="A62" t="inlineStr">
        <is>
          <t>li-4340926605</t>
        </is>
      </c>
      <c r="B62" t="inlineStr">
        <is>
          <t>AI &amp; Machine Learning Engineering Consultant - Senior - Consulting - Location OPEN</t>
        </is>
      </c>
      <c r="C62" t="inlineStr">
        <is>
          <t>EY</t>
        </is>
      </c>
      <c r="D62" t="inlineStr">
        <is>
          <t>linkedin</t>
        </is>
      </c>
      <c r="E62">
        <f>HYPERLINK("https://www.linkedin.com/jobs/view/4340926605", "https://www.linkedin.com/jobs/view/4340926605")</f>
        <v/>
      </c>
      <c r="F62" t="inlineStr"/>
      <c r="G62" t="inlineStr">
        <is>
          <t>San Antonio, TX</t>
        </is>
      </c>
      <c r="H62" t="inlineStr"/>
      <c r="I6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3">
      <c r="A63" t="inlineStr">
        <is>
          <t>li-4340956743</t>
        </is>
      </c>
      <c r="B63" t="inlineStr">
        <is>
          <t>AI &amp; Machine Learning Engineering Consultant - Senior - Consulting - Location OPEN</t>
        </is>
      </c>
      <c r="C63" t="inlineStr">
        <is>
          <t>EY</t>
        </is>
      </c>
      <c r="D63" t="inlineStr">
        <is>
          <t>linkedin</t>
        </is>
      </c>
      <c r="E63">
        <f>HYPERLINK("https://www.linkedin.com/jobs/view/4340956743", "https://www.linkedin.com/jobs/view/4340956743")</f>
        <v/>
      </c>
      <c r="F63">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63" t="inlineStr">
        <is>
          <t>Milwaukee, WI</t>
        </is>
      </c>
      <c r="H63" t="inlineStr"/>
      <c r="I6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4">
      <c r="A64" t="inlineStr">
        <is>
          <t>li-4340946607</t>
        </is>
      </c>
      <c r="B64" t="inlineStr">
        <is>
          <t>AI &amp; Machine Learning Engineering Consultant - Senior - Consulting - Location OPEN</t>
        </is>
      </c>
      <c r="C64" t="inlineStr">
        <is>
          <t>EY</t>
        </is>
      </c>
      <c r="D64" t="inlineStr">
        <is>
          <t>linkedin</t>
        </is>
      </c>
      <c r="E64">
        <f>HYPERLINK("https://www.linkedin.com/jobs/view/4340946607", "https://www.linkedin.com/jobs/view/4340946607")</f>
        <v/>
      </c>
      <c r="F64" t="inlineStr"/>
      <c r="G64" t="inlineStr">
        <is>
          <t>Las Vegas, NV</t>
        </is>
      </c>
      <c r="H64" t="inlineStr"/>
      <c r="I6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65">
      <c r="A65" t="inlineStr">
        <is>
          <t>li-4371563076</t>
        </is>
      </c>
      <c r="B65" t="inlineStr">
        <is>
          <t>Agentic AI Engineer</t>
        </is>
      </c>
      <c r="C65" t="inlineStr">
        <is>
          <t>HTC Global Services</t>
        </is>
      </c>
      <c r="D65" t="inlineStr">
        <is>
          <t>linkedin</t>
        </is>
      </c>
      <c r="E65">
        <f>HYPERLINK("https://www.linkedin.com/jobs/view/4371563076", "https://www.linkedin.com/jobs/view/4371563076")</f>
        <v/>
      </c>
      <c r="F65">
        <f>HYPERLINK("https://www.htcinc.com/job-detail/?jobcode=240624&amp;board=177&amp;board_type=30&amp;urlHash=pEzD", "https://www.htcinc.com/job-detail/?jobcode=240624&amp;board=177&amp;board_type=30&amp;urlHash=pEzD")</f>
        <v/>
      </c>
      <c r="G65" t="inlineStr">
        <is>
          <t>Auburn Hills, MI</t>
        </is>
      </c>
      <c r="H65" t="inlineStr"/>
      <c r="I65" t="inlineStr">
        <is>
          <t>**Job Description**
**Position Summary:**
 We are seeking a highly skilled Senior Agentic AI Engineer to join our team and drive the development of cutting\-edge autonomous AI systems. This role focuses on building sophisticated AI agents that can reason, plan, and execute complex tasks with minimal human intervention.
 As a Senior Agentic AI Engineer, you will design and implement intelligent agent systems using state\-of\-the\-art frameworks and technologies. You'll work at the intersection of large language models, knowledge graphs, and distributed systems to create AI solutions that can autonomously handle complex workflows and decision\-making processes.
**Key Responsibilities** 
* Agent Development \&amp; Architecture\*\*
+ Design and implement multi\-agent systems using LangGraph for complex workflow orchestration
+ Build autonomous AI agents capable of planning, reasoning, and task execution
+ Develop agent communication protocols and coordination mechanisms
+ Create robust error handling and recovery systems for agent workflows
* AI Infrastructure \&amp; Integration\*\*
+ Implement and optimize LangChain pipelines for agent reasoning and tool usage
+ Design and maintain vector database solutions for knowledge retrieval and semantic search
+ Build scalable data ingestion pipelines for structured and unstructured data
+ Integrate Google Cloud AI services including Vertex AI, Gemini, and PaLM models
* Backend Development \&amp; APIs\*\*
+ Develop high\-performance APIs using FastAPI for agent interaction and monitoring
+ Implement real\-time streaming capabilities for agent responses and status updates
+ Build monitoring and observability systems for agent performance tracking
+ Create robust authentication and authorization systems for agent access
* Data \&amp; Knowledge Management\*\*
+ Design and implement RAG (Retrieval\-Augmented Generation) systems
+ Optimize vector embeddings and similarity search algorithms
+ Build knowledge graph integration for enhanced agent reasoning
+ Implement efficient caching and data persistence strategies
**Required Technical Skills** 
* Core AI/ML Frameworks\*\*
+ Expert\-level proficiency with LangGraph for agent workflow orchestration
+ Deep experience with LangChain for LLM application development
+ Hands\-on experience with Google Cloud AI services (Vertex AI, Gemini, PaLM)
+ Strong understanding of prompt engineering and LLM optimization techniques
* Data \&amp; Storage\*\*
+ Proficiency with vector databases (Pinecone, Weaviate, Chroma, or similar)
+ Experience with traditional databases (PostgreSQL, MongoDB)
+ Knowledge of data ingestion frameworks and ETL pipelines
+ Understanding of embedding models and semantic search optimization
* Python Development\*\*
+ Advanced Python programming skills with 10\+ years of experience
+ Expert\-level FastAPI development for building scalable APIs
+ Proficiency with async/await patterns and concurrent programming
+ Experience with Python ML libraries (NumPy, Pandas, scikit\-learn)
+ Knowledge of testing frameworks (pytest, unittest) and CI/CD practices
* Cloud \&amp; Infrastructure\*\*
+ Hands\-on experience with Google Cloud Platform (GCP)
+ Proficiency with containerization (Docker) and orchestration (Kubernetes)
+ Experience with cloud storage solutions and data pipelines
+ Understanding of microservices architecture and distributed systems
**Technical Expertise**
* Experience on Agile methodologies
* Solid understanding of core and modern technologies around Cloud, APIs, Web\-services.
****What Makes HTC A Great Place To Build Your Future****
 HTC Global Services wants you to join our team. Come build new things with us and advance your career. At HTC Global, you’ll collaborate with experts, work alongside clients, and be part of high\-performing teams driving success together. You’ll have long\-term opportunities to grow your career and develop skills in the latest emerging technologies.
 At HTC Global Services, our employees have access to a comprehensive benefits package. Benefits can include Group Health (Medical, Dental, and Vision), Paid Time Off, Paid Holidays, 401(k) matching, Group Life and Disability insurance, Professional Development opportunities, Wellness programs, and a variety of other perks.
 Our success as a company is built on inclusion and diversity. HTC Global Services is committed to providing a workplace free from discrimination and harassment, where every employee is treated with dignity and respect. We celebrate differences and believe that diverse cultures, perspectives, and skills drive innovation and success. HTC is an Equal Opportunity Employer and a proud National Minority Supplier. We seek to empower each individual, fostering an environment where everyone feels valued, included, and respected.</t>
        </is>
      </c>
    </row>
    <row r="66">
      <c r="A66" t="inlineStr">
        <is>
          <t>li-4381010050</t>
        </is>
      </c>
      <c r="B66" t="inlineStr">
        <is>
          <t>Lead AI Engineer</t>
        </is>
      </c>
      <c r="C66" t="inlineStr">
        <is>
          <t>Capital One</t>
        </is>
      </c>
      <c r="D66" t="inlineStr">
        <is>
          <t>linkedin</t>
        </is>
      </c>
      <c r="E66">
        <f>HYPERLINK("https://www.linkedin.com/jobs/view/4381010050", "https://www.linkedin.com/jobs/view/4381010050")</f>
        <v/>
      </c>
      <c r="F66">
        <f>HYPERLINK("https://dsp.prng.co/qIzX0yb&amp;urlHash=05MZ", "https://dsp.prng.co/qIzX0yb&amp;urlHash=05MZ")</f>
        <v/>
      </c>
      <c r="G66" t="inlineStr">
        <is>
          <t>Cambridge, MA</t>
        </is>
      </c>
      <c r="H66" t="inlineStr"/>
      <c r="I66"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7">
      <c r="A67" t="inlineStr">
        <is>
          <t>li-4365329706</t>
        </is>
      </c>
      <c r="B67" t="inlineStr">
        <is>
          <t>Senior AI Engineer (Red Team, LLM, Adversarial Attacks, Prompt Injection, Guardrails, Policy Bypass)</t>
        </is>
      </c>
      <c r="C67" t="inlineStr">
        <is>
          <t>Capital One</t>
        </is>
      </c>
      <c r="D67" t="inlineStr">
        <is>
          <t>linkedin</t>
        </is>
      </c>
      <c r="E67">
        <f>HYPERLINK("https://www.linkedin.com/jobs/view/4365329706", "https://www.linkedin.com/jobs/view/4365329706")</f>
        <v/>
      </c>
      <c r="F67">
        <f>HYPERLINK("https://dsp.prng.co/qEm_aob&amp;urlHash=CrzM", "https://dsp.prng.co/qEm_aob&amp;urlHash=CrzM")</f>
        <v/>
      </c>
      <c r="G67" t="inlineStr">
        <is>
          <t>San Jose, CA</t>
        </is>
      </c>
      <c r="H67" t="inlineStr"/>
      <c r="I6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8">
      <c r="A68" t="inlineStr">
        <is>
          <t>li-4372141157</t>
        </is>
      </c>
      <c r="B68" t="inlineStr">
        <is>
          <t>Senior Agentic AI Engineer | ONSITE | FT LAUDERDALE, FL</t>
        </is>
      </c>
      <c r="C68" t="inlineStr">
        <is>
          <t>Motion Recruitment</t>
        </is>
      </c>
      <c r="D68" t="inlineStr">
        <is>
          <t>linkedin</t>
        </is>
      </c>
      <c r="E68">
        <f>HYPERLINK("https://www.linkedin.com/jobs/view/4372141157", "https://www.linkedin.com/jobs/view/4372141157")</f>
        <v/>
      </c>
      <c r="F68" t="inlineStr"/>
      <c r="G68" t="inlineStr">
        <is>
          <t>Fort Lauderdale, FL</t>
        </is>
      </c>
      <c r="H68" t="inlineStr"/>
      <c r="I68" t="inlineStr">
        <is>
          <t>We are seeking a Senior Agentic AI Engineer to design and deploy production\-grade AI agents powered by large language models (LLMs). You will architect agent workflows using LangChain and LangGraph, build scalable RAG pipelines, and implement robust evaluation, observability, and safety practices. This role requires translating complex requirements into reliable, high\-performing AI systems.
 As a senior contributor, you will drive technical design, establish engineering standards for agent reliability and monitoring, and ensure secure, scalable deployments. The ideal candidate combines deep experience building LLM\-powered applications with strong software engineering fundamentals and a track record of production delivery.
**Location:**
 Onsite 3x a week \- Fort Lauderdale, FL
**Required Skills \&amp; Experience**
* Strong experience with LLMs and RAG architectures
* Proven experience building agentic systems with LangChain and LangGraph
* Knowledge of AI safety, guardrails, and hallucination mitigation
* Experience designing multi\-step workflows, tool integrations, and memory systems
**Desired Skills \&amp; Experience**
* Experience with multi\-agent or autonomous agent architectures
* Fine\-tuning, model adaptation, or model routing strategies
* Experience building real\-time or streaming AI systems
* Master’s degree in Computer Science or a related field
**Compensation**
 Annual performance based bonus
**You Will Receive The Following Benefits**
* Medical Insurance
* Dental Benefits
* Vision Benefits
* Paid Time Off (PTO)
* 401(k)
**Applicants must be currently authorized to work in the US on a full\-time basis now and in the future.**
**Posted By:** 
 Madelynn Britton</t>
        </is>
      </c>
    </row>
    <row r="69">
      <c r="A69" t="inlineStr">
        <is>
          <t>li-4381004445</t>
        </is>
      </c>
      <c r="B69" t="inlineStr">
        <is>
          <t>Lead AI Engineer</t>
        </is>
      </c>
      <c r="C69" t="inlineStr">
        <is>
          <t>Capital One</t>
        </is>
      </c>
      <c r="D69" t="inlineStr">
        <is>
          <t>linkedin</t>
        </is>
      </c>
      <c r="E69">
        <f>HYPERLINK("https://www.linkedin.com/jobs/view/4381004445", "https://www.linkedin.com/jobs/view/4381004445")</f>
        <v/>
      </c>
      <c r="F69" t="inlineStr"/>
      <c r="G69" t="inlineStr">
        <is>
          <t>McLean, VA</t>
        </is>
      </c>
      <c r="H69" t="inlineStr"/>
      <c r="I6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4 years of experience developing AI and ML algorithms or technologies, or a Master's degree in Computer Science, AI, Electrical Engineering, Computer Engineering, or related fields plus at least 2 years of experience developing AI and ML algorithms or technologies
* At least 4 years of experience programming with Python, Go, Scala, or Java
**Preferred Qualifications:**
* 6 years of experience deploying scalable and responsible AI solutions on cloud platforms (e.g. AWS, Google Cloud, Azure, or equivalent private cloud)
* Experience designing,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AI Engineer
 McLean, VA: $197,300 \- $225,100 for Lead AI Engineer
 New York, NY: $215,200 \- $245,600 for Lead AI Engineer
 San Jose, CA: $215,200 \- $245,600 for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70">
      <c r="A70" t="inlineStr">
        <is>
          <t>li-4379305609</t>
        </is>
      </c>
      <c r="B70" t="inlineStr">
        <is>
          <t>Forward Deployed AI Engineer - Focus Capital Markets</t>
        </is>
      </c>
      <c r="C70" t="inlineStr">
        <is>
          <t>Jobs via eFinancialCareers</t>
        </is>
      </c>
      <c r="D70" t="inlineStr">
        <is>
          <t>linkedin</t>
        </is>
      </c>
      <c r="E70">
        <f>HYPERLINK("https://www.linkedin.com/jobs/view/4379305609", "https://www.linkedin.com/jobs/view/4379305609")</f>
        <v/>
      </c>
      <c r="F70">
        <f>HYPERLINK("https://click.appcast.io/t/z9lAwgDUXXry_aN5lJhDdTbp8h5_sT2tcysZ4ULTmyU=&amp;urlHash=0FrQ", "https://click.appcast.io/t/z9lAwgDUXXry_aN5lJhDdTbp8h5_sT2tcysZ4ULTmyU=&amp;urlHash=0FrQ")</f>
        <v/>
      </c>
      <c r="G70" t="inlineStr">
        <is>
          <t>Stamford, CT</t>
        </is>
      </c>
      <c r="H70" t="inlineStr"/>
      <c r="I70" t="inlineStr">
        <is>
          <t>Focus Capital is looking for an up\-and\-coming AI engineer with extensive technology experience to join our partner's hedge fund. The fund is going through a massive AI transformation and we are seeking someone who is both technical and able to collaborate with business stakeholders to partner, roadmap and integrate AI solutions using some of the top LLMs. In this role, you will also formulate your own use cases and partner with vendors (i.e. OpenAI, Google) to implement and finetune AI products that streamline business processes across the entire organization, ranging from front office traders to technology teams.
 In addition to AI and engineering aspects, you will at times act as stakeholder\-facing project manager to determine the goals of each business unit and how they can achieve this through the use large language models.
 You will also act as the first point of contact for troubleshooting any AI partner and application integrations. This includes administering and supporting AI assistants and applications like ChatGPT, Microsoft Copilot, Gemini, among others, as well as provisioning licenses and access across the organization in tandem with the company's security team.
*In this role, you are joining the best of breed trading organization as one of the first AI transformation hires, which will present a lot of new opportunities and longevity within the firm.*
**Minimum Qualifications:**
* 5\+ years of overall technology experience (i.e. engineering, support, infrastructure)
* 2\+ years of experience with Gen AI assistants and LLMS (i.e. ChatGPT, Claude, Gemini, Copliot etc)
* Prior experience integrating AI functions into existing applications.
* Tangible experience working with ETL, relational databases, SQL, NoSQL or MongoDB.
* Python experience
* Desire to work with emerging AI tools
* Prior professional experience with cloud environments (i.e. AWS, GCP, Azure)
* A bachelors or higher in computer science or a related field
* Must have excellent communication skills.</t>
        </is>
      </c>
    </row>
    <row r="71">
      <c r="A71" t="inlineStr">
        <is>
          <t>li-4381027937</t>
        </is>
      </c>
      <c r="B71" t="inlineStr">
        <is>
          <t>AI Engineer</t>
        </is>
      </c>
      <c r="C71" t="inlineStr">
        <is>
          <t>Haystack</t>
        </is>
      </c>
      <c r="D71" t="inlineStr">
        <is>
          <t>linkedin</t>
        </is>
      </c>
      <c r="E71">
        <f>HYPERLINK("https://www.linkedin.com/jobs/view/4381027937", "https://www.linkedin.com/jobs/view/4381027937")</f>
        <v/>
      </c>
      <c r="F71" t="inlineStr"/>
      <c r="G71" t="inlineStr"/>
      <c r="H71" t="inlineStr"/>
      <c r="I71" t="inlineStr">
        <is>
          <t>**AI Software Developer \| Gaithersburg, MD or Eagan, MN \| Hybrid \| $69,550 \- $125,725** 
 We're working with a global aerospace and defense powerhouse that outthinks and outbuilds the status quo on this exciting opportunity. Join a mission\-critical team developing a future\-ready, hybrid cloud data mesh architecture that integrates AI\-enabled capabilities with globally deployed safety\-critical systems.
 This is your chance to move beyond the ordinary and work on the Leidos Common Automation Platform (L\-CAP), an innovative solution driving the next generation of air traffic and homeland security automation. Use your expertise in Java, Python, and microservices to deliver predictable, high\-impact outcomes in a highly regulated Scaled Agile (SAFe) environment.
**The Role** 
 • Design and implement mission\-critical microservices\-based applications using modern software engineering best practices.
 • Collaborate within a Scaled Agile (SAFe) framework, driving technical execution through sprint planning, daily standups, and retrospectives.
 • Build clean, testable, and maintainable code while integrating automation and AI/ML capabilities into data\-driven systems.
 • Work across the full software lifecycle, integrating services with databases, messaging systems like Kafka, and external APIs.
 • Lead performance tuning and troubleshooting efforts while implementing modern automated testing strategies (Unit, Integration, and End\-to\-End).
**What You'll Need** 
 • At least 2\+ years of professional software development experience (or a Master’s degree) with a strong foundation in Computer Science.
 • Proven proficiency in building microservices using modern languages such as Java, Python, or C\+\+ on Linux platforms.
 • Hands\-on experience working in Agile/SAFe environments with exposure to CI/CD pipelines and DevSecOps practices.
 • Familiarity with distributed systems, cloud environments (AWS, Azure, or GCP), and containerization tools like Docker or Kubernetes.
 • U.S. Citizenship and the ability to obtain and maintain a Public Trust security clearance.
**What's On Offer** 
 • Competitive salary range ($69,550 \- $125,725\) with a performance\-driven culture.
 • True hybrid flexibility with a 3\-day onsite / 2\-day remote schedule to balance collaboration and focus.
 • Comprehensive benefits including Health/Wellness programs, Income Protection, and an industry\-leading retirement plan.
 • The opportunity to work on safety\-critical, national\-scale automation platforms that serve millions.
**Apply via Haystack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2026-03-06T17:05:47Z</dcterms:created>
  <dcterms:modified xsi:type="dcterms:W3CDTF">2026-03-06T17:05:47Z</dcterms:modified>
</cp:coreProperties>
</file>