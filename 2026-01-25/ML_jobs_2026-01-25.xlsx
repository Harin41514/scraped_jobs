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in-dbeed4a523485be0</t>
        </is>
      </c>
      <c r="B2" t="inlineStr">
        <is>
          <t>Sr. Applied Scientist, Amazon Ads</t>
        </is>
      </c>
      <c r="C2" t="inlineStr">
        <is>
          <t>Amazon.com</t>
        </is>
      </c>
      <c r="D2" t="inlineStr">
        <is>
          <t>indeed</t>
        </is>
      </c>
      <c r="E2" t="inlineStr"/>
      <c r="F2" t="inlineStr"/>
      <c r="G2" t="inlineStr">
        <is>
          <t>Tukwila, WA,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in-00c228e071df2ff5</t>
        </is>
      </c>
      <c r="B3" t="inlineStr">
        <is>
          <t>Sr. Applied Scientist, Amazon Ads</t>
        </is>
      </c>
      <c r="C3" t="inlineStr">
        <is>
          <t>Amazon.com</t>
        </is>
      </c>
      <c r="D3" t="inlineStr">
        <is>
          <t>indeed</t>
        </is>
      </c>
      <c r="E3" t="inlineStr"/>
      <c r="F3" t="inlineStr"/>
      <c r="G3" t="inlineStr">
        <is>
          <t>Corvallis, OR,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in-122680cc8430822e</t>
        </is>
      </c>
      <c r="B4" t="inlineStr">
        <is>
          <t>Sr. Applied Scientist, Amazon Ads</t>
        </is>
      </c>
      <c r="C4" t="inlineStr">
        <is>
          <t>Amazon.com</t>
        </is>
      </c>
      <c r="D4" t="inlineStr">
        <is>
          <t>indeed</t>
        </is>
      </c>
      <c r="E4" t="inlineStr"/>
      <c r="F4" t="inlineStr"/>
      <c r="G4" t="inlineStr">
        <is>
          <t>Boston, MA,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in-390a2f50df118a70</t>
        </is>
      </c>
      <c r="B5" t="inlineStr">
        <is>
          <t>Principal Applied Scientist, Amazon Special Projects</t>
        </is>
      </c>
      <c r="C5" t="inlineStr">
        <is>
          <t>Amazon.com</t>
        </is>
      </c>
      <c r="D5" t="inlineStr">
        <is>
          <t>indeed</t>
        </is>
      </c>
      <c r="E5" t="inlineStr"/>
      <c r="F5" t="inlineStr"/>
      <c r="G5" t="inlineStr">
        <is>
          <t>Seattle, WA, US</t>
        </is>
      </c>
      <c r="H5" s="2" t="n">
        <v>45982</v>
      </c>
      <c r="I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in-085330f17734a104</t>
        </is>
      </c>
      <c r="B6" t="inlineStr">
        <is>
          <t>Principal Applied Scientist, Amazon Special Projects</t>
        </is>
      </c>
      <c r="C6" t="inlineStr">
        <is>
          <t>Amazon.com</t>
        </is>
      </c>
      <c r="D6" t="inlineStr">
        <is>
          <t>indeed</t>
        </is>
      </c>
      <c r="E6" t="inlineStr"/>
      <c r="F6" t="inlineStr"/>
      <c r="G6" t="inlineStr">
        <is>
          <t>Boston, MA, US</t>
        </is>
      </c>
      <c r="H6" s="2" t="n">
        <v>45982</v>
      </c>
      <c r="I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in-028a84878ba3f56c</t>
        </is>
      </c>
      <c r="B7" t="inlineStr">
        <is>
          <t>Sr. Applied Scientist, AGI Foundations</t>
        </is>
      </c>
      <c r="C7" t="inlineStr">
        <is>
          <t>Amazon.com</t>
        </is>
      </c>
      <c r="D7" t="inlineStr">
        <is>
          <t>indeed</t>
        </is>
      </c>
      <c r="E7" t="inlineStr"/>
      <c r="F7" t="inlineStr"/>
      <c r="G7" t="inlineStr">
        <is>
          <t>Bellevue, WA,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in-f8f5ab5270e60d9a</t>
        </is>
      </c>
      <c r="B8" t="inlineStr">
        <is>
          <t>Sr. Applied Scientist, AGI Foundations</t>
        </is>
      </c>
      <c r="C8" t="inlineStr">
        <is>
          <t>Amazon.com</t>
        </is>
      </c>
      <c r="D8" t="inlineStr">
        <is>
          <t>indeed</t>
        </is>
      </c>
      <c r="E8" t="inlineStr"/>
      <c r="F8" t="inlineStr"/>
      <c r="G8" t="inlineStr">
        <is>
          <t>Boston, MA, US</t>
        </is>
      </c>
      <c r="H8" s="2" t="n">
        <v>45978</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in-385bc11348d84584</t>
        </is>
      </c>
      <c r="B9" t="inlineStr">
        <is>
          <t>Sr. Applied Scientist, AGI Foundations</t>
        </is>
      </c>
      <c r="C9" t="inlineStr">
        <is>
          <t>Amazon.com</t>
        </is>
      </c>
      <c r="D9" t="inlineStr">
        <is>
          <t>indeed</t>
        </is>
      </c>
      <c r="E9" t="inlineStr"/>
      <c r="F9" t="inlineStr"/>
      <c r="G9" t="inlineStr">
        <is>
          <t>New York, NY, US</t>
        </is>
      </c>
      <c r="H9" s="2" t="n">
        <v>45978</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in-f740260dcf82991a</t>
        </is>
      </c>
      <c r="B10" t="inlineStr">
        <is>
          <t>Sr. Applied Scientist, AGI Foundations</t>
        </is>
      </c>
      <c r="C10" t="inlineStr">
        <is>
          <t>Amazon.com</t>
        </is>
      </c>
      <c r="D10" t="inlineStr">
        <is>
          <t>indeed</t>
        </is>
      </c>
      <c r="E10" t="inlineStr"/>
      <c r="F10" t="inlineStr"/>
      <c r="G10" t="inlineStr">
        <is>
          <t>Sunnyvale, CA, US</t>
        </is>
      </c>
      <c r="H10" s="2" t="n">
        <v>45978</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in-1c113a55c421e947</t>
        </is>
      </c>
      <c r="B11" t="inlineStr">
        <is>
          <t>Sr. Applied Scientist, AGI Foundations</t>
        </is>
      </c>
      <c r="C11" t="inlineStr">
        <is>
          <t>Amazon.com</t>
        </is>
      </c>
      <c r="D11" t="inlineStr">
        <is>
          <t>indeed</t>
        </is>
      </c>
      <c r="E11" t="inlineStr"/>
      <c r="F11" t="inlineStr"/>
      <c r="G11" t="inlineStr">
        <is>
          <t>New York, NY,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in-a887f14b07d167c9</t>
        </is>
      </c>
      <c r="B12" t="inlineStr">
        <is>
          <t>Sr. Applied Scientist, AGI Foundations</t>
        </is>
      </c>
      <c r="C12" t="inlineStr">
        <is>
          <t>Amazon.com</t>
        </is>
      </c>
      <c r="D12" t="inlineStr">
        <is>
          <t>indeed</t>
        </is>
      </c>
      <c r="E12" t="inlineStr"/>
      <c r="F12" t="inlineStr"/>
      <c r="G12" t="inlineStr">
        <is>
          <t>Bellevue, WA,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in-a1922eb6dc2b5eec</t>
        </is>
      </c>
      <c r="B13" t="inlineStr">
        <is>
          <t>Sr. Applied Scientist, AGI Foundations</t>
        </is>
      </c>
      <c r="C13" t="inlineStr">
        <is>
          <t>Amazon.com</t>
        </is>
      </c>
      <c r="D13" t="inlineStr">
        <is>
          <t>indeed</t>
        </is>
      </c>
      <c r="E13" t="inlineStr"/>
      <c r="F13" t="inlineStr"/>
      <c r="G13" t="inlineStr">
        <is>
          <t>Boston, MA, US</t>
        </is>
      </c>
      <c r="H13" s="2"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in-51ebee4388493d7a</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in-c3a5b6828db7e972</t>
        </is>
      </c>
      <c r="B15" t="inlineStr">
        <is>
          <t>Applied Scientist II, Prime Video - Personalization and Discovery Science, Personalization and Discovery Science</t>
        </is>
      </c>
      <c r="C15" t="inlineStr">
        <is>
          <t>Amazon.com</t>
        </is>
      </c>
      <c r="D15" t="inlineStr">
        <is>
          <t>indeed</t>
        </is>
      </c>
      <c r="E15" t="inlineStr"/>
      <c r="F15" t="inlineStr"/>
      <c r="G15" t="inlineStr">
        <is>
          <t>Seattle, WA, US</t>
        </is>
      </c>
      <c r="H15" s="2"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in-30161487a29fa392</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2"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in-a0bb4723ef1e95a8</t>
        </is>
      </c>
      <c r="B17" t="inlineStr">
        <is>
          <t>Applied Scientist II, Prime Video - Personalization and Discovery Science</t>
        </is>
      </c>
      <c r="C17" t="inlineStr">
        <is>
          <t>Amazon.com</t>
        </is>
      </c>
      <c r="D17" t="inlineStr">
        <is>
          <t>indeed</t>
        </is>
      </c>
      <c r="E17" t="inlineStr"/>
      <c r="F17" t="inlineStr"/>
      <c r="G17" t="inlineStr">
        <is>
          <t>Seattle, WA, US</t>
        </is>
      </c>
      <c r="H17" s="2" t="n">
        <v>45915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in-9ba09f04d3842a36</t>
        </is>
      </c>
      <c r="B18" t="inlineStr">
        <is>
          <t>Applied Scientist II, Prime Video - Personalization and Discovery Science</t>
        </is>
      </c>
      <c r="C18" t="inlineStr">
        <is>
          <t>Amazon.com</t>
        </is>
      </c>
      <c r="D18" t="inlineStr">
        <is>
          <t>indeed</t>
        </is>
      </c>
      <c r="E18" t="inlineStr"/>
      <c r="F18" t="inlineStr"/>
      <c r="G18" t="inlineStr">
        <is>
          <t>Sunnyvale, CA, US</t>
        </is>
      </c>
      <c r="H18" s="2" t="n">
        <v>45915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in-423b7607a4eaa83e</t>
        </is>
      </c>
      <c r="B19" t="inlineStr">
        <is>
          <t>Applied Scientist II, Prime Video - Personalization and Discovery Science</t>
        </is>
      </c>
      <c r="C19" t="inlineStr">
        <is>
          <t>Amazon.com</t>
        </is>
      </c>
      <c r="D19" t="inlineStr">
        <is>
          <t>indeed</t>
        </is>
      </c>
      <c r="E19" t="inlineStr"/>
      <c r="F19" t="inlineStr"/>
      <c r="G19" t="inlineStr">
        <is>
          <t>New York, NY, US</t>
        </is>
      </c>
      <c r="H19" s="2" t="n">
        <v>45915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in-a403943d45c100c7</t>
        </is>
      </c>
      <c r="B20" t="inlineStr">
        <is>
          <t>Sr. Applied Scientist, Prime Video - Personalization and Discovery Science</t>
        </is>
      </c>
      <c r="C20" t="inlineStr">
        <is>
          <t>Amazon.com</t>
        </is>
      </c>
      <c r="D20" t="inlineStr">
        <is>
          <t>indeed</t>
        </is>
      </c>
      <c r="E20" t="inlineStr"/>
      <c r="F20" t="inlineStr"/>
      <c r="G20" t="inlineStr">
        <is>
          <t>New York, NY, US</t>
        </is>
      </c>
      <c r="H20" s="2" t="n">
        <v>45914</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in-7a5c3b23a43fa68e</t>
        </is>
      </c>
      <c r="B21" t="inlineStr">
        <is>
          <t>Sr. Applied Scientist, Prime Video - Personalization and Discovery Science</t>
        </is>
      </c>
      <c r="C21" t="inlineStr">
        <is>
          <t>Amazon.com</t>
        </is>
      </c>
      <c r="D21" t="inlineStr">
        <is>
          <t>indeed</t>
        </is>
      </c>
      <c r="E21" t="inlineStr"/>
      <c r="F21" t="inlineStr"/>
      <c r="G21" t="inlineStr">
        <is>
          <t>Sunnyvale, CA, US</t>
        </is>
      </c>
      <c r="H21" s="2" t="n">
        <v>45914</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in-821034295eca9e85</t>
        </is>
      </c>
      <c r="B22" t="inlineStr">
        <is>
          <t>Sr. Applied Scientist, Prime Video - Personalization and Discovery Science</t>
        </is>
      </c>
      <c r="C22" t="inlineStr">
        <is>
          <t>Amazon.com</t>
        </is>
      </c>
      <c r="D22" t="inlineStr">
        <is>
          <t>indeed</t>
        </is>
      </c>
      <c r="E22" t="inlineStr"/>
      <c r="F22" t="inlineStr"/>
      <c r="G22" t="inlineStr">
        <is>
          <t>Seattle, WA, US</t>
        </is>
      </c>
      <c r="H22" s="2" t="n">
        <v>45914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in-0d4d8049812bbbc4</t>
        </is>
      </c>
      <c r="B23" t="inlineStr">
        <is>
          <t>Sr. Applied Scientist, Prime Video - Personalization and Discovery Science</t>
        </is>
      </c>
      <c r="C23" t="inlineStr">
        <is>
          <t>Amazon.com</t>
        </is>
      </c>
      <c r="D23" t="inlineStr">
        <is>
          <t>indeed</t>
        </is>
      </c>
      <c r="E23" t="inlineStr"/>
      <c r="F23" t="inlineStr"/>
      <c r="G23" t="inlineStr">
        <is>
          <t>Sunnyvale, CA,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in-99a71c795a925f70</t>
        </is>
      </c>
      <c r="B24" t="inlineStr">
        <is>
          <t>Sr. Applied Scientist,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in-4f77f9957095d5a5</t>
        </is>
      </c>
      <c r="B25" t="inlineStr">
        <is>
          <t>Applied Scientist II, Prime Video - Personalization and Discovery Science</t>
        </is>
      </c>
      <c r="C25" t="inlineStr">
        <is>
          <t>Amazon.com</t>
        </is>
      </c>
      <c r="D25" t="inlineStr">
        <is>
          <t>indeed</t>
        </is>
      </c>
      <c r="E25" t="inlineStr"/>
      <c r="F25" t="inlineStr"/>
      <c r="G25" t="inlineStr">
        <is>
          <t>New York, NY,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in-1952cfbb2cd6d3fe</t>
        </is>
      </c>
      <c r="B26" t="inlineStr">
        <is>
          <t>Sr. Applied Scientist, Prime Video - Personalization and Discovery Science</t>
        </is>
      </c>
      <c r="C26" t="inlineStr">
        <is>
          <t>Amazon.com</t>
        </is>
      </c>
      <c r="D26" t="inlineStr">
        <is>
          <t>indeed</t>
        </is>
      </c>
      <c r="E26" t="inlineStr"/>
      <c r="F26" t="inlineStr"/>
      <c r="G26" t="inlineStr">
        <is>
          <t>Seattle, WA, US</t>
        </is>
      </c>
      <c r="H26" s="2"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in-ffbf96a6c670883a</t>
        </is>
      </c>
      <c r="B27" t="inlineStr">
        <is>
          <t>Applied Scientist II, Prime Video - Personalization and Discovery Science</t>
        </is>
      </c>
      <c r="C27" t="inlineStr">
        <is>
          <t>Amazon.com</t>
        </is>
      </c>
      <c r="D27" t="inlineStr">
        <is>
          <t>indeed</t>
        </is>
      </c>
      <c r="E27" t="inlineStr"/>
      <c r="F27" t="inlineStr"/>
      <c r="G27" t="inlineStr">
        <is>
          <t>Seattle, WA, US</t>
        </is>
      </c>
      <c r="H27" s="2" t="n">
        <v>45881</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in-25b02d3d2462343b</t>
        </is>
      </c>
      <c r="B28" t="inlineStr">
        <is>
          <t>Applied Scientist II, Prime Video - Personalization and Discovery Science</t>
        </is>
      </c>
      <c r="C28" t="inlineStr">
        <is>
          <t>Amazon.com</t>
        </is>
      </c>
      <c r="D28" t="inlineStr">
        <is>
          <t>indeed</t>
        </is>
      </c>
      <c r="E28" t="inlineStr"/>
      <c r="F28" t="inlineStr"/>
      <c r="G28" t="inlineStr">
        <is>
          <t>Sunnyvale, CA,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in-8d0911ff830fc05c</t>
        </is>
      </c>
      <c r="B29" t="inlineStr">
        <is>
          <t>Applied Scientist, Prime Video - Personalization and Discovery Science</t>
        </is>
      </c>
      <c r="C29" t="inlineStr">
        <is>
          <t>Amazon.com</t>
        </is>
      </c>
      <c r="D29" t="inlineStr">
        <is>
          <t>indeed</t>
        </is>
      </c>
      <c r="E29" t="inlineStr"/>
      <c r="F29" t="inlineStr"/>
      <c r="G29" t="inlineStr">
        <is>
          <t>Seattle, WA, US</t>
        </is>
      </c>
      <c r="H29" s="2" t="n">
        <v>45845</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in-6ef091250c91b1e3</t>
        </is>
      </c>
      <c r="B30" t="inlineStr">
        <is>
          <t>Applied Scientist, Prime Video - Personalization and Discovery Science</t>
        </is>
      </c>
      <c r="C30" t="inlineStr">
        <is>
          <t>Amazon.com</t>
        </is>
      </c>
      <c r="D30" t="inlineStr">
        <is>
          <t>indeed</t>
        </is>
      </c>
      <c r="E30" t="inlineStr"/>
      <c r="F30" t="inlineStr"/>
      <c r="G30" t="inlineStr">
        <is>
          <t>Sunnyvale, CA, US</t>
        </is>
      </c>
      <c r="H30" s="2" t="n">
        <v>45845</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in-f35f8561f71b21e5</t>
        </is>
      </c>
      <c r="B31" t="inlineStr">
        <is>
          <t>Applied Scientist, Prime Video - Personalization and Discovery Science</t>
        </is>
      </c>
      <c r="C31" t="inlineStr">
        <is>
          <t>Amazon.com</t>
        </is>
      </c>
      <c r="D31" t="inlineStr">
        <is>
          <t>indeed</t>
        </is>
      </c>
      <c r="E31" t="inlineStr"/>
      <c r="F31" t="inlineStr"/>
      <c r="G31" t="inlineStr">
        <is>
          <t>New York, NY, US</t>
        </is>
      </c>
      <c r="H31" s="2" t="n">
        <v>45845</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in-5eb07ce7315b93fb</t>
        </is>
      </c>
      <c r="B32" t="inlineStr">
        <is>
          <t>Applied Scientist, Amazon Special Projects</t>
        </is>
      </c>
      <c r="C32" t="inlineStr">
        <is>
          <t>Amazon.com</t>
        </is>
      </c>
      <c r="D32" t="inlineStr">
        <is>
          <t>indeed</t>
        </is>
      </c>
      <c r="E32" t="inlineStr"/>
      <c r="F32" t="inlineStr"/>
      <c r="G32" t="inlineStr">
        <is>
          <t>Seattle, WA, US</t>
        </is>
      </c>
      <c r="H32" s="2" t="n">
        <v>46026</v>
      </c>
      <c r="I3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in-54cfc61cd68078d2</t>
        </is>
      </c>
      <c r="B33" t="inlineStr">
        <is>
          <t>Applied Scientist, Amazon Special Projects</t>
        </is>
      </c>
      <c r="C33" t="inlineStr">
        <is>
          <t>Amazon.com</t>
        </is>
      </c>
      <c r="D33" t="inlineStr">
        <is>
          <t>indeed</t>
        </is>
      </c>
      <c r="E33" t="inlineStr"/>
      <c r="F33" t="inlineStr"/>
      <c r="G33" t="inlineStr">
        <is>
          <t>Boston, MA, US</t>
        </is>
      </c>
      <c r="H33" s="2" t="n">
        <v>46026</v>
      </c>
      <c r="I3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in-4c027fc72230a8f0</t>
        </is>
      </c>
      <c r="B34" t="inlineStr">
        <is>
          <t>Senior Applied Scientist, Sponsored Products and Brands, Off-Search</t>
        </is>
      </c>
      <c r="C34" t="inlineStr">
        <is>
          <t>Amazon.com</t>
        </is>
      </c>
      <c r="D34" t="inlineStr">
        <is>
          <t>indeed</t>
        </is>
      </c>
      <c r="E34" t="inlineStr"/>
      <c r="F34" t="inlineStr"/>
      <c r="G34" t="inlineStr">
        <is>
          <t>New York, NY, US</t>
        </is>
      </c>
      <c r="H34" s="2" t="n">
        <v>46017</v>
      </c>
      <c r="I3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in-84d01b5b4bc374a4</t>
        </is>
      </c>
      <c r="B35" t="inlineStr">
        <is>
          <t>Senior Applied Scientist, Sponsored Products and Brands, Off-Search</t>
        </is>
      </c>
      <c r="C35" t="inlineStr">
        <is>
          <t>Amazon.com</t>
        </is>
      </c>
      <c r="D35" t="inlineStr">
        <is>
          <t>indeed</t>
        </is>
      </c>
      <c r="E35" t="inlineStr"/>
      <c r="F35" t="inlineStr"/>
      <c r="G35" t="inlineStr">
        <is>
          <t>Seattle, WA, US</t>
        </is>
      </c>
      <c r="H35" s="2" t="n">
        <v>46017</v>
      </c>
      <c r="I3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in-75a3096ce866b9bf</t>
        </is>
      </c>
      <c r="B36" t="inlineStr">
        <is>
          <t>Sr. Applied Scientist, Amazon Ads</t>
        </is>
      </c>
      <c r="C36" t="inlineStr">
        <is>
          <t>Amazon.com</t>
        </is>
      </c>
      <c r="D36" t="inlineStr">
        <is>
          <t>indeed</t>
        </is>
      </c>
      <c r="E36" t="inlineStr"/>
      <c r="F36" t="inlineStr"/>
      <c r="G36" t="inlineStr">
        <is>
          <t>Seattle, WA,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in-a5d54aad66265f11</t>
        </is>
      </c>
      <c r="B37" t="inlineStr">
        <is>
          <t>Sr. Applied Scientist, Amazon Ads</t>
        </is>
      </c>
      <c r="C37" t="inlineStr">
        <is>
          <t>Amazon.com</t>
        </is>
      </c>
      <c r="D37" t="inlineStr">
        <is>
          <t>indeed</t>
        </is>
      </c>
      <c r="E37" t="inlineStr"/>
      <c r="F37" t="inlineStr"/>
      <c r="G37" t="inlineStr">
        <is>
          <t>Santa Monica,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in-5aef3812a81aea9c</t>
        </is>
      </c>
      <c r="B38" t="inlineStr">
        <is>
          <t>Sr. Applied Scientist, Amazon Ads</t>
        </is>
      </c>
      <c r="C38" t="inlineStr">
        <is>
          <t>Amazon.com</t>
        </is>
      </c>
      <c r="D38" t="inlineStr">
        <is>
          <t>indeed</t>
        </is>
      </c>
      <c r="E38" t="inlineStr"/>
      <c r="F38" t="inlineStr"/>
      <c r="G38" t="inlineStr">
        <is>
          <t>New York, NY,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in-34848068a2066afd</t>
        </is>
      </c>
      <c r="B39" t="inlineStr">
        <is>
          <t>Sr. Applied Scientist, Amazon Ads</t>
        </is>
      </c>
      <c r="C39" t="inlineStr">
        <is>
          <t>Amazon.com</t>
        </is>
      </c>
      <c r="D39" t="inlineStr">
        <is>
          <t>indeed</t>
        </is>
      </c>
      <c r="E39" t="inlineStr"/>
      <c r="F39" t="inlineStr"/>
      <c r="G39" t="inlineStr">
        <is>
          <t>Brooklyn, NY,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in-f140d4930d915ca1</t>
        </is>
      </c>
      <c r="B40" t="inlineStr">
        <is>
          <t>Sr. Applied Scientist, Amazon Ads</t>
        </is>
      </c>
      <c r="C40" t="inlineStr">
        <is>
          <t>Amazon.com</t>
        </is>
      </c>
      <c r="D40" t="inlineStr">
        <is>
          <t>indeed</t>
        </is>
      </c>
      <c r="E40" t="inlineStr"/>
      <c r="F40" t="inlineStr"/>
      <c r="G40" t="inlineStr">
        <is>
          <t>Boulder, CO,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in-e5c37ec907f6cee8</t>
        </is>
      </c>
      <c r="B41" t="inlineStr">
        <is>
          <t>Sr. Applied Scientist, Amazon Ads</t>
        </is>
      </c>
      <c r="C41" t="inlineStr">
        <is>
          <t>Amazon.com</t>
        </is>
      </c>
      <c r="D41" t="inlineStr">
        <is>
          <t>indeed</t>
        </is>
      </c>
      <c r="E41" t="inlineStr"/>
      <c r="F41" t="inlineStr"/>
      <c r="G41" t="inlineStr">
        <is>
          <t>Palo Alto, CA,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in-2723a52276b0340d</t>
        </is>
      </c>
      <c r="B42" t="inlineStr">
        <is>
          <t>Sr. Applied Scientist, Amazon Ads</t>
        </is>
      </c>
      <c r="C42" t="inlineStr">
        <is>
          <t>Amazon.com</t>
        </is>
      </c>
      <c r="D42" t="inlineStr">
        <is>
          <t>indeed</t>
        </is>
      </c>
      <c r="E42" t="inlineStr"/>
      <c r="F42" t="inlineStr"/>
      <c r="G42" t="inlineStr">
        <is>
          <t>Sunnyvale,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in-bdf8f2ca2dbe1b6f</t>
        </is>
      </c>
      <c r="B43" t="inlineStr">
        <is>
          <t>Applied Scientist, ML Compiler</t>
        </is>
      </c>
      <c r="C43" t="inlineStr">
        <is>
          <t>Amazon Web Services</t>
        </is>
      </c>
      <c r="D43" t="inlineStr">
        <is>
          <t>indeed</t>
        </is>
      </c>
      <c r="E43" t="inlineStr"/>
      <c r="F43" t="inlineStr"/>
      <c r="G43" t="inlineStr">
        <is>
          <t>Cupertino, CA, US</t>
        </is>
      </c>
      <c r="H43" s="2" t="n">
        <v>45993</v>
      </c>
      <c r="I4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in-0e5d1ba6bef7f113</t>
        </is>
      </c>
      <c r="B44" t="inlineStr">
        <is>
          <t>Applied Scientist, ML Compiler</t>
        </is>
      </c>
      <c r="C44" t="inlineStr">
        <is>
          <t>Amazon Web Services</t>
        </is>
      </c>
      <c r="D44" t="inlineStr">
        <is>
          <t>indeed</t>
        </is>
      </c>
      <c r="E44" t="inlineStr"/>
      <c r="F44" t="inlineStr"/>
      <c r="G44" t="inlineStr">
        <is>
          <t>Seattle, WA, US</t>
        </is>
      </c>
      <c r="H44" s="2" t="n">
        <v>45993</v>
      </c>
      <c r="I4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in-4e6e6fe4b1a14b8b</t>
        </is>
      </c>
      <c r="B45" t="inlineStr">
        <is>
          <t>Senior Applied Scientist, Locomotion, Amazon Industrial Robotics</t>
        </is>
      </c>
      <c r="C45" t="inlineStr">
        <is>
          <t>Amazon.com</t>
        </is>
      </c>
      <c r="D45" t="inlineStr">
        <is>
          <t>indeed</t>
        </is>
      </c>
      <c r="E45" t="inlineStr"/>
      <c r="F45" t="inlineStr"/>
      <c r="G45" t="inlineStr">
        <is>
          <t>Reading, MA, US</t>
        </is>
      </c>
      <c r="H45" s="2" t="n">
        <v>45992</v>
      </c>
      <c r="I4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in-ca33fb1dad1216f1</t>
        </is>
      </c>
      <c r="B46" t="inlineStr">
        <is>
          <t>Senior Applied Scientist, Locomotion, Amazon Industrial Robotics</t>
        </is>
      </c>
      <c r="C46" t="inlineStr">
        <is>
          <t>Amazon.com</t>
        </is>
      </c>
      <c r="D46" t="inlineStr">
        <is>
          <t>indeed</t>
        </is>
      </c>
      <c r="E46" t="inlineStr"/>
      <c r="F46" t="inlineStr"/>
      <c r="G46" t="inlineStr">
        <is>
          <t>Reading, MA, US</t>
        </is>
      </c>
      <c r="H46" s="2" t="n">
        <v>45992</v>
      </c>
      <c r="I4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in-4d17f72608727349</t>
        </is>
      </c>
      <c r="B47" t="inlineStr">
        <is>
          <t>Sr. Machine Learning Engineer, AGIF | Finetuning</t>
        </is>
      </c>
      <c r="C47" t="inlineStr">
        <is>
          <t>Amazon.com</t>
        </is>
      </c>
      <c r="D47" t="inlineStr">
        <is>
          <t>indeed</t>
        </is>
      </c>
      <c r="E47" t="inlineStr"/>
      <c r="F47" t="inlineStr"/>
      <c r="G47" t="inlineStr">
        <is>
          <t>Sunnyvale, CA, US</t>
        </is>
      </c>
      <c r="H47" s="2" t="n">
        <v>45984</v>
      </c>
      <c r="I4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in-92177ae3f423c222</t>
        </is>
      </c>
      <c r="B48" t="inlineStr">
        <is>
          <t>Sr. Machine Learning Engineer, AGIF | Finetuning</t>
        </is>
      </c>
      <c r="C48" t="inlineStr">
        <is>
          <t>Amazon.com</t>
        </is>
      </c>
      <c r="D48" t="inlineStr">
        <is>
          <t>indeed</t>
        </is>
      </c>
      <c r="E48" t="inlineStr"/>
      <c r="F48" t="inlineStr"/>
      <c r="G48" t="inlineStr">
        <is>
          <t>Bellevue, WA, US</t>
        </is>
      </c>
      <c r="H48" s="2" t="n">
        <v>45984</v>
      </c>
      <c r="I4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in-28acaf6f086aa577</t>
        </is>
      </c>
      <c r="B49" t="inlineStr">
        <is>
          <t>Sr. Machine Learning Engineer, AGIF | Finetuning</t>
        </is>
      </c>
      <c r="C49" t="inlineStr">
        <is>
          <t>Amazon.com</t>
        </is>
      </c>
      <c r="D49" t="inlineStr">
        <is>
          <t>indeed</t>
        </is>
      </c>
      <c r="E49" t="inlineStr"/>
      <c r="F49" t="inlineStr"/>
      <c r="G49" t="inlineStr">
        <is>
          <t>New York, NY, US</t>
        </is>
      </c>
      <c r="H49" s="2" t="n">
        <v>45984</v>
      </c>
      <c r="I4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in-80afe8f2dd257380</t>
        </is>
      </c>
      <c r="B50" t="inlineStr">
        <is>
          <t>Sr. Applied Scientist, SPB Advertiser Guidance</t>
        </is>
      </c>
      <c r="C50" t="inlineStr">
        <is>
          <t>Amazon.com</t>
        </is>
      </c>
      <c r="D50" t="inlineStr">
        <is>
          <t>indeed</t>
        </is>
      </c>
      <c r="E50" t="inlineStr"/>
      <c r="F50" t="inlineStr"/>
      <c r="G50" t="inlineStr">
        <is>
          <t>Seattle, WA, US</t>
        </is>
      </c>
      <c r="H50" s="2" t="n">
        <v>45981</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in-3c0ef4c20ba9c982</t>
        </is>
      </c>
      <c r="B51" t="inlineStr">
        <is>
          <t>Sr. Applied Scientist, SPB Advertiser Guidance</t>
        </is>
      </c>
      <c r="C51" t="inlineStr">
        <is>
          <t>Amazon.com</t>
        </is>
      </c>
      <c r="D51" t="inlineStr">
        <is>
          <t>indeed</t>
        </is>
      </c>
      <c r="E51" t="inlineStr"/>
      <c r="F51" t="inlineStr"/>
      <c r="G51" t="inlineStr">
        <is>
          <t>New York, NY, US</t>
        </is>
      </c>
      <c r="H51" s="2" t="n">
        <v>45981</v>
      </c>
      <c r="I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in-92a884f933ed62a3</t>
        </is>
      </c>
      <c r="B52" t="inlineStr">
        <is>
          <t>Sr. Applied Scientist, SPB Advertiser Guidance</t>
        </is>
      </c>
      <c r="C52" t="inlineStr">
        <is>
          <t>Amazon.com</t>
        </is>
      </c>
      <c r="D52" t="inlineStr">
        <is>
          <t>indeed</t>
        </is>
      </c>
      <c r="E52" t="inlineStr"/>
      <c r="F52" t="inlineStr"/>
      <c r="G52" t="inlineStr">
        <is>
          <t>Palo Alto, CA, US</t>
        </is>
      </c>
      <c r="H52" s="2" t="n">
        <v>45981</v>
      </c>
      <c r="I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in-c7c8e606335f8a24</t>
        </is>
      </c>
      <c r="B53" t="inlineStr">
        <is>
          <t>Senior Applied Scientist, Artificial General Intelligence</t>
        </is>
      </c>
      <c r="C53" t="inlineStr">
        <is>
          <t>Amazon.com</t>
        </is>
      </c>
      <c r="D53" t="inlineStr">
        <is>
          <t>indeed</t>
        </is>
      </c>
      <c r="E53" t="inlineStr"/>
      <c r="F53" t="inlineStr"/>
      <c r="G53" t="inlineStr">
        <is>
          <t>Seattle, WA,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in-de0880d23d0206b5</t>
        </is>
      </c>
      <c r="B54" t="inlineStr">
        <is>
          <t>Senior Applied Scientist, Artificial General Intelligence</t>
        </is>
      </c>
      <c r="C54" t="inlineStr">
        <is>
          <t>Amazon.com</t>
        </is>
      </c>
      <c r="D54" t="inlineStr">
        <is>
          <t>indeed</t>
        </is>
      </c>
      <c r="E54" t="inlineStr"/>
      <c r="F54" t="inlineStr"/>
      <c r="G54" t="inlineStr">
        <is>
          <t>Boston, MA, US</t>
        </is>
      </c>
      <c r="H54" s="2" t="n">
        <v>45980</v>
      </c>
      <c r="I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in-35ebee7cc37eaff8</t>
        </is>
      </c>
      <c r="B55" t="inlineStr">
        <is>
          <t>Senior Applied Scientist, Artificial General Intelligence</t>
        </is>
      </c>
      <c r="C55" t="inlineStr">
        <is>
          <t>Amazon.com</t>
        </is>
      </c>
      <c r="D55" t="inlineStr">
        <is>
          <t>indeed</t>
        </is>
      </c>
      <c r="E55" t="inlineStr"/>
      <c r="F55" t="inlineStr"/>
      <c r="G55" t="inlineStr">
        <is>
          <t>New York, NY,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in-8adc6bb41f1eae40</t>
        </is>
      </c>
      <c r="B56" t="inlineStr">
        <is>
          <t>Senior Applied Scientist, Artificial General Intelligence</t>
        </is>
      </c>
      <c r="C56" t="inlineStr">
        <is>
          <t>Amazon.com</t>
        </is>
      </c>
      <c r="D56" t="inlineStr">
        <is>
          <t>indeed</t>
        </is>
      </c>
      <c r="E56" t="inlineStr"/>
      <c r="F56" t="inlineStr"/>
      <c r="G56" t="inlineStr">
        <is>
          <t>Sunnyvale, CA, US</t>
        </is>
      </c>
      <c r="H56" s="2" t="n">
        <v>45980</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in-99b959e1b6ad8c58</t>
        </is>
      </c>
      <c r="B57" t="inlineStr">
        <is>
          <t>Applied Scientist II, SPB Advertiser Guidance</t>
        </is>
      </c>
      <c r="C57" t="inlineStr">
        <is>
          <t>Amazon.com</t>
        </is>
      </c>
      <c r="D57" t="inlineStr">
        <is>
          <t>indeed</t>
        </is>
      </c>
      <c r="E57" t="inlineStr"/>
      <c r="F57" t="inlineStr"/>
      <c r="G57" t="inlineStr">
        <is>
          <t>Seattle, WA, US</t>
        </is>
      </c>
      <c r="H57" s="2" t="n">
        <v>45980</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in-38dc0988876b562b</t>
        </is>
      </c>
      <c r="B58" t="inlineStr">
        <is>
          <t>Applied Scientist II, SPB Advertiser Guidance</t>
        </is>
      </c>
      <c r="C58" t="inlineStr">
        <is>
          <t>Amazon.com</t>
        </is>
      </c>
      <c r="D58" t="inlineStr">
        <is>
          <t>indeed</t>
        </is>
      </c>
      <c r="E58" t="inlineStr"/>
      <c r="F58" t="inlineStr"/>
      <c r="G58" t="inlineStr">
        <is>
          <t>New York, NY, US</t>
        </is>
      </c>
      <c r="H58" s="2" t="n">
        <v>45980</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in-1d418191847ce96c</t>
        </is>
      </c>
      <c r="B59" t="inlineStr">
        <is>
          <t>Applied Scientist II, SPB Advertiser Guidance</t>
        </is>
      </c>
      <c r="C59" t="inlineStr">
        <is>
          <t>Amazon.com</t>
        </is>
      </c>
      <c r="D59" t="inlineStr">
        <is>
          <t>indeed</t>
        </is>
      </c>
      <c r="E59" t="inlineStr"/>
      <c r="F59" t="inlineStr"/>
      <c r="G59" t="inlineStr">
        <is>
          <t>Palo Alto, CA, US</t>
        </is>
      </c>
      <c r="H59" s="2" t="n">
        <v>45980</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in-5360abbc0877814b</t>
        </is>
      </c>
      <c r="B60" t="inlineStr">
        <is>
          <t>Principal Applied Scientist, Sponsored Products and Brands</t>
        </is>
      </c>
      <c r="C60" t="inlineStr">
        <is>
          <t>Amazon.com</t>
        </is>
      </c>
      <c r="D60" t="inlineStr">
        <is>
          <t>indeed</t>
        </is>
      </c>
      <c r="E60" t="inlineStr"/>
      <c r="F60" t="inlineStr"/>
      <c r="G60" t="inlineStr">
        <is>
          <t>New York, NY, US</t>
        </is>
      </c>
      <c r="H60" s="2" t="n">
        <v>45979</v>
      </c>
      <c r="I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in-2b041c4e78538ba5</t>
        </is>
      </c>
      <c r="B61" t="inlineStr">
        <is>
          <t>Principal Applied Scientist, Sponsored Products and Brands</t>
        </is>
      </c>
      <c r="C61" t="inlineStr">
        <is>
          <t>Amazon.com</t>
        </is>
      </c>
      <c r="D61" t="inlineStr">
        <is>
          <t>indeed</t>
        </is>
      </c>
      <c r="E61" t="inlineStr"/>
      <c r="F61" t="inlineStr"/>
      <c r="G61" t="inlineStr">
        <is>
          <t>Seattle, WA, US</t>
        </is>
      </c>
      <c r="H61" s="2" t="n">
        <v>45979</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in-f9716bec2d7b4ec7</t>
        </is>
      </c>
      <c r="B62" t="inlineStr">
        <is>
          <t>Applied Scientist II, Robotics and ML, Amazon Industrial Robotics</t>
        </is>
      </c>
      <c r="C62" t="inlineStr">
        <is>
          <t>Amazon.com</t>
        </is>
      </c>
      <c r="D62" t="inlineStr">
        <is>
          <t>indeed</t>
        </is>
      </c>
      <c r="E62" t="inlineStr"/>
      <c r="F62" t="inlineStr"/>
      <c r="G62" t="inlineStr">
        <is>
          <t>Reading, MA, US</t>
        </is>
      </c>
      <c r="H62" s="2" t="n">
        <v>45975</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in-76d0e7c36e128617</t>
        </is>
      </c>
      <c r="B63" t="inlineStr">
        <is>
          <t>Applied Scientist II, Robotics and ML, Amazon Industrial Robotics</t>
        </is>
      </c>
      <c r="C63" t="inlineStr">
        <is>
          <t>Amazon.com</t>
        </is>
      </c>
      <c r="D63" t="inlineStr">
        <is>
          <t>indeed</t>
        </is>
      </c>
      <c r="E63" t="inlineStr"/>
      <c r="F63" t="inlineStr"/>
      <c r="G63" t="inlineStr">
        <is>
          <t>Reading, MA, US</t>
        </is>
      </c>
      <c r="H63" s="2" t="n">
        <v>45975</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in-62d77c496b9c0f8f</t>
        </is>
      </c>
      <c r="B64" t="inlineStr">
        <is>
          <t>Sr. Applied Scientist, Amazon Industrial Robotics</t>
        </is>
      </c>
      <c r="C64" t="inlineStr">
        <is>
          <t>Amazon.com</t>
        </is>
      </c>
      <c r="D64" t="inlineStr">
        <is>
          <t>indeed</t>
        </is>
      </c>
      <c r="E64" t="inlineStr"/>
      <c r="F64" t="inlineStr"/>
      <c r="G64" t="inlineStr">
        <is>
          <t>Reading, MA, US</t>
        </is>
      </c>
      <c r="H64" s="2" t="n">
        <v>45973</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in-54265fe22a2ffc86</t>
        </is>
      </c>
      <c r="B65" t="inlineStr">
        <is>
          <t>Sr. Applied Scientist, Amazon Industrial Robotics</t>
        </is>
      </c>
      <c r="C65" t="inlineStr">
        <is>
          <t>Amazon.com</t>
        </is>
      </c>
      <c r="D65" t="inlineStr">
        <is>
          <t>indeed</t>
        </is>
      </c>
      <c r="E65" t="inlineStr"/>
      <c r="F65" t="inlineStr"/>
      <c r="G65" t="inlineStr">
        <is>
          <t>Reading, MA, US</t>
        </is>
      </c>
      <c r="H65" s="2" t="n">
        <v>45973</v>
      </c>
      <c r="I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in-fc1293d9dfc5363f</t>
        </is>
      </c>
      <c r="B66" t="inlineStr">
        <is>
          <t>Senior Applied Scientist, Planning and Controls, Amazon Industrial Robotics</t>
        </is>
      </c>
      <c r="C66" t="inlineStr">
        <is>
          <t>Amazon.com</t>
        </is>
      </c>
      <c r="D66" t="inlineStr">
        <is>
          <t>indeed</t>
        </is>
      </c>
      <c r="E66" t="inlineStr"/>
      <c r="F66" t="inlineStr"/>
      <c r="G66" t="inlineStr">
        <is>
          <t>Reading, MA, US</t>
        </is>
      </c>
      <c r="H66" s="2" t="n">
        <v>45972</v>
      </c>
      <c r="I6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in-e8c3503bb2e93c86</t>
        </is>
      </c>
      <c r="B67" t="inlineStr">
        <is>
          <t>Senior Applied Scientist, Planning and Controls, Amazon Industrial Robotics</t>
        </is>
      </c>
      <c r="C67" t="inlineStr">
        <is>
          <t>Amazon.com</t>
        </is>
      </c>
      <c r="D67" t="inlineStr">
        <is>
          <t>indeed</t>
        </is>
      </c>
      <c r="E67" t="inlineStr"/>
      <c r="F67" t="inlineStr"/>
      <c r="G67" t="inlineStr">
        <is>
          <t>Reading, MA, US</t>
        </is>
      </c>
      <c r="H67" s="2" t="n">
        <v>45972</v>
      </c>
      <c r="I6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in-a847661ef9829b35</t>
        </is>
      </c>
      <c r="B68" t="inlineStr">
        <is>
          <t>Principal Applied Scientist, Amazon AGI</t>
        </is>
      </c>
      <c r="C68" t="inlineStr">
        <is>
          <t>Amazon.com</t>
        </is>
      </c>
      <c r="D68" t="inlineStr">
        <is>
          <t>indeed</t>
        </is>
      </c>
      <c r="E68" t="inlineStr"/>
      <c r="F68" t="inlineStr"/>
      <c r="G68" t="inlineStr">
        <is>
          <t>Boston, MA, US</t>
        </is>
      </c>
      <c r="H68" s="2" t="n">
        <v>45964</v>
      </c>
      <c r="I6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in-5bb76ebb9f0a8357</t>
        </is>
      </c>
      <c r="B69" t="inlineStr">
        <is>
          <t>Principal Applied Scientist, Amazon AGI</t>
        </is>
      </c>
      <c r="C69" t="inlineStr">
        <is>
          <t>Amazon.com</t>
        </is>
      </c>
      <c r="D69" t="inlineStr">
        <is>
          <t>indeed</t>
        </is>
      </c>
      <c r="E69" t="inlineStr"/>
      <c r="F69" t="inlineStr"/>
      <c r="G69" t="inlineStr">
        <is>
          <t>San Francisco, CA,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in-7feab6d2925d7858</t>
        </is>
      </c>
      <c r="B70" t="inlineStr">
        <is>
          <t>Principal Applied Scientist, AWS Agentic AI Science</t>
        </is>
      </c>
      <c r="C70" t="inlineStr">
        <is>
          <t>Amazon Web Services</t>
        </is>
      </c>
      <c r="D70" t="inlineStr">
        <is>
          <t>indeed</t>
        </is>
      </c>
      <c r="E70" t="inlineStr"/>
      <c r="F70" t="inlineStr"/>
      <c r="G70" t="inlineStr">
        <is>
          <t>New York, NY, US</t>
        </is>
      </c>
      <c r="H70" s="2" t="n">
        <v>45963</v>
      </c>
      <c r="I7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in-14cf87d4a71e92fd</t>
        </is>
      </c>
      <c r="B71" t="inlineStr">
        <is>
          <t>Principal Applied Scientist, AWS Agentic AI Science</t>
        </is>
      </c>
      <c r="C71" t="inlineStr">
        <is>
          <t>Amazon Web Services</t>
        </is>
      </c>
      <c r="D71" t="inlineStr">
        <is>
          <t>indeed</t>
        </is>
      </c>
      <c r="E71" t="inlineStr"/>
      <c r="F71" t="inlineStr"/>
      <c r="G71" t="inlineStr">
        <is>
          <t>Santa Clara, CA, US</t>
        </is>
      </c>
      <c r="H71" s="2" t="n">
        <v>45963</v>
      </c>
      <c r="I7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in-39b1c25589a2e0aa</t>
        </is>
      </c>
      <c r="B72" t="inlineStr">
        <is>
          <t>Sr. Applied Scientist, Sponsored Product Off-Search</t>
        </is>
      </c>
      <c r="C72" t="inlineStr">
        <is>
          <t>Amazon.com</t>
        </is>
      </c>
      <c r="D72" t="inlineStr">
        <is>
          <t>indeed</t>
        </is>
      </c>
      <c r="E72" t="inlineStr"/>
      <c r="F72" t="inlineStr"/>
      <c r="G72" t="inlineStr">
        <is>
          <t>Seattle, WA, US</t>
        </is>
      </c>
      <c r="H72" s="2" t="n">
        <v>45963</v>
      </c>
      <c r="I7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in-44ffab6083e22b62</t>
        </is>
      </c>
      <c r="B73" t="inlineStr">
        <is>
          <t>Sr. Applied Scientist, Sponsored Product Off-Search</t>
        </is>
      </c>
      <c r="C73" t="inlineStr">
        <is>
          <t>Amazon.com</t>
        </is>
      </c>
      <c r="D73" t="inlineStr">
        <is>
          <t>indeed</t>
        </is>
      </c>
      <c r="E73" t="inlineStr"/>
      <c r="F73" t="inlineStr"/>
      <c r="G73" t="inlineStr">
        <is>
          <t>New York, NY, US</t>
        </is>
      </c>
      <c r="H73" s="2" t="n">
        <v>45963</v>
      </c>
      <c r="I7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in-146c768be76c7482</t>
        </is>
      </c>
      <c r="B74" t="inlineStr">
        <is>
          <t>Applied Scientist, AWS Agentic AI</t>
        </is>
      </c>
      <c r="C74" t="inlineStr">
        <is>
          <t>Amazon Web Services</t>
        </is>
      </c>
      <c r="D74" t="inlineStr">
        <is>
          <t>indeed</t>
        </is>
      </c>
      <c r="E74" t="inlineStr"/>
      <c r="F74" t="inlineStr"/>
      <c r="G74" t="inlineStr">
        <is>
          <t>New York, NY,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in-0772863a93066796</t>
        </is>
      </c>
      <c r="B75" t="inlineStr">
        <is>
          <t>Applied Scientist, AWS Agentic AI</t>
        </is>
      </c>
      <c r="C75" t="inlineStr">
        <is>
          <t>Amazon Web Services</t>
        </is>
      </c>
      <c r="D75" t="inlineStr">
        <is>
          <t>indeed</t>
        </is>
      </c>
      <c r="E75" t="inlineStr"/>
      <c r="F75" t="inlineStr"/>
      <c r="G75" t="inlineStr">
        <is>
          <t>Santa Clara, CA,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in-492d344fab837358</t>
        </is>
      </c>
      <c r="B76" t="inlineStr">
        <is>
          <t>Applied Scientist, AWS Agentic AI</t>
        </is>
      </c>
      <c r="C76" t="inlineStr">
        <is>
          <t>Amazon Web Services</t>
        </is>
      </c>
      <c r="D76" t="inlineStr">
        <is>
          <t>indeed</t>
        </is>
      </c>
      <c r="E76" t="inlineStr"/>
      <c r="F76" t="inlineStr"/>
      <c r="G76" t="inlineStr">
        <is>
          <t>Seattle, WA, US</t>
        </is>
      </c>
      <c r="H76" s="2"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in-719ca1613b44d8d4</t>
        </is>
      </c>
      <c r="B77" t="inlineStr">
        <is>
          <t>Principal Applied Scientist, Advertiser Growth, Amazon Sponsored Products &amp; Brands</t>
        </is>
      </c>
      <c r="C77" t="inlineStr">
        <is>
          <t>Amazon.com</t>
        </is>
      </c>
      <c r="D77" t="inlineStr">
        <is>
          <t>indeed</t>
        </is>
      </c>
      <c r="E77" t="inlineStr"/>
      <c r="F77" t="inlineStr"/>
      <c r="G77" t="inlineStr">
        <is>
          <t>New York, NY,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in-d3e993f7e49891b0</t>
        </is>
      </c>
      <c r="B78" t="inlineStr">
        <is>
          <t>Principal Applied Scientist, Advertiser Growth, Amazon Sponsored Products &amp; Brands</t>
        </is>
      </c>
      <c r="C78" t="inlineStr">
        <is>
          <t>Amazon.com</t>
        </is>
      </c>
      <c r="D78" t="inlineStr">
        <is>
          <t>indeed</t>
        </is>
      </c>
      <c r="E78" t="inlineStr"/>
      <c r="F78" t="inlineStr"/>
      <c r="G78" t="inlineStr">
        <is>
          <t>Palo Alto, CA,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in-624a6f07ddc90893</t>
        </is>
      </c>
      <c r="B79" t="inlineStr">
        <is>
          <t>Principal Applied Scientist, Advertiser Growth, Amazon Sponsored Products &amp; Brands</t>
        </is>
      </c>
      <c r="C79" t="inlineStr">
        <is>
          <t>Amazon.com</t>
        </is>
      </c>
      <c r="D79" t="inlineStr">
        <is>
          <t>indeed</t>
        </is>
      </c>
      <c r="E79" t="inlineStr"/>
      <c r="F79" t="inlineStr"/>
      <c r="G79" t="inlineStr">
        <is>
          <t>Seattle, WA,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in-0fafcd2bdddedd79</t>
        </is>
      </c>
      <c r="B80" t="inlineStr">
        <is>
          <t>Sr. Applied Scientist, SPB Advertiser Guidance</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in-349d8afe62a414aa</t>
        </is>
      </c>
      <c r="B81" t="inlineStr">
        <is>
          <t>Sr. Applied Scientist, SPB Advertiser Guidance</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in-727a607112bcb7de</t>
        </is>
      </c>
      <c r="B82" t="inlineStr">
        <is>
          <t>Applied Scientist</t>
        </is>
      </c>
      <c r="C82" t="inlineStr">
        <is>
          <t>Amazon.com</t>
        </is>
      </c>
      <c r="D82" t="inlineStr">
        <is>
          <t>indeed</t>
        </is>
      </c>
      <c r="E82" t="inlineStr"/>
      <c r="F82" t="inlineStr"/>
      <c r="G82" t="inlineStr">
        <is>
          <t>Palo Alto, CA,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in-31fc28db8f9b9c2c</t>
        </is>
      </c>
      <c r="B83" t="inlineStr">
        <is>
          <t>Sr. Applied Scientist, SPB Advertiser Guidance</t>
        </is>
      </c>
      <c r="C83" t="inlineStr">
        <is>
          <t>Amazon.com</t>
        </is>
      </c>
      <c r="D83" t="inlineStr">
        <is>
          <t>indeed</t>
        </is>
      </c>
      <c r="E83" t="inlineStr"/>
      <c r="F83" t="inlineStr"/>
      <c r="G83" t="inlineStr">
        <is>
          <t>Seattle, WA,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in-55e060b57331c0af</t>
        </is>
      </c>
      <c r="B84" t="inlineStr">
        <is>
          <t>Applied Scientist</t>
        </is>
      </c>
      <c r="C84" t="inlineStr">
        <is>
          <t>Amazon.com</t>
        </is>
      </c>
      <c r="D84" t="inlineStr">
        <is>
          <t>indeed</t>
        </is>
      </c>
      <c r="E84" t="inlineStr"/>
      <c r="F84" t="inlineStr"/>
      <c r="G84" t="inlineStr">
        <is>
          <t>New York, NY,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in-3d7a6062ee6804c7</t>
        </is>
      </c>
      <c r="B85" t="inlineStr">
        <is>
          <t>Applied Scientist</t>
        </is>
      </c>
      <c r="C85" t="inlineStr">
        <is>
          <t>Amazon.com</t>
        </is>
      </c>
      <c r="D85" t="inlineStr">
        <is>
          <t>indeed</t>
        </is>
      </c>
      <c r="E85" t="inlineStr"/>
      <c r="F85" t="inlineStr"/>
      <c r="G85" t="inlineStr">
        <is>
          <t>Seattle, WA,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in-d8c780f5da8668e7</t>
        </is>
      </c>
      <c r="B86" t="inlineStr">
        <is>
          <t>Principal Applied Scientist, Amazon - Sponsored Products</t>
        </is>
      </c>
      <c r="C86" t="inlineStr">
        <is>
          <t>Amazon.com</t>
        </is>
      </c>
      <c r="D86" t="inlineStr">
        <is>
          <t>indeed</t>
        </is>
      </c>
      <c r="E86" t="inlineStr"/>
      <c r="F86" t="inlineStr"/>
      <c r="G86" t="inlineStr">
        <is>
          <t>New York, NY, US</t>
        </is>
      </c>
      <c r="H86" s="2" t="n">
        <v>45924</v>
      </c>
      <c r="I8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in-39d77efe57909ca6</t>
        </is>
      </c>
      <c r="B87" t="inlineStr">
        <is>
          <t>Principal Applied Scientist, Amazon - Sponsored Products</t>
        </is>
      </c>
      <c r="C87" t="inlineStr">
        <is>
          <t>Amazon.com</t>
        </is>
      </c>
      <c r="D87" t="inlineStr">
        <is>
          <t>indeed</t>
        </is>
      </c>
      <c r="E87" t="inlineStr"/>
      <c r="F87" t="inlineStr"/>
      <c r="G87" t="inlineStr">
        <is>
          <t>Seattle, WA, US</t>
        </is>
      </c>
      <c r="H87" s="2" t="n">
        <v>45924</v>
      </c>
      <c r="I8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in-e2b3689ed406f92c</t>
        </is>
      </c>
      <c r="B88" t="inlineStr">
        <is>
          <t>Principal Applied Scientist, Amazon - Sponsored Products</t>
        </is>
      </c>
      <c r="C88" t="inlineStr">
        <is>
          <t>Amazon.com</t>
        </is>
      </c>
      <c r="D88" t="inlineStr">
        <is>
          <t>indeed</t>
        </is>
      </c>
      <c r="E88" t="inlineStr"/>
      <c r="F88" t="inlineStr"/>
      <c r="G88" t="inlineStr">
        <is>
          <t>Palo Alto, CA, US</t>
        </is>
      </c>
      <c r="H88" s="2" t="n">
        <v>45924</v>
      </c>
      <c r="I88"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in-bd8da05cb45a1b6a</t>
        </is>
      </c>
      <c r="B89" t="inlineStr">
        <is>
          <t>Senior Applied Scientist, Sponsored Products and Brands</t>
        </is>
      </c>
      <c r="C89" t="inlineStr">
        <is>
          <t>Amazon.com</t>
        </is>
      </c>
      <c r="D89" t="inlineStr">
        <is>
          <t>indeed</t>
        </is>
      </c>
      <c r="E89" t="inlineStr"/>
      <c r="F89" t="inlineStr"/>
      <c r="G89" t="inlineStr">
        <is>
          <t>New York, NY, US</t>
        </is>
      </c>
      <c r="H89" s="2" t="n">
        <v>45922</v>
      </c>
      <c r="I8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in-eb5c64d54ff99037</t>
        </is>
      </c>
      <c r="B90" t="inlineStr">
        <is>
          <t>Senior Applied Scientist, Sponsored Products and Brands</t>
        </is>
      </c>
      <c r="C90" t="inlineStr">
        <is>
          <t>Amazon.com</t>
        </is>
      </c>
      <c r="D90" t="inlineStr">
        <is>
          <t>indeed</t>
        </is>
      </c>
      <c r="E90" t="inlineStr"/>
      <c r="F90" t="inlineStr"/>
      <c r="G90" t="inlineStr">
        <is>
          <t>Seattle, WA, US</t>
        </is>
      </c>
      <c r="H90" s="2" t="n">
        <v>45922</v>
      </c>
      <c r="I9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in-92195daccf551992</t>
        </is>
      </c>
      <c r="B91" t="inlineStr">
        <is>
          <t>Applied Scientist, Workplace Health &amp; Safety</t>
        </is>
      </c>
      <c r="C91" t="inlineStr">
        <is>
          <t>Amazon.com</t>
        </is>
      </c>
      <c r="D91" t="inlineStr">
        <is>
          <t>indeed</t>
        </is>
      </c>
      <c r="E91" t="inlineStr"/>
      <c r="F91" t="inlineStr"/>
      <c r="G91" t="inlineStr">
        <is>
          <t>Bellevue, WA, US</t>
        </is>
      </c>
      <c r="H91" s="2" t="n">
        <v>45917</v>
      </c>
      <c r="I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in-135860f82b07ab5a</t>
        </is>
      </c>
      <c r="B92" t="inlineStr">
        <is>
          <t>Applied Scientist, Workplace Health &amp; Safety</t>
        </is>
      </c>
      <c r="C92" t="inlineStr">
        <is>
          <t>Amazon.com</t>
        </is>
      </c>
      <c r="D92" t="inlineStr">
        <is>
          <t>indeed</t>
        </is>
      </c>
      <c r="E92" t="inlineStr"/>
      <c r="F92" t="inlineStr"/>
      <c r="G92" t="inlineStr">
        <is>
          <t>Nashville, TN, US</t>
        </is>
      </c>
      <c r="H92" s="2" t="n">
        <v>45917</v>
      </c>
      <c r="I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in-486d1660760f840a</t>
        </is>
      </c>
      <c r="B93" t="inlineStr">
        <is>
          <t>Sr. Applied Scientist, Amazon Advertising</t>
        </is>
      </c>
      <c r="C93" t="inlineStr">
        <is>
          <t>Amazon.com</t>
        </is>
      </c>
      <c r="D93" t="inlineStr">
        <is>
          <t>indeed</t>
        </is>
      </c>
      <c r="E93" t="inlineStr"/>
      <c r="F93" t="inlineStr"/>
      <c r="G93" t="inlineStr">
        <is>
          <t>Seattle, WA,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in-d541011c06fba11d</t>
        </is>
      </c>
      <c r="B94" t="inlineStr">
        <is>
          <t>Sr. Applied Scientist, Amazon Advertising</t>
        </is>
      </c>
      <c r="C94" t="inlineStr">
        <is>
          <t>Amazon.com</t>
        </is>
      </c>
      <c r="D94" t="inlineStr">
        <is>
          <t>indeed</t>
        </is>
      </c>
      <c r="E94" t="inlineStr"/>
      <c r="F94" t="inlineStr"/>
      <c r="G94" t="inlineStr">
        <is>
          <t>Austin, TX,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in-39311c4f6d916ff9</t>
        </is>
      </c>
      <c r="B95" t="inlineStr">
        <is>
          <t>Sr. Applied Scientist, Amazon Advertising</t>
        </is>
      </c>
      <c r="C95" t="inlineStr">
        <is>
          <t>Amazon.com</t>
        </is>
      </c>
      <c r="D95" t="inlineStr">
        <is>
          <t>indeed</t>
        </is>
      </c>
      <c r="E95" t="inlineStr"/>
      <c r="F95" t="inlineStr"/>
      <c r="G95" t="inlineStr">
        <is>
          <t>Simi Valley,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in-5be5dcdd5f24e536</t>
        </is>
      </c>
      <c r="B96" t="inlineStr">
        <is>
          <t>Sr. Applied Scientist, Amazon Advertising</t>
        </is>
      </c>
      <c r="C96" t="inlineStr">
        <is>
          <t>Amazon.com</t>
        </is>
      </c>
      <c r="D96" t="inlineStr">
        <is>
          <t>indeed</t>
        </is>
      </c>
      <c r="E96" t="inlineStr"/>
      <c r="F96" t="inlineStr"/>
      <c r="G96" t="inlineStr">
        <is>
          <t>Arlington, VA,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in-2e74a36d896049c4</t>
        </is>
      </c>
      <c r="B97" t="inlineStr">
        <is>
          <t>Sr. Applied Scientist, Amazon Advertising</t>
        </is>
      </c>
      <c r="C97" t="inlineStr">
        <is>
          <t>Amazon.com</t>
        </is>
      </c>
      <c r="D97" t="inlineStr">
        <is>
          <t>indeed</t>
        </is>
      </c>
      <c r="E97" t="inlineStr"/>
      <c r="F97" t="inlineStr"/>
      <c r="G97" t="inlineStr">
        <is>
          <t>Los Angeles,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in-c5e218013fa0e785</t>
        </is>
      </c>
      <c r="B98" t="inlineStr">
        <is>
          <t>Sr. Applied Scientist, Amazon Advertising</t>
        </is>
      </c>
      <c r="C98" t="inlineStr">
        <is>
          <t>Amazon.com</t>
        </is>
      </c>
      <c r="D98" t="inlineStr">
        <is>
          <t>indeed</t>
        </is>
      </c>
      <c r="E98" t="inlineStr"/>
      <c r="F98" t="inlineStr"/>
      <c r="G98" t="inlineStr">
        <is>
          <t>Palo Alto,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in-bf25784b05a531b2</t>
        </is>
      </c>
      <c r="B99" t="inlineStr">
        <is>
          <t>Sr. Applied Scientist, Amazon Advertising</t>
        </is>
      </c>
      <c r="C99" t="inlineStr">
        <is>
          <t>Amazon.com</t>
        </is>
      </c>
      <c r="D99" t="inlineStr">
        <is>
          <t>indeed</t>
        </is>
      </c>
      <c r="E99" t="inlineStr"/>
      <c r="F99" t="inlineStr"/>
      <c r="G99" t="inlineStr">
        <is>
          <t>New York, NY,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in-9b644759bf45faa3</t>
        </is>
      </c>
      <c r="B100" t="inlineStr">
        <is>
          <t>Sr. Applied Scientist, Amazon Advertising</t>
        </is>
      </c>
      <c r="C100" t="inlineStr">
        <is>
          <t>Amazon.com</t>
        </is>
      </c>
      <c r="D100" t="inlineStr">
        <is>
          <t>indeed</t>
        </is>
      </c>
      <c r="E100" t="inlineStr"/>
      <c r="F100" t="inlineStr"/>
      <c r="G100" t="inlineStr">
        <is>
          <t>West Hollywood,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in-4b840d97f04c98f2</t>
        </is>
      </c>
      <c r="B101" t="inlineStr">
        <is>
          <t>Senior Applied Scientist, Artificial General Intelligence</t>
        </is>
      </c>
      <c r="C101" t="inlineStr">
        <is>
          <t>Amazon.com</t>
        </is>
      </c>
      <c r="D101" t="inlineStr">
        <is>
          <t>indeed</t>
        </is>
      </c>
      <c r="E101" t="inlineStr"/>
      <c r="F101" t="inlineStr"/>
      <c r="G101" t="inlineStr">
        <is>
          <t>New York, NY,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in-8fb79d7f246b6516</t>
        </is>
      </c>
      <c r="B102" t="inlineStr">
        <is>
          <t>Senior Applied Scientist, Artificial General Intelligence</t>
        </is>
      </c>
      <c r="C102" t="inlineStr">
        <is>
          <t>Amazon.com</t>
        </is>
      </c>
      <c r="D102" t="inlineStr">
        <is>
          <t>indeed</t>
        </is>
      </c>
      <c r="E102" t="inlineStr"/>
      <c r="F102" t="inlineStr"/>
      <c r="G102" t="inlineStr">
        <is>
          <t>Sunnyvale, CA, US</t>
        </is>
      </c>
      <c r="H102" s="2" t="n">
        <v>45838</v>
      </c>
      <c r="I10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in-c761773a37bbcc15</t>
        </is>
      </c>
      <c r="B103" t="inlineStr">
        <is>
          <t>Senior Applied Scientist, Artificial General Intelligence</t>
        </is>
      </c>
      <c r="C103" t="inlineStr">
        <is>
          <t>Amazon.com</t>
        </is>
      </c>
      <c r="D103" t="inlineStr">
        <is>
          <t>indeed</t>
        </is>
      </c>
      <c r="E103" t="inlineStr"/>
      <c r="F103" t="inlineStr"/>
      <c r="G103" t="inlineStr">
        <is>
          <t>Boston, MA, US</t>
        </is>
      </c>
      <c r="H103" s="2" t="n">
        <v>45838</v>
      </c>
      <c r="I10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in-25baf3a9ec6bebae</t>
        </is>
      </c>
      <c r="B104" t="inlineStr">
        <is>
          <t>Sr. Applied Scientist, Sales AI</t>
        </is>
      </c>
      <c r="C104" t="inlineStr">
        <is>
          <t>Amazon.com</t>
        </is>
      </c>
      <c r="D104" t="inlineStr">
        <is>
          <t>indeed</t>
        </is>
      </c>
      <c r="E104" t="inlineStr"/>
      <c r="F104" t="inlineStr"/>
      <c r="G104" t="inlineStr">
        <is>
          <t>Sunnyvale, CA,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in-7cdf73e4e944ef45</t>
        </is>
      </c>
      <c r="B105" t="inlineStr">
        <is>
          <t>Sr. Applied Scientist, Sales AI</t>
        </is>
      </c>
      <c r="C105" t="inlineStr">
        <is>
          <t>Amazon.com</t>
        </is>
      </c>
      <c r="D105" t="inlineStr">
        <is>
          <t>indeed</t>
        </is>
      </c>
      <c r="E105" t="inlineStr"/>
      <c r="F105" t="inlineStr"/>
      <c r="G105" t="inlineStr">
        <is>
          <t>New York, NY, US</t>
        </is>
      </c>
      <c r="H105" s="2"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in-e514f58d6d8544a8</t>
        </is>
      </c>
      <c r="B106" t="inlineStr">
        <is>
          <t>Sr. Applied Scientist, Sales AI</t>
        </is>
      </c>
      <c r="C106" t="inlineStr">
        <is>
          <t>Amazon.com</t>
        </is>
      </c>
      <c r="D106" t="inlineStr">
        <is>
          <t>indeed</t>
        </is>
      </c>
      <c r="E106" t="inlineStr"/>
      <c r="F106" t="inlineStr"/>
      <c r="G106" t="inlineStr">
        <is>
          <t>Seattle, WA, US</t>
        </is>
      </c>
      <c r="H106" s="2" t="n">
        <v>45830</v>
      </c>
      <c r="I1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in-57b20def8e5d59c2</t>
        </is>
      </c>
      <c r="B107" t="inlineStr">
        <is>
          <t>Sr. Applied Scientist, AGI Info</t>
        </is>
      </c>
      <c r="C107" t="inlineStr">
        <is>
          <t>Amazon.com</t>
        </is>
      </c>
      <c r="D107" t="inlineStr">
        <is>
          <t>indeed</t>
        </is>
      </c>
      <c r="E107" t="inlineStr"/>
      <c r="F107" t="inlineStr"/>
      <c r="G107" t="inlineStr">
        <is>
          <t>Bellevue, WA, US</t>
        </is>
      </c>
      <c r="H107" s="2" t="n">
        <v>45811</v>
      </c>
      <c r="I10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in-f190d139ada9bd3b</t>
        </is>
      </c>
      <c r="B108" t="inlineStr">
        <is>
          <t>Sr. Applied Scientist, AGI Info</t>
        </is>
      </c>
      <c r="C108" t="inlineStr">
        <is>
          <t>Amazon.com</t>
        </is>
      </c>
      <c r="D108" t="inlineStr">
        <is>
          <t>indeed</t>
        </is>
      </c>
      <c r="E108" t="inlineStr"/>
      <c r="F108" t="inlineStr"/>
      <c r="G108" t="inlineStr">
        <is>
          <t>Sunnyvale, CA, US</t>
        </is>
      </c>
      <c r="H108" s="2" t="n">
        <v>45811</v>
      </c>
      <c r="I10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in-ccb4142c1ed01b2f</t>
        </is>
      </c>
      <c r="B109" t="inlineStr">
        <is>
          <t>Principal Applied Scientist, Delivery Foundation Model</t>
        </is>
      </c>
      <c r="C109" t="inlineStr">
        <is>
          <t>Amazon.com</t>
        </is>
      </c>
      <c r="D109" t="inlineStr">
        <is>
          <t>indeed</t>
        </is>
      </c>
      <c r="E109" t="inlineStr"/>
      <c r="F109" t="inlineStr"/>
      <c r="G109" t="inlineStr">
        <is>
          <t>New York, NY,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in-95ed31b96434852e</t>
        </is>
      </c>
      <c r="B110" t="inlineStr">
        <is>
          <t>Principal Applied Scientist, Delivery Foundation Model</t>
        </is>
      </c>
      <c r="C110" t="inlineStr">
        <is>
          <t>Amazon.com</t>
        </is>
      </c>
      <c r="D110" t="inlineStr">
        <is>
          <t>indeed</t>
        </is>
      </c>
      <c r="E110" t="inlineStr"/>
      <c r="F110" t="inlineStr"/>
      <c r="G110" t="inlineStr">
        <is>
          <t>Bellevue, WA,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in-ed2ad38b503148ad</t>
        </is>
      </c>
      <c r="B111" t="inlineStr">
        <is>
          <t>Principal Applied Scientist, Delivery Foundation Model</t>
        </is>
      </c>
      <c r="C111" t="inlineStr">
        <is>
          <t>Amazon.com</t>
        </is>
      </c>
      <c r="D111" t="inlineStr">
        <is>
          <t>indeed</t>
        </is>
      </c>
      <c r="E111" t="inlineStr"/>
      <c r="F111" t="inlineStr"/>
      <c r="G111" t="inlineStr">
        <is>
          <t>Austin, TX,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in-50668401afe56706</t>
        </is>
      </c>
      <c r="B112" t="inlineStr">
        <is>
          <t>Principal Applied Scientist, Delivery Foundation Model</t>
        </is>
      </c>
      <c r="C112" t="inlineStr">
        <is>
          <t>Amazon.com</t>
        </is>
      </c>
      <c r="D112" t="inlineStr">
        <is>
          <t>indeed</t>
        </is>
      </c>
      <c r="E112" t="inlineStr"/>
      <c r="F112" t="inlineStr"/>
      <c r="G112" t="inlineStr">
        <is>
          <t>Santa Clara, CA,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in-10141acd6379d399</t>
        </is>
      </c>
      <c r="B113" t="inlineStr">
        <is>
          <t>Senior Applied Scientist, Delivery Foundation Model</t>
        </is>
      </c>
      <c r="C113" t="inlineStr">
        <is>
          <t>Amazon.com</t>
        </is>
      </c>
      <c r="D113" t="inlineStr">
        <is>
          <t>indeed</t>
        </is>
      </c>
      <c r="E113" t="inlineStr"/>
      <c r="F113" t="inlineStr"/>
      <c r="G113" t="inlineStr">
        <is>
          <t>New York, NY, US</t>
        </is>
      </c>
      <c r="H113" s="2"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in-df5f2742e7695dc3</t>
        </is>
      </c>
      <c r="B114" t="inlineStr">
        <is>
          <t>Senior Applied Scientist, Delivery Foundation Model</t>
        </is>
      </c>
      <c r="C114" t="inlineStr">
        <is>
          <t>Amazon.com</t>
        </is>
      </c>
      <c r="D114" t="inlineStr">
        <is>
          <t>indeed</t>
        </is>
      </c>
      <c r="E114" t="inlineStr"/>
      <c r="F114" t="inlineStr"/>
      <c r="G114" t="inlineStr">
        <is>
          <t>Bellevue, WA, US</t>
        </is>
      </c>
      <c r="H114" s="2"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in-acf6509975fb04a0</t>
        </is>
      </c>
      <c r="B115" t="inlineStr">
        <is>
          <t>Senior Applied Scientist, Delivery Foundation Model</t>
        </is>
      </c>
      <c r="C115" t="inlineStr">
        <is>
          <t>Amazon.com</t>
        </is>
      </c>
      <c r="D115" t="inlineStr">
        <is>
          <t>indeed</t>
        </is>
      </c>
      <c r="E115" t="inlineStr"/>
      <c r="F115" t="inlineStr"/>
      <c r="G115" t="inlineStr">
        <is>
          <t>Santa Clara, CA, US</t>
        </is>
      </c>
      <c r="H115" s="2"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in-d0827f932bddbbde</t>
        </is>
      </c>
      <c r="B116" t="inlineStr">
        <is>
          <t>Sr. Applied Scientist - Privacy, Privacy Engineering</t>
        </is>
      </c>
      <c r="C116" t="inlineStr">
        <is>
          <t>Amazon.com</t>
        </is>
      </c>
      <c r="D116" t="inlineStr">
        <is>
          <t>indeed</t>
        </is>
      </c>
      <c r="E116" t="inlineStr"/>
      <c r="F116" t="inlineStr"/>
      <c r="G116" t="inlineStr">
        <is>
          <t>Seattle, WA, US</t>
        </is>
      </c>
      <c r="H116" s="2"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in-8b0f110bafa0e085</t>
        </is>
      </c>
      <c r="B117" t="inlineStr">
        <is>
          <t>Sr. Applied Scientist - Privacy, Privacy Engineering</t>
        </is>
      </c>
      <c r="C117" t="inlineStr">
        <is>
          <t>Amazon.com</t>
        </is>
      </c>
      <c r="D117" t="inlineStr">
        <is>
          <t>indeed</t>
        </is>
      </c>
      <c r="E117" t="inlineStr"/>
      <c r="F117" t="inlineStr"/>
      <c r="G117" t="inlineStr">
        <is>
          <t>San Francisco, CA, US</t>
        </is>
      </c>
      <c r="H117" s="2"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in-bc2138f8ae948f60</t>
        </is>
      </c>
      <c r="B118" t="inlineStr">
        <is>
          <t>Sr. Applied Scientist - Privacy, Privacy Engineering</t>
        </is>
      </c>
      <c r="C118" t="inlineStr">
        <is>
          <t>Amazon.com</t>
        </is>
      </c>
      <c r="D118" t="inlineStr">
        <is>
          <t>indeed</t>
        </is>
      </c>
      <c r="E118" t="inlineStr"/>
      <c r="F118" t="inlineStr"/>
      <c r="G118" t="inlineStr">
        <is>
          <t>Sunnyvale, CA, US</t>
        </is>
      </c>
      <c r="H118" s="2" t="n">
        <v>45787</v>
      </c>
      <c r="I1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in-381e41b87e43fdb4</t>
        </is>
      </c>
      <c r="B119" t="inlineStr">
        <is>
          <t>Sr. Applied Scientist - Privacy, Privacy Engineering</t>
        </is>
      </c>
      <c r="C119" t="inlineStr">
        <is>
          <t>Amazon.com</t>
        </is>
      </c>
      <c r="D119" t="inlineStr">
        <is>
          <t>indeed</t>
        </is>
      </c>
      <c r="E119" t="inlineStr"/>
      <c r="F119" t="inlineStr"/>
      <c r="G119" t="inlineStr">
        <is>
          <t>Santa Clara, CA, US</t>
        </is>
      </c>
      <c r="H119" s="2" t="n">
        <v>45787</v>
      </c>
      <c r="I11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in-894ec7f92c728cec</t>
        </is>
      </c>
      <c r="B120" t="inlineStr">
        <is>
          <t>Principal Applied Scientist, Delivery Foundation Model</t>
        </is>
      </c>
      <c r="C120" t="inlineStr">
        <is>
          <t>Amazon.com</t>
        </is>
      </c>
      <c r="D120" t="inlineStr">
        <is>
          <t>indeed</t>
        </is>
      </c>
      <c r="E120" t="inlineStr"/>
      <c r="F120" t="inlineStr"/>
      <c r="G120" t="inlineStr">
        <is>
          <t>Santa Clara, CA, US</t>
        </is>
      </c>
      <c r="H120" s="2"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in-37d27b3381bcbbcf</t>
        </is>
      </c>
      <c r="B121" t="inlineStr">
        <is>
          <t>Principal Applied Scientist, Delivery Foundation Model</t>
        </is>
      </c>
      <c r="C121" t="inlineStr">
        <is>
          <t>Amazon.com</t>
        </is>
      </c>
      <c r="D121" t="inlineStr">
        <is>
          <t>indeed</t>
        </is>
      </c>
      <c r="E121" t="inlineStr"/>
      <c r="F121" t="inlineStr"/>
      <c r="G121" t="inlineStr">
        <is>
          <t>Bellevue, WA, US</t>
        </is>
      </c>
      <c r="H121" s="2"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in-5cf3bb0b2fcb1091</t>
        </is>
      </c>
      <c r="B122" t="inlineStr">
        <is>
          <t>Principal Applied Scientist, Delivery Foundation Model</t>
        </is>
      </c>
      <c r="C122" t="inlineStr">
        <is>
          <t>Amazon.com</t>
        </is>
      </c>
      <c r="D122" t="inlineStr">
        <is>
          <t>indeed</t>
        </is>
      </c>
      <c r="E122" t="inlineStr"/>
      <c r="F122" t="inlineStr"/>
      <c r="G122" t="inlineStr">
        <is>
          <t>New York, NY, US</t>
        </is>
      </c>
      <c r="H122" s="2" t="n">
        <v>45757</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in-b0cb5d6084956a4a</t>
        </is>
      </c>
      <c r="B123" t="inlineStr">
        <is>
          <t>Principal Applied Scientist, FAR (Frontier AI &amp; Robotics)</t>
        </is>
      </c>
      <c r="C123" t="inlineStr">
        <is>
          <t>Amazon.com</t>
        </is>
      </c>
      <c r="D123" t="inlineStr">
        <is>
          <t>indeed</t>
        </is>
      </c>
      <c r="E123" t="inlineStr"/>
      <c r="F123" t="inlineStr"/>
      <c r="G123" t="inlineStr">
        <is>
          <t>San Francisco, CA,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in-2c9900d28a9b8089</t>
        </is>
      </c>
      <c r="B124" t="inlineStr">
        <is>
          <t>Principal Applied Scientist, FAR (Frontier AI &amp; Robotics)</t>
        </is>
      </c>
      <c r="C124" t="inlineStr">
        <is>
          <t>Amazon.com</t>
        </is>
      </c>
      <c r="D124" t="inlineStr">
        <is>
          <t>indeed</t>
        </is>
      </c>
      <c r="E124" t="inlineStr"/>
      <c r="F124" t="inlineStr"/>
      <c r="G124" t="inlineStr">
        <is>
          <t>Seattle, WA,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in-9783e3be7edb3443</t>
        </is>
      </c>
      <c r="B125" t="inlineStr">
        <is>
          <t>Senior Machine Learning/ AI Engineer- (Hybrid- Greenfield Opportunity))</t>
        </is>
      </c>
      <c r="C125" t="inlineStr">
        <is>
          <t>Match Made Tech</t>
        </is>
      </c>
      <c r="D125" t="inlineStr">
        <is>
          <t>indeed</t>
        </is>
      </c>
      <c r="E125" t="inlineStr"/>
      <c r="F125" t="inlineStr"/>
      <c r="G125" t="inlineStr">
        <is>
          <t>San Diego, CA, US</t>
        </is>
      </c>
      <c r="H125" s="2" t="n">
        <v>46046</v>
      </c>
      <c r="I125" t="inlineStr">
        <is>
          <t>**Job Title:** Senior AI / Machine Learning Engineer
**SPONSORSHIP NOT AVAILABLE\- MUST BE US CITIZEN/ GREEN CARD HOLDER**
**LOCATION:** Irvine, CA (onsite). Monday through Thursday onsite, Fridays remote.
**COMPENSATION:** $75\-95 an hour. This is a 2\-year contract that will convert to full\-time.
### **About Us**
We are on a mission to develop **innovative AI solutions** that will revolutionize the way workforces operate. As we embark on a **new greenfield AI project** , we’re seeking an **exceptional AI/ML Engineer** to help design and deliver production\-grade machine learning models from the ground up.
### **Position Overview**
As an **AI/ML Engineer** , you’ll play a **pivotal role** in shaping this high\-priority AI initiative. You will design, build, and deploy models in collaboration with data scientists, engineers, and domain experts—helping to create solutions that will operate at scale across a global workforce
**Responsibilities****Model Development**
* Collaborate with data scientists to define objectives and requirements.
* Design, develop, and train ML models using state\-of\-the\-art techniques.
**Data Preparation**
* Work with large datasets, ensuring quality through preprocessing and transformation.
* Implement pipelines and augmentation methods to support training.
**Deployment \&amp; Optimization**
* Deploy ML models into production with a focus on scalability and performance.
* Conduct experiments, fine\-tune algorithms, and optimize hyperparameters.
* Implement monitoring and ongoing maintenance of models.
**Collaboration \&amp; Documentation**
* Work cross\-functionally with engineers, scientists, and domain experts.
* Document processes, best practices, and share insights with the team.
**Qualifications*** Bachelor’s or Master’s in Computer Science, Machine Learning, or related field.
* 3\+ years of proven experience developing and deploying ML models.
* Strong programming skills in **Python** .
* Proficiency in **TensorFlow, PyTorch, or scikit\-learn** .
* Experience with **data preprocessing, pipelines, and feature engineering** .
* Familiarity with **AWS** , containerization (Docker, Kubernetes).
* Strong problem\-solving and analytical mindset.
* Excellent communication and collaboration skills.
* Experience with LLM's
**Why Join Us** * **Greenfield opportunity** – build from the ground up, no legacy systems.
* Impact solutions at **global scale** .
* Work alongside a **talented, diverse team** in a fast\-paced environment.
* Competitive pay with clear **path to full\-time conversion** .
* Professional growth and advancement opportunities.</t>
        </is>
      </c>
    </row>
    <row r="126">
      <c r="A126" t="inlineStr">
        <is>
          <t>in-663b1008413d17af</t>
        </is>
      </c>
      <c r="B126" t="inlineStr">
        <is>
          <t>Machine Learning Engineer</t>
        </is>
      </c>
      <c r="C126" t="inlineStr">
        <is>
          <t>Match Made Tech</t>
        </is>
      </c>
      <c r="D126" t="inlineStr">
        <is>
          <t>indeed</t>
        </is>
      </c>
      <c r="E126" t="inlineStr"/>
      <c r="F126" t="inlineStr"/>
      <c r="G126" t="inlineStr">
        <is>
          <t>San Diego, CA, US</t>
        </is>
      </c>
      <c r="H126" s="2" t="n">
        <v>46046</v>
      </c>
      <c r="I126" t="inlineStr">
        <is>
          <t>**Job Title:** AI/ML Engineer \- Greenfield AI Project
**LOCATION:** Irvine, CA (onsite). Monday through Thursday onsite, Fridays remote.
**SPONSORSHIP NOT AVAILABLE\- MUST BE US CITIZEN/ GREEN CARD HOLDER**
**COMPENSATION:** $75\-95 an hour. This is a 2\-year contract that will convert to full\-time.
**ABOUT US:** We are on a mission to develop innovative AI solutions that will revolutionize our workforce. As we embark on an exciting new greenfield AI project, we are seeking an exceptional AI/ML Engineer to join our team and lead the development of machine learning models as part of this groundbreaking initiative.
**JOB DESCRIPTION:**
**About the Role**
We are seeking a skilled **AI/ML Engineer** to join our team to design, develop, and deploy machine learning models that solve real\-world business challenges. You will work cross\-functionally with data scientists, engineers, and product teams to bring cutting\-edge AI solutions to production, with a strong focus on NLP, supervised learning, experimentation, and optimization.
**Key Responsibilities**
* **Model Development \&amp; Training**
	+ Collaborate with data scientists and stakeholders to translate project goals into scalable ML solutions.
	+ Design, develop, and train models using state\-of\-the\-art machine learning techniques and tools.
	+ Select appropriate annotated datasets and transform raw data into machine learning\-ready formats.
* **Data Preparation \&amp; Feature Engineering**
	+ Analyze and process structured/unstructured data for training and evaluation.
	+ Develop feature extraction and selection pipelines to improve model performance.
* **Experimentation \&amp; Optimization**
	+ Run controlled experiments and perform statistical analysis to validate models.
	+ Refine model hyperparameters and evaluation metrics for optimal performance.
* **Deployment \&amp; Integration**
	+ Work closely with ML Ops to deploy and monitor models in production environments.
	+ Ensure all models are integrated seamlessly into existing systems.
* **Collaboration \&amp; Code Quality**
	+ Participate in code reviews, pair programming, and knowledge\-sharing sessions.
	+ Write testable, production\-quality code that aligns with engineering best practices.
**Qualifications \&amp; Skills**
* 3–5 years as an ML/AI Engineer or 1–3 years in an ML/AI leadership role
* Proven experience building and deploying machine learning models in production
* Solid understanding of classical ML algorithms (classification, regression, clustering)
* Experience working with changing datasets and real\-time data pipelines
* Hands\-on experience with Python and frameworks like PyTorch, TensorFlow, Scikit\-learn
* Strong knowledge of data processing (ETL), feature engineering, and statistical evaluation
* Solid understanding of REST APIs, CI/CD, and containerized deployments (Docker, Kubernetes)
* Strong communication, analytical thinking, and problem\-solving skills
* Bachelor’s degree in Computer Science, Mathematics, Engineering, or a related quantitative field
**Preferred Qualifications (Nice\-to\-Have)**
* Master’s or PhD degree in Computer Science, Engineering, or a related field
* Experience with neural networks and deep learning applications in computer vision, time\-series analysis, or reinforcement learning
* Familiarity with MLOps tools (MLflow, Kubeflow, SageMaker, etc.)
* Exposure to cloud platforms (AWS, GCP, Azure)
* Familiarity with version control and experimentation tracking tools
* Basic knowledge of data governance, security, and compliance standards</t>
        </is>
      </c>
    </row>
    <row r="127">
      <c r="A127" t="inlineStr">
        <is>
          <t>in-796add11876421e1</t>
        </is>
      </c>
      <c r="B127" t="inlineStr">
        <is>
          <t>Machine Learning Engineer</t>
        </is>
      </c>
      <c r="C127" t="inlineStr">
        <is>
          <t>Match Made Tech</t>
        </is>
      </c>
      <c r="D127" t="inlineStr">
        <is>
          <t>indeed</t>
        </is>
      </c>
      <c r="E127" t="inlineStr"/>
      <c r="F127" t="inlineStr"/>
      <c r="G127" t="inlineStr">
        <is>
          <t>Irvine, CA, US</t>
        </is>
      </c>
      <c r="H127" s="2" t="n">
        <v>46046</v>
      </c>
      <c r="I127" t="inlineStr">
        <is>
          <t>**Job Title:** AI/ML Engineer \- Greenfield AI Project
**LOCATION:** Irvine, CA (onsite). Monday through Thursday onsite, Fridays remote.
**SPONSORSHIP NOT AVAILABLE\- MUST BE US CITIZEN/ GREEN CARD HOLDER**
**COMPENSATION:** $75\-95 an hour. This is a 2\-year contract that will convert to full\-time.
**ABOUT US:** We are on a mission to develop innovative AI solutions that will revolutionize our workforce. As we embark on an exciting new greenfield AI project, we are seeking an exceptional AI/ML Engineer to join our team and lead the development of machine learning models as part of this groundbreaking initiative.
**JOB DESCRIPTION:**
**About the Role**
We are seeking a skilled **AI/ML Engineer** to join our team to design, develop, and deploy machine learning models that solve real\-world business challenges. You will work cross\-functionally with data scientists, engineers, and product teams to bring cutting\-edge AI solutions to production, with a strong focus on NLP, supervised learning, experimentation, and optimization.
**Key Responsibilities**
* **Model Development \&amp; Training**
	+ Collaborate with data scientists and stakeholders to translate project goals into scalable ML solutions.
	+ Design, develop, and train models using state\-of\-the\-art machine learning techniques and tools.
	+ Select appropriate annotated datasets and transform raw data into machine learning\-ready formats.
* **Data Preparation \&amp; Feature Engineering**
	+ Analyze and process structured/unstructured data for training and evaluation.
	+ Develop feature extraction and selection pipelines to improve model performance.
* **Experimentation \&amp; Optimization**
	+ Run controlled experiments and perform statistical analysis to validate models.
	+ Refine model hyperparameters and evaluation metrics for optimal performance.
* **Deployment \&amp; Integration**
	+ Work closely with ML Ops to deploy and monitor models in production environments.
	+ Ensure all models are integrated seamlessly into existing systems.
* **Collaboration \&amp; Code Quality**
	+ Participate in code reviews, pair programming, and knowledge\-sharing sessions.
	+ Write testable, production\-quality code that aligns with engineering best practices.
**Qualifications \&amp; Skills**
* 3–5 years as an ML/AI Engineer or 1–3 years in an ML/AI leadership role
* Proven experience building and deploying machine learning models in production
* Solid understanding of classical ML algorithms (classification, regression, clustering)
* Experience working with changing datasets and real\-time data pipelines
* Hands\-on experience with Python and frameworks like PyTorch, TensorFlow, Scikit\-learn
* Strong knowledge of data processing (ETL), feature engineering, and statistical evaluation
* Solid understanding of REST APIs, CI/CD, and containerized deployments (Docker, Kubernetes)
* Strong communication, analytical thinking, and problem\-solving skills
* Bachelor’s degree in Computer Science, Mathematics, Engineering, or a related quantitative field
**Preferred Qualifications (Nice\-to\-Have)**
* Master’s or PhD degree in Computer Science, Engineering, or a related field
* Experience with neural networks and deep learning applications in computer vision, time\-series analysis, or reinforcement learning
* Familiarity with MLOps tools (MLflow, Kubeflow, SageMaker, etc.)
* Exposure to cloud platforms (AWS, GCP, Azure)
* Familiarity with version control and experimentation tracking tools
* Basic knowledge of data governance, security, and compliance standards</t>
        </is>
      </c>
    </row>
    <row r="128">
      <c r="A128" t="inlineStr">
        <is>
          <t>in-2594ab9ab1bb7eb6</t>
        </is>
      </c>
      <c r="B128" t="inlineStr">
        <is>
          <t>Machine Learning Engineer – Gurobi Scheduling Optimization (Hybrid)</t>
        </is>
      </c>
      <c r="C128" t="inlineStr">
        <is>
          <t>Match Made Tech</t>
        </is>
      </c>
      <c r="D128" t="inlineStr">
        <is>
          <t>indeed</t>
        </is>
      </c>
      <c r="E128" t="inlineStr"/>
      <c r="F128" t="inlineStr"/>
      <c r="G128" t="inlineStr">
        <is>
          <t>Los Angeles, CA, US</t>
        </is>
      </c>
      <c r="H128" s="2" t="n">
        <v>46046</v>
      </c>
      <c r="I128" t="inlineStr">
        <is>
          <t>**Machine Learning Engineer – Scheduling Optimization** (Greenfield Project)
**SPONSORSHIP NOT AVAILABLE\- MUST BE US CITIZEN/ GREEN CARD HOLDER**
**LOCATION:** Irvine, CA (onsite). Monday throughThursday onsite, Fridays remote.
**COMPENSATION:** $75\-95 an hour. This is a 2\-year contract that will convert to full\-time.
**About the Role:**
We’re looking for our first\-ever AI/ML Engineer to take full ownership of a brand\-new AI scheduling engine — built entirely from the ground up. This engine will intelligently optimize scheduling for over 1 million employees worldwide, making this one of the most impactful greenfield AI initiatives you’ll find anywhere.
This is a rare opportunity to shape architecture, design, and engineering direction from day one — with complete autonomy. If you’ve ever wanted to own something end\-to\-end, influence technical decisions at every layer, and build a platform that will redefine workforce optimization at scale — this is it.
**What You’ll Do:**
* **Build the Core Optimization Engine:** Design and implement robust optimization models using Gurobi, CPLEX, OR\-Tools, or similar solvers.
* **Model Real\-World Complexity:** Translate intricate scheduling rules — labor laws, coverage, shift constraints — into elegant, scalable mathematical formulations.
* **Integrate AI \&amp; Forecasting:** Combine machine learning predictions with optimization models to create smarter, adaptive scheduling recommendations.
* **Engineer for Scale:** Develop modular, production\-grade systems in Python, with SQL and AWS for large\-scale data processing and deployment.
* **Collaborate \&amp; Innovate:** Work with a cross\-functional, startup\-minded team to continuously refine models, improve performance, and push the boundaries of AI scheduling.
**Tech Stack:**
* **Languages:** Python (Pyomo, Pandas, NumPy), SQL
* **Optimization Tools:** Gurobi
* **ML Integration:** Demand forecasting, staffing prediction, and scheduling recommendations
**What You Bring**
* Hands\-on experience designing and implementing optimization or constraint\-based systems using Gurobi or similar tools
* Strong proficiency in Python and SQL
* Background in machine learning, forecasting, or hybrid optimization approaches
* Solid understanding of algorithms, operations research, or scheduling constraints
* Familiarity with CI/CD, Docker, and cloud deployments (AWS)
**Bonus Points:**
* Experience in workforce scheduling or resource optimization at scale
* Bachelor’s or Master’s in Computer Science, Operations Research, or Applied Mathematics
**Why This Role Is Exciting** 
* **Greenfield Autonomy:** Own the architecture, design, and build — no legacy code, no constraints.
* **Massive Impact:** Your work will directly influence scheduling for hundreds of thousands of employees globally.
* **Cutting\-Edge Tech:** Blend optimization, ML, and systems design to solve complex real\-world problems.
* **Visionary Team:** Join a team that values innovation, curiosity, and the courage to build something new from scratch.</t>
        </is>
      </c>
    </row>
    <row r="129">
      <c r="A129" t="inlineStr">
        <is>
          <t>in-930abd66d2015e8a</t>
        </is>
      </c>
      <c r="B129" t="inlineStr">
        <is>
          <t>Senior Machine Learning/ AI Engineer- (Hybrid- Greenfield Opportunity))</t>
        </is>
      </c>
      <c r="C129" t="inlineStr">
        <is>
          <t>Match Made Tech</t>
        </is>
      </c>
      <c r="D129" t="inlineStr">
        <is>
          <t>indeed</t>
        </is>
      </c>
      <c r="E129" t="inlineStr"/>
      <c r="F129" t="inlineStr"/>
      <c r="G129" t="inlineStr">
        <is>
          <t>Irvine, CA, US</t>
        </is>
      </c>
      <c r="H129" s="2" t="n">
        <v>46046</v>
      </c>
      <c r="I129" t="inlineStr">
        <is>
          <t>**Job Title:** Senior AI / Machine Learning Engineer
**SPONSORSHIP NOT AVAILABLE\- MUST BE US CITIZEN/ GREEN CARD HOLDER**
**LOCATION:** Irvine, CA (onsite). Monday through Thursday onsite, Fridays remote.
**COMPENSATION:** $75\-95 an hour. This is a 2\-year contract that will convert to full\-time.
### **About Us**
We are on a mission to develop **innovative AI solutions** that will revolutionize the way workforces operate. As we embark on a **new greenfield AI project** , we’re seeking an **exceptional AI/ML Engineer** to help design and deliver production\-grade machine learning models from the ground up.
### **Position Overview**
As an **AI/ML Engineer** , you’ll play a **pivotal role** in shaping this high\-priority AI initiative. You will design, build, and deploy models in collaboration with data scientists, engineers, and domain experts—helping to create solutions that will operate at scale across a global workforce
**Responsibilities****Model Development**
* Collaborate with data scientists to define objectives and requirements.
* Design, develop, and train ML models using state\-of\-the\-art techniques.
**Data Preparation**
* Work with large datasets, ensuring quality through preprocessing and transformation.
* Implement pipelines and augmentation methods to support training.
**Deployment \&amp; Optimization**
* Deploy ML models into production with a focus on scalability and performance.
* Conduct experiments, fine\-tune algorithms, and optimize hyperparameters.
* Implement monitoring and ongoing maintenance of models.
**Collaboration \&amp; Documentation**
* Work cross\-functionally with engineers, scientists, and domain experts.
* Document processes, best practices, and share insights with the team.
**Qualifications*** Bachelor’s or Master’s in Computer Science, Machine Learning, or related field.
* 3\+ years of proven experience developing and deploying ML models.
* Strong programming skills in **Python** .
* Proficiency in **TensorFlow, PyTorch, or scikit\-learn** .
* Experience with **data preprocessing, pipelines, and feature engineering** .
* Familiarity with **AWS** , containerization (Docker, Kubernetes).
* Strong problem\-solving and analytical mindset.
* Excellent communication and collaboration skills.
* Experience with LLM's
**Why Join Us** * **Greenfield opportunity** – build from the ground up, no legacy systems.
* Impact solutions at **global scale** .
* Work alongside a **talented, diverse team** in a fast\-paced environment.
* Competitive pay with clear **path to full\-time conversion** .
* Professional growth and advancement opportunities.</t>
        </is>
      </c>
    </row>
    <row r="130">
      <c r="A130" t="inlineStr">
        <is>
          <t>in-549b30ef7d726e4b</t>
        </is>
      </c>
      <c r="B130" t="inlineStr">
        <is>
          <t>Machine Learning Engineer</t>
        </is>
      </c>
      <c r="C130" t="inlineStr">
        <is>
          <t>Match Made Tech</t>
        </is>
      </c>
      <c r="D130" t="inlineStr">
        <is>
          <t>indeed</t>
        </is>
      </c>
      <c r="E130" t="inlineStr"/>
      <c r="F130" t="inlineStr"/>
      <c r="G130" t="inlineStr">
        <is>
          <t>Los Angeles, CA, US</t>
        </is>
      </c>
      <c r="H130" s="2" t="n">
        <v>46046</v>
      </c>
      <c r="I130" t="inlineStr">
        <is>
          <t>**Job Title:** AI/ML Engineer \- Greenfield AI Project
**LOCATION:** Irvine, CA (onsite). Monday through Thursday onsite, Fridays remote.
**SPONSORSHIP NOT AVAILABLE\- MUST BE US CITIZEN/ GREEN CARD HOLDER**
**COMPENSATION:** $75\-95 an hour. This is a 2\-year contract that will convert to full\-time.
**ABOUT US:** We are on a mission to develop innovative AI solutions that will revolutionize our workforce. As we embark on an exciting new greenfield AI project, we are seeking an exceptional AI/ML Engineer to join our team and lead the development of machine learning models as part of this groundbreaking initiative.
**JOB DESCRIPTION:**
**About the Role**
We are seeking a skilled **AI/ML Engineer** to join our team to design, develop, and deploy machine learning models that solve real\-world business challenges. You will work cross\-functionally with data scientists, engineers, and product teams to bring cutting\-edge AI solutions to production, with a strong focus on NLP, supervised learning, experimentation, and optimization.
**Key Responsibilities**
* **Model Development \&amp; Training**
	+ Collaborate with data scientists and stakeholders to translate project goals into scalable ML solutions.
	+ Design, develop, and train models using state\-of\-the\-art machine learning techniques and tools.
	+ Select appropriate annotated datasets and transform raw data into machine learning\-ready formats.
* **Data Preparation \&amp; Feature Engineering**
	+ Analyze and process structured/unstructured data for training and evaluation.
	+ Develop feature extraction and selection pipelines to improve model performance.
* **Experimentation \&amp; Optimization**
	+ Run controlled experiments and perform statistical analysis to validate models.
	+ Refine model hyperparameters and evaluation metrics for optimal performance.
* **Deployment \&amp; Integration**
	+ Work closely with ML Ops to deploy and monitor models in production environments.
	+ Ensure all models are integrated seamlessly into existing systems.
* **Collaboration \&amp; Code Quality**
	+ Participate in code reviews, pair programming, and knowledge\-sharing sessions.
	+ Write testable, production\-quality code that aligns with engineering best practices.
**Qualifications \&amp; Skills**
* 3–5 years as an ML/AI Engineer or 1–3 years in an ML/AI leadership role
* Proven experience building and deploying machine learning models in production
* Solid understanding of classical ML algorithms (classification, regression, clustering)
* Experience working with changing datasets and real\-time data pipelines
* Hands\-on experience with Python and frameworks like PyTorch, TensorFlow, Scikit\-learn
* Strong knowledge of data processing (ETL), feature engineering, and statistical evaluation
* Solid understanding of REST APIs, CI/CD, and containerized deployments (Docker, Kubernetes)
* Strong communication, analytical thinking, and problem\-solving skills
* Bachelor’s degree in Computer Science, Mathematics, Engineering, or a related quantitative field
**Preferred Qualifications (Nice\-to\-Have)**
* Master’s or PhD degree in Computer Science, Engineering, or a related field
* Experience with neural networks and deep learning applications in computer vision, time\-series analysis, or reinforcement learning
* Familiarity with MLOps tools (MLflow, Kubeflow, SageMaker, etc.)
* Exposure to cloud platforms (AWS, GCP, Azure)
* Familiarity with version control and experimentation tracking tools
* Basic knowledge of data governance, security, and compliance standards</t>
        </is>
      </c>
    </row>
    <row r="131">
      <c r="A131" t="inlineStr">
        <is>
          <t>in-e6c50542c2dcc0ca</t>
        </is>
      </c>
      <c r="B131" t="inlineStr">
        <is>
          <t>Machine Learning Engineer – Gurobi Scheduling Optimization (Hybrid)</t>
        </is>
      </c>
      <c r="C131" t="inlineStr">
        <is>
          <t>Match Made Tech</t>
        </is>
      </c>
      <c r="D131" t="inlineStr">
        <is>
          <t>indeed</t>
        </is>
      </c>
      <c r="E131" t="inlineStr"/>
      <c r="F131" t="inlineStr"/>
      <c r="G131" t="inlineStr">
        <is>
          <t>San Diego, CA, US</t>
        </is>
      </c>
      <c r="H131" s="2" t="n">
        <v>46046</v>
      </c>
      <c r="I131" t="inlineStr">
        <is>
          <t>**Machine Learning Engineer – Scheduling Optimization** (Greenfield Project)
**SPONSORSHIP NOT AVAILABLE\- MUST BE US CITIZEN/ GREEN CARD HOLDER**
**LOCATION:** Irvine, CA (onsite). Monday throughThursday onsite, Fridays remote.
**COMPENSATION:** $75\-95 an hour. This is a 2\-year contract that will convert to full\-time.
**About the Role:**
We’re looking for our first\-ever AI/ML Engineer to take full ownership of a brand\-new AI scheduling engine — built entirely from the ground up. This engine will intelligently optimize scheduling for over 1 million employees worldwide, making this one of the most impactful greenfield AI initiatives you’ll find anywhere.
This is a rare opportunity to shape architecture, design, and engineering direction from day one — with complete autonomy. If you’ve ever wanted to own something end\-to\-end, influence technical decisions at every layer, and build a platform that will redefine workforce optimization at scale — this is it.
**What You’ll Do:**
* **Build the Core Optimization Engine:** Design and implement robust optimization models using Gurobi, CPLEX, OR\-Tools, or similar solvers.
* **Model Real\-World Complexity:** Translate intricate scheduling rules — labor laws, coverage, shift constraints — into elegant, scalable mathematical formulations.
* **Integrate AI \&amp; Forecasting:** Combine machine learning predictions with optimization models to create smarter, adaptive scheduling recommendations.
* **Engineer for Scale:** Develop modular, production\-grade systems in Python, with SQL and AWS for large\-scale data processing and deployment.
* **Collaborate \&amp; Innovate:** Work with a cross\-functional, startup\-minded team to continuously refine models, improve performance, and push the boundaries of AI scheduling.
**Tech Stack:**
* **Languages:** Python (Pyomo, Pandas, NumPy), SQL
* **Optimization Tools:** Gurobi
* **ML Integration:** Demand forecasting, staffing prediction, and scheduling recommendations
**What You Bring**
* Hands\-on experience designing and implementing optimization or constraint\-based systems using Gurobi or similar tools
* Strong proficiency in Python and SQL
* Background in machine learning, forecasting, or hybrid optimization approaches
* Solid understanding of algorithms, operations research, or scheduling constraints
* Familiarity with CI/CD, Docker, and cloud deployments (AWS)
**Bonus Points:**
* Experience in workforce scheduling or resource optimization at scale
* Bachelor’s or Master’s in Computer Science, Operations Research, or Applied Mathematics
**Why This Role Is Exciting** 
* **Greenfield Autonomy:** Own the architecture, design, and build — no legacy code, no constraints.
* **Massive Impact:** Your work will directly influence scheduling for hundreds of thousands of employees globally.
* **Cutting\-Edge Tech:** Blend optimization, ML, and systems design to solve complex real\-world problems.
* **Visionary Team:** Join a team that values innovation, curiosity, and the courage to build something new from scratch.</t>
        </is>
      </c>
    </row>
    <row r="132">
      <c r="A132" t="inlineStr">
        <is>
          <t>in-8958f07670f49d56</t>
        </is>
      </c>
      <c r="B132" t="inlineStr">
        <is>
          <t>Senior Machine Learning/ AI Engineer- (Hybrid- Greenfield Opportunity))</t>
        </is>
      </c>
      <c r="C132" t="inlineStr">
        <is>
          <t>Match Made Tech</t>
        </is>
      </c>
      <c r="D132" t="inlineStr">
        <is>
          <t>indeed</t>
        </is>
      </c>
      <c r="E132" t="inlineStr"/>
      <c r="F132" t="inlineStr"/>
      <c r="G132" t="inlineStr">
        <is>
          <t>Los Angeles, CA, US</t>
        </is>
      </c>
      <c r="H132" s="2" t="n">
        <v>46046</v>
      </c>
      <c r="I132" t="inlineStr">
        <is>
          <t>**Job Title:** Senior AI / Machine Learning Engineer
**SPONSORSHIP NOT AVAILABLE\- MUST BE US CITIZEN/ GREEN CARD HOLDER**
**LOCATION:** Irvine, CA (onsite). Monday through Thursday onsite, Fridays remote.
**COMPENSATION:** $75\-95 an hour. This is a 2\-year contract that will convert to full\-time.
### **About Us**
We are on a mission to develop **innovative AI solutions** that will revolutionize the way workforces operate. As we embark on a **new greenfield AI project** , we’re seeking an **exceptional AI/ML Engineer** to help design and deliver production\-grade machine learning models from the ground up.
### **Position Overview**
As an **AI/ML Engineer** , you’ll play a **pivotal role** in shaping this high\-priority AI initiative. You will design, build, and deploy models in collaboration with data scientists, engineers, and domain experts—helping to create solutions that will operate at scale across a global workforce
**Responsibilities****Model Development**
* Collaborate with data scientists to define objectives and requirements.
* Design, develop, and train ML models using state\-of\-the\-art techniques.
**Data Preparation**
* Work with large datasets, ensuring quality through preprocessing and transformation.
* Implement pipelines and augmentation methods to support training.
**Deployment \&amp; Optimization**
* Deploy ML models into production with a focus on scalability and performance.
* Conduct experiments, fine\-tune algorithms, and optimize hyperparameters.
* Implement monitoring and ongoing maintenance of models.
**Collaboration \&amp; Documentation**
* Work cross\-functionally with engineers, scientists, and domain experts.
* Document processes, best practices, and share insights with the team.
**Qualifications*** Bachelor’s or Master’s in Computer Science, Machine Learning, or related field.
* 3\+ years of proven experience developing and deploying ML models.
* Strong programming skills in **Python** .
* Proficiency in **TensorFlow, PyTorch, or scikit\-learn** .
* Experience with **data preprocessing, pipelines, and feature engineering** .
* Familiarity with **AWS** , containerization (Docker, Kubernetes).
* Strong problem\-solving and analytical mindset.
* Excellent communication and collaboration skills.
* Experience with LLM's
**Why Join Us** * **Greenfield opportunity** – build from the ground up, no legacy systems.
* Impact solutions at **global scale** .
* Work alongside a **talented, diverse team** in a fast\-paced environment.
* Competitive pay with clear **path to full\-time conversion** .
* Professional growth and advancement opportunities.</t>
        </is>
      </c>
    </row>
    <row r="133">
      <c r="A133" t="inlineStr">
        <is>
          <t>in-87323a98f77dbb57</t>
        </is>
      </c>
      <c r="B133" t="inlineStr">
        <is>
          <t>Machine Learning Engineer – Gurobi Scheduling Optimization (Hybrid)</t>
        </is>
      </c>
      <c r="C133" t="inlineStr">
        <is>
          <t>Match Made Tech</t>
        </is>
      </c>
      <c r="D133" t="inlineStr">
        <is>
          <t>indeed</t>
        </is>
      </c>
      <c r="E133" t="inlineStr"/>
      <c r="F133" t="inlineStr"/>
      <c r="G133" t="inlineStr">
        <is>
          <t>Irvine, CA, US</t>
        </is>
      </c>
      <c r="H133" s="2" t="n">
        <v>46046</v>
      </c>
      <c r="I133" t="inlineStr">
        <is>
          <t>**Machine Learning Engineer – Scheduling Optimization** (Greenfield Project)
**SPONSORSHIP NOT AVAILABLE\- MUST BE US CITIZEN/ GREEN CARD HOLDER**
**LOCATION:** Irvine, CA (onsite). Monday throughThursday onsite, Fridays remote.
**COMPENSATION:** $75\-95 an hour. This is a 2\-year contract that will convert to full\-time.
**About the Role:**
We’re looking for our first\-ever AI/ML Engineer to take full ownership of a brand\-new AI scheduling engine — built entirely from the ground up. This engine will intelligently optimize scheduling for over 1 million employees worldwide, making this one of the most impactful greenfield AI initiatives you’ll find anywhere.
This is a rare opportunity to shape architecture, design, and engineering direction from day one — with complete autonomy. If you’ve ever wanted to own something end\-to\-end, influence technical decisions at every layer, and build a platform that will redefine workforce optimization at scale — this is it.
**What You’ll Do:**
* **Build the Core Optimization Engine:** Design and implement robust optimization models using Gurobi, CPLEX, OR\-Tools, or similar solvers.
* **Model Real\-World Complexity:** Translate intricate scheduling rules — labor laws, coverage, shift constraints — into elegant, scalable mathematical formulations.
* **Integrate AI \&amp; Forecasting:** Combine machine learning predictions with optimization models to create smarter, adaptive scheduling recommendations.
* **Engineer for Scale:** Develop modular, production\-grade systems in Python, with SQL and AWS for large\-scale data processing and deployment.
* **Collaborate \&amp; Innovate:** Work with a cross\-functional, startup\-minded team to continuously refine models, improve performance, and push the boundaries of AI scheduling.
**Tech Stack:**
* **Languages:** Python (Pyomo, Pandas, NumPy), SQL
* **Optimization Tools:** Gurobi
* **ML Integration:** Demand forecasting, staffing prediction, and scheduling recommendations
**What You Bring**
* Hands\-on experience designing and implementing optimization or constraint\-based systems using Gurobi or similar tools
* Strong proficiency in Python and SQL
* Background in machine learning, forecasting, or hybrid optimization approaches
* Solid understanding of algorithms, operations research, or scheduling constraints
* Familiarity with CI/CD, Docker, and cloud deployments (AWS)
**Bonus Points:**
* Experience in workforce scheduling or resource optimization at scale
* Bachelor’s or Master’s in Computer Science, Operations Research, or Applied Mathematics
**Why This Role Is Exciting** 
* **Greenfield Autonomy:** Own the architecture, design, and build — no legacy code, no constraints.
* **Massive Impact:** Your work will directly influence scheduling for hundreds of thousands of employees globally.
* **Cutting\-Edge Tech:** Blend optimization, ML, and systems design to solve complex real\-world problems.
* **Visionary Team:** Join a team that values innovation, curiosity, and the courage to build something new from scratch.</t>
        </is>
      </c>
    </row>
    <row r="134">
      <c r="A134" t="inlineStr">
        <is>
          <t>in-bfe91af31a73bbe4</t>
        </is>
      </c>
      <c r="B134" t="inlineStr">
        <is>
          <t>Applied Scientist, Special Projects</t>
        </is>
      </c>
      <c r="C134" t="inlineStr">
        <is>
          <t>Amazon.com</t>
        </is>
      </c>
      <c r="D134" t="inlineStr">
        <is>
          <t>indeed</t>
        </is>
      </c>
      <c r="E134" t="inlineStr"/>
      <c r="F134" t="inlineStr"/>
      <c r="G134" t="inlineStr">
        <is>
          <t>Seattle, WA, US</t>
        </is>
      </c>
      <c r="H134" s="2" t="n">
        <v>46028</v>
      </c>
      <c r="I13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in-700c412af26e39bf</t>
        </is>
      </c>
      <c r="B135" t="inlineStr">
        <is>
          <t>Applied Scientist, Special Projects</t>
        </is>
      </c>
      <c r="C135" t="inlineStr">
        <is>
          <t>Amazon.com</t>
        </is>
      </c>
      <c r="D135" t="inlineStr">
        <is>
          <t>indeed</t>
        </is>
      </c>
      <c r="E135" t="inlineStr"/>
      <c r="F135" t="inlineStr"/>
      <c r="G135" t="inlineStr">
        <is>
          <t>Boston, MA, US</t>
        </is>
      </c>
      <c r="H135" s="2" t="n">
        <v>46028</v>
      </c>
      <c r="I13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in-9e5ece26349fcec3</t>
        </is>
      </c>
      <c r="B136" t="inlineStr">
        <is>
          <t>Applied Scientist, Last Mile Delivery Automation</t>
        </is>
      </c>
      <c r="C136" t="inlineStr">
        <is>
          <t>Amazon.com</t>
        </is>
      </c>
      <c r="D136" t="inlineStr">
        <is>
          <t>indeed</t>
        </is>
      </c>
      <c r="E136" t="inlineStr"/>
      <c r="F136" t="inlineStr"/>
      <c r="G136" t="inlineStr">
        <is>
          <t>Santa Clara, CA, US</t>
        </is>
      </c>
      <c r="H136" s="2" t="n">
        <v>46026</v>
      </c>
      <c r="I13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in-3e258f2439577fc3</t>
        </is>
      </c>
      <c r="B137" t="inlineStr">
        <is>
          <t>Applied Scientist, Last Mile Delivery Automation</t>
        </is>
      </c>
      <c r="C137" t="inlineStr">
        <is>
          <t>Amazon.com</t>
        </is>
      </c>
      <c r="D137" t="inlineStr">
        <is>
          <t>indeed</t>
        </is>
      </c>
      <c r="E137" t="inlineStr"/>
      <c r="F137" t="inlineStr"/>
      <c r="G137" t="inlineStr">
        <is>
          <t>Bellevue, WA, US</t>
        </is>
      </c>
      <c r="H137" s="2" t="n">
        <v>46026</v>
      </c>
      <c r="I13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in-7fff0ee14b3e20d1</t>
        </is>
      </c>
      <c r="B138" t="inlineStr">
        <is>
          <t>Applied Scientist, Personalization, DTx Science</t>
        </is>
      </c>
      <c r="C138" t="inlineStr">
        <is>
          <t>Amazon.com</t>
        </is>
      </c>
      <c r="D138" t="inlineStr">
        <is>
          <t>indeed</t>
        </is>
      </c>
      <c r="E138" t="inlineStr"/>
      <c r="F138" t="inlineStr"/>
      <c r="G138" t="inlineStr">
        <is>
          <t>New York, NY, US</t>
        </is>
      </c>
      <c r="H138" s="2" t="n">
        <v>45979</v>
      </c>
      <c r="I13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39">
      <c r="A139" t="inlineStr">
        <is>
          <t>in-02b279086ba0d48b</t>
        </is>
      </c>
      <c r="B139" t="inlineStr">
        <is>
          <t>Applied Scientist, Personalization, DTx Science</t>
        </is>
      </c>
      <c r="C139" t="inlineStr">
        <is>
          <t>Amazon.com</t>
        </is>
      </c>
      <c r="D139" t="inlineStr">
        <is>
          <t>indeed</t>
        </is>
      </c>
      <c r="E139" t="inlineStr"/>
      <c r="F139" t="inlineStr"/>
      <c r="G139" t="inlineStr">
        <is>
          <t>Seattle, WA, US</t>
        </is>
      </c>
      <c r="H139" s="2" t="n">
        <v>45979</v>
      </c>
      <c r="I13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0">
      <c r="A140" t="inlineStr">
        <is>
          <t>in-79cc88951f10215c</t>
        </is>
      </c>
      <c r="B140" t="inlineStr">
        <is>
          <t>Sr. Machine Learning Engineer – Context Engineering</t>
        </is>
      </c>
      <c r="C140" t="inlineStr">
        <is>
          <t>GEICO</t>
        </is>
      </c>
      <c r="D140" t="inlineStr">
        <is>
          <t>indeed</t>
        </is>
      </c>
      <c r="E140">
        <f>HYPERLINK("https://www.indeed.com/viewjob?jk=79cc88951f10215c", "https://www.indeed.com/viewjob?jk=79cc88951f10215c")</f>
        <v/>
      </c>
      <c r="F140">
        <f>HYPERLINK("https://click.appcast.io/t/IUVlxqx9cZCZIEwjR0hF4d31Tdi6hXv4COTUbJLnBMM=", "https://click.appcast.io/t/IUVlxqx9cZCZIEwjR0hF4d31Tdi6hXv4COTUbJLnBMM=")</f>
        <v/>
      </c>
      <c r="G140" t="inlineStr">
        <is>
          <t>Palo Alto, CA, US</t>
        </is>
      </c>
      <c r="H140" s="3" t="n">
        <v>46046</v>
      </c>
      <c r="I14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1">
      <c r="A141" t="inlineStr">
        <is>
          <t>in-23d6b4183197d772</t>
        </is>
      </c>
      <c r="B141" t="inlineStr">
        <is>
          <t>Senior Machine Learning Engineer – AI Agent Platform</t>
        </is>
      </c>
      <c r="C141" t="inlineStr">
        <is>
          <t>GEICO</t>
        </is>
      </c>
      <c r="D141" t="inlineStr">
        <is>
          <t>indeed</t>
        </is>
      </c>
      <c r="E141">
        <f>HYPERLINK("https://www.indeed.com/viewjob?jk=23d6b4183197d772", "https://www.indeed.com/viewjob?jk=23d6b4183197d772")</f>
        <v/>
      </c>
      <c r="F141">
        <f>HYPERLINK("https://click.appcast.io/t/hAvrgtS0GTRZRfhx0SuSuqiGocSK_SClJVHq6QhohnI=", "https://click.appcast.io/t/hAvrgtS0GTRZRfhx0SuSuqiGocSK_SClJVHq6QhohnI=")</f>
        <v/>
      </c>
      <c r="G141" t="inlineStr">
        <is>
          <t>Chevy Chase, MD, US</t>
        </is>
      </c>
      <c r="H141" s="3" t="n">
        <v>46046</v>
      </c>
      <c r="I14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2">
      <c r="A142" t="inlineStr">
        <is>
          <t>in-8709cfc57e7ca9d4</t>
        </is>
      </c>
      <c r="B142" t="inlineStr">
        <is>
          <t>Sr. Staff ML Engineer – Context Engineering</t>
        </is>
      </c>
      <c r="C142" t="inlineStr">
        <is>
          <t>GEICO</t>
        </is>
      </c>
      <c r="D142" t="inlineStr">
        <is>
          <t>indeed</t>
        </is>
      </c>
      <c r="E142">
        <f>HYPERLINK("https://www.indeed.com/viewjob?jk=8709cfc57e7ca9d4", "https://www.indeed.com/viewjob?jk=8709cfc57e7ca9d4")</f>
        <v/>
      </c>
      <c r="F142">
        <f>HYPERLINK("https://click.appcast.io/t/ekyZ6MPOQNmF4VL98zecaMSXuqyjs96qevf1l726jSo=", "https://click.appcast.io/t/ekyZ6MPOQNmF4VL98zecaMSXuqyjs96qevf1l726jSo=")</f>
        <v/>
      </c>
      <c r="G142" t="inlineStr">
        <is>
          <t>New York, NY, US</t>
        </is>
      </c>
      <c r="H142" s="3" t="n">
        <v>46046</v>
      </c>
      <c r="I1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Staff****ML****Engineer****–****Context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3">
      <c r="A143" t="inlineStr">
        <is>
          <t>in-51d9ce7efe1c2bd9</t>
        </is>
      </c>
      <c r="B143" t="inlineStr">
        <is>
          <t>Sr. Machine Learning Engineer – Context Engineering</t>
        </is>
      </c>
      <c r="C143" t="inlineStr">
        <is>
          <t>GEICO</t>
        </is>
      </c>
      <c r="D143" t="inlineStr">
        <is>
          <t>indeed</t>
        </is>
      </c>
      <c r="E143">
        <f>HYPERLINK("https://www.indeed.com/viewjob?jk=51d9ce7efe1c2bd9", "https://www.indeed.com/viewjob?jk=51d9ce7efe1c2bd9")</f>
        <v/>
      </c>
      <c r="F143">
        <f>HYPERLINK("https://click.appcast.io/t/f-8lpgjBWMZVB6NUOFMzCQqPJzkjJuVcsV17Z9hUuYU=", "https://click.appcast.io/t/f-8lpgjBWMZVB6NUOFMzCQqPJzkjJuVcsV17Z9hUuYU=")</f>
        <v/>
      </c>
      <c r="G143" t="inlineStr">
        <is>
          <t>Chevy Chase, MD, US</t>
        </is>
      </c>
      <c r="H143" s="3" t="n">
        <v>46046</v>
      </c>
      <c r="I1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4">
      <c r="A144" t="inlineStr">
        <is>
          <t>in-af0c834c0185e5bc</t>
        </is>
      </c>
      <c r="B144" t="inlineStr">
        <is>
          <t>Senior Machine Learning Engineer – AI Agent Platform</t>
        </is>
      </c>
      <c r="C144" t="inlineStr">
        <is>
          <t>GEICO</t>
        </is>
      </c>
      <c r="D144" t="inlineStr">
        <is>
          <t>indeed</t>
        </is>
      </c>
      <c r="E144">
        <f>HYPERLINK("https://www.indeed.com/viewjob?jk=af0c834c0185e5bc", "https://www.indeed.com/viewjob?jk=af0c834c0185e5bc")</f>
        <v/>
      </c>
      <c r="F144">
        <f>HYPERLINK("https://click.appcast.io/t/Hwe7o-P5UU6s658F1WKyDXVfBRqwwvheEivgNqX8Tqw=", "https://click.appcast.io/t/Hwe7o-P5UU6s658F1WKyDXVfBRqwwvheEivgNqX8Tqw=")</f>
        <v/>
      </c>
      <c r="G144" t="inlineStr">
        <is>
          <t>New York, NY, US</t>
        </is>
      </c>
      <c r="H144" s="3" t="n">
        <v>46046</v>
      </c>
      <c r="I1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5">
      <c r="A145" t="inlineStr">
        <is>
          <t>in-b335fd0b792643cb</t>
        </is>
      </c>
      <c r="B145" t="inlineStr">
        <is>
          <t>Sr. Staff ML Engineer – Context Engineering</t>
        </is>
      </c>
      <c r="C145" t="inlineStr">
        <is>
          <t>GEICO</t>
        </is>
      </c>
      <c r="D145" t="inlineStr">
        <is>
          <t>indeed</t>
        </is>
      </c>
      <c r="E145">
        <f>HYPERLINK("https://www.indeed.com/viewjob?jk=b335fd0b792643cb", "https://www.indeed.com/viewjob?jk=b335fd0b792643cb")</f>
        <v/>
      </c>
      <c r="F145">
        <f>HYPERLINK("https://click.appcast.io/t/rND7cXNWXMvaWBShkuRWTslGnJ5Db9_Ri5e46kYgBtw=", "https://click.appcast.io/t/rND7cXNWXMvaWBShkuRWTslGnJ5Db9_Ri5e46kYgBtw=")</f>
        <v/>
      </c>
      <c r="G145" t="inlineStr">
        <is>
          <t>Chevy Chase, MD, US</t>
        </is>
      </c>
      <c r="H145" s="3" t="n">
        <v>46046</v>
      </c>
      <c r="I1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Staff****ML****Engineer****–****Context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6">
      <c r="A146" t="inlineStr">
        <is>
          <t>in-b26cea3d9dad51ec</t>
        </is>
      </c>
      <c r="B146" t="inlineStr">
        <is>
          <t>Sr. Staff ML Engineer – Context Engineering</t>
        </is>
      </c>
      <c r="C146" t="inlineStr">
        <is>
          <t>GEICO</t>
        </is>
      </c>
      <c r="D146" t="inlineStr">
        <is>
          <t>indeed</t>
        </is>
      </c>
      <c r="E146">
        <f>HYPERLINK("https://www.indeed.com/viewjob?jk=b26cea3d9dad51ec", "https://www.indeed.com/viewjob?jk=b26cea3d9dad51ec")</f>
        <v/>
      </c>
      <c r="F146">
        <f>HYPERLINK("https://click.appcast.io/t/P7ruT0ixgPsdc5BJsguWR3B3kjK2e3_KkD6AQ0SlpHc=", "https://click.appcast.io/t/P7ruT0ixgPsdc5BJsguWR3B3kjK2e3_KkD6AQ0SlpHc=")</f>
        <v/>
      </c>
      <c r="G146" t="inlineStr">
        <is>
          <t>Palo Alto, CA, US</t>
        </is>
      </c>
      <c r="H146" s="3" t="n">
        <v>46046</v>
      </c>
      <c r="I1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Staff****ML****Engineer****–****Context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7">
      <c r="A147" t="inlineStr">
        <is>
          <t>in-a841647ff72b51e3</t>
        </is>
      </c>
      <c r="B147" t="inlineStr">
        <is>
          <t>Sr. Machine Learning Engineer – Context Engineering</t>
        </is>
      </c>
      <c r="C147" t="inlineStr">
        <is>
          <t>GEICO</t>
        </is>
      </c>
      <c r="D147" t="inlineStr">
        <is>
          <t>indeed</t>
        </is>
      </c>
      <c r="E147">
        <f>HYPERLINK("https://www.indeed.com/viewjob?jk=a841647ff72b51e3", "https://www.indeed.com/viewjob?jk=a841647ff72b51e3")</f>
        <v/>
      </c>
      <c r="F147">
        <f>HYPERLINK("https://click.appcast.io/t/8eg5kKbI5yRefFsAmo6MoJpkI1R86swTM8CnNDgOSis=", "https://click.appcast.io/t/8eg5kKbI5yRefFsAmo6MoJpkI1R86swTM8CnNDgOSis=")</f>
        <v/>
      </c>
      <c r="G147" t="inlineStr">
        <is>
          <t>New York, NY, US</t>
        </is>
      </c>
      <c r="H147" s="3" t="n">
        <v>46046</v>
      </c>
      <c r="I1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8">
      <c r="A148" t="inlineStr">
        <is>
          <t>in-8f200e2e8f70c8be</t>
        </is>
      </c>
      <c r="B148" t="inlineStr">
        <is>
          <t>Senior Machine Learning Engineer – AI Agent Platform</t>
        </is>
      </c>
      <c r="C148" t="inlineStr">
        <is>
          <t>GEICO</t>
        </is>
      </c>
      <c r="D148" t="inlineStr">
        <is>
          <t>indeed</t>
        </is>
      </c>
      <c r="E148">
        <f>HYPERLINK("https://www.indeed.com/viewjob?jk=8f200e2e8f70c8be", "https://www.indeed.com/viewjob?jk=8f200e2e8f70c8be")</f>
        <v/>
      </c>
      <c r="F148">
        <f>HYPERLINK("https://click.appcast.io/t/SMhRoefkB0S29QEY4gsGg1NTzL_xxX1CuViwV3I4fN8=", "https://click.appcast.io/t/SMhRoefkB0S29QEY4gsGg1NTzL_xxX1CuViwV3I4fN8=")</f>
        <v/>
      </c>
      <c r="G148" t="inlineStr">
        <is>
          <t>Palo Alto, CA, US</t>
        </is>
      </c>
      <c r="H148" s="3" t="n">
        <v>46046</v>
      </c>
      <c r="I14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49">
      <c r="A149" t="inlineStr">
        <is>
          <t>in-b7af460f59782fcc</t>
        </is>
      </c>
      <c r="B149" t="inlineStr">
        <is>
          <t>Sr. Staff Machine Learning Engineer</t>
        </is>
      </c>
      <c r="C149" t="inlineStr">
        <is>
          <t>GEICO</t>
        </is>
      </c>
      <c r="D149" t="inlineStr">
        <is>
          <t>indeed</t>
        </is>
      </c>
      <c r="E149">
        <f>HYPERLINK("https://www.indeed.com/viewjob?jk=b7af460f59782fcc", "https://www.indeed.com/viewjob?jk=b7af460f59782fcc")</f>
        <v/>
      </c>
      <c r="F149">
        <f>HYPERLINK("https://click.appcast.io/t/gBkUy26lsJ7N1GMV7jMlhlqKK8LcNyRCwVLWLbSXm6I=", "https://click.appcast.io/t/gBkUy26lsJ7N1GMV7jMlhlqKK8LcNyRCwVLWLbSXm6I=")</f>
        <v/>
      </c>
      <c r="G149" t="inlineStr">
        <is>
          <t>Chevy Chase, MD, US</t>
        </is>
      </c>
      <c r="H149" s="3" t="n">
        <v>46046</v>
      </c>
      <c r="I14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**Overview****:** We are seeking an accomplished Senior Staff ML Engineer who will serve as the technical leader for an AI/Machine learning area. In this individual contributor role, you will drive the design, development, and optimization of advanced AIML systems and platforms, while setting the technical direction for multiple AIML sub\-teams. You will provide hands\-on guidance, ensure architectural excellence, and lead by example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Temporal, Kubernetes) and big\-data technologies (e.g., Spark, MongoDB, Opensearch, Snowflake, Neo4j, Redis).
* Significant experience working with cloud platforms (AWS, Azure, etc.) and their machine learning services (e.g., SageMaker, Azure ML, AWS Bedrock).
* Familiarity with frameworks for model interpretability, fairness, and regulatory compliance, ensuring ethical and transparent ML systems.
* Proficiency in machine learning frameworks such as TensorFlow, PyTorch, Scikit\-learn, Langchain, Langraph, etc.
If you are passionate about pushing the boundaries of machine learning technology, thrive in a hands\-on technical leadership role, and enjoy solving complex, large\-scale problems, we encourage you to apply.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li-4321329207</t>
        </is>
      </c>
      <c r="B2" t="inlineStr">
        <is>
          <t>AI Engineer</t>
        </is>
      </c>
      <c r="C2" t="inlineStr">
        <is>
          <t>GEI Consultants, Inc.</t>
        </is>
      </c>
      <c r="D2" t="inlineStr">
        <is>
          <t>linkedin</t>
        </is>
      </c>
      <c r="E2" t="inlineStr"/>
      <c r="F2" t="inlineStr"/>
      <c r="G2" t="inlineStr">
        <is>
          <t>Rancho Cordova, CA</t>
        </is>
      </c>
      <c r="H2" t="inlineStr"/>
      <c r="I2"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3">
      <c r="A3" t="inlineStr">
        <is>
          <t>li-4365747888</t>
        </is>
      </c>
      <c r="B3" t="inlineStr">
        <is>
          <t>Machine Learning Engineer</t>
        </is>
      </c>
      <c r="C3" t="inlineStr">
        <is>
          <t>Wiraa</t>
        </is>
      </c>
      <c r="D3" t="inlineStr">
        <is>
          <t>linkedin</t>
        </is>
      </c>
      <c r="E3" t="inlineStr"/>
      <c r="F3" t="inlineStr"/>
      <c r="G3" t="inlineStr"/>
      <c r="H3" t="inlineStr"/>
      <c r="I3" t="inlineStr">
        <is>
          <t>**About The Company**
 Aimpoint Digital is a leading analytics consulting firm dedicated to delivering innovative data\-driven solutions that create measurable business value. With a focus on data strategy, data analytics, decision sciences, and data engineering, Aimpoint Digital partners with organizations across various industries to harness the power of their data. Our mission is to enable clients to make informed decisions, optimize operations, and drive growth through advanced analytics, machine learning, and artificial intelligence. We pride ourselves on fostering a collaborative environment where expertise, innovation, and client success are at the core of everything we do.
**About The Role**
 As a Lead Data Scientist at Aimpoint Digital, you will play a pivotal role in designing and implementing end\-to\-end analytical solutions that address complex business challenges. You will work closely with clients to understand their needs, develop robust machine learning models, and deploy scalable solutions that generate actionable insights. This position requires a strategic thinker with strong technical expertise who can operate independently on client engagements, contribute to practice development, and support business growth. You will be a trusted advisor, guiding clients through the entire data science lifecycle—from data collection and feature engineering to model deployment and monitoring. Your innovative mindset and technical proficiency will help shape the future of our decision sciences offerings and ensure our clients stay ahead in their respective markets.
**Qualifications**
* Bachelor’s or Master’s degree in Computer Science, Engineering, Mathematics, or a related field
* Minimum of 3 years of experience in developing and deploying machine learning models across various platforms (Azure, AWS, GCP, Databricks, etc.)
* Proficiency in programming languages such as Python, SQL, and Spark
* Experience with building high\-quality data science models to solve real\-world business problems
* Strong understanding of software engineering best practices and methodologies
* Excellent communication skills, both written and verbal
* Ability to independently manage workstreams and collaborate effectively with stakeholders
* Willingness to travel as required
* Experience with stakeholder management and client collaboration
**Responsibilities**
* Design and develop end\-to\-end analytical solutions tailored to client needs
* Build feature engineering pipelines and develop machine learning and AI infrastructure
* Deploy models into production environments ensuring scalability and reliability
* Write optimized, maintainable code following software engineering standards
* Collaborate with stakeholders to gather requirements and ensure successful project delivery
* Work independently on complex data science use cases across industries
* Contribute to practice development by sharing knowledge, mentoring team members, and supporting business development initiatives
* Stay updated with the latest advancements in data science, machine learning, and AI technologies
* Implement automation, optimization, and data visualization solutions to enhance decision\-making processes
**Benefits**
* Competitive salary package
* Flexible remote working arrangements within the US, UK, or Colombia
* Opportunities for professional development and continuous learning
* Work with cutting\-edge technologies and innovative projects
* Collaborative and inclusive work environment
* Travel opportunities for client engagements and industry events
* Health and wellness benefits (if applicable)
 Equal Opportunity
 Aimpoint Digital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 We encourage individuals of all backgrounds to apply and join our team.</t>
        </is>
      </c>
    </row>
    <row r="4">
      <c r="A4" t="inlineStr">
        <is>
          <t>li-4363790381</t>
        </is>
      </c>
      <c r="B4" t="inlineStr">
        <is>
          <t>GenAI Consultant/AI Engineer/Data Scientist</t>
        </is>
      </c>
      <c r="C4" t="inlineStr">
        <is>
          <t>NeerInfo Solutions</t>
        </is>
      </c>
      <c r="D4" t="inlineStr">
        <is>
          <t>linkedin</t>
        </is>
      </c>
      <c r="E4" t="inlineStr"/>
      <c r="F4" t="inlineStr"/>
      <c r="G4" t="inlineStr">
        <is>
          <t>Richardson, TX</t>
        </is>
      </c>
      <c r="H4" t="inlineStr"/>
      <c r="I4" t="inlineStr">
        <is>
          <t>Role : Gen
 **AI Consultant** 
 Fulltime role
 Location : Austin Texas/ Raleigh, NC, Indianapolis, IN, Phoenix AZ, Richardson, TX or Hartford CT
**seeking a AI Consultant with 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Data Scientist Qualifications:** 
* Bachelor’s Degree or foreign equivalent will also consider three years of progressive experience in the specialty in lieu of every year of education.
* At least 6 years of Information Technology experience
* At least 4 years of hands\-on GenAI / Agentic AI/ data science with machine learning
* Strong proficiency in Python programming.
* Experience of deploying the Gen AI applications with one of the Agent Frameworks like LangGraph, AutoGen or Crew AI.
* Experience in deploying the Gen AI stack/services provided by various platforms such as AWS, GCP, Azure, IBM Watson
* Experience in Generative AI and working with multiple Large Language Models and implementing Advanced RAG based solutions.
* Experience in processing/ingesting unstructured data from PDFs, HTML, Image files, audio to text etc.
* Experience with Hybrid Retrieval, Semantic Chunking, Metadata Filtering and Vector Search Optimization
* Experience with Advanced LLM concepts like Prompt Compression, Fine\-Tuning, Caching, etc.
* Experience working with multimodal models integrating image, text, or audio into GenAI workflows.
* Experience working with Vector Databases (such as FAISS, Pinecone, Weaviate, or Azure AI Search).
* Experience in Model evaluation tools like DeepEval, FMeval, RAGAS , Bedrock model evaluation, including human\-in\-the\-loop feedback loops.
* Experience with LLMOps practices including prompt versioning, caching, observability, cost tracking, and production deployment of LLMs.
* Strong understanding of AI governance (like GDPR, explainability), data privacy, model safety (e.g., hallucination, toxicity, bias), and enterprise\-grade compliance requirements.
* Experience with data gathering, data quality, system / microservices architecture, coding best practices
**Preferred Data Scientist Qualifications:** 
* 5\+ years of hands\-on experience with more than one programming language; Java, Python, R, Scala, Java, SQL
* Hands\-on experience with CI/CD pipelines and DevOps tools like Jenkins, GitHub Actions, or Terraform.
* Proficiency in NoSQL and SQL databases (PostgreSQL, MongoDB, CosmosDB, DynamoDB).
* Deep Learning experience with CNNs, RNN, LSTMs and the latest research trends
* Experience in Python AI/ML frameworks such as TensorFlow, PyTorch, or LangChain.
* Strong understanding and experience of LLM fine\-tuning, local deployment of open\-source models
* Proficiency in building RESTful APIs using FastAPI, Flask, or Django.
* Experience in Model evaluation tools like DeepEval, FMeval, RAGAS , Bedrock model evaluation.
* Experience with perception (e.g. computer vision), time series data (e.g. text analysis)</t>
        </is>
      </c>
    </row>
    <row r="5">
      <c r="A5" t="inlineStr">
        <is>
          <t>li-4362162483</t>
        </is>
      </c>
      <c r="B5" t="inlineStr">
        <is>
          <t>Gen AI (Data Scientist/ ML Engineer)</t>
        </is>
      </c>
      <c r="C5" t="inlineStr">
        <is>
          <t>Jobs via Dice</t>
        </is>
      </c>
      <c r="D5" t="inlineStr">
        <is>
          <t>linkedin</t>
        </is>
      </c>
      <c r="E5" t="inlineStr"/>
      <c r="F5" t="inlineStr"/>
      <c r="G5" t="inlineStr"/>
      <c r="H5" t="inlineStr"/>
      <c r="I5" t="inlineStr">
        <is>
          <t>**Lead AI Engineer with 15\+ Years of experience**
**Experience required :\- 15\+ years !**
**Mandatory Skills:** 
 Python,LLM,GenAI,Semantic Search,Re\-Ranking,AWS,Search Engineer
**Job Description:**
 We are looking for an
 **AI Engineer** 
 to modernize and enhance our existing
 **regex/keyword\-based** 
 by integrating
 **state\-of\-the\-art semantic search, dense retrieval, and LLM\-powered ranking** 
 techniques.
 This role will drive the transformation of traditional search into an
 **intelligent, context\-aware, personalized, and high\-precision search experience** 
 .
 The ideal candidate has hands\-on experience with ,
 **information retrieval (IR)** 
 ,
 **embedding\-based search** 
 ,
 **BM25** 
 ,
 **re\-ranking** 
 ,
 **LLM\-based retrieval pipelines** 
 , and
 **AWS cloud deployment** 
 .
 Roles \&amp; Responsibilities
**Modernizing the Search Platform** 
* Analyze limitations in current regex \&amp; keyword\-only search implementation on ElasticSearch.
* Enhance search relevance using:
+ BM25 tuning
+ Synonyms, analyzers, custom tokenizers
+ Boosting strategies and scoring optimization
* Introduce semantic / vector\-based search using dense embeddings.
* LLM\-Driven Search \&amp; RAG Integration
* Implement LLM\-powered search workflows including:
+ Query rewriting and expansion
+ Embedding generation (OpenAI, Cohere, Sentence Transformers, etc.)
+ Hybrid retrieval (BM25 \+ vector search)
+ Re\-ranking using cross\-encoders or LLM evaluators
* Build RAG (Retrieval Augmented Generation) flows using ElasticSearch vectors, OpenSearch, or AWS\-native tools.
* Search Infrastructure Engineering
* Build and optimize search APIs for latency, relevance, and throughput.
* Design scalable pipelines for:
+ Indexing structured and unstructured text
+ Maintaining embedding stores
+ Real\-time incremental updates
* Implement caching, failover, and search monitoring dashboards.
* AWS Cloud Delivery
* Deploy and operate solutions on AWS, leveraging:
+ OpenSearch Service or EC2\-managed ElasticSearch
+ Lambda, ECS/EKS, API Gateway, SQS/SNS
+ SageMaker for embedding generation or re\-ranking models
* Implement CI/CD for search models and pipelines.
* Evaluation \&amp; Continuous Improvement
* Develop search evaluation metrics (nDCG, MRR, precision@k, recall).
* Conduct A/B experiments to measure improvements.
* Tune ranking functions and hybrid search scoring.
* Partner with product teams to refine search behaviors with real usage patterns.
**Required Skills \&amp; Qualifications** 
* 5–10 years of experience in AI/ML, NLP, or IR systems, with hands\-on search engineering.
* Strong expertise in ElasticSearch/OpenSearch: analyzers, mappings, scoring, BM25, aggregations, vectors.
* Experience with semantic search:
+ Embeddings (BERT, SBERT, Llama, GPT\-based, Cohere)
+ Vector databases or ES vector fields
+ Approximate nearest neighbor (ANN) techniques
* Working knowledge of LLM\-based retrieval and RAG architectures.
* Proficient in Python; familiarity with Java/Scala is a plus.
* Hands\-on AWS experience (OpenSearch, SageMaker, Lambda, ECS/EKS, EC2, S3, IAM).
* Experience building and deploying APIs using FastAPI/Flask and containerizing with Docker.
* Familiar with typical IR metrics and search evaluation frameworks.
**Preferred Skills**
* Knowledge of cross\-encoder and bi\-encoder architectures for re\-ranking.
* Experience with query understanding, spell correction, autocorrect, and autocomplete features.
* Exposure to LLMOps / MLOps in search use cases.
* Understanding of multi\-modal search (text \+ images) is a plus.
* Experience with knowledge graphs or metadata\-aware search.</t>
        </is>
      </c>
    </row>
    <row r="6">
      <c r="A6" t="inlineStr">
        <is>
          <t>li-4365764798</t>
        </is>
      </c>
      <c r="B6" t="inlineStr">
        <is>
          <t>AI/ML Engineer</t>
        </is>
      </c>
      <c r="C6" t="inlineStr">
        <is>
          <t>General Motors</t>
        </is>
      </c>
      <c r="D6" t="inlineStr">
        <is>
          <t>linkedin</t>
        </is>
      </c>
      <c r="E6" t="inlineStr"/>
      <c r="F6" t="inlineStr"/>
      <c r="G6" t="inlineStr"/>
      <c r="H6" t="inlineStr"/>
      <c r="I6" t="inlineStr">
        <is>
          <t>**About The Company**
 General Motors (GM) is a global leader in automotive manufacturing and innovation, dedicated to shaping the future of mobility through cutting\-edge self\-driving and electric vehicle technologies. With a rich history of automotive excellence, GM is committed to creating safer, more sustainable, and more connected transportation solutions. The company invests heavily in research and development to pioneer advancements in autonomous driving, electrification, and connected vehicle systems, aiming to enhance the driving experience while reducing environmental impact. GM fosters a culture of innovation, collaboration, and continuous learning, offering employees opportunities to grow professionally and contribute to transformative projects that have a lasting impact on society.
**About The Role**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Key responsibilities include designing and implementing scalable cloud\-based data processing solutions utilizing the latest technologies, taking ownership of complex projects from inception to deployment, collaborating effectively with cross\-functional teams, and mentoring junior engineers. The role demands a proactive approach to problem\-solving, a passion for autonomous vehicle technology, and the ability to navigate the challenges of large\-scale distributed systems.
**Qualifications**
* 8\+ years of professional experience in software engineering or related fields
* 3\+ years of experience leading and managing large\-scale technical initiatives
* Proficiency in building scalable infrastructure on cloud platforms such as GCP, Azure, or AWS
* Strong programming skills in Python, C\+\+, Golang, or similar languages
* Experience working with relational and NoSQL databases
* Demonstrated ability to develop, deploy, and maintain systems at scale
* Bachelor’s, Master’s, or Ph.D. degree in Computer Science, Electrical Engineering, Mathematics, Physics, or a related field, or equivalent practical experience
* A passion for autonomous vehicle technology and its potential to transform transportation
* Strong attention to detail and commitment to accuracy
* Proven ability to solve complex technical problems efficiently
* Start\-up mentality with adaptability and willingness to wear multiple hats
**Responsibilities**
* Design, develop, and test cloud\-based distributed computing and data processing solutions utilizing GCP/Azure technologies
* Take ownership of technical projects from conception through deployment, ensuring timely delivery and high quality
* Contribute to product roadmaps and make informed technical decisions, balancing trade\-offs effectively
* Participate in team planning sessions, code reviews, and design discussions, promoting best practices and collaborative problem\-solving
* Identify and resolve technical challenges related to large\-scale data systems and infrastructure
* Mentor and onboard new engineers and interns, fostering a culture of continuous learning and growth
* Engage with cross\-functional teams to ensure seamless integration of systems and solutions
* Stay updated with emerging cloud technologies and incorporate innovative approaches into projects
**Benefits**
* Comprehensive health, dental, and vision insurance plans
* Health Savings Account (HSA) and Flexible Spending Accounts (FSA)
* Retirement savings plan with company matching
* Paid vacation, holidays, and sick leave
* Tuition assistance and professional development programs
* Employee assistance program for mental health and wellbeing
* GM vehicle discounts and other employee perks
* Relocation assistance, if applicable
 Equal Opportunity
 GM is an equal opportunity employer committed to fostering an inclusive environment for all employees. We celebrate diversity and are dedicated to creating a workplace where every individual is valued and respected. We do not discriminate based on race, color, religion, gender identity, sexual orientation, national origin, age, disability, or any other protected characteristic. All qualified applicants will receive consideration for employment without regard to these factors.</t>
        </is>
      </c>
    </row>
    <row r="7">
      <c r="A7" t="inlineStr">
        <is>
          <t>li-4365741840</t>
        </is>
      </c>
      <c r="B7" t="inlineStr">
        <is>
          <t>Machine Learning Engineer</t>
        </is>
      </c>
      <c r="C7" t="inlineStr">
        <is>
          <t>Upstart</t>
        </is>
      </c>
      <c r="D7" t="inlineStr">
        <is>
          <t>linkedin</t>
        </is>
      </c>
      <c r="E7" t="inlineStr"/>
      <c r="F7" t="inlineStr"/>
      <c r="G7" t="inlineStr"/>
      <c r="H7" t="inlineStr"/>
      <c r="I7" t="inlineStr">
        <is>
          <t>**About Upstart** 
 Upstart is a leading AI\-driven lending marketplace that collaborates with banks and credit unions to expand access to affordable credit. By leveraging advanced artificial intelligence, Upstart's platform enables financial institutions to make more accurate lending decisions, resulting in higher approval rates and lower loss rates across diverse demographics including race, age, and gender. The platform offers a seamless digital\-first lending experience, with over 80% of borrowers receiving instant approvals without the need for extensive documentation. As a digital\-first company, Upstart supports a flexible work environment, with most employees working remotely across the United States, alongside offices in San Mateo, California; Columbus, Ohio; Austin, Texas; and New York City, NY (opening Summer 2026\). The company's mission is to enable access to effortless credit based on true risk, making a meaningful impact in the financial industry through innovative AI solutions.
**About The Role** 
 We are seeking a highly skilled and innovative Software Engineer to join our newly formed Applied Large Language Models (LLM) team. This team is responsible for developing foundational infrastructure that democratizes access to generative AI across all product and engineering teams at Upstart. The ideal candidate will play a pivotal role in designing and building user\-facing machine learning features that leverage LLMs and generative AI to unlock new product capabilities. You will collaborate closely with cross\-functional teams including product managers, designers, and ML researchers to prototype and deploy impactful ML\-powered experiences. Your responsibilities will include owning the technical architecture and implementation strategies for applied ML systems, ensuring they are scalable, trustworthy, and performant. This role offers an exciting opportunity to shape the future of AI\-driven financial products and contribute to the company's innovative culture.
**Qualifications** 
* Minimum of 6\+ years of software engineering experience, with at least 2\+ years working directly on ML\-driven products or intelligent systems
* Proven ability to lead complex initiatives across engineering, product, and research teams
* Strong backend development skills, particularly in Python with frameworks such as FastAPI or Flask
* Experience with cloud\-native tooling including Kubernetes, Docker, and Terraform
* Hands\-on experience integrating large language models (LLMs) or ML models into production systems, including API development and user\-facing applications
* Excellent communication skills and a collaborative, product\-oriented mindset
* Ability to design systems with consideration for latency, observability, and user impact
**Responsibilities** 
* Design and develop user\-facing ML features utilizing LLMs and generative AI to enhance product capabilities
* Partner with product, design, and ML research teams to prototype and deliver high\-impact ML\-powered experiences
* Own the technical architecture and deployment strategy for applied ML systems, balancing performance, latency, and reliability
* Build scalable services and APIs that deliver model outputs to users in an intuitive and trustworthy manner
* Collaborate with platform, infrastructure, and legal/compliance teams to ensure ML deployments meet safety, fairness, and performance standards
* Establish and promote best practices for prompt engineering, model evaluation, and experimentation across the organization
* Stay abreast of emerging AI technologies and incorporate them into product development processes
**Benefits** 
* Competitive compensation package including base salary, bonus, and equity
* Comprehensive medical, dental, and vision insurance with Health Savings Account contributions
* 401(k)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Social activities, team events, and employee resource groups (ERGs)
* Catered lunches, snacks, and drinks available at office locations
 Equal Opportunity
 Upstart is an Equal Opportunity Employer committed to fostering an inclusive environment for all employees. We value diversity and are dedicated to fair hiring practices, ensuring that all qualified applicants receive equal consideration regardless of race, color, religion, gender, gender identity or expression, sexual orientation, national origin, age, disability, or any other protected status.</t>
        </is>
      </c>
    </row>
    <row r="8">
      <c r="A8" t="inlineStr">
        <is>
          <t>li-4321358960</t>
        </is>
      </c>
      <c r="B8" t="inlineStr">
        <is>
          <t>Machine Learning Engineer</t>
        </is>
      </c>
      <c r="C8" t="inlineStr">
        <is>
          <t>FutureTech Recruitment</t>
        </is>
      </c>
      <c r="D8" t="inlineStr">
        <is>
          <t>linkedin</t>
        </is>
      </c>
      <c r="E8" t="inlineStr"/>
      <c r="F8" t="inlineStr"/>
      <c r="G8" t="inlineStr">
        <is>
          <t>San Francisco, CA</t>
        </is>
      </c>
      <c r="H8" t="inlineStr"/>
      <c r="I8" t="inlineStr">
        <is>
          <t>**Founding AI Engineer** 
**Onsite / Hybrid (4–5x per week) \- San Francisco** 
**$225k–$300k base \+ equity** 
 FutureTech Recruitment is partnered with a stealth AI FinTech startup building an AI\-native platform designed to make financial advisors dramatically more effective. The company is tackling outdated, manual workflows in wealth management with production\-grade AI systems, backed by top\-tier investors and operators with deep domain expertise.
 They’re hiring a Founding AI Engineer
 to own and evolve the AI capabilities of the platform from first principles.
**Responsibilities** 
* Evolve the multi\-agent system that powers the platform, from architecture through production deployment
* Own AI capabilities end\-to\-end, driving development of the core product
* Partner closely with founders, designers, and financial advisors to shape product direction and user experience
* Design and build production AI agent systems that enable advisors to tailor portfolios for thousands of clients
* Lead development of multi\-agent orchestration, tool\-calling infrastructure, and evaluation frameworks
* Build and maintain systems for state management, observability, and explainability to ensure reliability, transparency, and auditability
**Requirements** 
* 2\+ years of experience in backend or full\-stack software engineering, operating systems in production
* Strong focus on building and shipping production AI / ML systems
* Proven ability to rapidly iterate on complex systems in an early\-stage environment
* Proficient in Python and TypeScript
* Experience using React in production environments
* Actively uses AI coding tools to significantly increase development velocity
* Experience in financial services, particularly wealth or asset management, is a strong plus
* Interest or experience with agentic / multi\-agent AI systems preferred
**Why join?** 
* Help democratise sophisticated wealth management so millions can build wealth
* Define and lead from pre\-product to true scale as part of the founding team
* Backed by Tier 1 investors, with founder track record including a successful exit
 Interested in building the future of AI\-powered wealth management from the ground up? Click Apply Now!</t>
        </is>
      </c>
    </row>
    <row r="9">
      <c r="A9" t="inlineStr">
        <is>
          <t>li-4322158367</t>
        </is>
      </c>
      <c r="B9" t="inlineStr">
        <is>
          <t>Senior Machine Learning Engineer</t>
        </is>
      </c>
      <c r="C9" t="inlineStr">
        <is>
          <t>HCA Healthcare</t>
        </is>
      </c>
      <c r="D9" t="inlineStr">
        <is>
          <t>linkedin</t>
        </is>
      </c>
      <c r="E9" t="inlineStr"/>
      <c r="F9" t="inlineStr"/>
      <c r="G9" t="inlineStr"/>
      <c r="H9" t="inlineStr"/>
      <c r="I9" t="inlineStr">
        <is>
          <t>Job Summary and Qualifications
 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
**What you will do in this role:** 
* Actively contribute to AI/MLOps development within assigned product team
* Implement platform capabilities and patterns effectively
* Write high\-quality, maintainable code following team standards
* Develop and maintain ML systems using platform capabilities
* Implement robust CI/CD pipelines for ML models
* Ensure proper testing and validation of ML systems
* Balance team\-specific needs with platform standardization
* Champion platform adoption within a team
* Follow and help refine platform patterns and best practices
* Identify opportunities for leveraging platform capabilities
* Provide feedback on platform features and usability
* Help validate platform patterns through direct implementation
* Share knowledge and experiences with other MLEs
* Contribute to platform documentation and examples
* Participate in code reviews with focus on platform patterns
* Implement and maintain ML pipelines using platform tools
* Document technical decisions and implementations
* Follow established best practices and standards
* Contribute to technical discussions and design reviews
* Work closely with product team to understand AI development needs
* Provide implementation feedback to platform team
* Participate in technical discussions and knowledge sharing
* Help identify opportunities for platform improvement
**What qualifications you will need:** 
* Bachelor's degree \- Required
* Master's degree \- Preferred
* 5\+ years of experience in software engineering with a focus on ML and AI System Engineering \- Required
* Experience working in as an embedded engineer in a cross\-function product team \- Preferred
* Or equivalent combination of education and/or experience
**Additional Requirements/Preferences** 
* Strong technical background in ML engineering with demonstrated coding expertise \- Required
* Strong Python development expertise with focus on ML systems and AI/MLOps \- Required
* Familiarity of ML workflows and operational requirements \- Required
* Hands\-on experience implementing model CI/CD pipelines \- Required
* Experience with modern Python development practices including type checking, testing frameworks, and package management \- Required
* History of successful collaboration with product teams \- Required
* Familiarity with ML Development Lifecycle management and MLOps best practices \- Required
* Familiarity of ML Monitoring and observability \- Required
* Experience with LLMs and Infrastructure \- Preferred
* Familiarity integrating with feature stores, feature caches and model serving platforms \- Preferred
* Understanding of ML/AI platform tooling and patterns \- Preferred
* Familiarity with Distributed model training \- Preferred
* Hands\-on experience with Kubeflow, Argo, MLFlow or other ML/AI Training orchestrators \- Preferred
* Familiarity of ML/AI metadata tools and model registries – Preferred
* Hands\-on experience with Terraform or other IaC tools \- Preferred
* Hands on experience building ML/AI solutions on GCP and Vertex AI \- Preferred
* Familiarity with ML model lifecycle and common ML libraries (PyTorch, scikit\-learn, XGBoost, AutoGluon, CatBoost, TensorFlow, Keras) \- Preferred
* Familiarity with major LLM Models (Gemini, Cluade, ChatGPT, DeepSeek, LLaMA) \- Preferred
* Experience with FastAPI and async Python development \- Preferred
* Familiarity with modern Python tooling (uv, mypy, ruff, bandit) \- Preferred
* Experience with prompt management and versioning systems \- Preferred
* Understanding of RAG architectures and token optimization \- Preferred
* Experience writing and optimizing ML/AI tooling and components in C\+\+ or Rust \- Preferred
* Experience with LLMs and Infrastructure \- Preferred
* Experience integrating with feature stores, feature caches and model serving platforms – Preferred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10">
      <c r="A10" t="inlineStr">
        <is>
          <t>li-4321512694</t>
        </is>
      </c>
      <c r="B10" t="inlineStr">
        <is>
          <t>Machine Learning Engineer | Python | Pytorch | Distributed Training | Optimisation | GPU | Hybrid, San Jose, CA</t>
        </is>
      </c>
      <c r="C10" t="inlineStr">
        <is>
          <t>Enigma</t>
        </is>
      </c>
      <c r="D10" t="inlineStr">
        <is>
          <t>linkedin</t>
        </is>
      </c>
      <c r="E10" t="inlineStr"/>
      <c r="F10" t="inlineStr"/>
      <c r="G10" t="inlineStr">
        <is>
          <t>San Jose, CA</t>
        </is>
      </c>
      <c r="H10" t="inlineStr"/>
      <c r="I10"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11">
      <c r="A11" t="inlineStr">
        <is>
          <t>li-4321522949</t>
        </is>
      </c>
      <c r="B11" t="inlineStr">
        <is>
          <t>Lead AI Engineer</t>
        </is>
      </c>
      <c r="C11" t="inlineStr">
        <is>
          <t>IDIA Data Inc</t>
        </is>
      </c>
      <c r="D11" t="inlineStr">
        <is>
          <t>linkedin</t>
        </is>
      </c>
      <c r="E11" t="inlineStr"/>
      <c r="F11" t="inlineStr"/>
      <c r="G11" t="inlineStr">
        <is>
          <t>Louisville, KY</t>
        </is>
      </c>
      <c r="H11" t="inlineStr"/>
      <c r="I11" t="inlineStr">
        <is>
          <t>**Job Title: Senior Lead AI Engineer (National Security \&amp; Autonomy)** 
**Reports To:** 
 Eddie Elam, Founder \&amp; CEO 
**Location:** 
 Louisville, KY (Hybrid/Remote Flexible) 
**Employment Type:** 
 Equity\-First (Bridge to Funded Contract) 
**Citizenship:** 
**US CITIZENS ONLY** 
 (Strictly Enforced)
**The Mission** 
**IDIA Data Inc. is moving beyond standard AI. We are building "Bio\-Sovereign" Intelligence** 
 —a proprietary AI architecture that cryptographically tethers autonomous action to human biological identity. We are currently adapting this technology for critical
 **national security** 
 applications where the cost of error is zero.
 We need a Lead Engineer who isn't just building models, but building the
 **safety rails** 
 that will define the future of trusted autonomy. You will work directly with the CEO to turn the "IDIA Protocol" vision into deployed government prototypes.
**Citizenship \&amp; Clearance (Strictly Enforced)** 
* **US Citizenship Required:** 
 Due to the sensitive nature of our work with federal agencies,
 **applicants must be natural\-born or naturalized US Citizens.**
* **No Exceptions:** 
 We cannot accept Green Card holders, Permanent Residents, or foreign nationals for this specific role.
* **Clearance Eligibility: You must be willing and able to obtain a US Government Security Clearance (Secret or Top Secret).**
**Education and Professional Background** 
* **Education:** 
  Master’s degree or PhD in Computer Science, Artificial Intelligence, Robotics, Physics, or Mathematics is 
 **strongly preferred** 
 .
* *Note:* 
  Exceptional candidates with a Bachelor’s degree and 7\+ years of specialized experience in autonomous systems or defense R\&amp;D will be considered.
* **Experience:** 
  5\+ years of hands\-on engineering experience in high\-stakes environments (Defense, Aerospace, MedTech, or Fintech).
* **Research:** 
  Demonstrated ability to read and implement cutting\-edge research papers (e.g., arXiv) into production code within days, not months.
**Compensation \&amp; Funding Structure** 
**Phase 1: Pre\-Award (Immediate Start)** 
* **Equity Stake:** 
 You will receive an equity grant of
 **1%** 
 of the company.
* **The Horizon:** 
 This is a short\-term "bridge" phase. We operate under a Strategic Alliance with a
 **Tier\-1 Defense Prime Contractor** 
 that holds active federal contract vehicles with
 **multi\-billion dollar ceilings** 
 . We are currently executing immediate "Tech Insertion" proposals to activate this funding.
**Phase 2: Post\-Award (Projected Near\-Term)** 
 Upon the activation of our first Task Order/Funding Event, this role converts to a full\-time salaried position with the following package:
* **Base Salary:** 
**$175,000 – $250,000** 
 (Commensurate with experience).
* **Performance Bonuses:** 
 Uncapped cash bonuses tied to technical innovation and product development milestones.
* **Retirement:** 
 401(k) with
 **100% Employer Match** 
 up to 4% of salary, with immediate vesting.
**Comprehensive Benefits (Active Upon Funding)** 
**We support the modern family and long\-term wealth building:** 
* **Health:** 
 Comprehensive Medical, Dental, and Vision insurance with low deductibles.
* **Family Support:** 
 Up to
 **18 weeks of Paid Parental Leave** 
 (birth, adoption, or surrogacy) and financial assistance for fertility/adoption.
* **Time Off:** 
**20 days PTO** 
 ,
 **Unlimited Sick Leave** 
 , and a
 **30\-day Paid Sabbatical** 
 after 5 years.
* **Wellness:** 
 Mental health support and an annual $1,000 HSA contribution.
**Core Responsibilities** 
* **Direct\-to\-CEO Execution:** 
 Translate the CEO’s strategic roadmap directly into shipping code. You will bypass standard bureaucracy to rapidly prototype critical capabilities for federal defense clients.
* **Autonomous Control Architecture:** 
 Lead the development of the
 **"Bio\-Tether" API/MCP** 
 —a low\-latency system that streams human biometric data to authorize or ground autonomous edge systems in real\-time.
* **The Engine:** 
 Optimize and deploy our core "Split\-Brain" AI architecture (Generalist \+ Specialist models) to handle sensitive data classification and high\-stakes decision\-making.
* **Team Leadership:** 
 Lead a lean, agile team of junior developers and data scientists. You set the code standards, the sprint velocity, and the architectural discipline.
**Technical Stack \&amp; Requirements** 
* **Primary Languages:** 
 Python (Advanced), C\+\+ (for embedded systems), Rust (for safety\-critical components).
* **AI/ML Frameworks:** 
 Deep experience with
 **PyTorch** 
 or
 **TensorFlow** 
 . You must know how to fine\-tune LLMs and build custom inference pipelines, not just call OpenAI APIs.
* **Robotics \&amp; Edge Computing:** 
 Experience with
 **ROS (Robot Operating System)** 
 and edge deployment is highly preferred. You need to understand how software talks to hardware in real\-time environments.
* **Biometrics/IoT:** 
 Familiarity with ingesting time\-series data from wearables (Garmin/Apple HealthKit/Clinical Sensors) and processing it for anomaly detection.
**The Ideal Candidate** 
* **You are a "Builder," not just a Manager.** 
 You are ready to write code 60% of the time. We are in a "Sprint to Prototype" phase.
* **You understand "Mission Critical."** 
 You aren't building an ad\-tech algorithm; you are building systems where a bug could mean physical failure. You take "Safety Engineering" seriously.
* **You are "Polyglot."** 
 You are comfortable jumping from training a Transformer model in the morning to debugging an embedded controller in the afternoon.
**Why This Role?** 
* **Impact:** 
 You are building the technology that solves the "Runaway AI" problem for the US Government. Your code will directly enable the safe use of autonomous systems.
* **Ownership:** 
 You are not buried in a silo. You report to the Founder and have a direct seat at the table for high\-level strategy and government negotiations.
* **Growth:** 
 As IDIA scales its federal portfolio, this role tracks rapidly toward a
 **VP of Engineering** 
 position within our Public Health Division.</t>
        </is>
      </c>
    </row>
    <row r="12">
      <c r="A12" t="inlineStr">
        <is>
          <t>li-4321368851</t>
        </is>
      </c>
      <c r="B12" t="inlineStr">
        <is>
          <t>Senior AI Engineer | NLP | Large Language Models | Machine Learning | Remote, US</t>
        </is>
      </c>
      <c r="C12" t="inlineStr">
        <is>
          <t>Enigma</t>
        </is>
      </c>
      <c r="D12" t="inlineStr">
        <is>
          <t>linkedin</t>
        </is>
      </c>
      <c r="E12" t="inlineStr"/>
      <c r="F12" t="inlineStr"/>
      <c r="G12" t="inlineStr"/>
      <c r="H12" t="inlineStr"/>
      <c r="I12" t="inlineStr">
        <is>
          <t>**Senior AI Engineer \| NLP \| Large Language Models \| Machine Learning \| Remote, US** 
 No visa sponsorship is available at this time.
 We are looking for multiple Senior AI Engineers, they are responsible for building AI and machine learning models and pipelines, with a particular emphasis on generative AI, large language models (LLMs), and predictive modeling. This role involves collaborating closely with business and product stakeholders to understand data requirements and product specifications, enabling data\-driven decision\-making and product design. Additionally, the position requires coordination with software engineers and developers to deliver effective solutions.
 A key aspect of the role involves rapidly acquiring new tools and technologies, leveraging a strong foundation in machine learning and artificial intelligence alongside basic programming and scripting skills. The individual in this position is expected to have practical experience in the design, development, management, and maintenance of systems as well as in handling large datasets. Expertise with commonly used AI and machine learning frameworks and a solid grasp of fundamental techniques—including deep learning, regression, classification, and clustering algorithms—are essential. Familiarity with retrieval\-augmented generation pipelines and designing LLM\-supported use cases is also critical.
**Responsibilities** 
* Leading AI strategy by delivering integrated solutions that combine software engineering, statistics, and machine learning for complex clinical applications.
* Executing rigorous, analytical experiments to achieve incremental improvements using the most suitable techniques.
* Preparing comprehensive reports and presentations to convey hypotheses and insights that support organizational decision\-making.
* Becoming the subject matter expert on available organizational data by identifying, collecting, transforming, and exploring datasets.
* Facilitating seamless collaboration between engineers, product analysts, and other teams within the organization.
**Experience** 
* 5 to 7 years of relevant experience.
* Leadership experience is advantageous.
* At least three years of experience in an AI Engineer role.
* Advanced degree (Ph.D. or MSc) in computer science, machine learning, AI, or related fields, or equivalent experience in designing, building, and evaluating machine learning systems.
* Proficiency with machine learning ecosystem tools such as PyTorch, TensorFlow, Scikit\-learn, and XGBoost.
* Strong statistical analysis and machine learning knowledge, with practical programming skills (e.g., Python, R, SQL).
* Expertise in data visualization, model implementation, testing, and deployment.
* Experience evaluating and working with LLM\-based pipelines, including retrieval\-augmented generation and prompting techniques, is advantageous.
* Familiarity with tools like LangChain, LlamaIndex, Haystack, Azure AI Studio, vector databases, or equivalent LLM\-enabled technologies.
* Proficiency in database access and management using SQL, Azure Data Factory, or similar technologies.
* Familiarity with big data frameworks (e.g., Hadoop, Spark) or equivalent systems.
* Understanding of MLOps principles, including orchestration tools, cloud computing, and observability platforms.
 💰Up to $220,000 USD \+ Bonus
 📍Fully remote anywhere in the US
 If you are interested in finding out more about this hire please reach out to tom@enigma\-rec.ai for immediate consideration.
**Senior AI Engineer \| NLP \| Large Language Models \| Machine Learning \| Remote, US**</t>
        </is>
      </c>
    </row>
    <row r="13">
      <c r="A13" t="inlineStr">
        <is>
          <t>li-4365774627</t>
        </is>
      </c>
      <c r="B13" t="inlineStr">
        <is>
          <t>Founding Applied AI Engineer</t>
        </is>
      </c>
      <c r="C13" t="inlineStr">
        <is>
          <t>Jack &amp; Jill</t>
        </is>
      </c>
      <c r="D13" t="inlineStr">
        <is>
          <t>linkedin</t>
        </is>
      </c>
      <c r="E13" t="inlineStr"/>
      <c r="F13" t="inlineStr"/>
      <c r="G13" t="inlineStr">
        <is>
          <t>San Francisco, CA</t>
        </is>
      </c>
      <c r="H13" t="inlineStr"/>
      <c r="I13" t="inlineStr">
        <is>
          <t>This is a job that Jill, our AI Recruiter, is recruiting for on behalf of one of our customers.
 She will pick the best candidates from Jack's network
 The next step is to speak to Jack.
 Founding Applied AI Engineer
**Company Description:** 
 Well\-funded legal tech SaaS
**Job Description:** 
 You will join as a founding engineer to help transform the trillion\-dollar legal industry using generative AI. Working closely with the CTO, you will own the development of core product features and machine learning buildouts. This is a high\-ownership, demanding role designed for engineers who want to scale a startup from the ground level.
**Location:** 
 San Francisco, USA \&amp; London, UK
**Why this role is remarkable:** 
* Join a founding team at an early\-stage startup that has achieved 50X revenue growth in its first year.
* Backed by top\-tier VCs and already beating established incumbents in enterprise\-level pilot competitions.
* Rare opportunity to work directly with the CTO and gain exposure to the full lifecycle of scaling an AI product.
**What you will do:** 
* Build and deploy complex, production\-ready machine learning models to automate document review and negotiation.
* Work across the full stack to deliver customer\-facing features and deep technical infrastructure.
* Own end\-to\-end tasks with high autonomy, from initial conceptualization to deployment and iteration.
**The ideal candidate:** 
* Exceptional computer science fundamentals and experience training machine learning models for production use cases.
* High personal agency and a ""gritty"" mindset, comfortable with fast\-paced, self\-directed work environments.
* Ability to reason clearly about complex system failure modes and maintain high attention to detail.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4">
      <c r="A14" t="inlineStr">
        <is>
          <t>li-4354067756</t>
        </is>
      </c>
      <c r="B14" t="inlineStr">
        <is>
          <t>AI Machine Learning Engineer</t>
        </is>
      </c>
      <c r="C14" t="inlineStr">
        <is>
          <t>Jobs via Dice</t>
        </is>
      </c>
      <c r="D14" t="inlineStr">
        <is>
          <t>linkedin</t>
        </is>
      </c>
      <c r="E14" t="inlineStr"/>
      <c r="F14" t="inlineStr"/>
      <c r="G14" t="inlineStr">
        <is>
          <t>Austin, TX</t>
        </is>
      </c>
      <c r="H14" t="inlineStr"/>
      <c r="I14" t="inlineStr">
        <is>
          <t>**Overview**
**JOB TITLE:**
 AI Machine Learning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AI/ML Engineer enhances data collection procedures to include information that is relevant for building analytics andmachine learningsystems. Processing, cleansing, and verifying the integrity of data used foranalysis. Doing ad\-hocanalysisand presenting results in a clear manner. Focused on generating, maintaining and delivering detailed and accurate reporting on the information gathered and reported byartificial intelligencesystems, with the goal of maximizing ROI from the rush of new data generated.
 T his position performs all duties and responsibilities in accordance with the Mission, Vision, and Core Values of Cayuse.
**Key Responsibilities**
* Develop, test, and optimize machine learning models for classification, regression, clustering, or recommendation tasks.
* Collaborate with cross\-functional teams to integrate AI solutions into existing systems to align with business needs .
* Stay updated on the latest advancements in AI technologies and methodologies.
* Deploy trained models into production environments using APIs, containers (e.g., Docker), or cloud services (AWS, Google Cloud Platform, or Azure).
* Monitor model performance, detect drift, and implement improvements or retraining strategies to ensure models remain accurate over time. Fine\- tune models for performance and efficiency.
* Troubleshoot and resolve issues related to AI models and implementations.
* Document and share improvements and experiences in product troubleshooting and technical solutions.
* Develop automated pipelines for continuous integration, delivery, and model retraining (CI/CD).
* Ensure AI models c omply with industry regulations, address biases, and adhere to ethical standards.
* Other duties as assigned .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 Level 2: 4\-7 years of experience in the field or in a related area. Familiar with standard concepts, practices, and procedures within a particular field. Relies on limited experience and judgment to plan and accomplish goals . A certain degree of creativity and latitude is required . Works under limited supervision with considerable latitude for the use of initiative and independent judgment .
* Level 3: 8 or more years of experience, relies on experience and judgment to plan and accomplish goals, independently performs a variety of complicated tasks; may lead and direct the work of others . A wide degree of creativity and latitude is expected.
* All Levels
* Strong knowledge of programming languages (e.g., Java, Python, C\#), software design patterns, and system architectures (e.g., microservices, service\-oriented architecture).
* Familiarity with cloud platforms (e.g., AWS, Azure, Google Cloud) and their architectural principles.
* Excellent analytical and problem\-solving skills to address complex technical challenges.
* Strong verbal and written communication skills to effectively collaborate with team members and stakeholders.
* Must be able to pass a background check. May require additional background checks as required by projects and/or clients at any time during employment.
**Minimum Skills:**
* Proficiency in programming languages (e.g., Python , SQL) .
* Proficiency in open\-source machine learning (ML) and artificial intelligence (AI) frameworks (e.g., TensorFlow, PyTorch , Scikit\-Learn ) .
* Exceptional understanding of data processing services
* Exce ptional understanding of feature engineering and model tuning processes.
* Exceptional problem\-solving skills using algorithm optimization.
* Excellent data analysis skills
* Exceptional interpersonal skills with the ability to communicate in a clear, professional, and articulate manner.
* Exceptional verbal and written communication skills .
* Excellent organizational, analytical, and problem\-solving skills with high\-level attention to detail.
* Strong multitasking skills with the ability to manage multiple design streams across concurrent work effort.
* Must be self\-motivated and able to work well independently as well as on a multi\-functional team.
**Desired Qualifications:**
* Bachelor's or master's degree in Computer Science , Machine Learning, or related field.
* Proven experience as an AI/ML Engineer or similar role.
* Strong understanding of machine learning algorithms and principles.
* Familiarity with deep learning frameworks such as TensorFlow or PyTorch .
* Proficiency in programming languages like Python, R, or Java.
* Experience with data preprocessing and feature engineering.
* Strong analytical and problem\-solving skills.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 with the ability to work on \- site in the main office .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 May be asked to work a flexible schedule which may include holidays.
* May be asked to travel for business or professional development purposes.
* May be asked to work hours outside of normal business hours.
* T 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row r="15">
      <c r="A15" t="inlineStr">
        <is>
          <t>li-4355924170</t>
        </is>
      </c>
      <c r="B15" t="inlineStr">
        <is>
          <t>Lead RPA/ML Engineer</t>
        </is>
      </c>
      <c r="C15" t="inlineStr">
        <is>
          <t>Satsyil Corp.</t>
        </is>
      </c>
      <c r="D15" t="inlineStr">
        <is>
          <t>linkedin</t>
        </is>
      </c>
      <c r="E15" t="inlineStr"/>
      <c r="F15" t="inlineStr"/>
      <c r="G15" t="inlineStr">
        <is>
          <t>Tysons Corner, VA</t>
        </is>
      </c>
      <c r="H15" t="inlineStr"/>
      <c r="I15" t="inlineStr">
        <is>
          <t>The Lead RPA/ML Engineer provides technical leadership for Robotic Process Automation (RPA) and Machine Learning (ML) initiatives, implementing automation solutions to streamline repetitive tasks and enhance decision\-making capabilities within DevSecOps workflows. This position designs and develops RPA bots, integrates ML models where applicable, and works to improve operational efficiency across testing, security, and governance activities.
**Required Qualifications:** 
* U.S. citizenship (per DHS Sensitive Systems Policy Directive 4300A)
* Ability to obtain and maintain DHS Public Trust clearance (Tier 2\)
**Recommended Qualifications:** 
* Eight (8\) or more years of experience in IT with focus on RPA, ML, or automation technologies
* Experience with RPA platforms (UiPath, Blue Prism, Automation Anywhere)
* Proficiency with programming languages (Python, C\#, Java)
* Knowledge of machine learning frameworks and libraries (TensorFlow, PyTorch, scikit\-learn)
* Experience with process analysis and automation opportunity identification
* Familiarity with API integration and data manipulation
* Understanding of bot orchestration and governance
* Experience with federal government automation initiatives</t>
        </is>
      </c>
    </row>
    <row r="16">
      <c r="A16" t="inlineStr">
        <is>
          <t>li-4365802168</t>
        </is>
      </c>
      <c r="B16" t="inlineStr">
        <is>
          <t>Senior, ML Engineer - Neural Rendering</t>
        </is>
      </c>
      <c r="C16" t="inlineStr">
        <is>
          <t>RemoteHunter</t>
        </is>
      </c>
      <c r="D16" t="inlineStr">
        <is>
          <t>linkedin</t>
        </is>
      </c>
      <c r="E16" t="inlineStr"/>
      <c r="F16" t="inlineStr"/>
      <c r="G16" t="inlineStr"/>
      <c r="H16" t="inlineStr"/>
      <c r="I16" t="inlineStr">
        <is>
          <t>About the Opportunity:
 The organization focuses on developing software for automated trucks to transform freight movement using autonomous vehicle technology. This role involves advancing simulation and data generation through Neural Rendering and generative models to support a data\-driven simulator aimed at enhancing safety in autonomous trucking.
 Responsibilities:
 • Implement latest research in Neural Rendering and generative models
 • Translate solutions for high\-quality Camera, LiDAR, and Radar sensor simulations in autonomous driving
 • Support development of a neural rendering framework to scale perception simulation and training
 • Integrate framework into cloud environments and automate pipelines for verification and validation
 • Lead projects from research through deployment
 • Design, test, and deploy production\-quality software following disciplined development processes
 • Collaborate within cloud machine learning ecosystems alongside existing services
 • Assess and improve current capabilities aligned with strategy and operations
 • Serve as project lead, mentoring and guiding team members
 Requirements:
 • Proficiency in Python and deep learning frameworks such as PyTorch
 • PhD or equivalent 6\+ years of experience in CS, Robotics, or Electrical Engineering with production software background
 • Proven expertise in Neural Rendering (Neural Radiance Fields, 3D Gaussian Splatting) and generative models (Diffusion Models, Flow Matching)
 • Background in Computer Graphics, 3D Reconstruction, or 3D Computer Vision
 • Ability to work independently on complex tasks with minimal supervision
 • Experience with VDI and cloud\-based machine learning development environments
 • Ability to drive alignment across team interfaces and maintain team technical solutions
 • Experience mentoring engineers
 Bonus Points:
 • Experience with autonomous driving or robotics perception in production
 • Proficiency with CUDA programming for large\-scale scene rendering
 • Publications in top\-tier CV/AI/Graphics conferences or journals
 • Experience with MLOps and infrastructure tools such as Ray
 • Familiarity with 3D labeling, calibration, and sensor simulation pipelines
 • Experience handling data from multiple autonomous driving sensors (camera, lidar, radar)
 Benefits \&amp; Perks:
 • Competitive compensation including bonus and stock options
 • 100% paid medical, dental, and vision insurance for full\-time employees
 • 401K plan with 6% employer match
 • Flexible schedule and generous paid vacation from start date
 • AD\+D and life insurance coverage
 Compensation:
 • US Base Pay Range: $199,200 to $298,800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li-4321443753</t>
        </is>
      </c>
      <c r="B17" t="inlineStr">
        <is>
          <t>AI Engineer</t>
        </is>
      </c>
      <c r="C17" t="inlineStr">
        <is>
          <t>GEI Consultants, Inc.</t>
        </is>
      </c>
      <c r="D17" t="inlineStr">
        <is>
          <t>linkedin</t>
        </is>
      </c>
      <c r="E17">
        <f>HYPERLINK("https://www.linkedin.com/jobs/view/4321443753", "https://www.linkedin.com/jobs/view/4321443753")</f>
        <v/>
      </c>
      <c r="F17">
        <f>HYPERLINK("https://geicareers.ttcportals.com/jobs/17170781-ai-engineer?tm_job=856161-OTHLOC-CECxYfwv&amp;tm_event=view&amp;tm_company=90289&amp;bid=56&amp;urlHash=DOcL", "https://geicareers.ttcportals.com/jobs/17170781-ai-engineer?tm_job=856161-OTHLOC-CECxYfwv&amp;tm_event=view&amp;tm_company=90289&amp;bid=56&amp;urlHash=DOcL")</f>
        <v/>
      </c>
      <c r="G17" t="inlineStr">
        <is>
          <t>Pasadena, CA</t>
        </is>
      </c>
      <c r="H17" t="inlineStr"/>
      <c r="I17"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sitehere.
**GEI’s Total Rewards Package Includes**
*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18">
      <c r="A18" t="inlineStr">
        <is>
          <t>li-4365801930</t>
        </is>
      </c>
      <c r="B18" t="inlineStr">
        <is>
          <t>Senior Applied Scientist - AI Safety and Security</t>
        </is>
      </c>
      <c r="C18" t="inlineStr">
        <is>
          <t>Jobs via Dice</t>
        </is>
      </c>
      <c r="D18" t="inlineStr">
        <is>
          <t>linkedin</t>
        </is>
      </c>
      <c r="E18">
        <f>HYPERLINK("https://www.linkedin.com/jobs/view/4365801930", "https://www.linkedin.com/jobs/view/4365801930")</f>
        <v/>
      </c>
      <c r="F18">
        <f>HYPERLINK("https://click.appcast.io/t/XzB4nyb_yXmspfBGXsPYhP9N0ElP7itzxDG6huww-eU=&amp;urlHash=j5El", "https://click.appcast.io/t/XzB4nyb_yXmspfBGXsPYhP9N0ElP7itzxDG6huww-eU=&amp;urlHash=j5El")</f>
        <v/>
      </c>
      <c r="G18" t="inlineStr">
        <is>
          <t>Redmond, WA</t>
        </is>
      </c>
      <c r="H18" t="inlineStr"/>
      <c r="I1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seeking a Senior Applied Scientist \- AI Safety and Security to join a high impact team sitting at the intersection of cybersecurity and generative AI. As an applied scientist on this team, you will research, conduct experiments, train models, and develop technical innovation for detection of AI abuse as well as mitigations for threats like prompt injection attacks. You will work towards implementing and shipping state\-of\-the\-art techniques for things like metacognition and mechanistic interpretability, partnering closely with our engineering and security research teams to help defend Microsoft's flagship AI systems and Agentic products.
 We are the Artificial Generative Intelligence Security (AeGIS) team, and we are charged with ensuring justified confidence in the safety and security of Microsoft's generative AI products. This encompasses providing infrastructure for AI safety and security; serving as a coordination point for all things AI incident response; researching the quickly evolving threat landscape; red teaming AI systems for failures; and empowering Microsoft with this knowledge. We are a mission\-driven team intent on delivering trustworthy AI and response processes when it does not live up to those standards. We are always learning. Insatiably curious. We lean into uncertainty, take risks, and learn quickly from our mistakes. Together we make a difference for all of our customers, from end users to Fortune 50 enterprises. Our team has people from a wide variety of backgrounds, previous work histories, and life experiences, and we are eager to maintain and grow that diversity. Our diversity of backgrounds and experiences enables us to create innovative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Advance the science: Design and run experiments, train models, and develop techniques and pipelines in areas like reinforcement learning, fingerprinting, meta\-cognition, and mechanistic interpretability \- all while upholding best practices in Responsible AI and Privacy\-Preserving ML.
* Push state\-of\-the\-art detection and threat hunting capabilities: explore and optimize detection approaches that enable investigators to do sophisticated searches for attack signature similarity and large\-scale pattern matching or anomaly detection.
* Drive AI Safety and Security innovation: Partner with Engineering and PM to translate research into product and security platform vision, experimenting with new mitigation approaches like model activation analysis or drift detection.
* Collaborate across Microsoft: Work closely with Microsoft Research, Defender, Azure, AI platform teams, and product groups to bring cutting\-edge AI into real\-world applications.
* Stay ahead: Keep up with the latest research and foster a thriving applied science culture. Publishing is encouraged, though not required.
 Embody our Culture and Values
**Qualifications**
 Required/minimum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**Other Requirements**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 Experience training or fine\-tuning models and building ML experimentation systems. Technical experience with ML tools like PyTorch and data toos like Spark.
* Experience with synthetic data generation and data management for evaluation/training
* Experience publishing research papers and/or obtaining patents
* Deep motivation for user\-centric AI safety and security, and interest in detections and mitigations
* Experience with large\-scale embedding models and transformer architectures.
* Familiarity with advanced concepts in AI safety, such as metacognition and mechanistic interpretability.
 \#MSFT Security \#MSECAI \#AI \#RAI \#Safety \#Security \#MSECAI \#AEGIS \#AIIR \#AISP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li-4365772831</t>
        </is>
      </c>
      <c r="B19" t="inlineStr">
        <is>
          <t>Entry level AI/ML Engineer: SVL</t>
        </is>
      </c>
      <c r="C19" t="inlineStr">
        <is>
          <t>Lensa</t>
        </is>
      </c>
      <c r="D19" t="inlineStr">
        <is>
          <t>linkedin</t>
        </is>
      </c>
      <c r="E19">
        <f>HYPERLINK("https://www.linkedin.com/jobs/view/4365772831", "https://www.linkedin.com/jobs/view/4365772831")</f>
        <v/>
      </c>
      <c r="F19" t="inlineStr"/>
      <c r="G19" t="inlineStr">
        <is>
          <t>San Jose, CA</t>
        </is>
      </c>
      <c r="H19" t="inlineStr"/>
      <c r="I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0">
      <c r="A20" t="inlineStr">
        <is>
          <t>li-4359974304</t>
        </is>
      </c>
      <c r="B20" t="inlineStr">
        <is>
          <t>Principal Machine Learning Engineer</t>
        </is>
      </c>
      <c r="C20" t="inlineStr">
        <is>
          <t>Immunera</t>
        </is>
      </c>
      <c r="D20" t="inlineStr">
        <is>
          <t>linkedin</t>
        </is>
      </c>
      <c r="E20">
        <f>HYPERLINK("https://www.linkedin.com/jobs/view/4359974304", "https://www.linkedin.com/jobs/view/4359974304")</f>
        <v/>
      </c>
      <c r="F20" t="inlineStr"/>
      <c r="G20" t="inlineStr">
        <is>
          <t>New York, NY</t>
        </is>
      </c>
      <c r="H20" t="inlineStr"/>
      <c r="I20" t="inlineStr">
        <is>
          <t>**Immunera** 
 builds blood tests that use gene sequencing and machine learning to help patients with autoimmune disease. Our technology has been published in Science and covered by The New York Times and STAT News.
 We’re hiring a Principal Machine Learning Engineer to shape the core models and infrastructure that power our blood tests. We are partnering with hospitals to generate training data from real patients for our language models and other biological sequence models.
 In your first 12 months, you’ll be responsible for developing and deploying our first test for clinical use. This is a senior engineering role with significant autonomy at an early\-stage, venture\-backed startup.
**WHAT YOU’LL WORK ON** 
* Design, train, evaluate, and deploy models across molecular datasets, including large language models applied to gene sequencing data.
* Build pipelines and tools to run reproducible experiments, track model provenance, and monitor and deploy models in production.
* Work closely with biologists and clinicians to ground modeling choices in immunology and medical fundamentals.
**HOW WE WORK** 
* We keep the stack understandable and reproducible.
* We collaborate directly with scientific and clinical partners to make sure we’re solving the right problems.
* We try to be honest about what the data shows, especially when it means rethinking our assumptions.
**WHAT YOU BRING** 
**Required** 
* 5\+ years of professional experience building and operating ML systems end\-to\-end in production, or comparable expertise.
* Comfort working across modeling, data engineering, and infrastructure (Python, PyTorch/TensorFlow, cloud platforms).
* Ability to lead complex, research\-heavy projects with scientists and clinicians.
**Preferred** 
* Experience with biological or clinical data.
* Background in distributed training or ML platform design.
* Contributions to open source or scientific literature.
* Interest in helping shape a small, growing ML team.
 You do
 *not* 
 need a background in immunology to succeed here. We care much more about your ability to reason about data, models, and systems.
**WHY IMMUNERA** 
 You’ll join a small team working at the intersection of ML, immunology, and clinical care. The models you build will move quickly from research to real patients, and the platform you help design has the potential to improve care for millions of people over time. If decoding human health and bringing ML to patients sounds exciting, we’d love to talk.
 We offer competitive compensation, equity, health coverage, and retirement benefits.</t>
        </is>
      </c>
    </row>
    <row r="21">
      <c r="A21" t="inlineStr">
        <is>
          <t>li-4365796060</t>
        </is>
      </c>
      <c r="B21" t="inlineStr">
        <is>
          <t>Senior AI Engineer</t>
        </is>
      </c>
      <c r="C21" t="inlineStr">
        <is>
          <t>Paper</t>
        </is>
      </c>
      <c r="D21" t="inlineStr">
        <is>
          <t>linkedin</t>
        </is>
      </c>
      <c r="E21">
        <f>HYPERLINK("https://www.linkedin.com/jobs/view/4365796060", "https://www.linkedin.com/jobs/view/4365796060")</f>
        <v/>
      </c>
      <c r="F21">
        <f>HYPERLINK("https://paper.wd3.myworkdayjobs.com/Paper_Careers/job/All-North-America\u002d\u002d-Remote/Senior-AI-Engineer_R-100312?source=LinkedIn&amp;urlHash=IGCt", "https://paper.wd3.myworkdayjobs.com/Paper_Careers/job/All-North-America\u002d\u002d-Remote/Senior-AI-Engineer_R-100312?source=LinkedIn&amp;urlHash=IGCt")</f>
        <v/>
      </c>
      <c r="G21" t="inlineStr"/>
      <c r="H21" t="inlineStr"/>
      <c r="I21"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22">
      <c r="A22" t="inlineStr">
        <is>
          <t>li-4365798218</t>
        </is>
      </c>
      <c r="B22" t="inlineStr">
        <is>
          <t>AI Engineer</t>
        </is>
      </c>
      <c r="C22" t="inlineStr">
        <is>
          <t>Addition Management</t>
        </is>
      </c>
      <c r="D22" t="inlineStr">
        <is>
          <t>linkedin</t>
        </is>
      </c>
      <c r="E22">
        <f>HYPERLINK("https://www.linkedin.com/jobs/view/4365798218", "https://www.linkedin.com/jobs/view/4365798218")</f>
        <v/>
      </c>
      <c r="F22" t="inlineStr"/>
      <c r="G22" t="inlineStr"/>
      <c r="H22" t="inlineStr"/>
      <c r="I22" t="inlineStr">
        <is>
          <t>**Title: Senior Software Forward Deployed Engineer** 
**Location: Remote (East Coast)** 
**Salary: $120k \- $150k \+ Bonus** 
***Prestigious Professional Services Firm is seeking a* 
 Senior Software Forward Deployed Engineer
 *to join their team!***
**RESPONSIBILITIES** 
* Build and integrate AI\-powered features into enterprise products (e.g., conversational UIs, insights modules, dashboards)
* Develop and maintain integrations across APM, logging, and audit pipelines to ensure observability and compliance
* Collaborate with Prompt Engineers to optimize prompts and implement robust guardrails
* Design and orchestrate AI agents, wiring LLMs to APIs and internal tools through frameworks like MCP Server and A2A protocols
* Develop semantic search pipelines and entity\-aware features to enhance contextual relevance
* Support the evolution of AI infrastructure, including service orchestration, token flow control, and API rate management
* Contribute to building internal libraries, reusable components, and integration standards for AI\-powered apps
**QUALIFICATIONS** 
* Bachelor of Science in Computer Science, Software Engineering, Electrical Engineering, Computer Engineering, Information Systems or related area
* 3\+ years of experience in software development, preferably in AI, NLP, or data\-driven environments
* Proficient in modern programming languages (e.g., Python, .NET, JavaScript) and working with REST APIs
* Experience with LLMs (e.g., GPT, Claude) and integrating them into products
* Experience extending ChatGPT custom GPTs via Actions
* Familiarity with APM tools, log tracing, and building secure/observable services
* Exposure to agent orchestration frameworks, semantic search, or knowledge graph pipelines
* Understanding of A2A protocols, MCP Server, and enterprise integration patterns
* Strong collaboration skills and ability to work cross\-functionally with Product, Data, and Engineering teams</t>
        </is>
      </c>
    </row>
    <row r="23">
      <c r="A23" t="inlineStr">
        <is>
          <t>li-4365770938</t>
        </is>
      </c>
      <c r="B23" t="inlineStr">
        <is>
          <t>AWS Developer - AI/ML Engineer - FullTime Remote</t>
        </is>
      </c>
      <c r="C23" t="inlineStr">
        <is>
          <t>Lensa</t>
        </is>
      </c>
      <c r="D23" t="inlineStr">
        <is>
          <t>linkedin</t>
        </is>
      </c>
      <c r="E23">
        <f>HYPERLINK("https://www.linkedin.com/jobs/view/4365770938", "https://www.linkedin.com/jobs/view/4365770938")</f>
        <v/>
      </c>
      <c r="F23" t="inlineStr"/>
      <c r="G23" t="inlineStr">
        <is>
          <t>Dallas, TX</t>
        </is>
      </c>
      <c r="H23" t="inlineStr"/>
      <c r="I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TEKsystems. Clicking "Apply Now" or "Read more" on Lensa redirects you to the job board/employer site. Any information collected there is subject to their terms and privacy notice.
**Description**
 As an organization, TEKsystems Global Services (TGS) provides a continuum of services ranging from Engagement Management to full functional Outsourcing, including Offshore Centers in Canada and India. Our model provides the ability to engage customers beyond staffing when asked for more ownership, capabilities, or methodology while enhancing client/consultant support.
 We partner with progressive leaders to create opportunity, accelerate business transformation, and help build the enterprises of tomorrow. We work with 80% of the Fortune 500 to address their technology, strategy, and talent needs. We innovate so industries stay ahead of what's next. As a full\-stack technology and talent services provider, we partner with our customers across the globe to own change. Join us.
 At TEKsystems Global Services, we live in the tech world. We're out in front of the trends and tools that shape industry and create fresh opportunities. All\-in, fully engaged, high\-energy partnership is how we approach everything \- our commitments and our people. Our people are at the center, fueling our high\-performance and inclusive culture.
 We're looking for a Sr. AWS Developer to join our team. A practitioner who accelerates outcomes, affects positive change, and moves business forward.
 Let's partner. Together, we can accomplish amazing things.
 Here's what the opportunity supported through our TEKsystems Global Services (TGS) Talent Acquisition Team requires:
 We are seeking a Senior AWS Intelligent Document Processing (IDP) AI/ML Engineer to lead the hands\-on development and implementation of a cloud\-native document automation platform for a state healthcare agency. This role demands deep engineering expertise across AWS services, particularly in intelligent document processing and AI/ML technologies. The ideal candidate will have a proven track record in delivering production\-grade AWS IDP solutions using a serverless architecture.
 This is a remote role working within an Agile Scrum team.
**Key Responsibilities**
* Hands\-on Development of IDP Pipelines: Build scalable, event\-driven, and serverless IDP solutions using AWS services, including Textract, Comprehend, Comprehend Medical, Bedrock, S3, Lambda, Step Functions, and EventBridge.
* AI/ML Engineering: Develop and fine\-tune workflows for OCR, NLP, document classification, summarization, and structured data extraction using Bedrock, Comprehend, and Textract.
* Data Pipeline Engineering: Design and implement robust data pipelines to process and curate extracted document data using AWS Glue, Kinesis, and other streaming/batch processing services.
* Search and Indexing Integration: Implement intelligent search features with Amazon Kendra or OpenSearch to enable document and metadata retrieval.
* Security and Compliance Implementation: Apply HIPAA\-aligned security practices including encryption, logging, identity and access controls (Cognito, Entra ID), VPC configuration, and WAFv2 protection.
* Agile Collaboration: Actively participate in Agile Scrum ceremonies, contribute to sprint planning, code reviews, and knowledge sharing. Partner with QA, DevOps, and product owners to deliver high\-quality releases.
* Client\-Facing Engineering Support: Participate in technical discussions with client teams and stakeholders. Demonstrate solutions, troubleshoot issues, and gather feedback for iteration.
**Required Skills And Experience**
* 6\+ years of software engineering experience, with at least 3 years in AWS serverless and cloud\-native development.
* Proven success delivering intelligent document processing projects using:
* Amazon Textract
* Amazon Comprehend / Comprehend Medical
* Amazon Bedrock and Bedrock Data Automation
* AWS Lambda (TypeScript/JavaScript/Python)
* Step Functions, EventBridge, API Gateway
* S3, DynamoDB, Cognito, KMS
* AWS Glue and Amazon Kinesis for data lake and pipeline processing
* Amazon Kendra and Amazon OpenSearch with knowledge of various search strategies for structured and unstructured data
* Strong expertise in developing serverless applications with a focus on modular, testable, and scalable code.
* Proficiency in TypeScript, JavaScript, and Python for backend development and AWS service integration.
* Experience developing infrastructure as code using AWS CDK (preferably in TypeScript).
* Knowledge of HIPAA\-compliant engineering practices and secure data handling.
* Comfortable using Git, CI/CD pipelines, and DevOps tooling in cloud environments.
* Excellent debugging, testing, and performance optimization skills.
**Preferred Qualifications**
* AWS Developer Associate or Specialty certifications (e.g., Machine Learning, Serverless).
* Experience with AWS CDK for provisioning and managing complex infrastructure.
* Prior experience in healthcare, public sector, or regulated data environments.
* Experience integrating SSO with Cognito and enterprise identity providers such as Microsoft Entra ID.
**Skills**
 AWS, BedRock, Python, Architecture, Lambda, Cloud
 Experience Level
 Expert Level
 Job Type \&amp; Location
 This is a Permanent position based out of Dallas, TX.
 Pay and Benefits
 The pay range for this position is $119800\.00 \- $179800\.00/yr.
 We reserve the right to pay above or below the posted wage based on factors unrelated to sex, race, or any other protected classification. Additional earnings may be available through incentive programs like annual bonuses, profit sharing, etc. Our full\-time, internal employment benefits include the following: \- Medical, Dental, and Vision \- Critical Illness, Accident, and Hospital \- 401(k) Retirement Plan \- Pre\-tax and Roth post\-tax contributions available \- Life Insurance (Voluntary Life and AD\&amp;D for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Jan 28,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If you have questions about this posting, please contact support@lensa.com</t>
        </is>
      </c>
    </row>
    <row r="24">
      <c r="A24" t="inlineStr">
        <is>
          <t>li-4365779791</t>
        </is>
      </c>
      <c r="B24" t="inlineStr">
        <is>
          <t>Junior Full Stack AI Engineer (Remote)</t>
        </is>
      </c>
      <c r="C24" t="inlineStr">
        <is>
          <t>Lensa</t>
        </is>
      </c>
      <c r="D24" t="inlineStr">
        <is>
          <t>linkedin</t>
        </is>
      </c>
      <c r="E24">
        <f>HYPERLINK("https://www.linkedin.com/jobs/view/4365779791", "https://www.linkedin.com/jobs/view/4365779791")</f>
        <v/>
      </c>
      <c r="F24" t="inlineStr"/>
      <c r="G24" t="inlineStr"/>
      <c r="H24" t="inlineStr"/>
      <c r="I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Mogo Finance Technology Inc.. Clicking "Apply Now" or "Read more" on Lensa redirects you to the job board/employer site. Any information collected there is subject to their terms and privacy notice.
 Location: Remote (Canada)
 Team: Product \&amp; Engineering
 Type: Full\-time
 Base Salary for the role: $60,000 \- $70,000 CAD
 At Mogo, we’re building the future of finance through bold innovation and AI\-native platforms. This role is part of our Intelligent Investing team.
 Build the Future of Wealth \- With Intention
 Intelligent Investing isn’t about layering AI onto fintech, it’s about reimagining the entire system, where every decision, feature, and line of code reflects clarity, discipline, and long\-term thinking.
 This isn’t another trading app chasing dopamine. We’re building the opposite:
* A platform where restraint is a feature.
* Where AI isn’t a gimmick, it’s the foundation.
* Where compounding meets conviction.
 Our mission is simple: Help a new generation build wealth through intelligence, not impulse.
 Why This Role?
 We're Hiring a Small Group Of High\-upside Junior Engineers To Help Us Build The Future Of Disciplined, AI\-native Investing. You’ll Be Working Directly With Senior Builders On
* A full\-stack architecture designed for speed, elegance, and scale
* AI\-native flows that reinforce behavior, not engagement
* Advanced feature sets (including crypto and options) gated by process, not hype
**You’ll Be Building Product At The Intersection Of**
* Behavioral finance
* Responsible crypto innovation
* AI systems that think like investors, not algorithms chasing clicks
 Who This Is For
* You write code with intention, not just speed.
* You’re obsessed with clean design, thoughtful UX, and systems that don’t shout.
* You’re not looking to ship more features, you’re looking to build something that lasts.
* You respect Buffett more than Reddit.
* You want to work at a company where AI is the engine, not the garnish.
 What You’ll Work On
* Full\-stack development across our investing platform
* AI\-driven interfaces that embed discipline into user flows
* Building and growing a web application from the ground up using modern SPA patterns
* Establishing frontend architecture, component patterns, and design system foundations
* Implementing responsive, accessible UIs that work seamlessly across desktop, tablet, and mobile
* Tools that help real people make better long\-term decisions
 What We’re Looking For
* 0–3 years of professional experience (or projects that show you're ready)
* Curiosity about AI/ML, crypto infrastructure, and behavioral systems
* Experience with Next.js, React, or similar SPA frameworks and API development
* Understanding of responsive design, accessibility, and performance best practices
* Humility, hunger, and a high standard for your work
 What We Offer
* A rare chance to help build a high\-integrity product from the ground up
* Senior mentorship and exposure to world\-class investors and operators
* Small team, zero politics, big impact
* Full remote flexibility across Canada
* A portfolio you’ll be proud of, for years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This is not just an engineering role. It’s a bet on your future, and ours.
 If that sounds like the right kind of pressure, step inside.
**Benefits Of Working With Us**
* ALWAYS FULLY REMOTE WORK \- Enjoy the flexibility of remote work, supported by necessary resources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**About Us**
 We help make it easy for Canadians to achieve financial freedom while making a positive impact. We live in the most innovative and technologically advanced era, yet so much struggle exists. Most of us are far from where we want to be financially. We all want a better future. A better world where reaching financial freedom is a question of when, not if. One that's equitable so that all can prosper. One that's safe from the impact of climate change. Our money has the power to change the world. It’s up to us to do things differently.
 Apply today! Do you know anyone who would be a great fit for this role or other roles on our career page? Please share this job posting with them! Mogo is an inclusive place to spend your work life. We hire team members for their talent and diverse backgrounds. Bring your unique perspective to Mogo and help our customers achieve their best financial lives.
 Powered by JazzHR
 If you have questions about this posting, please contact support@lensa.com</t>
        </is>
      </c>
    </row>
    <row r="25">
      <c r="A25" t="inlineStr">
        <is>
          <t>li-4321523390</t>
        </is>
      </c>
      <c r="B25" t="inlineStr">
        <is>
          <t>AI Engineer</t>
        </is>
      </c>
      <c r="C25" t="inlineStr">
        <is>
          <t>Piper Companies</t>
        </is>
      </c>
      <c r="D25" t="inlineStr">
        <is>
          <t>linkedin</t>
        </is>
      </c>
      <c r="E25">
        <f>HYPERLINK("https://www.linkedin.com/jobs/view/4321523390", "https://www.linkedin.com/jobs/view/4321523390")</f>
        <v/>
      </c>
      <c r="F25" t="inlineStr"/>
      <c r="G25" t="inlineStr"/>
      <c r="H25" t="inlineStr"/>
      <c r="I25"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regulated industries such as healthcare.
* Remote.
**Compensation for the AI Engineer** 
**includes:**
* $150,000 – $180,000 annually with a
* Comprehensive benefit: Medical, Dental, Vison, 401k, PTO, holidays, sick leave as required by law.
 This job opens for applications on 1/23/2026\.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26">
      <c r="A26" t="inlineStr">
        <is>
          <t>li-4321329377</t>
        </is>
      </c>
      <c r="B26" t="inlineStr">
        <is>
          <t>Senior Machine Learning Engineer – AI Agent Platform</t>
        </is>
      </c>
      <c r="C26" t="inlineStr">
        <is>
          <t>GEICO</t>
        </is>
      </c>
      <c r="D26" t="inlineStr">
        <is>
          <t>linkedin</t>
        </is>
      </c>
      <c r="E26">
        <f>HYPERLINK("https://www.linkedin.com/jobs/view/4321329377", "https://www.linkedin.com/jobs/view/4321329377")</f>
        <v/>
      </c>
      <c r="F26">
        <f>HYPERLINK("https://click.appcast.io/t/FLGPy-AkdRwIYxLm80CMBQRyv3U8SoZbpWXW38hdmWY=?source=LinkedIn&amp;urlHash=FT0p", "https://click.appcast.io/t/FLGPy-AkdRwIYxLm80CMBQRyv3U8SoZbpWXW38hdmWY=?source=LinkedIn&amp;urlHash=FT0p")</f>
        <v/>
      </c>
      <c r="G26" t="inlineStr">
        <is>
          <t>Palo Alto, CA</t>
        </is>
      </c>
      <c r="H26" t="inlineStr"/>
      <c r="I2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
      <c r="A27" t="inlineStr">
        <is>
          <t>li-4321502947</t>
        </is>
      </c>
      <c r="B27" t="inlineStr">
        <is>
          <t>Senior Machine Learning Engineer – AI Agent Platform</t>
        </is>
      </c>
      <c r="C27" t="inlineStr">
        <is>
          <t>GEICO</t>
        </is>
      </c>
      <c r="D27" t="inlineStr">
        <is>
          <t>linkedin</t>
        </is>
      </c>
      <c r="E27">
        <f>HYPERLINK("https://www.linkedin.com/jobs/view/4321502947", "https://www.linkedin.com/jobs/view/4321502947")</f>
        <v/>
      </c>
      <c r="F27">
        <f>HYPERLINK("https://click.appcast.io/t/FLGPy-AkdRwIYxLm80CMBQRyv3U8SoZbpWXW38hdmWY=?source=LinkedIn&amp;urlHash=FT0p", "https://click.appcast.io/t/FLGPy-AkdRwIYxLm80CMBQRyv3U8SoZbpWXW38hdmWY=?source=LinkedIn&amp;urlHash=FT0p")</f>
        <v/>
      </c>
      <c r="G27" t="inlineStr">
        <is>
          <t>New York, NY</t>
        </is>
      </c>
      <c r="H27" t="inlineStr"/>
      <c r="I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
      <c r="A28" t="inlineStr">
        <is>
          <t>li-4355815425</t>
        </is>
      </c>
      <c r="B28" t="inlineStr">
        <is>
          <t>Generative AI Engineer</t>
        </is>
      </c>
      <c r="C28" t="inlineStr">
        <is>
          <t>Synechron</t>
        </is>
      </c>
      <c r="D28" t="inlineStr">
        <is>
          <t>linkedin</t>
        </is>
      </c>
      <c r="E28">
        <f>HYPERLINK("https://www.linkedin.com/jobs/view/4355815425", "https://www.linkedin.com/jobs/view/4355815425")</f>
        <v/>
      </c>
      <c r="F28" t="inlineStr"/>
      <c r="G28" t="inlineStr"/>
      <c r="H28" t="inlineStr"/>
      <c r="I28"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an accomplished and visionary Lead AI/ML Engineer with over 7 years of experience to spearhead the design and implementation of large\-scale, strategic AI solutions. .
 Additional Information\*
 The base salary for this position will vary based on geography and other factors. In accordance with law, the base salary for this role if filled within Charlotte, NC is $85K \- $90K/year \&amp; benefits (see below).
**The Role**
**Responsibilities:**
 • Design, develop and maintain high\-quality Java applications.
 • Collaborate with teams in other departments to identify and prioritize requirements.
 • Develop best practices for the company and participate in code reviews with the team and other stakeholders.
 • Conduct technical analysis to arrive at solutions and create technological artefacts in response to production issues.
**Requirements:**
 • 7\+ years of demonstrable experience in Python development. Additional Java is also a plus
 • Strong knowledge of Python languages and web API development frameworks like Spring, RestAPIs, and RESTEASY
 • Understand in developing web applications using front\-end technologies (HTML, CSS, and JavaScript). Not critical but nice to have
 • Working knowledge of database technologies (Redis and Oracle). Vector database is a plus, Linux OS and Windows.
 • Microsoft copilot, AI foundry, copilot studio and Azure is a BIG plus.
 • Demonstrable expertise in various technical areas, including programming, network administration, and software installation and configuration.
 • Strong analytical and problem\-solving skills with organizational capabilities.
 • Experience with IT project management methodologies, such as Agile or Scrum.
 • Familiarity with AI technologies (RAG and LLMs are a big plus). Our application is Python/Java but using LLM to deliver value.
 • Understand Model development with Generative AI such as GPT, Llama index, Langchain etc.
 • OpenShift container experience is a plus.
**Desired Qualifications:**
 • A Bachelor’s or Master’s degree in software engineering, computer science, or a related field.
 • Relevant certifications such as Java Certified Professional (OCP).
 • Nvidia Triton servers for LLMs
 • Knowledge of container or cloud computing technologies (Red Hat OpenShift container platform, Azure).
 • Familiarity with agile software development methodologies (Agile or Scrum).
 • Experience with CI/CD DevOps practices and tools (Git, Jenkins, and Docker).
 • Excellent problem\-solving and analytical skills with good teamwork capabilities.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29">
      <c r="A29" t="inlineStr">
        <is>
          <t>li-4321409259</t>
        </is>
      </c>
      <c r="B29" t="inlineStr">
        <is>
          <t>Sr. Machine Learning Engineer – Context Engineering</t>
        </is>
      </c>
      <c r="C29" t="inlineStr">
        <is>
          <t>GEICO</t>
        </is>
      </c>
      <c r="D29" t="inlineStr">
        <is>
          <t>linkedin</t>
        </is>
      </c>
      <c r="E29">
        <f>HYPERLINK("https://www.linkedin.com/jobs/view/4321409259", "https://www.linkedin.com/jobs/view/4321409259")</f>
        <v/>
      </c>
      <c r="F29" t="inlineStr"/>
      <c r="G29" t="inlineStr">
        <is>
          <t>New York, NY</t>
        </is>
      </c>
      <c r="H29" t="inlineStr"/>
      <c r="I2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0">
      <c r="A30" t="inlineStr">
        <is>
          <t>li-4321413087</t>
        </is>
      </c>
      <c r="B30" t="inlineStr">
        <is>
          <t>Sr. Machine Learning Engineer – Context Engineering</t>
        </is>
      </c>
      <c r="C30" t="inlineStr">
        <is>
          <t>GEICO</t>
        </is>
      </c>
      <c r="D30" t="inlineStr">
        <is>
          <t>linkedin</t>
        </is>
      </c>
      <c r="E30">
        <f>HYPERLINK("https://www.linkedin.com/jobs/view/4321413087", "https://www.linkedin.com/jobs/view/4321413087")</f>
        <v/>
      </c>
      <c r="F30" t="inlineStr"/>
      <c r="G30" t="inlineStr">
        <is>
          <t>Palo Alto, CA</t>
        </is>
      </c>
      <c r="H30" t="inlineStr"/>
      <c r="I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1">
      <c r="A31" t="inlineStr">
        <is>
          <t>li-4365768692</t>
        </is>
      </c>
      <c r="B31" t="inlineStr">
        <is>
          <t>Founding AI Engineer</t>
        </is>
      </c>
      <c r="C31" t="inlineStr">
        <is>
          <t>Jack &amp; Jill</t>
        </is>
      </c>
      <c r="D31" t="inlineStr">
        <is>
          <t>linkedin</t>
        </is>
      </c>
      <c r="E31">
        <f>HYPERLINK("https://www.linkedin.com/jobs/view/4365768692", "https://www.linkedin.com/jobs/view/4365768692")</f>
        <v/>
      </c>
      <c r="F31">
        <f>HYPERLINK("https://jackandjill.ai/jack/job-listing?utm_source=job_listing&amp;utm_medium=job_board&amp;utm_campaign=839d25b5-9d43-404f-bba0-cc8b265b0715&amp;urlHash=bFSx", "https://jackandjill.ai/jack/job-listing?utm_source=job_listing&amp;utm_medium=job_board&amp;utm_campaign=839d25b5-9d43-404f-bba0-cc8b265b0715&amp;urlHash=bFSx")</f>
        <v/>
      </c>
      <c r="G31" t="inlineStr">
        <is>
          <t>San Francisco, CA</t>
        </is>
      </c>
      <c r="H31" t="inlineStr"/>
      <c r="I31" t="inlineStr">
        <is>
          <t>This is a job that Jill, our AI Recruiter, is recruiting for on behalf of one of our customers.
 She will pick the best candidates from Jack's network
 The next step is to speak to Jack.
 Founding AI Engineer
**Salary:** 
 $130,000 \- $200,000 \+ Equity
**Company Description:** 
 Fast\-growing Healthtech AI startup
**Job Description:** 
 You will own the AI core of an innovative medical practice, building LLM\-powered systems for immediate diagnosis and treatment. This role moves beyond chatbots, focusing on high\-stakes medical decisions, clinical accuracy, and safety. Working directly with physicians, you will ship production\-ready AI that directly impacts patient health outcomes and lives.
**Location:** 
 San Francisco, USA
**Why this role is remarkable:** 
* Ship code that powers real\-world medical decisions including prescriptions and lab orders rather than just building demos.
* Join a high\-performance founding team led by experienced entrepreneurs who previously scaled a telemedicine company to over $100M in revenue.
* Benefit from significant ownership and career growth, with the potential to lead engineering domains or management as the team scales.
**What you will do:** 
* Optimize LLM integration and prompt engineering for clinical accuracy, medical insights, and safety\-critical diagnosis.
* Architect AI infrastructure including RAG systems, semantic search, and complex memory systems for multi\-turn patient conversations.
* Implement medical safety guardrails and evaluation frameworks to eliminate hallucinations and ensure groundedness in high\-risk scenarios.
**The ideal candidate:** 
* 3\+ years of software engineering experience with at least 12 months shipping LLM applications to production environments.
* Expert\-level Python skills and deep familiarity with token economics, vector databases, and RAG architectures.
* An AI\-native builder who uses modern tools like Cursor/Claude daily and prioritizes safety in high\-stakes domains.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32">
      <c r="A32" t="inlineStr">
        <is>
          <t>li-4321542812</t>
        </is>
      </c>
      <c r="B32" t="inlineStr">
        <is>
          <t>Senior Machine Learning Engineer – AI Agent Platform</t>
        </is>
      </c>
      <c r="C32" t="inlineStr">
        <is>
          <t>GEICO</t>
        </is>
      </c>
      <c r="D32" t="inlineStr">
        <is>
          <t>linkedin</t>
        </is>
      </c>
      <c r="E32">
        <f>HYPERLINK("https://www.linkedin.com/jobs/view/4321542812", "https://www.linkedin.com/jobs/view/4321542812")</f>
        <v/>
      </c>
      <c r="F32">
        <f>HYPERLINK("https://click.appcast.io/t/FLGPy-AkdRwIYxLm80CMBQRyv3U8SoZbpWXW38hdmWY=?source=LinkedIn&amp;urlHash=FT0p", "https://click.appcast.io/t/FLGPy-AkdRwIYxLm80CMBQRyv3U8SoZbpWXW38hdmWY=?source=LinkedIn&amp;urlHash=FT0p")</f>
        <v/>
      </c>
      <c r="G32" t="inlineStr">
        <is>
          <t>Chevy Chase, MD</t>
        </is>
      </c>
      <c r="H32" t="inlineStr"/>
      <c r="I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3">
      <c r="A33" t="inlineStr">
        <is>
          <t>li-4321542822</t>
        </is>
      </c>
      <c r="B33" t="inlineStr">
        <is>
          <t>Sr. Staff ML Engineer – Context Engineering</t>
        </is>
      </c>
      <c r="C33" t="inlineStr">
        <is>
          <t>GEICO</t>
        </is>
      </c>
      <c r="D33" t="inlineStr">
        <is>
          <t>linkedin</t>
        </is>
      </c>
      <c r="E33">
        <f>HYPERLINK("https://www.linkedin.com/jobs/view/4321542822", "https://www.linkedin.com/jobs/view/4321542822")</f>
        <v/>
      </c>
      <c r="F33" t="inlineStr"/>
      <c r="G33" t="inlineStr">
        <is>
          <t>Chevy Chase, MD</t>
        </is>
      </c>
      <c r="H33" t="inlineStr"/>
      <c r="I3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 ML Engineer – 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 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
      <c r="A34" t="inlineStr">
        <is>
          <t>li-4321523350</t>
        </is>
      </c>
      <c r="B34" t="inlineStr">
        <is>
          <t>Sr. Staff Machine Learning Engineer</t>
        </is>
      </c>
      <c r="C34" t="inlineStr">
        <is>
          <t>GEICO</t>
        </is>
      </c>
      <c r="D34" t="inlineStr">
        <is>
          <t>linkedin</t>
        </is>
      </c>
      <c r="E34">
        <f>HYPERLINK("https://www.linkedin.com/jobs/view/4321523350", "https://www.linkedin.com/jobs/view/4321523350")</f>
        <v/>
      </c>
      <c r="F34">
        <f>HYPERLINK("https://click.appcast.io/t/zmG-yxXodKLy6-Lvgg4P9ECkUYTA3pvuzVdApsJcwPw=?source=LinkedIn&amp;urlHash=0qM-", "https://click.appcast.io/t/zmG-yxXodKLy6-Lvgg4P9ECkUYTA3pvuzVdApsJcwPw=?source=LinkedIn&amp;urlHash=0qM-")</f>
        <v/>
      </c>
      <c r="G34" t="inlineStr">
        <is>
          <t>Chevy Chase, MD</t>
        </is>
      </c>
      <c r="H34" t="inlineStr"/>
      <c r="I3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**Overview:** 
 We are seeking an accomplished Senior Staff ML Engineer who will serve as the technical leader for an AI/Machine learning area. In this individual contributor role, you will drive the design, development, and optimization of advanced AIML systems and platforms, while setting the technical direction for multiple AIML sub\-teams. You will provide hands\-on guidance, ensure architectural excellence, and lead by example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Temporal, Kubernetes) and big\-data technologies (e.g., Spark, MongoDB, Opensearch, Snowflake, Neo4j, Redis).
* Significant experience working with cloud platforms (AWS, Azure, etc.) and their machine learning services (e.g., SageMaker, Azure ML, AWS Bedrock).
* Familiarity with frameworks for model interpretability, fairness, and regulatory compliance, ensuring ethical and transparent ML systems.
* Proficiency in machine learning frameworks such as TensorFlow, PyTorch, Scikit\-learn, Langchain, Langraph, etc.
 If you are passionate about pushing the boundaries of machine learning technology, thrive in a hands\-on technical leadership role, and enjoy solving complex, large\-scale problems, we encourage you to apply.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
      <c r="A35" t="inlineStr">
        <is>
          <t>li-4365803368</t>
        </is>
      </c>
      <c r="B35" t="inlineStr">
        <is>
          <t>Lead AI Engineer</t>
        </is>
      </c>
      <c r="C35" t="inlineStr">
        <is>
          <t>Piper Companies</t>
        </is>
      </c>
      <c r="D35" t="inlineStr">
        <is>
          <t>linkedin</t>
        </is>
      </c>
      <c r="E35">
        <f>HYPERLINK("https://www.linkedin.com/jobs/view/4365803368", "https://www.linkedin.com/jobs/view/4365803368")</f>
        <v/>
      </c>
      <c r="F35" t="inlineStr"/>
      <c r="G35" t="inlineStr">
        <is>
          <t>Durham, NC</t>
        </is>
      </c>
      <c r="H35" t="inlineStr"/>
      <c r="I35" t="inlineStr">
        <is>
          <t>Piper Companies is seeking a Senior AI Engineer Lead to join a prominent technology organization is to launch and scale a new AI solutions for business operations and customer experiences.
 **The Senior AI Engineering Lead will sit hybrid in Durham, NC.**
**Responsibilities of the Senior AI Engineering Lead include:**
* Partnering with the CTO to stand up the Emerging Intelligence Group and deliver early strategic wins.
* Building and deploying LLM‑powered applications, RAG pipelines, and scalable APIs.
* Integrating AI capabilities across web, mobile, and enterprise systems in collaboration with Product Engineering.
* Establishing AI governance and serving as the technical bridge between data, engineering, and product teams.
**Qualifications for the Senior AI Engineering Lead include:**
* 8\+ years of experience across software engineering and AI product development, with proven delivery of production AI systems.
* Hands‑on experience with LLMs, RAG architectures, vector databases, and frameworks like LangChain or Hugging Face.
* Strong proficiency in AWS (Bedrock, Lambda, S3\), full‑stack development, and SQL/NoSQL platforms.
* Skilled communicator with familiarity in MLOps, responsible AI principles, and conversational UX.
**Compensation for the Senior AI Engineering Lead includes:**
* $140,000 – $170,000 annually.
* Comprehensive benefits package including Medical, Dental, Vision, 401(k), and PTO.
* Paid holidays and sick leave as required by law.
* Hybrid in Durham, NC.
 This job opens for applications on 1/23/2026\. Applications for this role will be accepted for at least 30 days from the posting date.
 Keywords: LLM, Large Language Models, Generative AI, Agentic AI, RAG, Retrieval\-Augmented Generation, Vector Databases, Embeddings, Transformers, LangChain, Hugging Face, LlamaIndex, GPT, Claude, Llama, AI Governance, Responsible AI, Conversational AI, AWS, AWS Bedrock, AWS Lambda, S3, Cloud Architecture, Serverless, CI/CD, MLOps, Model Deployment, Full\-Stack Development</t>
        </is>
      </c>
    </row>
    <row r="36">
      <c r="A36" t="inlineStr">
        <is>
          <t>li-4321443280</t>
        </is>
      </c>
      <c r="B36" t="inlineStr">
        <is>
          <t>Python / React AI Engineer</t>
        </is>
      </c>
      <c r="C36" t="inlineStr">
        <is>
          <t>Jobs via Dice</t>
        </is>
      </c>
      <c r="D36" t="inlineStr">
        <is>
          <t>linkedin</t>
        </is>
      </c>
      <c r="E36">
        <f>HYPERLINK("https://www.linkedin.com/jobs/view/4321443280", "https://www.linkedin.com/jobs/view/4321443280")</f>
        <v/>
      </c>
      <c r="F36">
        <f>HYPERLINK("https://click.appcast.io/t/lIJy2uQ13T98CgRB-cwsv-Jbvi7Qd_Unk1Wu03-ApgM=&amp;urlHash=_C5m", "https://click.appcast.io/t/lIJy2uQ13T98CgRB-cwsv-Jbvi7Qd_Unk1Wu03-ApgM=&amp;urlHash=_C5m")</f>
        <v/>
      </c>
      <c r="G36" t="inlineStr">
        <is>
          <t>New York, NY</t>
        </is>
      </c>
      <c r="H36" t="inlineStr"/>
      <c r="I36" t="inlineStr">
        <is>
          <t>Dice is the leading career destination for tech experts at every stage of their careers. Our client, IO Associates, is seeking the following. Apply via Dice today!
 iO Associates is currently partnered with a client who operates within the cutting\-edge technology sector, focusing on innovative solutions that drive digital transformation across various industries. Renowned for fostering a culture of creativity and collaboration, Our Client offers a dynamic work environment that empowers employees to excel and grow. They are committed to advancing technology through a mix of exceptional talent and state\-of\-the\-art resources.
**Role Summary**
 Due to strategic growth initiatives, Our Client is seeking a talented Python / React AI Engineer. This role is pivotal in developing advanced AI\-driven applications, enabling the company to remain at the forefront of technological advancements. The successful candidate will have the opportunity to work on exciting projects that have a substantial impact on both the company and its clientele, utilising the latest technologies and frameworks.
**Responsibilities**
 As a Python / React AI Engineer, you will be expected to:
* Design and implement scalable AI applications using Python and React.
* Collaborate with cross\-functional teams to define, design, and deliver new features.
* Engage in code reviews and maintain high code quality standards.
* Troubleshoot and resolve technical issues that arise during the software development lifecycle.
* Stay updated with emerging technologies and industry trends to enhance product functionality.
**Essential Skills \&amp; Experience**
 The ideal candidate will possess:
* Strong proficiency in Python and React development.
* Experience with AI frameworks and machine learning concepts.
* Solid understanding of software development best practices and design patterns.
* Proven ability to work in a collaborative team environment, delivering projects on time and to specification.
* Excellent problem\-solving skills and attention to detail.
**Desirable Skills \&amp; Experience**
 While not mandatory, the following skills would be advantageous:
* Familiarity with cloud\-based technologies and services.
* Experience with DevOps practices and CI/CD pipelines.
* Exposure to Agile development methodologies.
* Knowledge of additional programming languages is a plus.
**Call to Action**
 If you are a skilled Python / React AI Engineer looking to make a significant impact within a forward\-thinking organisation, we invite you to apply. Please submit your CV for consideration. Join Our Client in shaping the future of technology!</t>
        </is>
      </c>
    </row>
    <row r="37">
      <c r="A37" t="inlineStr">
        <is>
          <t>li-4365802627</t>
        </is>
      </c>
      <c r="B37" t="inlineStr">
        <is>
          <t>Azure AI Engineer</t>
        </is>
      </c>
      <c r="C37" t="inlineStr">
        <is>
          <t>Jobs via Dice</t>
        </is>
      </c>
      <c r="D37" t="inlineStr">
        <is>
          <t>linkedin</t>
        </is>
      </c>
      <c r="E37">
        <f>HYPERLINK("https://www.linkedin.com/jobs/view/4365802627", "https://www.linkedin.com/jobs/view/4365802627")</f>
        <v/>
      </c>
      <c r="F37" t="inlineStr"/>
      <c r="G37" t="inlineStr"/>
      <c r="H37" t="inlineStr"/>
      <c r="I37" t="inlineStr">
        <is>
          <t>The Leidos Digital Modernization Sector is seeking an experienced
 **Azure AI Software Engineer** 
 which allows for full time telework from any U.S. based location.
**POSITION SUMMARY:**
 We are seeking an experienced Azure AI Software Engineer to design, develop, and deploy intelligent automation solutions leveraging Microsoft Azure. The ideal candidate will be Azure certified, have several years of hands\-on Azure experience, and a strong background in automating business processes using Robotic Process Automation (RPA) tools.
**PRIMARY RESPONSIBILITIES:**
* Design, build, and test AI\-driven automation workflows using Azure services and RPA platforms.
* Integrate automation solutions with enterprise systems, APIs, and data sources.
* Collaborate with stakeholders to map processes and define automation logic.
* Implement monitoring, logging, and exception handling for automated workflows.
* Optimize automation performance and reliability.
* Document automation designs and operational procedures.
* Support change management and user enablement for automated processes.
* Apply software engineering best practices (version control, CI/CD, testing, documentation) to all projects.
* Peer review code written by fellow team members.
**BASIC QUALIFICATIONS:**
* Bachelor's degree in Computer Science, Software Engineering, Data Science, Information Systems, or related technical discipline (or equivalent professional work experience).
* Azure AI Engineer Associate (AI\-102\) or similar Azure certification.
* 4\+ years of hands\-on experience with Microsoft Azure cloud services.
* Experience designing and implementing RPA solutions (e.g., Automation Anywhere, UiPath, Power Automate).
* Proficiency in Python, C\#, or other relevant programming languages.
* Experience with data modeling, ETL pipelines, and API integration.
* Strong understanding of cloud computing, data management, and automation best practices.
* Excellent communication and documentation skills.
**KEY COMPETENCIES:**
* Proficiency in designing and implementing solutions using Microsoft Azure services, especially AI and automation tools.
* Hands\-on experience with RPA platforms (e.g., Automation Anywhere, UiPath, Power Automate) for automating business processes.
* Strong programming skills in Python, C\#, or similar languages.
* Experience with data modeling, ETL pipelines, and API integration.
* Familiarity with cloud computing concepts, data management, and modern data architectures.
* Understanding of machine learning and AI techniques, including supervised and unsupervised learning.
* Knowledge of software engineering best practices (version control, CI/CD, testing, documentation).
* Experience with database technologies (e.g., SQL, Oracle) and data visualization tools (e.g., Power BI) .
* Collaboration \&amp; Communication.
* Ability to communicate complex technical concepts to diverse audiences..
* Strong collaboration skills for working with data scientists, analysts, and business stakeholders.
* Ability to document automation designs and operational procedures clearly.
* Process \&amp; Automation Mindset.
* Ability to analyze, map, and optimize business processes for automation.
* Experience in implementing workflow automation solutions to reduce manual effort and enhance efficiency.
* Skills in monitoring, logging, and exception handling for automated workflows
* Continuous Improvement.
* Commitment to optimizing automation performance and reliability.
* Willingness to support change management and user enablement for automated processes
**PREFERRED QUALIFICATIONS:**
* Familiarity with automation platforms (RPA, workflow, or AI orchestration).
* Experience quantifying and modeling ROI for automation projects.
* Experience with data science, intelligent document processing, agentic AI and machine learning techniques.
* Familiarity with MLOps practices and deploying models into production.
* Experience with data visualization and BI tools (e.g., Power BI).
* Master's degree in a related discipline.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38">
      <c r="A38" t="inlineStr">
        <is>
          <t>li-4321533128</t>
        </is>
      </c>
      <c r="B38" t="inlineStr">
        <is>
          <t>Senior Machine Learning Engineer</t>
        </is>
      </c>
      <c r="C38" t="inlineStr">
        <is>
          <t>Jobs via Dice</t>
        </is>
      </c>
      <c r="D38" t="inlineStr">
        <is>
          <t>linkedin</t>
        </is>
      </c>
      <c r="E38">
        <f>HYPERLINK("https://www.linkedin.com/jobs/view/4321533128", "https://www.linkedin.com/jobs/view/4321533128")</f>
        <v/>
      </c>
      <c r="F38" t="inlineStr"/>
      <c r="G38" t="inlineStr">
        <is>
          <t>Redmond, WA</t>
        </is>
      </c>
      <c r="H38" t="inlineStr"/>
      <c r="I38" t="inlineStr">
        <is>
          <t>**Overview**
 AI has created an unprecedented opportunity to make work better for hundreds of millions of people.
 **Microsoft Teams** 
 is the hub for teamwork that integrates the people, content, and tools your team needs to be more engaged and effective. It is at the core of Microsoft's modern work, life, and education value proposition. We are reinventing the way people communicate and work together across the globe. Our newly formed Applied Science organization is hiring a
 **Senior Machine Learning Engineer** 
 to help ensure we maximize this amazing opportunity.
 As a
 **Senior Machine Learning Engineer** 
 with experience in training or fine\-tuning large language models (LLMs), including both text and multimodal systems, reinforcement learning, agentic AI architectures, and inference optimization you will join a team of passionate engineers and scientists, driving ideas to impactful results in a fast\-paced environment. You will work on designing, building, and deploying large\-scale machine learning (ML) and agentic systems, with an emphasis on production\-grade solutions involving data pipelines, large\-scale training, model serving, and performance optimization. You are experienced in machine learning engineering from ideation and algorithm selection to architecture and implementation, to deployment and continuous improvement.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architecture of ML solutions for projects/sub\-systems.
* Select appropriate models, training regimes, and serving approaches.
* Produce maintainable, efficient, and explainable ML code.
* Drive monitoring for model drift, bias/fairness, and reliability.
* Mentor early\-in\-profession engineers, provide design/code reviews, and raise quality standards.
* Partner with other teams to ensure integrated ML systems are production\-ready.
**Qualifications**
**Required Qualifications:**
* Bachelor's Degree in Computer Science or related technical field AND 4\+ years technical engineering experience with coding in languages including, but not limited to, C, C\+\+, C\#, Java, JavaScript, or Python with experience in at least one deep learning framework such as PyTorch, JAX, or TensorFlow.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Microsoft's LLMOps stack: Azure AI Foundry, Azure Machine Learning, Semantic Kernel, Azure OpenAI Service, and Azure AI Search for vector/RAG.
* Familiarity with responsible AI evaluation frameworks and bias mitigation methods.
* Experience across the product lifecycle from ideation to shipping.
* Experience deploying Fine Tuned LLMs or multimodal models in live production environments.
* Experience shipping and maintaining production AI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li-4321503062</t>
        </is>
      </c>
      <c r="B39" t="inlineStr">
        <is>
          <t>Founding AI Engineer</t>
        </is>
      </c>
      <c r="C39" t="inlineStr">
        <is>
          <t>Jobs via Dice</t>
        </is>
      </c>
      <c r="D39" t="inlineStr">
        <is>
          <t>linkedin</t>
        </is>
      </c>
      <c r="E39">
        <f>HYPERLINK("https://www.linkedin.com/jobs/view/4321503062", "https://www.linkedin.com/jobs/view/4321503062")</f>
        <v/>
      </c>
      <c r="F39">
        <f>HYPERLINK("https://click.appcast.io/t/dME9pT_0ag5SKzffFwhuh70KWJ0XbvF90K5A2ZO5lpI=&amp;urlHash=hsS-", "https://click.appcast.io/t/dME9pT_0ag5SKzffFwhuh70KWJ0XbvF90K5A2ZO5lpI=&amp;urlHash=hsS-")</f>
        <v/>
      </c>
      <c r="G39" t="inlineStr">
        <is>
          <t>Washington, DC</t>
        </is>
      </c>
      <c r="H39" t="inlineStr"/>
      <c r="I39" t="inlineStr">
        <is>
          <t>Dice is the leading career destination for tech experts at every stage of their careers. Our client, Blueline search group, is seeking the following. Apply via Dice today!
**Founding AI Engineer. Business Automation**
**Location** 
 : Metro DC; Atlanta, GA; Raleigh, NC; Burlington, VT; or Remote/Hybrid
**Employment Type** 
 : Full time.
 **Mostly remote, though being closer to a physical office location is preferred.** 
**Team:** 
 Business Automation, AI\-centric solutions
**Reports To:** 
 Chief Innovation Officer
**Travel:** 
 0 10%. Occasional client workshops and internal collaboration.
**Compensation:** 
 $140,000 $175,000 plus bonus
**About Our Client**
 The company we are recruiting for is a public accounting firm specializing in audit, tax, and advisory services for the insurance and nonprofit sectors, as well as employee benefit plans. For more than 30 years, they have combined deep industry expertise with a people\-first culture built on agility, respect, and trust.
 They are making a significant investment in technology to modernize how assurance and tax services are delivered. The goal is to free their teams to focus on high\-value judgment while providing clients with faster and more insightful outcomes.About the
**Team and Role**
 You will join the Business Automation team, which is responsible for building the next generation of tools that support how the firm works across data, automation, and intelligent systems.
 This is the team s first AI engineering hire and a true greenfield role. There is no legacy codebase and no prebuilt platform.
**In this role, you will:**
* Act as a founding AI engineer and the primary builder of the firm s AI stack on AWS
* Design and deliver a vision for workforce automation systems that can reason, use tools, and collaborate with people
* Lay the foundation to grow into a technical leadership or management role by mentoring future AI and application engineers
 The firm is deeply invested in AWS and works with multiple model providers. These include AWS Bedrock as the primary platform, as well as OpenAI, Gemini, Grok, and others. You will be expected to select and combine the right tools for each use case, balancing risk, cost, performance, and long\-term maintainability.
 You will also own key technical relationships with AI vendors and partners. This includes working with external partners who have delivered proofs of concept and turning successful experiments into stable, internal capabilities.
**What You Ll Do**
**Design the AI and automation foundation on AWS**
* Define reference architectures for LLM and agent\-based workloads, including orchestration, retrieval, tools, evaluation, and guardrails
* Use AWS Bedrock alongside external providers such as OpenAI, Gemini, and Grok in a modular, provider\-agnostic way
**Build AI products that support core audit and tax workflows**
* Deliver copilots and automated helpers that assist with drafting workpapers, analyzing documents, summarizing findings, generating testing selections, and preparing client deliverables
* Own the full lifecycle from discovery with domain experts through prototyping, production, monitoring, and iteration based on feedback
**Implement robust retrieval and tool\-using agents**
* Design retrieval pipelines over internal content, structured data, and workpapers with appropriate metadata and access controls
* Build agents that can call tools such as internal APIs, calculators, automations, and workflows while operating within clearly defined boundaries
**Establish safety, privacy, and governance practices**
* Partner with risk, security, and data teams to ensure responsible handling of client data, including PII controls, redaction strategies, training boundaries, and access management
* Define patterns for prompt hardening, guardrails, and evaluation that align with professional and regulatory obligations
**Own vendor and partner relationships**
* Serve as the hands\-on technical counterpart for AWS, OpenAI, Google, xAI, and other partners
* Evaluate new capabilities, run proofs of concept, and make informed build\-versus\-buy decisions
**Collaborate across teams**
* Work closely with data engineering and automation leads to connect AI systems to well\-governed data and existing workflows
* Translate loosely defined business problems into clear engineering deliverables and roadmaps
**Set engineering standards and mentor future hires**
* Establish best practices for AI application development, including testing, observability, CI/CD, experiment tracking, and documentation
* Help hire, onboard, and mentor junior and mid\-level engineers as the function grows
**Required Qualifications**
* 5\+ years of experience in software engineering, ML engineering, or applied AI roles, with at least 2\+ years focused on LLM\- or NLP\-centric applications
* Strong experience building secure, production workloads on AWS using services such as Lambda, API Gateway, Step Functions, ECS or EKS, S3, CloudWatch, and IAM
* Proven experience shipping AI or LLM applications to production, including
* Retrieval\-augmented generation systems over private dataTool\-using or function\-calling workflows Document understanding and extraction pipelines
* Hands\-on experience with multiple model providers, such as AWS Bedrock, OpenAI, Gemini, or Grok, and a clear point of view on selecting the right model for a given task
* Strong programming skills in Python, preferred, and or TypeScript or Node.js for backend services, including API design, testing, and integrations
* Experience with embeddings and vector search using tools such as OpenSearch, pgvector, or dedicated vector databases, including evaluation and monitoring of retrieval quality
* Familiarity with security, privacy, and compliance considerations when working with sensitive data in regulated domains such as finance, insurance, or healthcare
* Practical experience with CI/CD, including Git\-based workflows, automated testing, and deployment pipelines, as well as infrastructure\-as\-code tools such as Terraform or AWS CDK
* Comfort operating as a first\-of\-its\-kind hire by setting standards, making architectural decisions, and working effectively with ambiguity
* Strong communication skills and the ability to work with non\-technical stakeholders, facilitate discovery sessions, and explain trade\-offs in plain language
* Bachelor s degree in Computer Science, Engineering, or a related field, or equivalent practical experienceNice to Have
* Background or experience in audit, tax, insurance, or nonprofit organizations
* Experience designing or operating agent frameworks and workflow orchestration systems, including multi\-step agent graphs and tool\-calling frameworks
* Experience fine\-tuning or adapting models in production through instruction tuning, RAG\-first design, or lightweight adapters
* Familiarity with data engineering patterns and working with unstructured or messy real\-world data such as Excel files and PDFs
* Experience building simple front\-end interfaces, for example using React, to deliver AI capabilities directly to end users
* Prior mentorship or team\-lead experience and an interest in building a small team over time
**How You Ll Succeed**
**First 90 Days**
* Develop a strong understanding of core audit and tax workflows
* Identify one to two high\-impact opportunities for automation in partnership with business stakeholders
* Propose and align on a reference architecture for AI systems on AWS, including security, logging, and evaluation
* Deliver at least one pilot capability, such as a document summarization assistant, checklist generator, or workpaper drafting helper, to a limited user group
**By 6 Months**
* Launch two to three AI features or automated agents into production that are regularly used by engagement teams
* Demonstrate measurable time savings of approximately 20 30 percent on targeted workflows
* Establish evaluation and guardrail frameworks, including prompt testing, offline and online evaluation, and safety checks, that are adopted across initiatives
**By 12 Months**
* Help hire and mentor at least one additional engineer or technical contributor focused on automation or AI
* Publish internal patterns, templates, and best practices that enable other teams to build confidently and efficiently
* Demonstrate meaningful business impact, such as improved margins, faster turnaround times, or new client\-facing services enabled by these capabilities
**How We Work**
 Our culture is built on agility, respect, and trust. We:
* Work in short, iterative cycles with regular feedback from end users
* Document what we build so others can understand, reuse, and extend it
* Favor modern, open, and maintainable solutions over overly complex stacks
* Treat governance and risk management as enablers of innovation, especially when working with client data</t>
        </is>
      </c>
    </row>
    <row r="40">
      <c r="A40" t="inlineStr">
        <is>
          <t>li-4321423617</t>
        </is>
      </c>
      <c r="B40" t="inlineStr">
        <is>
          <t>Senior AI Engineer</t>
        </is>
      </c>
      <c r="C40" t="inlineStr">
        <is>
          <t>Jobs via Dice</t>
        </is>
      </c>
      <c r="D40" t="inlineStr">
        <is>
          <t>linkedin</t>
        </is>
      </c>
      <c r="E40">
        <f>HYPERLINK("https://www.linkedin.com/jobs/view/4321423617", "https://www.linkedin.com/jobs/view/4321423617")</f>
        <v/>
      </c>
      <c r="F40">
        <f>HYPERLINK("https://click.appcast.io/t/11G5G_9WrH5CmKITo2b85a5QLTrWeOLVCvLLFa0jdng=&amp;urlHash=qMSI", "https://click.appcast.io/t/11G5G_9WrH5CmKITo2b85a5QLTrWeOLVCvLLFa0jdng=&amp;urlHash=qMSI")</f>
        <v/>
      </c>
      <c r="G40" t="inlineStr">
        <is>
          <t>Redmond, WA</t>
        </is>
      </c>
      <c r="H40" t="inlineStr"/>
      <c r="I40" t="inlineStr">
        <is>
          <t>**Overview**
 Microsoft Dynamics 365 is a suite of easy\-to\-learn and easy\-to\-use business solutions tailored to any market, designed for any business size, and dedicated to growing business through happy customers. The Customer Service Applications Team delivers business applications for Connected Customer Care for Contact Centers. We are building the next generation of our applications with cutting edge AI technology and AI Agentic development to deliver high value, complete, and predictive application scenarios across all devices and form factors.
 As an
 **Senior AI Engineer** 
 in the Microsoft Dynamics Customer Experience Applications team, you will contribute to the design and implementation of intelligent solutions within Dynamics 365 by applying both
 **software engineering** 
 and
 **AI skills** 
 . You'll work closely with senior engineers, business stakeholders, and partners to help build scalable, production\-ready systems that leverage AI to address real\-world business challenges.
 In this role, you are expected to demonstrate strong
 **software engineering fundamentals \-** 
 including coding, testing, and deployment \- while integrating and optimizing AI models and frameworks. You will contribute to delivering solutions that are reliable, impactful, and innovative, with mentorship and guidance from more senior team members.
 We innovate and collaborate closely with our partners and customers in a very agile environment. If the opportunity to collaborate with a diverse engineering team, on enabling end\-to\-end business scenarios using cutting\-edge technologies and to solve challenging problems for large scale 24x7 business SaaS applications excite you, we would love to talk to you!
**Responsibilities**
 As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Envision, Design, implement, test, deploy, maintain, and improve our software components and services
* Develop highly usable, scalable application capabilities, integrating AI models and enhancing existing features to meet evolving customer needs.
* Optimize AI model performance and reliability in production environments, including retraining, evaluation, and continuous monitoring.
* Embrace and use state\-of\-the\-art new technologies
* Participate in technical discussions and bring new ideas on the table
* Own quality of your code and fully leverage AI development tools to accelerate development
* Work with Product Managers, Architects and UX Designers to design and specify new features from the engineering standpoint
* Develop software that empowers customers to optimize their business processes
* Work with key customers to enable faster adoption and meet their business goals
* Contribute to the positive, solution focused and creative team spirit
* Support less experienced team members in their progress and development
 Throughout your tasks, you will work closely with Program Managers and other Software Engineers to optimize design, quality and functionality as Microsoft places a premium on the ability to work well in a team environment.
**Qualifications**
**Required Qualifications:**
* Bachelor's Degree in Computer Science or related technical field AND 4\+ years technical engineering experience with coding in languages including, but not limited to, C, C\+\+, C\#, Java, JavaScript, or Python
+ OR equivalent experience.
* Expert knowledge on building responsive and engaging front end and scalable backend.
* 3\+ years of experience with GenAI, LLMs, or agentic systems.
* Experience with design and implementation of enterprise\-scale services.
* Experienced in architecting, building, and maintaining UX component libraries that adhere to modern web standards.
* Solid Experience in AI Agentic development and leveraging AI Development.
* Excellent verbal, written, and cross\-team collaboration skills are essential to succeed in this role.
* A strong team player and collaborator, across time zones and diverse stakeholder groups.
* Passion for improving software quality and engineering excellence.
* Experience in developing, debugging, and supporting code in object\-oriented languages and database querying languages.
* Experience with building infrastructure using Microsoft Azure technology like Service Fabric, App Service, Docker.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professional software development with at least one of the following C\#/C\+\+/Java.
* 8\+ years of professional experience building cloud applications focused on front end development using technologies like React/JavaScript/TypeScript/CSS/HTML.
* Experience delivering Dynamics 365 and/or Power Platform solutions.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1">
      <c r="A41" t="inlineStr">
        <is>
          <t>li-4321349320</t>
        </is>
      </c>
      <c r="B41" t="inlineStr">
        <is>
          <t>Staff Full Stack AI Engineer</t>
        </is>
      </c>
      <c r="C41" t="inlineStr">
        <is>
          <t>Piper Companies</t>
        </is>
      </c>
      <c r="D41" t="inlineStr">
        <is>
          <t>linkedin</t>
        </is>
      </c>
      <c r="E41">
        <f>HYPERLINK("https://www.linkedin.com/jobs/view/4321349320", "https://www.linkedin.com/jobs/view/4321349320")</f>
        <v/>
      </c>
      <c r="F41" t="inlineStr"/>
      <c r="G41" t="inlineStr">
        <is>
          <t>Durham, NC</t>
        </is>
      </c>
      <c r="H41" t="inlineStr"/>
      <c r="I41" t="inlineStr">
        <is>
          <t>Piper Companies is seeking a Staff Full Stack AI Engineer to support platform development, greenfield initiatives, and early‑stage AI feature exploration for an exam‑prep organization focused on delivering accurate, original, and purpose‑built test preparation content.
 **The candidate will sit in office with a flexible hybrid work schedule in Durham, NC.**
**Responsibilities include:**
* Build full‑stack and AI‑driven systems using Typescript and Python, rapidly executing high‑level concepts with a self‑driven, hacker mindset
* Lead R\&amp;D efforts including greenfield development, proofs of concept, API integrations, and functional prototypes for exam readiness, content individualization, and directed topic learning
* Contribute to technical planning by defining scope, evaluating complexity, and architecting solutions grown from R\&amp;D work
**Qualifications include:**
* 7–10 years full‑stack engineering experience
* Strong experience in Typescript, Python, and exposure to LLMs and ML/AI concepts
* Ability to explore, test, and benchmark emerging AI tools and technologies
**Compensation includes:**
* $175,000 – $210,000 annually with Medical, Dental, Vision, 401k, PTO, and sick leave as required by law
* Flexible Hybrid Schedule
 This job opens for applications on 1/23/2026 and will accept applications for at least 30 days from the posting date.
 Staff Full Stack Engineer, AI Engineer, Typescript, Strong TypeScript Experience, Python, Python Experience, LLM systems, experience with LLMs and ML/AI concepts, full‑stack development, AI‑enhanced systems, distributed systems, API integration, connect APIs, data manipulation, greenfield development, early‑stage proof of concepts, internal and external development tools, hacker mindset, self‑driven engineer, autonomous execution, R\&amp;D engineering, proof‑of‑concept development, explore tools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2026-01-26T05:25:43Z</dcterms:created>
  <dcterms:modified xsi:type="dcterms:W3CDTF">2026-01-26T05:25:43Z</dcterms:modified>
</cp:coreProperties>
</file>