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in-6a529d4ffa021933</t>
        </is>
      </c>
      <c r="B2" t="inlineStr">
        <is>
          <t>Workforce Development Program Manager</t>
        </is>
      </c>
      <c r="C2" t="inlineStr">
        <is>
          <t>Communities United for Restorative Youth Justice (CURYJ)</t>
        </is>
      </c>
      <c r="D2" t="inlineStr">
        <is>
          <t>indeed</t>
        </is>
      </c>
      <c r="E2" t="inlineStr"/>
      <c r="F2" t="inlineStr"/>
      <c r="G2" t="inlineStr">
        <is>
          <t>Oakland, CA, US</t>
        </is>
      </c>
      <c r="H2" s="2" t="n">
        <v>46046</v>
      </c>
      <c r="I2" t="inlineStr">
        <is>
          <t>This is the ideal position for someone wanting to “upset the set\-up”—bringing back power and voice to
systems\-impacted communities of color and leveraging lived experience to create real, sustainable
economic opportunities for young people.
The Workforce Development Program Manager is responsible for overseeing the success of CURYJ’s
workforce development programming. This role ensures that systems\-impacted and high\-needs young
people have access to meaningful career pathways that lead to living\-wage jobs, long\-term stability,
and leadership development.
Reporting to the Managing Director, the Workforce Development Program Manager provides
supervision to life coaches and workforce training staff, develops workforce training curricula, builds
strong employment and training partnerships, and tracks program outcomes related to job placement,
retention, and advancement. This role centers healing, leadership, and liberation while advancing
economic justice for young people and their communities.
**Requirements**
**PRIMARY RESPONSIBILITIES**
**Program Leadership \&amp; Management**
* Lead the day\-to\-day operations of CURYJ’s workforce development programs
* Ensure programming aligns with CURYJ’s mission, TOTAL framework, and funding
requirements
* Continuously assess and improve program design to meet the needs of high\-needs and
systems\-impacted young people
**Team Leadership \&amp; Supervision**
* Supervise, mentor, and support life coaches and workforce training staff
* Facilitate regular team meetings, case conferences, and performance check\-ins
* Support staff professional development and ensure trauma\-informed, youth\-centered service
delivery
**Workforce Pathway \&amp; Curriculum Development and Facilitation**
* Develop and refine workforce training curricula focused on job readiness, career exploration,
and skill\-building
* Build and maintain workforce pathways for young people, including connections to:
* Labor unions and trades
Apprenticeships and pre\-apprenticeship programs
Career and Technical Education (CTE) programs
* Small, local, and community\-based businesses
* Facilitate weekly workforce development sessions for 3\-4 cohorts per year
* Ensure pathways support long\-term career growth and economic stability
**Partnership Development \&amp; Employer Engagement**
* Cultivate relationships with employers, unions, training providers, and community partners
* Expand employment and training opportunities aligned with CURYJ’s values and participant
needs
* Represent CURYJ in workforce development coalitions and community spaces
**Data, Outcomes \&amp; Reporting**
* Track and analyze program outputs and outcomes, including job placement, job retention, wage
growth, and career advancement
* Ensure accurate data collection, documentation, and reporting for grants and contracts
* Use data to inform program improvements and demonstrate impact
**QUALIFICATIONS**
* At least five years of directly applicable experience in workforce development, youth services, or
a community\-based organization
* Experience supervising staff and supporting team development
* Experience in case management, direct services, or workforce programming
* Strong organizational, communication, and relationship\-building skills
* Willingness to work an irregular schedule, including occasional evenings or weekends
* Deep commitment to racial, economic, and restorative justice
**PREFERRED SKILLS**
* Experience developing workforce training curricula
* Familiarity with unions, trades, apprenticeships, and CTE pathways
* Experience working with systems\-impacted, formerly incarcerated, or high\-needs youth
* Political understanding of Oakland and East Bay community dynamics
* Bicultural competence and strong writing skills
**Benefits**
**COMPENSATION \&amp; BENEFITS**
Compensation is commensurate with experience, with an annual salary range of $77,000–$85,000\.
This position is exempt, full\-time, with excellent benefits, including:
* 100% employer\-paid medical coverage (highest CalChoice package included)
* Vision and dental coverage
* $25,000 life insurance plan
* Option to enroll in a 403(b) retirement plan
* 2 weeks paid vacation per year plus a 2\-week office shutdown during December/January, and
paid holidays including:
* New Year’s Day
* Martin Luther King Jr. Day
* President’s Day
* Cesar Chavez Day
* Memorial Day
* Independence Day
* Labor Day
* Indigenous Peoples Day
* Veteran’s Day
* Thanks”taking” Week
* Your Birthday
**EQUAL OPPORTUNITY EMPLOYER**
CURYJ is an equal opportunity employer. All qualified applicants will receive consideration for
employment without regard to race, color, religion, sex, sexual orientation, gender identity, national
origin, disability status, educational background, protected veteran status, or any other characteristic.
We strongly encourage formerly incarcerated individuals and members of the LGBTQ\+ community to
apply.</t>
        </is>
      </c>
    </row>
    <row r="3">
      <c r="A3" t="inlineStr">
        <is>
          <t>in-b5a0a268993c4930</t>
        </is>
      </c>
      <c r="B3" t="inlineStr">
        <is>
          <t>Global Signage &amp; Wayfinding Designer Program Manager, Workplace Design &amp; Construction (WD&amp;C)</t>
        </is>
      </c>
      <c r="C3" t="inlineStr">
        <is>
          <t>Amazon.com</t>
        </is>
      </c>
      <c r="D3" t="inlineStr">
        <is>
          <t>indeed</t>
        </is>
      </c>
      <c r="E3" t="inlineStr"/>
      <c r="F3" t="inlineStr"/>
      <c r="G3" t="inlineStr">
        <is>
          <t>Seattle, WA, US</t>
        </is>
      </c>
      <c r="H3" s="2" t="n">
        <v>45998</v>
      </c>
      <c r="I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in-03fe79d7585c6143</t>
        </is>
      </c>
      <c r="B4" t="inlineStr">
        <is>
          <t>Global Signage &amp; Wayfinding Designer Program Manager, Workplace Design &amp; Construction (WD&amp;C)</t>
        </is>
      </c>
      <c r="C4" t="inlineStr">
        <is>
          <t>Amazon.com</t>
        </is>
      </c>
      <c r="D4" t="inlineStr">
        <is>
          <t>indeed</t>
        </is>
      </c>
      <c r="E4" t="inlineStr"/>
      <c r="F4" t="inlineStr"/>
      <c r="G4" t="inlineStr">
        <is>
          <t>Arlington, VA, US</t>
        </is>
      </c>
      <c r="H4" s="2" t="n">
        <v>45998</v>
      </c>
      <c r="I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in-5105c3dcf4c8fe92</t>
        </is>
      </c>
      <c r="B5" t="inlineStr">
        <is>
          <t>Senior Product Manager, Ads</t>
        </is>
      </c>
      <c r="C5" t="inlineStr">
        <is>
          <t>Amazon.com</t>
        </is>
      </c>
      <c r="D5" t="inlineStr">
        <is>
          <t>indeed</t>
        </is>
      </c>
      <c r="E5" t="inlineStr"/>
      <c r="F5" t="inlineStr"/>
      <c r="G5" t="inlineStr">
        <is>
          <t>San Francisco, CA, US</t>
        </is>
      </c>
      <c r="H5" s="2" t="n">
        <v>45994</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in-90ff3f12955b0da9</t>
        </is>
      </c>
      <c r="B6" t="inlineStr">
        <is>
          <t>Senior Product Manager, Ads</t>
        </is>
      </c>
      <c r="C6" t="inlineStr">
        <is>
          <t>Amazon.com</t>
        </is>
      </c>
      <c r="D6" t="inlineStr">
        <is>
          <t>indeed</t>
        </is>
      </c>
      <c r="E6" t="inlineStr"/>
      <c r="F6" t="inlineStr"/>
      <c r="G6" t="inlineStr">
        <is>
          <t>Irvine, CA, US</t>
        </is>
      </c>
      <c r="H6" s="2" t="n">
        <v>45994</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in-691ae37d30fa0469</t>
        </is>
      </c>
      <c r="B7" t="inlineStr">
        <is>
          <t>Senior Product Manager, Ads</t>
        </is>
      </c>
      <c r="C7" t="inlineStr">
        <is>
          <t>Amazon.com</t>
        </is>
      </c>
      <c r="D7" t="inlineStr">
        <is>
          <t>indeed</t>
        </is>
      </c>
      <c r="E7" t="inlineStr"/>
      <c r="F7" t="inlineStr"/>
      <c r="G7" t="inlineStr">
        <is>
          <t>Los Angeles, CA, US</t>
        </is>
      </c>
      <c r="H7" s="2" t="n">
        <v>45994</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in-2c6e141aa52795b6</t>
        </is>
      </c>
      <c r="B8" t="inlineStr">
        <is>
          <t>Senior Product Manager, Ads</t>
        </is>
      </c>
      <c r="C8" t="inlineStr">
        <is>
          <t>Amazon.com</t>
        </is>
      </c>
      <c r="D8" t="inlineStr">
        <is>
          <t>indeed</t>
        </is>
      </c>
      <c r="E8" t="inlineStr"/>
      <c r="F8" t="inlineStr"/>
      <c r="G8" t="inlineStr">
        <is>
          <t>Seattle, WA, US</t>
        </is>
      </c>
      <c r="H8" s="2" t="n">
        <v>45994</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in-b799b4e055ba1abe</t>
        </is>
      </c>
      <c r="B9" t="inlineStr">
        <is>
          <t>Senior Product Manager, Ads</t>
        </is>
      </c>
      <c r="C9" t="inlineStr">
        <is>
          <t>Amazon.com</t>
        </is>
      </c>
      <c r="D9" t="inlineStr">
        <is>
          <t>indeed</t>
        </is>
      </c>
      <c r="E9" t="inlineStr"/>
      <c r="F9" t="inlineStr"/>
      <c r="G9" t="inlineStr">
        <is>
          <t>Seattle, WA, US</t>
        </is>
      </c>
      <c r="H9" s="2" t="n">
        <v>45994</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in-9dbf33099e2475c4</t>
        </is>
      </c>
      <c r="B10" t="inlineStr">
        <is>
          <t>Senior Product Manager, Ads</t>
        </is>
      </c>
      <c r="C10" t="inlineStr">
        <is>
          <t>Amazon.com</t>
        </is>
      </c>
      <c r="D10" t="inlineStr">
        <is>
          <t>indeed</t>
        </is>
      </c>
      <c r="E10" t="inlineStr"/>
      <c r="F10" t="inlineStr"/>
      <c r="G10" t="inlineStr">
        <is>
          <t>Irvine, CA, US</t>
        </is>
      </c>
      <c r="H10" s="2" t="n">
        <v>45994</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in-b8442db0a0d1e501</t>
        </is>
      </c>
      <c r="B11" t="inlineStr">
        <is>
          <t>Senior Product Manager, Ads</t>
        </is>
      </c>
      <c r="C11" t="inlineStr">
        <is>
          <t>Amazon.com</t>
        </is>
      </c>
      <c r="D11" t="inlineStr">
        <is>
          <t>indeed</t>
        </is>
      </c>
      <c r="E11" t="inlineStr"/>
      <c r="F11" t="inlineStr"/>
      <c r="G11" t="inlineStr">
        <is>
          <t>San Francisco, CA, US</t>
        </is>
      </c>
      <c r="H11" s="2" t="n">
        <v>45994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in-6ac1789fc4e78f4b</t>
        </is>
      </c>
      <c r="B12" t="inlineStr">
        <is>
          <t>Senior Product Manager, Ads</t>
        </is>
      </c>
      <c r="C12" t="inlineStr">
        <is>
          <t>Amazon.com</t>
        </is>
      </c>
      <c r="D12" t="inlineStr">
        <is>
          <t>indeed</t>
        </is>
      </c>
      <c r="E12" t="inlineStr"/>
      <c r="F12" t="inlineStr"/>
      <c r="G12" t="inlineStr">
        <is>
          <t>New York, NY, US</t>
        </is>
      </c>
      <c r="H12" s="2" t="n">
        <v>45994</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in-6334dbc47d370278</t>
        </is>
      </c>
      <c r="B13" t="inlineStr">
        <is>
          <t>Senior Product Manager, Ads</t>
        </is>
      </c>
      <c r="C13" t="inlineStr">
        <is>
          <t>Amazon.com</t>
        </is>
      </c>
      <c r="D13" t="inlineStr">
        <is>
          <t>indeed</t>
        </is>
      </c>
      <c r="E13" t="inlineStr"/>
      <c r="F13" t="inlineStr"/>
      <c r="G13" t="inlineStr">
        <is>
          <t>New York, NY, US</t>
        </is>
      </c>
      <c r="H13" s="2" t="n">
        <v>45994</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in-da43c1c5de73adc1</t>
        </is>
      </c>
      <c r="B14" t="inlineStr">
        <is>
          <t>Senior Product Manager, Ads</t>
        </is>
      </c>
      <c r="C14" t="inlineStr">
        <is>
          <t>Amazon.com</t>
        </is>
      </c>
      <c r="D14" t="inlineStr">
        <is>
          <t>indeed</t>
        </is>
      </c>
      <c r="E14" t="inlineStr"/>
      <c r="F14" t="inlineStr"/>
      <c r="G14" t="inlineStr">
        <is>
          <t>Los Angeles, CA, US</t>
        </is>
      </c>
      <c r="H14" s="2" t="n">
        <v>45994</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in-d199ce2d363f9b10</t>
        </is>
      </c>
      <c r="B15" t="inlineStr">
        <is>
          <t>Senior Product Manager - Technical, Alexa Connections</t>
        </is>
      </c>
      <c r="C15" t="inlineStr">
        <is>
          <t>Amazon.com</t>
        </is>
      </c>
      <c r="D15" t="inlineStr">
        <is>
          <t>indeed</t>
        </is>
      </c>
      <c r="E15" t="inlineStr"/>
      <c r="F15" t="inlineStr"/>
      <c r="G15" t="inlineStr">
        <is>
          <t>Seattle, WA, US</t>
        </is>
      </c>
      <c r="H15" s="2" t="n">
        <v>45993</v>
      </c>
      <c r="I15"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in-46467831be8a929a</t>
        </is>
      </c>
      <c r="B16" t="inlineStr">
        <is>
          <t>Senior Product Manager - Technical, Alexa Connections</t>
        </is>
      </c>
      <c r="C16" t="inlineStr">
        <is>
          <t>Amazon.com</t>
        </is>
      </c>
      <c r="D16" t="inlineStr">
        <is>
          <t>indeed</t>
        </is>
      </c>
      <c r="E16" t="inlineStr"/>
      <c r="F16" t="inlineStr"/>
      <c r="G16" t="inlineStr">
        <is>
          <t>Sunnyvale, CA, US</t>
        </is>
      </c>
      <c r="H16" s="2" t="n">
        <v>45993</v>
      </c>
      <c r="I16"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in-68df7dccc74dba50</t>
        </is>
      </c>
      <c r="B17" t="inlineStr">
        <is>
          <t>Sr. Product Manager</t>
        </is>
      </c>
      <c r="C17" t="inlineStr">
        <is>
          <t>Amazon.com</t>
        </is>
      </c>
      <c r="D17" t="inlineStr">
        <is>
          <t>indeed</t>
        </is>
      </c>
      <c r="E17" t="inlineStr"/>
      <c r="F17" t="inlineStr"/>
      <c r="G17" t="inlineStr">
        <is>
          <t>Los Angeles, CA, US</t>
        </is>
      </c>
      <c r="H17" s="2" t="n">
        <v>45979</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in-e5b5202e16f18c37</t>
        </is>
      </c>
      <c r="B18" t="inlineStr">
        <is>
          <t>Sr. Product Manager</t>
        </is>
      </c>
      <c r="C18" t="inlineStr">
        <is>
          <t>Amazon.com</t>
        </is>
      </c>
      <c r="D18" t="inlineStr">
        <is>
          <t>indeed</t>
        </is>
      </c>
      <c r="E18" t="inlineStr"/>
      <c r="F18" t="inlineStr"/>
      <c r="G18" t="inlineStr">
        <is>
          <t>Seattle, WA, US</t>
        </is>
      </c>
      <c r="H18" s="2" t="n">
        <v>45979</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in-c08b6ec1153bf74e</t>
        </is>
      </c>
      <c r="B19" t="inlineStr">
        <is>
          <t>Sr. Product Manager</t>
        </is>
      </c>
      <c r="C19" t="inlineStr">
        <is>
          <t>Amazon.com</t>
        </is>
      </c>
      <c r="D19" t="inlineStr">
        <is>
          <t>indeed</t>
        </is>
      </c>
      <c r="E19" t="inlineStr"/>
      <c r="F19" t="inlineStr"/>
      <c r="G19" t="inlineStr">
        <is>
          <t>New York, NY, US</t>
        </is>
      </c>
      <c r="H19" s="2" t="n">
        <v>45979</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in-cca9b640e83d04da</t>
        </is>
      </c>
      <c r="B20" t="inlineStr">
        <is>
          <t>Sr. Product Manager</t>
        </is>
      </c>
      <c r="C20" t="inlineStr">
        <is>
          <t>Amazon.com</t>
        </is>
      </c>
      <c r="D20" t="inlineStr">
        <is>
          <t>indeed</t>
        </is>
      </c>
      <c r="E20" t="inlineStr"/>
      <c r="F20" t="inlineStr"/>
      <c r="G20" t="inlineStr">
        <is>
          <t>San Francisco, CA, US</t>
        </is>
      </c>
      <c r="H20" s="2" t="n">
        <v>45979</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in-3e582e382aab5bc3</t>
        </is>
      </c>
      <c r="B21" t="inlineStr">
        <is>
          <t>Sr. Product Manager</t>
        </is>
      </c>
      <c r="C21" t="inlineStr">
        <is>
          <t>Amazon.com</t>
        </is>
      </c>
      <c r="D21" t="inlineStr">
        <is>
          <t>indeed</t>
        </is>
      </c>
      <c r="E21" t="inlineStr"/>
      <c r="F21" t="inlineStr"/>
      <c r="G21" t="inlineStr">
        <is>
          <t>Irvine, CA, US</t>
        </is>
      </c>
      <c r="H21" s="2" t="n">
        <v>45979</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in-fe0091dc96ee70e4</t>
        </is>
      </c>
      <c r="B22" t="inlineStr">
        <is>
          <t>Program Manager, Executive Content and Programs, Global Executive Marketing</t>
        </is>
      </c>
      <c r="C22" t="inlineStr">
        <is>
          <t>Amazon Web Services</t>
        </is>
      </c>
      <c r="D22" t="inlineStr">
        <is>
          <t>indeed</t>
        </is>
      </c>
      <c r="E22" t="inlineStr"/>
      <c r="F22" t="inlineStr"/>
      <c r="G22" t="inlineStr">
        <is>
          <t>Seattle, WA, US</t>
        </is>
      </c>
      <c r="H22" s="2" t="n">
        <v>45970</v>
      </c>
      <c r="I22"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in-0e1f3d4b1c82943d</t>
        </is>
      </c>
      <c r="B23" t="inlineStr">
        <is>
          <t>Program Manager, Executive Content and Programs, Global Executive Marketing</t>
        </is>
      </c>
      <c r="C23" t="inlineStr">
        <is>
          <t>Amazon Web Services</t>
        </is>
      </c>
      <c r="D23" t="inlineStr">
        <is>
          <t>indeed</t>
        </is>
      </c>
      <c r="E23" t="inlineStr"/>
      <c r="F23" t="inlineStr"/>
      <c r="G23" t="inlineStr">
        <is>
          <t>Arlington, VA, US</t>
        </is>
      </c>
      <c r="H23" s="2" t="n">
        <v>45970</v>
      </c>
      <c r="I23"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in-65a86a9216ee46f8</t>
        </is>
      </c>
      <c r="B24" t="inlineStr">
        <is>
          <t>Sr Product Manager - Tech, FaST (Fashion Subsidiary Tech)</t>
        </is>
      </c>
      <c r="C24" t="inlineStr">
        <is>
          <t>Amazon.com</t>
        </is>
      </c>
      <c r="D24" t="inlineStr">
        <is>
          <t>indeed</t>
        </is>
      </c>
      <c r="E24" t="inlineStr"/>
      <c r="F24" t="inlineStr"/>
      <c r="G24" t="inlineStr">
        <is>
          <t>New York, NY, US</t>
        </is>
      </c>
      <c r="H24" s="2" t="n">
        <v>45964</v>
      </c>
      <c r="I24" t="inlineStr">
        <is>
          <t>**DESCRIPTION**
---------------
Join us at FaST (Fashion Subsidiaries Tech) as we raise the bar for what customers expect in their post purchase experience!
The FaST Purchase \&amp; Post team builds and manages the best customer experience from cart to fulfillment to returns to customer service. As subsidiaries, Zappos and Shopbop leverage best\-in\-class technology from the inside; analyze and iterate existing and new opportunities, and scale them to raise the bar for our customers.
We are looking for an entrepreneurial, strategic business leader with strong understanding of technology to join our team. You will lead efforts to inspire new customers to shop with us offering a delightful and easy post\-purchase experience. You will be responsible for launching new experiences throughout our site, from enabling fast delivery through to the end of the customer journey. You will design, coordinate, and execute technical solutions to launch and scale features, creating data insights and automation. You will partner with Operations and Software development teams as you test new ideas that will help drive innovation in our customer experience. As a PMT, you will leverage your business and technical understanding in the e\-commerce space to deliver the best solutions for our customers. You will establish the business case, strategy and vision for the area of ownership. You will use data to make prioritization decisions, make trade\-offs between business vs. technical constraints, and define KPIs and goals to measure impact. You will work closely with business teams to achieve alignment on the strategy and tech teams to drive consensus on the technical approach.
Key job responsibilities  
* Define and get alignment on the vision, product strategy and roadmap to create best in class shopping experiences and tools to support them
* Manage the entire product life cycle from strategic planning to tactical execution
* Establish clear and measurable product goals and a regular assessment cadence
* Write executive communication and regularly present to leaders across business groups and technology
* Develop and leverage partnerships across the broader Amazon technology community
About the team  
Our team is intentional about attracting, developing, and retaining amazing talent from diverse backgrounds. Yes we do get to work on really cool services,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in-9fbdbe15938f1f7d</t>
        </is>
      </c>
      <c r="B25" t="inlineStr">
        <is>
          <t>Sr Product Manager - Tech, FaST (Fashion Subsidiary Tech)</t>
        </is>
      </c>
      <c r="C25" t="inlineStr">
        <is>
          <t>Amazon.com</t>
        </is>
      </c>
      <c r="D25" t="inlineStr">
        <is>
          <t>indeed</t>
        </is>
      </c>
      <c r="E25" t="inlineStr"/>
      <c r="F25" t="inlineStr"/>
      <c r="G25" t="inlineStr">
        <is>
          <t>Madison, WI, US</t>
        </is>
      </c>
      <c r="H25" s="2" t="n">
        <v>45964</v>
      </c>
      <c r="I25" t="inlineStr">
        <is>
          <t>**DESCRIPTION**
---------------
Join us at FaST (Fashion Subsidiaries Tech) as we raise the bar for what customers expect in their post purchase experience!
The FaST Purchase \&amp; Post team builds and manages the best customer experience from cart to fulfillment to returns to customer service. As subsidiaries, Zappos and Shopbop leverage best\-in\-class technology from the inside; analyze and iterate existing and new opportunities, and scale them to raise the bar for our customers.
We are looking for an entrepreneurial, strategic business leader with strong understanding of technology to join our team. You will lead efforts to inspire new customers to shop with us offering a delightful and easy post\-purchase experience. You will be responsible for launching new experiences throughout our site, from enabling fast delivery through to the end of the customer journey. You will design, coordinate, and execute technical solutions to launch and scale features, creating data insights and automation. You will partner with Operations and Software development teams as you test new ideas that will help drive innovation in our customer experience. As a PMT, you will leverage your business and technical understanding in the e\-commerce space to deliver the best solutions for our customers. You will establish the business case, strategy and vision for the area of ownership. You will use data to make prioritization decisions, make trade\-offs between business vs. technical constraints, and define KPIs and goals to measure impact. You will work closely with business teams to achieve alignment on the strategy and tech teams to drive consensus on the technical approach.
Key job responsibilities  
* Define and get alignment on the vision, product strategy and roadmap to create best in class shopping experiences and tools to support them
* Manage the entire product life cycle from strategic planning to tactical execution
* Establish clear and measurable product goals and a regular assessment cadence
* Write executive communication and regularly present to leaders across business groups and technology
* Develop and leverage partnerships across the broader Amazon technology community
About the team  
Our team is intentional about attracting, developing, and retaining amazing talent from diverse backgrounds. Yes we do get to work on really cool services,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in-e300f7dfe405f941</t>
        </is>
      </c>
      <c r="B26" t="inlineStr">
        <is>
          <t>Senior Product Manager, Sub Same Day</t>
        </is>
      </c>
      <c r="C26" t="inlineStr">
        <is>
          <t>Amazon.com</t>
        </is>
      </c>
      <c r="D26" t="inlineStr">
        <is>
          <t>indeed</t>
        </is>
      </c>
      <c r="E26" t="inlineStr"/>
      <c r="F26" t="inlineStr"/>
      <c r="G26" t="inlineStr">
        <is>
          <t>New York, NY, US</t>
        </is>
      </c>
      <c r="H26" s="2" t="n">
        <v>45957</v>
      </c>
      <c r="I26"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in-ccd8f3e59107adf1</t>
        </is>
      </c>
      <c r="B27" t="inlineStr">
        <is>
          <t>Senior Product Manager, Sub Same Day</t>
        </is>
      </c>
      <c r="C27" t="inlineStr">
        <is>
          <t>Amazon.com</t>
        </is>
      </c>
      <c r="D27" t="inlineStr">
        <is>
          <t>indeed</t>
        </is>
      </c>
      <c r="E27" t="inlineStr"/>
      <c r="F27" t="inlineStr"/>
      <c r="G27" t="inlineStr">
        <is>
          <t>Nashville, TN, US</t>
        </is>
      </c>
      <c r="H27" s="2" t="n">
        <v>45957</v>
      </c>
      <c r="I2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in-3301973cd48bb999</t>
        </is>
      </c>
      <c r="B28" t="inlineStr">
        <is>
          <t>Senior Product Manager, Sub Same Day</t>
        </is>
      </c>
      <c r="C28" t="inlineStr">
        <is>
          <t>Amazon.com</t>
        </is>
      </c>
      <c r="D28" t="inlineStr">
        <is>
          <t>indeed</t>
        </is>
      </c>
      <c r="E28" t="inlineStr"/>
      <c r="F28" t="inlineStr"/>
      <c r="G28" t="inlineStr">
        <is>
          <t>Bellevue, WA, US</t>
        </is>
      </c>
      <c r="H28" s="2" t="n">
        <v>45957</v>
      </c>
      <c r="I28"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in-42456327472621f2</t>
        </is>
      </c>
      <c r="B29" t="inlineStr">
        <is>
          <t>Sr. Program Manager, Planning &amp; Automation, Global Fleet and Products Electrification and Infrastructure</t>
        </is>
      </c>
      <c r="C29" t="inlineStr">
        <is>
          <t>Amazon.com</t>
        </is>
      </c>
      <c r="D29" t="inlineStr">
        <is>
          <t>indeed</t>
        </is>
      </c>
      <c r="E29" t="inlineStr"/>
      <c r="F29" t="inlineStr"/>
      <c r="G29" t="inlineStr">
        <is>
          <t>San Francisco, CA, US</t>
        </is>
      </c>
      <c r="H29" s="2" t="n">
        <v>45949</v>
      </c>
      <c r="I29"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in-7692a35ead5ae9d2</t>
        </is>
      </c>
      <c r="B30" t="inlineStr">
        <is>
          <t>Sr. Program Manager, Planning &amp; Automation, Global Fleet and Products Electrification and Infrastructure</t>
        </is>
      </c>
      <c r="C30" t="inlineStr">
        <is>
          <t>Amazon.com</t>
        </is>
      </c>
      <c r="D30" t="inlineStr">
        <is>
          <t>indeed</t>
        </is>
      </c>
      <c r="E30" t="inlineStr"/>
      <c r="F30" t="inlineStr"/>
      <c r="G30" t="inlineStr">
        <is>
          <t>Bellevue, WA, US</t>
        </is>
      </c>
      <c r="H30" s="2" t="n">
        <v>45949</v>
      </c>
      <c r="I3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in-78530966c356c3e0</t>
        </is>
      </c>
      <c r="B31" t="inlineStr">
        <is>
          <t>Sr. Program Manager, Planning &amp; Automation, Global Fleet and Products Electrification and Infrastructure</t>
        </is>
      </c>
      <c r="C31" t="inlineStr">
        <is>
          <t>Amazon.com</t>
        </is>
      </c>
      <c r="D31" t="inlineStr">
        <is>
          <t>indeed</t>
        </is>
      </c>
      <c r="E31" t="inlineStr"/>
      <c r="F31" t="inlineStr"/>
      <c r="G31" t="inlineStr">
        <is>
          <t>Nashville, TN, US</t>
        </is>
      </c>
      <c r="H31" s="2" t="n">
        <v>45949</v>
      </c>
      <c r="I31"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in-92089fbc13cd0536</t>
        </is>
      </c>
      <c r="B32" t="inlineStr">
        <is>
          <t>Sr Program Manager, Procurement Operations, SSD OI</t>
        </is>
      </c>
      <c r="C32" t="inlineStr">
        <is>
          <t>Amazon.com</t>
        </is>
      </c>
      <c r="D32" t="inlineStr">
        <is>
          <t>indeed</t>
        </is>
      </c>
      <c r="E32" t="inlineStr"/>
      <c r="F32" t="inlineStr"/>
      <c r="G32" t="inlineStr">
        <is>
          <t>Bellevue, WA, US</t>
        </is>
      </c>
      <c r="H32" s="2" t="n">
        <v>45938</v>
      </c>
      <c r="I32"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in-e3a3c85a47a2e2d0</t>
        </is>
      </c>
      <c r="B33" t="inlineStr">
        <is>
          <t>Sr Program Manager, Procurement Operations, SSD OI</t>
        </is>
      </c>
      <c r="C33" t="inlineStr">
        <is>
          <t>Amazon.com</t>
        </is>
      </c>
      <c r="D33" t="inlineStr">
        <is>
          <t>indeed</t>
        </is>
      </c>
      <c r="E33" t="inlineStr"/>
      <c r="F33" t="inlineStr"/>
      <c r="G33" t="inlineStr">
        <is>
          <t>New York, NY, US</t>
        </is>
      </c>
      <c r="H33" s="2" t="n">
        <v>45938</v>
      </c>
      <c r="I33"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in-a41dbb9068f127c5</t>
        </is>
      </c>
      <c r="B34" t="inlineStr">
        <is>
          <t>Sr Program Manager, Procurement Operations, SSD OI</t>
        </is>
      </c>
      <c r="C34" t="inlineStr">
        <is>
          <t>Amazon.com</t>
        </is>
      </c>
      <c r="D34" t="inlineStr">
        <is>
          <t>indeed</t>
        </is>
      </c>
      <c r="E34" t="inlineStr"/>
      <c r="F34" t="inlineStr"/>
      <c r="G34" t="inlineStr">
        <is>
          <t>Nashville, TN, US</t>
        </is>
      </c>
      <c r="H34" s="2" t="n">
        <v>45938</v>
      </c>
      <c r="I34"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in-beb21c74d74d71ef</t>
        </is>
      </c>
      <c r="B35" t="inlineStr">
        <is>
          <t>Sr. Supply Chain Product Manager, Amazon Custom Modules</t>
        </is>
      </c>
      <c r="C35" t="inlineStr">
        <is>
          <t>Amazon.com</t>
        </is>
      </c>
      <c r="D35" t="inlineStr">
        <is>
          <t>indeed</t>
        </is>
      </c>
      <c r="E35" t="inlineStr"/>
      <c r="F35" t="inlineStr"/>
      <c r="G35" t="inlineStr">
        <is>
          <t>Seattle, WA, US</t>
        </is>
      </c>
      <c r="H35" s="2" t="n">
        <v>45935</v>
      </c>
      <c r="I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in-491cb72693c00a75</t>
        </is>
      </c>
      <c r="B36" t="inlineStr">
        <is>
          <t>Sr. Supply Chain Product Manager, Amazon Custom Modules</t>
        </is>
      </c>
      <c r="C36" t="inlineStr">
        <is>
          <t>Amazon.com</t>
        </is>
      </c>
      <c r="D36" t="inlineStr">
        <is>
          <t>indeed</t>
        </is>
      </c>
      <c r="E36" t="inlineStr"/>
      <c r="F36" t="inlineStr"/>
      <c r="G36" t="inlineStr">
        <is>
          <t>Austin, TX, US</t>
        </is>
      </c>
      <c r="H36" s="2" t="n">
        <v>45935</v>
      </c>
      <c r="I3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in-1992074f426bfd01</t>
        </is>
      </c>
      <c r="B37" t="inlineStr">
        <is>
          <t>Sr. Supply Chain Product Manager, Amazon Custom Modules</t>
        </is>
      </c>
      <c r="C37" t="inlineStr">
        <is>
          <t>Amazon.com</t>
        </is>
      </c>
      <c r="D37" t="inlineStr">
        <is>
          <t>indeed</t>
        </is>
      </c>
      <c r="E37" t="inlineStr"/>
      <c r="F37" t="inlineStr"/>
      <c r="G37" t="inlineStr">
        <is>
          <t>Cupertino, CA, US</t>
        </is>
      </c>
      <c r="H37" s="2" t="n">
        <v>45935</v>
      </c>
      <c r="I3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in-363217795f828b6b</t>
        </is>
      </c>
      <c r="B38" t="inlineStr">
        <is>
          <t>Sr. Program Manager, Same Day Programs</t>
        </is>
      </c>
      <c r="C38" t="inlineStr">
        <is>
          <t>Amazon.com</t>
        </is>
      </c>
      <c r="D38" t="inlineStr">
        <is>
          <t>indeed</t>
        </is>
      </c>
      <c r="E38" t="inlineStr"/>
      <c r="F38" t="inlineStr"/>
      <c r="G38" t="inlineStr">
        <is>
          <t>Nashville, TN, US</t>
        </is>
      </c>
      <c r="H38" s="2" t="n">
        <v>45931</v>
      </c>
      <c r="I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in-1632c19cad0cc8ef</t>
        </is>
      </c>
      <c r="B39" t="inlineStr">
        <is>
          <t>Sr. Program Manager, Same Day Programs</t>
        </is>
      </c>
      <c r="C39" t="inlineStr">
        <is>
          <t>Amazon.com</t>
        </is>
      </c>
      <c r="D39" t="inlineStr">
        <is>
          <t>indeed</t>
        </is>
      </c>
      <c r="E39" t="inlineStr"/>
      <c r="F39" t="inlineStr"/>
      <c r="G39" t="inlineStr">
        <is>
          <t>Bellevue, WA, US</t>
        </is>
      </c>
      <c r="H39" s="2" t="n">
        <v>45931</v>
      </c>
      <c r="I3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in-09cda2ba66b75e2d</t>
        </is>
      </c>
      <c r="B40" t="inlineStr">
        <is>
          <t>Sr. Program Manager, Same Day Programs,</t>
        </is>
      </c>
      <c r="C40" t="inlineStr">
        <is>
          <t>Amazon.com</t>
        </is>
      </c>
      <c r="D40" t="inlineStr">
        <is>
          <t>indeed</t>
        </is>
      </c>
      <c r="E40" t="inlineStr"/>
      <c r="F40" t="inlineStr"/>
      <c r="G40" t="inlineStr">
        <is>
          <t>Bellevue, WA, US</t>
        </is>
      </c>
      <c r="H40" s="2" t="n">
        <v>45931</v>
      </c>
      <c r="I4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in-870a2cfa1f0a749f</t>
        </is>
      </c>
      <c r="B41" t="inlineStr">
        <is>
          <t>Sr. Program Manager, Same Day Programs,</t>
        </is>
      </c>
      <c r="C41" t="inlineStr">
        <is>
          <t>Amazon.com</t>
        </is>
      </c>
      <c r="D41" t="inlineStr">
        <is>
          <t>indeed</t>
        </is>
      </c>
      <c r="E41" t="inlineStr"/>
      <c r="F41" t="inlineStr"/>
      <c r="G41" t="inlineStr">
        <is>
          <t>Nashville, TN, US</t>
        </is>
      </c>
      <c r="H41" s="2" t="n">
        <v>45931</v>
      </c>
      <c r="I4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in-03dc3e2923a848c8</t>
        </is>
      </c>
      <c r="B42" t="inlineStr">
        <is>
          <t>Tech Infrastructure Program Manager - AV , IT Services - CIS</t>
        </is>
      </c>
      <c r="C42" t="inlineStr">
        <is>
          <t>Amazon.com</t>
        </is>
      </c>
      <c r="D42" t="inlineStr">
        <is>
          <t>indeed</t>
        </is>
      </c>
      <c r="E42" t="inlineStr"/>
      <c r="F42" t="inlineStr"/>
      <c r="G42" t="inlineStr">
        <is>
          <t>Seattle, WA, US</t>
        </is>
      </c>
      <c r="H42" s="2" t="n">
        <v>45923</v>
      </c>
      <c r="I42"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in-689551c9322a3ca2</t>
        </is>
      </c>
      <c r="B43" t="inlineStr">
        <is>
          <t>Tech Infrastructure Program Manager - AV , IT Services - CIS</t>
        </is>
      </c>
      <c r="C43" t="inlineStr">
        <is>
          <t>Amazon.com</t>
        </is>
      </c>
      <c r="D43" t="inlineStr">
        <is>
          <t>indeed</t>
        </is>
      </c>
      <c r="E43" t="inlineStr"/>
      <c r="F43" t="inlineStr"/>
      <c r="G43" t="inlineStr">
        <is>
          <t>Sunnyvale, CA, US</t>
        </is>
      </c>
      <c r="H43" s="2" t="n">
        <v>45923</v>
      </c>
      <c r="I43"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in-f177e6c57ef60aac</t>
        </is>
      </c>
      <c r="B44" t="inlineStr">
        <is>
          <t>Tech Infrastructure Program Manager - AV , IT Services - CIS</t>
        </is>
      </c>
      <c r="C44" t="inlineStr">
        <is>
          <t>Amazon.com</t>
        </is>
      </c>
      <c r="D44" t="inlineStr">
        <is>
          <t>indeed</t>
        </is>
      </c>
      <c r="E44" t="inlineStr"/>
      <c r="F44" t="inlineStr"/>
      <c r="G44" t="inlineStr">
        <is>
          <t>Austin, TX, US</t>
        </is>
      </c>
      <c r="H44" s="2" t="n">
        <v>45923</v>
      </c>
      <c r="I44"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in-ed8bbbbf56d4a207</t>
        </is>
      </c>
      <c r="B45" t="inlineStr">
        <is>
          <t>Tech Infrastructure Program Manager - AV , IT Services - CIS</t>
        </is>
      </c>
      <c r="C45" t="inlineStr">
        <is>
          <t>Amazon.com</t>
        </is>
      </c>
      <c r="D45" t="inlineStr">
        <is>
          <t>indeed</t>
        </is>
      </c>
      <c r="E45" t="inlineStr"/>
      <c r="F45" t="inlineStr"/>
      <c r="G45" t="inlineStr">
        <is>
          <t>Arlington, VA, US</t>
        </is>
      </c>
      <c r="H45" s="2" t="n">
        <v>45923</v>
      </c>
      <c r="I45"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in-5186a9de6b5e29ae</t>
        </is>
      </c>
      <c r="B46" t="inlineStr">
        <is>
          <t>Senior Product Manager, Sub Same Day</t>
        </is>
      </c>
      <c r="C46" t="inlineStr">
        <is>
          <t>Amazon.com</t>
        </is>
      </c>
      <c r="D46" t="inlineStr">
        <is>
          <t>indeed</t>
        </is>
      </c>
      <c r="E46" t="inlineStr"/>
      <c r="F46" t="inlineStr"/>
      <c r="G46" t="inlineStr">
        <is>
          <t>New York, NY, US</t>
        </is>
      </c>
      <c r="H46" s="2" t="n">
        <v>45914</v>
      </c>
      <c r="I46"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in-352d4ca9ba9b0e08</t>
        </is>
      </c>
      <c r="B47" t="inlineStr">
        <is>
          <t>Senior Product Manager, Sub Same Day</t>
        </is>
      </c>
      <c r="C47" t="inlineStr">
        <is>
          <t>Amazon.com</t>
        </is>
      </c>
      <c r="D47" t="inlineStr">
        <is>
          <t>indeed</t>
        </is>
      </c>
      <c r="E47" t="inlineStr"/>
      <c r="F47" t="inlineStr"/>
      <c r="G47" t="inlineStr">
        <is>
          <t>Bellevue, WA, US</t>
        </is>
      </c>
      <c r="H47" s="2" t="n">
        <v>45914</v>
      </c>
      <c r="I4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in-1b3b5737e4633dd8</t>
        </is>
      </c>
      <c r="B48" t="inlineStr">
        <is>
          <t>Senior Product Manager, Sub Same Day</t>
        </is>
      </c>
      <c r="C48" t="inlineStr">
        <is>
          <t>Amazon.com</t>
        </is>
      </c>
      <c r="D48" t="inlineStr">
        <is>
          <t>indeed</t>
        </is>
      </c>
      <c r="E48" t="inlineStr"/>
      <c r="F48" t="inlineStr"/>
      <c r="G48" t="inlineStr">
        <is>
          <t>Nashville, TN, US</t>
        </is>
      </c>
      <c r="H48" s="2" t="n">
        <v>45914</v>
      </c>
      <c r="I48"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in-e488527a088b6eac</t>
        </is>
      </c>
      <c r="B49" t="inlineStr">
        <is>
          <t>Amazon Last Mile Fleet Program Manager, In Life Services-Recalls, Retrofits, and Tires</t>
        </is>
      </c>
      <c r="C49" t="inlineStr">
        <is>
          <t>Amazon.com</t>
        </is>
      </c>
      <c r="D49" t="inlineStr">
        <is>
          <t>indeed</t>
        </is>
      </c>
      <c r="E49" t="inlineStr"/>
      <c r="F49" t="inlineStr"/>
      <c r="G49" t="inlineStr">
        <is>
          <t>Arlington, VA, US</t>
        </is>
      </c>
      <c r="H49" s="2" t="n">
        <v>45911</v>
      </c>
      <c r="I4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in-4af5b8e7f7f1c8dd</t>
        </is>
      </c>
      <c r="B50" t="inlineStr">
        <is>
          <t>Amazon Last Mile Fleet Program Manager, In Life Services-Recalls, Retrofits, and Tires</t>
        </is>
      </c>
      <c r="C50" t="inlineStr">
        <is>
          <t>Amazon.com</t>
        </is>
      </c>
      <c r="D50" t="inlineStr">
        <is>
          <t>indeed</t>
        </is>
      </c>
      <c r="E50" t="inlineStr"/>
      <c r="F50" t="inlineStr"/>
      <c r="G50" t="inlineStr">
        <is>
          <t>Bellevue, WA, US</t>
        </is>
      </c>
      <c r="H50" s="2" t="n">
        <v>45911</v>
      </c>
      <c r="I5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in-0516febb080c07d9</t>
        </is>
      </c>
      <c r="B51" t="inlineStr">
        <is>
          <t>Amazon Last Mile Fleet Program Manager, In Life Services-Recalls, Retrofits, and Tires</t>
        </is>
      </c>
      <c r="C51" t="inlineStr">
        <is>
          <t>Amazon.com</t>
        </is>
      </c>
      <c r="D51" t="inlineStr">
        <is>
          <t>indeed</t>
        </is>
      </c>
      <c r="E51" t="inlineStr"/>
      <c r="F51" t="inlineStr"/>
      <c r="G51" t="inlineStr">
        <is>
          <t>Nashville, TN, US</t>
        </is>
      </c>
      <c r="H51" s="2" t="n">
        <v>45911</v>
      </c>
      <c r="I5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in-2cde80cc722f2646</t>
        </is>
      </c>
      <c r="B52" t="inlineStr">
        <is>
          <t>Sr. EHS Program Manager, Safety Learning and Development</t>
        </is>
      </c>
      <c r="C52" t="inlineStr">
        <is>
          <t>Amazon.com</t>
        </is>
      </c>
      <c r="D52" t="inlineStr">
        <is>
          <t>indeed</t>
        </is>
      </c>
      <c r="E52" t="inlineStr"/>
      <c r="F52" t="inlineStr"/>
      <c r="G52" t="inlineStr">
        <is>
          <t>Nashville, TN, US</t>
        </is>
      </c>
      <c r="H52" s="2" t="n">
        <v>45910</v>
      </c>
      <c r="I52"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in-c7398b45a52add64</t>
        </is>
      </c>
      <c r="B53" t="inlineStr">
        <is>
          <t>Sr. EHS Program Manager, Safety Learning and Development</t>
        </is>
      </c>
      <c r="C53" t="inlineStr">
        <is>
          <t>Amazon.com</t>
        </is>
      </c>
      <c r="D53" t="inlineStr">
        <is>
          <t>indeed</t>
        </is>
      </c>
      <c r="E53" t="inlineStr"/>
      <c r="F53" t="inlineStr"/>
      <c r="G53" t="inlineStr">
        <is>
          <t>Bellevue, WA, US</t>
        </is>
      </c>
      <c r="H53" s="2" t="n">
        <v>45910</v>
      </c>
      <c r="I53"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in-466e0b724f67214f</t>
        </is>
      </c>
      <c r="B54" t="inlineStr">
        <is>
          <t>Sr. Product Manager, Sub-Same Day (SSD) - DOT, SSD Delivery Ops Tech</t>
        </is>
      </c>
      <c r="C54" t="inlineStr">
        <is>
          <t>Amazon.com</t>
        </is>
      </c>
      <c r="D54" t="inlineStr">
        <is>
          <t>indeed</t>
        </is>
      </c>
      <c r="E54" t="inlineStr"/>
      <c r="F54" t="inlineStr"/>
      <c r="G54" t="inlineStr">
        <is>
          <t>Nashville, TN, US</t>
        </is>
      </c>
      <c r="H54" s="2" t="n">
        <v>45876</v>
      </c>
      <c r="I54"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in-b2e15f96800e0035</t>
        </is>
      </c>
      <c r="B55" t="inlineStr">
        <is>
          <t>Sr. Product Manager, Sub-Same Day (SSD) - DOT, SSD Delivery Ops Tech</t>
        </is>
      </c>
      <c r="C55" t="inlineStr">
        <is>
          <t>Amazon.com</t>
        </is>
      </c>
      <c r="D55" t="inlineStr">
        <is>
          <t>indeed</t>
        </is>
      </c>
      <c r="E55" t="inlineStr"/>
      <c r="F55" t="inlineStr"/>
      <c r="G55" t="inlineStr">
        <is>
          <t>Bellevue, WA, US</t>
        </is>
      </c>
      <c r="H55" s="2" t="n">
        <v>45876</v>
      </c>
      <c r="I55"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in-db75ee6038acbc94</t>
        </is>
      </c>
      <c r="B56" t="inlineStr">
        <is>
          <t>Sr. Product Manager, Sub-Same Day (SSD) - DOT, SSD Delivery Ops Tech</t>
        </is>
      </c>
      <c r="C56" t="inlineStr">
        <is>
          <t>Amazon.com</t>
        </is>
      </c>
      <c r="D56" t="inlineStr">
        <is>
          <t>indeed</t>
        </is>
      </c>
      <c r="E56" t="inlineStr"/>
      <c r="F56" t="inlineStr"/>
      <c r="G56" t="inlineStr">
        <is>
          <t>New York, NY, US</t>
        </is>
      </c>
      <c r="H56" s="2" t="n">
        <v>45876</v>
      </c>
      <c r="I5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in-6ca9657eacbb1fe4</t>
        </is>
      </c>
      <c r="B57" t="inlineStr">
        <is>
          <t>Sr. Product Manager, Sub-Same Day (SSD) Delivery</t>
        </is>
      </c>
      <c r="C57" t="inlineStr">
        <is>
          <t>Amazon.com</t>
        </is>
      </c>
      <c r="D57" t="inlineStr">
        <is>
          <t>indeed</t>
        </is>
      </c>
      <c r="E57" t="inlineStr"/>
      <c r="F57" t="inlineStr"/>
      <c r="G57" t="inlineStr">
        <is>
          <t>New York, NY, US</t>
        </is>
      </c>
      <c r="H57" s="2" t="n">
        <v>45874</v>
      </c>
      <c r="I57"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in-3b04fba853253dd2</t>
        </is>
      </c>
      <c r="B58" t="inlineStr">
        <is>
          <t>Sr. Product Manager, Sub-Same Day (SSD) Delivery</t>
        </is>
      </c>
      <c r="C58" t="inlineStr">
        <is>
          <t>Amazon.com</t>
        </is>
      </c>
      <c r="D58" t="inlineStr">
        <is>
          <t>indeed</t>
        </is>
      </c>
      <c r="E58" t="inlineStr"/>
      <c r="F58" t="inlineStr"/>
      <c r="G58" t="inlineStr">
        <is>
          <t>Bellevue, WA, US</t>
        </is>
      </c>
      <c r="H58" s="2" t="n">
        <v>45874</v>
      </c>
      <c r="I58"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in-2820e1ca2b32902f</t>
        </is>
      </c>
      <c r="B59" t="inlineStr">
        <is>
          <t>Sr. Product Manager, Sub-Same Day (SSD) Delivery</t>
        </is>
      </c>
      <c r="C59" t="inlineStr">
        <is>
          <t>Amazon.com</t>
        </is>
      </c>
      <c r="D59" t="inlineStr">
        <is>
          <t>indeed</t>
        </is>
      </c>
      <c r="E59" t="inlineStr"/>
      <c r="F59" t="inlineStr"/>
      <c r="G59" t="inlineStr">
        <is>
          <t>Nashville, TN, US</t>
        </is>
      </c>
      <c r="H59" s="2" t="n">
        <v>45874</v>
      </c>
      <c r="I59"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in-304036a576a7da9a</t>
        </is>
      </c>
      <c r="B60" t="inlineStr">
        <is>
          <t>Senior Product Manager - Tech, Fire TV</t>
        </is>
      </c>
      <c r="C60" t="inlineStr">
        <is>
          <t>Amazon.com</t>
        </is>
      </c>
      <c r="D60" t="inlineStr">
        <is>
          <t>indeed</t>
        </is>
      </c>
      <c r="E60" t="inlineStr"/>
      <c r="F60" t="inlineStr"/>
      <c r="G60" t="inlineStr">
        <is>
          <t>Seattle, WA, US</t>
        </is>
      </c>
      <c r="H60" s="2" t="n">
        <v>45855</v>
      </c>
      <c r="I60"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in-a4793b5a4e72afc1</t>
        </is>
      </c>
      <c r="B61" t="inlineStr">
        <is>
          <t>Senior Product Manager - Tech, Fire TV</t>
        </is>
      </c>
      <c r="C61" t="inlineStr">
        <is>
          <t>Amazon.com</t>
        </is>
      </c>
      <c r="D61" t="inlineStr">
        <is>
          <t>indeed</t>
        </is>
      </c>
      <c r="E61" t="inlineStr"/>
      <c r="F61" t="inlineStr"/>
      <c r="G61" t="inlineStr">
        <is>
          <t>Sunnyvale, CA, US</t>
        </is>
      </c>
      <c r="H61" s="2" t="n">
        <v>45855</v>
      </c>
      <c r="I6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in-66df36a2930bab49</t>
        </is>
      </c>
      <c r="B62" t="inlineStr">
        <is>
          <t>Senior Product Manager - Technical, Alexa Communications</t>
        </is>
      </c>
      <c r="C62" t="inlineStr">
        <is>
          <t>Amazon.com</t>
        </is>
      </c>
      <c r="D62" t="inlineStr">
        <is>
          <t>indeed</t>
        </is>
      </c>
      <c r="E62" t="inlineStr"/>
      <c r="F62" t="inlineStr"/>
      <c r="G62" t="inlineStr">
        <is>
          <t>Sunnyvale, CA, US</t>
        </is>
      </c>
      <c r="H62" s="2" t="n">
        <v>45851</v>
      </c>
      <c r="I6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in-3ff342595c22672c</t>
        </is>
      </c>
      <c r="B63" t="inlineStr">
        <is>
          <t>Senior Product Manager - Technical, Alexa Communications</t>
        </is>
      </c>
      <c r="C63" t="inlineStr">
        <is>
          <t>Amazon.com</t>
        </is>
      </c>
      <c r="D63" t="inlineStr">
        <is>
          <t>indeed</t>
        </is>
      </c>
      <c r="E63" t="inlineStr"/>
      <c r="F63" t="inlineStr"/>
      <c r="G63" t="inlineStr">
        <is>
          <t>Seattle, WA, US</t>
        </is>
      </c>
      <c r="H63" s="2" t="n">
        <v>45851</v>
      </c>
      <c r="I6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in-7da0a87504fd4a17</t>
        </is>
      </c>
      <c r="B64" t="inlineStr">
        <is>
          <t>Principal Product Manager Tech - Devices, Fire TV Devices</t>
        </is>
      </c>
      <c r="C64" t="inlineStr">
        <is>
          <t>Amazon.com</t>
        </is>
      </c>
      <c r="D64" t="inlineStr">
        <is>
          <t>indeed</t>
        </is>
      </c>
      <c r="E64" t="inlineStr"/>
      <c r="F64" t="inlineStr"/>
      <c r="G64" t="inlineStr">
        <is>
          <t>Sunnyvale, CA, US</t>
        </is>
      </c>
      <c r="H64" s="2" t="n">
        <v>45844</v>
      </c>
      <c r="I64"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in-c0ab83c96ab0e51e</t>
        </is>
      </c>
      <c r="B65" t="inlineStr">
        <is>
          <t>Principal Product Manager Tech - Devices, Fire TV Devices</t>
        </is>
      </c>
      <c r="C65" t="inlineStr">
        <is>
          <t>Amazon.com</t>
        </is>
      </c>
      <c r="D65" t="inlineStr">
        <is>
          <t>indeed</t>
        </is>
      </c>
      <c r="E65" t="inlineStr"/>
      <c r="F65" t="inlineStr"/>
      <c r="G65" t="inlineStr">
        <is>
          <t>Seattle, WA, US</t>
        </is>
      </c>
      <c r="H65" s="2" t="n">
        <v>45844</v>
      </c>
      <c r="I6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in-8dca106607b806ff</t>
        </is>
      </c>
      <c r="B66" t="inlineStr">
        <is>
          <t>Principal Product Manager-Technical, AGI, Artificial General Intellgence</t>
        </is>
      </c>
      <c r="C66" t="inlineStr">
        <is>
          <t>Amazon.com</t>
        </is>
      </c>
      <c r="D66" t="inlineStr">
        <is>
          <t>indeed</t>
        </is>
      </c>
      <c r="E66" t="inlineStr"/>
      <c r="F66" t="inlineStr"/>
      <c r="G66" t="inlineStr">
        <is>
          <t>Boston, MA, US</t>
        </is>
      </c>
      <c r="H66" s="2" t="n">
        <v>45824</v>
      </c>
      <c r="I6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in-a1f6010a144a4464</t>
        </is>
      </c>
      <c r="B67" t="inlineStr">
        <is>
          <t>Principal Product Manager-Technical, AGI, Artificial General Intellgence</t>
        </is>
      </c>
      <c r="C67" t="inlineStr">
        <is>
          <t>Amazon.com</t>
        </is>
      </c>
      <c r="D67" t="inlineStr">
        <is>
          <t>indeed</t>
        </is>
      </c>
      <c r="E67" t="inlineStr"/>
      <c r="F67" t="inlineStr"/>
      <c r="G67" t="inlineStr">
        <is>
          <t>Bellevue, WA, US</t>
        </is>
      </c>
      <c r="H67" s="2" t="n">
        <v>45824</v>
      </c>
      <c r="I6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in-b044630baddab7c5</t>
        </is>
      </c>
      <c r="B68" t="inlineStr">
        <is>
          <t>Principal Product Manager-Technical, AGI, Artificial General Intellgence</t>
        </is>
      </c>
      <c r="C68" t="inlineStr">
        <is>
          <t>Amazon.com</t>
        </is>
      </c>
      <c r="D68" t="inlineStr">
        <is>
          <t>indeed</t>
        </is>
      </c>
      <c r="E68" t="inlineStr"/>
      <c r="F68" t="inlineStr"/>
      <c r="G68" t="inlineStr">
        <is>
          <t>Sunnyvale, CA, US</t>
        </is>
      </c>
      <c r="H68" s="2" t="n">
        <v>45824</v>
      </c>
      <c r="I6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in-d38f3936fb83aa61</t>
        </is>
      </c>
      <c r="B69" t="inlineStr">
        <is>
          <t>Sr. Product Manager Technical, Deal Tooling &amp; Insights, Strategic Customer Engagements</t>
        </is>
      </c>
      <c r="C69" t="inlineStr">
        <is>
          <t>Amazon Web Services</t>
        </is>
      </c>
      <c r="D69" t="inlineStr">
        <is>
          <t>indeed</t>
        </is>
      </c>
      <c r="E69" t="inlineStr"/>
      <c r="F69" t="inlineStr"/>
      <c r="G69" t="inlineStr">
        <is>
          <t>Arlington, VA, US</t>
        </is>
      </c>
      <c r="H69" s="2" t="n">
        <v>45994</v>
      </c>
      <c r="I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0">
      <c r="A70" t="inlineStr">
        <is>
          <t>in-c5b51b7a57856ced</t>
        </is>
      </c>
      <c r="B70" t="inlineStr">
        <is>
          <t>Sr. Product Manager Technical, Deal Tooling &amp; Insights, Strategic Customer Engagements</t>
        </is>
      </c>
      <c r="C70" t="inlineStr">
        <is>
          <t>Amazon Web Services</t>
        </is>
      </c>
      <c r="D70" t="inlineStr">
        <is>
          <t>indeed</t>
        </is>
      </c>
      <c r="E70" t="inlineStr"/>
      <c r="F70" t="inlineStr"/>
      <c r="G70" t="inlineStr">
        <is>
          <t>Dallas, TX, US</t>
        </is>
      </c>
      <c r="H70" s="2" t="n">
        <v>45994</v>
      </c>
      <c r="I7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1">
      <c r="A71" t="inlineStr">
        <is>
          <t>in-1b75050add45f295</t>
        </is>
      </c>
      <c r="B71" t="inlineStr">
        <is>
          <t>Sr. Product Manager Technical, Deal Tooling &amp; Insights, Strategic Customer Engagements</t>
        </is>
      </c>
      <c r="C71" t="inlineStr">
        <is>
          <t>Amazon Web Services</t>
        </is>
      </c>
      <c r="D71" t="inlineStr">
        <is>
          <t>indeed</t>
        </is>
      </c>
      <c r="E71" t="inlineStr"/>
      <c r="F71" t="inlineStr"/>
      <c r="G71" t="inlineStr">
        <is>
          <t>New York, NY, US</t>
        </is>
      </c>
      <c r="H71" s="2"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2">
      <c r="A72" t="inlineStr">
        <is>
          <t>in-c2d1716870c0e0ad</t>
        </is>
      </c>
      <c r="B72" t="inlineStr">
        <is>
          <t>Sr. Product Manager Technical, Deal Tooling &amp; Insights, Strategic Customer Engagements</t>
        </is>
      </c>
      <c r="C72" t="inlineStr">
        <is>
          <t>Amazon Web Services</t>
        </is>
      </c>
      <c r="D72" t="inlineStr">
        <is>
          <t>indeed</t>
        </is>
      </c>
      <c r="E72" t="inlineStr"/>
      <c r="F72" t="inlineStr"/>
      <c r="G72" t="inlineStr">
        <is>
          <t>Herndon, VA, US</t>
        </is>
      </c>
      <c r="H72" s="2"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3">
      <c r="A73" t="inlineStr">
        <is>
          <t>in-2cd2d04b82f7c8e0</t>
        </is>
      </c>
      <c r="B73" t="inlineStr">
        <is>
          <t>Sr. Product Manager Technical, Deal Tooling &amp; Insights, Strategic Customer Engagements</t>
        </is>
      </c>
      <c r="C73" t="inlineStr">
        <is>
          <t>Amazon Web Services</t>
        </is>
      </c>
      <c r="D73" t="inlineStr">
        <is>
          <t>indeed</t>
        </is>
      </c>
      <c r="E73" t="inlineStr"/>
      <c r="F73" t="inlineStr"/>
      <c r="G73" t="inlineStr">
        <is>
          <t>Austin, TX,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in-4195965f3764cd08</t>
        </is>
      </c>
      <c r="B74" t="inlineStr">
        <is>
          <t>Sr. Product Manager Technical, Deal Tooling &amp; Insights, Strategic Customer Engagements</t>
        </is>
      </c>
      <c r="C74" t="inlineStr">
        <is>
          <t>Amazon Web Services</t>
        </is>
      </c>
      <c r="D74" t="inlineStr">
        <is>
          <t>indeed</t>
        </is>
      </c>
      <c r="E74" t="inlineStr"/>
      <c r="F74" t="inlineStr"/>
      <c r="G74" t="inlineStr">
        <is>
          <t>Seattle, WA,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in-1d7361c66dbdaca5</t>
        </is>
      </c>
      <c r="B75" t="inlineStr">
        <is>
          <t>Sr. Product Manager - Tech, WHS Data-Tech</t>
        </is>
      </c>
      <c r="C75" t="inlineStr">
        <is>
          <t>Amazon.com</t>
        </is>
      </c>
      <c r="D75" t="inlineStr">
        <is>
          <t>indeed</t>
        </is>
      </c>
      <c r="E75" t="inlineStr"/>
      <c r="F75" t="inlineStr"/>
      <c r="G75" t="inlineStr">
        <is>
          <t>Bellevue, WA, US</t>
        </is>
      </c>
      <c r="H75" s="2" t="n">
        <v>45836</v>
      </c>
      <c r="I7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6">
      <c r="A76" t="inlineStr">
        <is>
          <t>in-26c8ccdf05b2b404</t>
        </is>
      </c>
      <c r="B76" t="inlineStr">
        <is>
          <t>Sr. Product Manager - Tech, WHS Data-Tech</t>
        </is>
      </c>
      <c r="C76" t="inlineStr">
        <is>
          <t>Amazon.com</t>
        </is>
      </c>
      <c r="D76" t="inlineStr">
        <is>
          <t>indeed</t>
        </is>
      </c>
      <c r="E76" t="inlineStr"/>
      <c r="F76" t="inlineStr"/>
      <c r="G76" t="inlineStr">
        <is>
          <t>Arlington, VA, US</t>
        </is>
      </c>
      <c r="H76" s="2" t="n">
        <v>45836</v>
      </c>
      <c r="I7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7">
      <c r="A77" t="inlineStr">
        <is>
          <t>in-a492db65060ff880</t>
        </is>
      </c>
      <c r="B77" t="inlineStr">
        <is>
          <t>Sr. Product Manager - Tech, WHS Data-Tech</t>
        </is>
      </c>
      <c r="C77" t="inlineStr">
        <is>
          <t>Amazon.com</t>
        </is>
      </c>
      <c r="D77" t="inlineStr">
        <is>
          <t>indeed</t>
        </is>
      </c>
      <c r="E77" t="inlineStr"/>
      <c r="F77" t="inlineStr"/>
      <c r="G77" t="inlineStr">
        <is>
          <t>Nashville, TN, US</t>
        </is>
      </c>
      <c r="H77" s="2" t="n">
        <v>45836</v>
      </c>
      <c r="I7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8">
      <c r="A78" t="inlineStr">
        <is>
          <t>in-22f7b23e0845c9c7</t>
        </is>
      </c>
      <c r="B78" t="inlineStr">
        <is>
          <t>Principal Product Manager - Tech, Recommender Systems, Prime Video Personalization &amp; Discovery</t>
        </is>
      </c>
      <c r="C78" t="inlineStr">
        <is>
          <t>Amazon.com</t>
        </is>
      </c>
      <c r="D78" t="inlineStr">
        <is>
          <t>indeed</t>
        </is>
      </c>
      <c r="E78" t="inlineStr"/>
      <c r="F78" t="inlineStr"/>
      <c r="G78" t="inlineStr">
        <is>
          <t>Washington, DC, US</t>
        </is>
      </c>
      <c r="H78" s="2" t="n">
        <v>45753</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in-9a53c5a9ceb3f3a9</t>
        </is>
      </c>
      <c r="B79" t="inlineStr">
        <is>
          <t>Principal Product Manager - Tech, Recommender Systems, Prime Video Personalization &amp; Discovery</t>
        </is>
      </c>
      <c r="C79" t="inlineStr">
        <is>
          <t>Amazon.com</t>
        </is>
      </c>
      <c r="D79" t="inlineStr">
        <is>
          <t>indeed</t>
        </is>
      </c>
      <c r="E79" t="inlineStr"/>
      <c r="F79" t="inlineStr"/>
      <c r="G79" t="inlineStr">
        <is>
          <t>Seattle, WA, US</t>
        </is>
      </c>
      <c r="H79" s="2" t="n">
        <v>45753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in-b6f37e03d60cabd9</t>
        </is>
      </c>
      <c r="B80" t="inlineStr">
        <is>
          <t>Technical Program Manager, Leo Security</t>
        </is>
      </c>
      <c r="C80" t="inlineStr">
        <is>
          <t>Amazon.com</t>
        </is>
      </c>
      <c r="D80" t="inlineStr">
        <is>
          <t>indeed</t>
        </is>
      </c>
      <c r="E80" t="inlineStr"/>
      <c r="F80" t="inlineStr"/>
      <c r="G80" t="inlineStr">
        <is>
          <t>Redmond, WA, US</t>
        </is>
      </c>
      <c r="H80" s="2" t="n">
        <v>45991</v>
      </c>
      <c r="I80"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in-c34758bb896c408a</t>
        </is>
      </c>
      <c r="B81" t="inlineStr">
        <is>
          <t>Technical Program Manager, Leo Security</t>
        </is>
      </c>
      <c r="C81" t="inlineStr">
        <is>
          <t>Amazon.com</t>
        </is>
      </c>
      <c r="D81" t="inlineStr">
        <is>
          <t>indeed</t>
        </is>
      </c>
      <c r="E81" t="inlineStr"/>
      <c r="F81" t="inlineStr"/>
      <c r="G81" t="inlineStr">
        <is>
          <t>Arlington, VA, US</t>
        </is>
      </c>
      <c r="H81" s="2" t="n">
        <v>45991</v>
      </c>
      <c r="I81"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in-272fb7d1112d0054</t>
        </is>
      </c>
      <c r="B82" t="inlineStr">
        <is>
          <t>Principal Product Manager Technical, Creative X - RAPID</t>
        </is>
      </c>
      <c r="C82" t="inlineStr">
        <is>
          <t>Amazon.com</t>
        </is>
      </c>
      <c r="D82" t="inlineStr">
        <is>
          <t>indeed</t>
        </is>
      </c>
      <c r="E82" t="inlineStr"/>
      <c r="F82" t="inlineStr"/>
      <c r="G82" t="inlineStr">
        <is>
          <t>Seattle, WA, US</t>
        </is>
      </c>
      <c r="H82" s="2" t="n">
        <v>45939</v>
      </c>
      <c r="I8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3">
      <c r="A83" t="inlineStr">
        <is>
          <t>in-1b0be229ec096859</t>
        </is>
      </c>
      <c r="B83" t="inlineStr">
        <is>
          <t>Principal Product Manager Technical, Creative X - RAPID</t>
        </is>
      </c>
      <c r="C83" t="inlineStr">
        <is>
          <t>Amazon.com</t>
        </is>
      </c>
      <c r="D83" t="inlineStr">
        <is>
          <t>indeed</t>
        </is>
      </c>
      <c r="E83" t="inlineStr"/>
      <c r="F83" t="inlineStr"/>
      <c r="G83" t="inlineStr">
        <is>
          <t>New York, NY, US</t>
        </is>
      </c>
      <c r="H83" s="2" t="n">
        <v>45939</v>
      </c>
      <c r="I8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4">
      <c r="A84" t="inlineStr">
        <is>
          <t>in-22e9ac6dadfca954</t>
        </is>
      </c>
      <c r="B84" t="inlineStr">
        <is>
          <t>Technical Product Manager</t>
        </is>
      </c>
      <c r="C84" t="inlineStr">
        <is>
          <t>U.S. Bank</t>
        </is>
      </c>
      <c r="D84" t="inlineStr">
        <is>
          <t>indeed</t>
        </is>
      </c>
      <c r="E84">
        <f>HYPERLINK("https://www.indeed.com/viewjob?jk=22e9ac6dadfca954", "https://www.indeed.com/viewjob?jk=22e9ac6dadfca954")</f>
        <v/>
      </c>
      <c r="F84">
        <f>HYPERLINK("https://careers.usbank.com/global/en/job/UBNAGLOBAL20260000342EXTERNALENGLOBAL/Technical-Product-Manager?utm_source=indeed&amp;utm_medium=phenom-feeds", "https://careers.usbank.com/global/en/job/UBNAGLOBAL20260000342EXTERNALENGLOBAL/Technical-Product-Manager?utm_source=indeed&amp;utm_medium=phenom-feeds")</f>
        <v/>
      </c>
      <c r="G84" t="inlineStr">
        <is>
          <t>Minneapolis, MN, US</t>
        </is>
      </c>
      <c r="H84" s="3" t="n">
        <v>46047</v>
      </c>
      <c r="I84"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Technical Product Managers at U.S. Bank oversee the strategic product management for an assigned technical product line(s) in support of the Enterprise organization’s goals and market needs. Engages with key stakeholders to define, document, and prioritize features; ensures delivery of marketable capabilities for all U.S. Bank engineering teams while collaborating with agile teams. As a Technical Product Manager, you will:
* Aligns the strategic vision with cross\-functional stakeholders to shape outcome\-based product roadmap, product risk, investment areas and success measures.
* Drives product development with ownership of backlog and actively engages cross\-functional stakeholders to enable faster speed to market.
* Manages across Enterprise users to define and deliver product performance goals (e.g., outcomes, customer experience, etc.).
* Owns all engagement for assigned technical portfolio regarding the SDLC, e.g., adoption, collaboration.
* Develops, analyses, monitors, and reports on performance metrics from internal and external sources to identify key trends and opportunities for continuous improvement.
* Uses performance metrics to drive towards progress on identified strategies and initiatives.
* Leverages OKRs (Objectives and Key Results) to drive roadmap priorities
Basic Qualifications
* Technical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Technical know\-how understands the product technical architecture and understands the economics of technical investments
* Demonstrates deep understanding of target customer through internal/external research (e.g., creation of personas, story maps, product chartering/mapping experience)
* Strong collaboration with software engineers to execute product vision and roadmap
* Preferred skills: product strategy, vision and planning, product discovery, product development, agile ways of working, enterprise technical alignment and performance measurement and optimization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85">
      <c r="A85" t="inlineStr">
        <is>
          <t>in-1ee71e34c8f6ba0c</t>
        </is>
      </c>
      <c r="B85" t="inlineStr">
        <is>
          <t>LOGIX Program Manager (Mgr Programs 3)</t>
        </is>
      </c>
      <c r="C85" t="inlineStr">
        <is>
          <t>HII</t>
        </is>
      </c>
      <c r="D85" t="inlineStr">
        <is>
          <t>indeed</t>
        </is>
      </c>
      <c r="E85">
        <f>HYPERLINK("https://www.indeed.com/viewjob?jk=1ee71e34c8f6ba0c", "https://www.indeed.com/viewjob?jk=1ee71e34c8f6ba0c")</f>
        <v/>
      </c>
      <c r="F85">
        <f>HYPERLINK("https://jobs.hii-tsd.com/job/Crane%2C-IN-LOGIX-Program-Manager-%28Mgr-Programs-3%29-26732-Virg/1359137000/", "https://jobs.hii-tsd.com/job/Crane%2C-IN-LOGIX-Program-Manager-%28Mgr-Programs-3%29-26732-Virg/1359137000/")</f>
        <v/>
      </c>
      <c r="G85" t="inlineStr">
        <is>
          <t>Crane, IN, US</t>
        </is>
      </c>
      <c r="H85" s="3" t="n">
        <v>46047</v>
      </c>
      <c r="I85" t="inlineStr">
        <is>
          <t>**Date:** Jan 26, 2026
**Location:** Crane, IN, Virginia, United States
**Company:** HII's Mission Technologies division
Requisition Number: 26732
Required Travel: 11 \- 25%
Employment Type: Full Time/Salaried/Exempt
Anticipated Salary Range: $143,088\.00 \- $130,000\.00
Security Clearance: Secret
Level of Experience: Management HI
This opportunity resides with **All\-Domain Operations (ADO)**, a business group within HII’s Mission Technologies division. All\-Domain Operations comprises multi\-domain operations, platforms and logistics, and intelligence operations.
HII designs, develops, integrates and manages the sensors, systems and other assets necessary to support integrated ISR operations and accelerated decision\-making. With data fusion and mission management capabilities for the Department of Defense, the combatant commands and the intelligence community, HII advances the mission around the globe.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**Summary**
-----------
HII\-Mission Technologies seeks a Program Manager to support our customers in the Department of Defense. The Program Manager will manage a large multi\- year and multi\-tenant contract with over 20 different projects throughout the United States and overseas generating more than $100M in revenue annually. The successful candidate will demonstrate exceptional leadership abilities, strategic thinking, and a deep understanding of defense industry contract management practices. As the Program Manager, you will be responsible for the successful execution of the contract, ensuring client satisfaction, and delivering projects on time and within budget.
This role will support a remote schedule with some onsite opportunities near Virginia Beach VA and Crane, IN.
Here at Mission Technologies, we are accelerating national security solutions to our customers worldwide. We deliver high\-value services with broad capabilities of systems and solutions. Within All\-Domain Operations, we deliver actionable intelligence globally at hyper speed through mission systems and operations. You will join a team that is mission\-focused and leading the way in the next generation of defense technology.  
Join our dynamic and innovative team and take on the exciting challenge of managing a large multi\-year IDIQ contract with diverse projects supporting various clients in the defense industry. Apply your leadership skills, strategic thinking, and program management expertise to deliver exceptional results and make a significant impact in the defense sector.
**What You Will Do**
--------------------
* Program Management: Manage the overall program, providing strategic direction, planning, and execution to ensure the successful delivery of all projects under the IDIQ contract.
* Client Relationship Management: Serve as the primary point of contact for clients, building strong relationships, and ensuring their needs and expectations are met throughout the duration of the contract.
* Project Planning: Develop comprehensive project plans, including scope, schedule, budget, and resource allocation, in collaboration with project teams and key stakeholders.
* Resource Management: Effectively allocate and manage resources across multiple projects to optimize productivity and deliver results within defined constraints.
* Risk Management: Identify and assess risks associated with the program and individual projects, developing mitigation strategies and contingency plans to minimize their impact.
* Budget Management: Monitor project budgets, track expenses, and ensure adherence to financial guidelines, providing regular reports to stakeholders and implementing corrective actions as necessary.
* Quality Assurance: Implement quality control measures and ensure compliance with contract requirements, industry standards, and regulatory guidelines to deliver high\-quality deliverables.
* Team Leadership: Lead and motivate a diverse team of project managers, engineers, analysts, and other professionals, fostering a collaborative and high\-performance work environment.
* Performance Monitoring: Establish performance metrics and key performance indicators (KPIs) to monitor progress, track project milestones, and provide regular updates to stakeholders.
* Contract Compliance: Ensure compliance with all contractual obligations, including reporting requirements, deliverables, and any applicable regulations or legal obligations.
* Continuous Improvement: Drive continuous process improvement initiatives, identify areas for enhancement, and implement best practices to streamline operations and increase efficiency.
**What We Are Looking For**
---------------------------
* 8 years relevant progressive experience with Bachelors in related field; 6 years relevant progressive experience with Masters in related field; or High School Diploma or equivalent and 12 years relevant progressive experience.
* Proven experience as a Program Manager or in a similar role, preferably within the defense industry or government contracting.
* Strong knowledge of defense industry practices, regulations, and contractual requirements.
* Demonstrated experience managing multi\-year contracts with greater than $20M annual revenue and overseeing multiple projects simultaneously.
* Excellent leadership and communication skills, with the ability to effectively interact with clients, stakeholders, and team members at all levels.
* Exceptional organizational and time management abilities, with a focus on delivering projects within defined constraints.
* Sound financial acumen, including budgeting, forecasting, and cost control.
* Strong problem\-solving and decision\-making skills, with a track record of managing risks and making timely, informed judgments.
* Ability to thrive in a fast\-paced, dynamic environment and adapt to changing priorities.
* Clearance: Must possess and maintain a Secret clearance with the ability to obtain/maintain a Top\-Secret security clearance with SCI eligibility.
**Preferred: Bonus Points For...**
----------------------------------
* 5\+ years of experience in managing Defense Aerospace or Airborne ISR contracts.
* 3\+ years of experience managing Cost Plus Award Fee (CPAF) type contracts supporting the Department of Defense.
* 3\+ years of experience with contractor requirements with Status of Forces Agreement (SOFA) requirements throughout Europe and the DOCPER office and regulations for contractors working in Germany or Italy.
* 3\+ years of experience in managing contracts awarded and administrated by GSA/FEDSIM.
* 3\+ years of experience with using Smartsheet in managing projects and utilization of Office365 products to flatten communications with a geographically dispersed organization.
* Project Management Professional (PMP) Certification from Project Management Institute (PMI) or Defense Acquisition Workforce Improvement Act (DAWIA) Level III Program Management certification.
\#LI\-NM1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86">
      <c r="A86" t="inlineStr">
        <is>
          <t>in-c93ba6caf9da0df3</t>
        </is>
      </c>
      <c r="B86" t="inlineStr">
        <is>
          <t>Senior Product Manager - iLEVEL Private Markets</t>
        </is>
      </c>
      <c r="C86" t="inlineStr">
        <is>
          <t>S&amp;P Global</t>
        </is>
      </c>
      <c r="D86" t="inlineStr">
        <is>
          <t>indeed</t>
        </is>
      </c>
      <c r="E86">
        <f>HYPERLINK("https://www.indeed.com/viewjob?jk=c93ba6caf9da0df3", "https://www.indeed.com/viewjob?jk=c93ba6caf9da0df3")</f>
        <v/>
      </c>
      <c r="F86">
        <f>HYPERLINK("https://careers.spglobal.com/jobs/323680?lang=en-us&amp;utm_source=indeed", "https://careers.spglobal.com/jobs/323680?lang=en-us&amp;utm_source=indeed")</f>
        <v/>
      </c>
      <c r="G86" t="inlineStr">
        <is>
          <t>New York, NY, US</t>
        </is>
      </c>
      <c r="H86" s="3" t="n">
        <v>46047</v>
      </c>
      <c r="I86" t="inlineStr">
        <is>
          <t>**About the Role:**  
**Grade Level (for internal use):** 11
**The Team:**  
The Enterprise Solutions business within S\&amp;P Global Market intelligence provides buy\-side, sell\-side, and corporate clients with industry\-leading data, software, and services. The business portfolio offers a broad range of product offerings covering enterprise data management, investment management, loans platforms, regulatory and compliance solutions, and private markets solutions.
**Responsibilities \&amp; Impact::**  
Our Private Markets business portfolio comprises products that support the entire private markets investment lifecycle across asset classes including Private Equity, Venture Capital, Real Estate, Infrastructure, and Private Credit.
S\&amp;P's flagship "iLEVEL" product line seeks a product manager to drive product growth within the private markets franchise, with an emphasis on evolving our current offerings to support the unique requirements of the deal professionals, portfolio managers, and investment teams that run the investment lifecycle on iLEVEL.
**Product Strategy and Vision :** Define short\-term and long\-term product strategies for extending our product line to support the unique needs of the front office personas we serve.
**Product Roadmap Development :** Create and execute comprehensive product roadmaps, securing executive buy\-in and guiding product development efforts.
**Product Requirements Definition :** Collaborate with stakeholders to define product requirements, including user stories, acceptance criteria, and workflow maps. Ensure alignment with market needs and business goals.
**Product Development :** Oversee product development initiatives, managing cross\-functional teams and ensuring timely delivery of high\-quality products.
**Stakeholder Management:** Build and maintain strong relationships with internal and external stakeholders, effectively communicating product vision and strategy.
**Market Analysis :** Conduct ongoing market research to identify customer needs, industry trends, and competitive opportunities.
**Compensation/Benefits Information (US Applicants Only):**  
S\&amp;P Global states that the anticipated base salary range for this position is $104,710 to $148,778\. Base salary ranges may vary by geographic location.
In addition to base compensation, this role is eligible for an incentive plan.
This role is eligible to receive additional S\&amp;P Global benefits. For more information on the benefits we provide to our employees, visit https://www.spgbenefitessentials.com/newhires.
**What We're Looking For:**  
Proven experience in B2B FinTech product management.
Knowledge of the private capital market industry and ecosystem
Demonstrated ability to lead and collaborate within cross\-functional teams.
Strong analytical and problem\-solving skills.
Excellent communication and interpersonal skills.
Experience with agile development methodologies (Scrum, Kanban).
Proficiency in defining product requirements and creating comprehensive product documentation.
Bachelor's degree required.
This role is limited to persons with indefinite right to work in the United States.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Return\-to\-Work initiative, we are encouraging enthusiastic and talented returners to apply and will actively support your return to the workplace.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\-\-\-\-\-\-\-\-\-\-\-\-\-\-\-\-\-\-\-\-\-\-\-\-\-\-\-\-\-\-\-\-\-\-\-\-\-\-\-\-\-\-\-\-\-\-\-\-\-\-\-\-\-\-\-\-\-\-\- 20 \- Professional (EEO\-2 Job Categories\-United States of America), PDMGDV202\.2 \- Middle Professional Tier II (EEO Job Group), SWP Priority – Ratings \- (Strategic Workforce Planning)
**Job ID:** 323680
**Posted On:** 2026\-01\-26
**Location:** New York, New York, United States</t>
        </is>
      </c>
    </row>
    <row r="87">
      <c r="A87" t="inlineStr">
        <is>
          <t>in-ab6bad21cfb27d22</t>
        </is>
      </c>
      <c r="B87" t="inlineStr">
        <is>
          <t>Sr NOC Safety Performance Program Manager</t>
        </is>
      </c>
      <c r="C87" t="inlineStr">
        <is>
          <t>Southwest Airlines</t>
        </is>
      </c>
      <c r="D87" t="inlineStr">
        <is>
          <t>indeed</t>
        </is>
      </c>
      <c r="E87">
        <f>HYPERLINK("https://www.indeed.com/viewjob?jk=ab6bad21cfb27d22", "https://www.indeed.com/viewjob?jk=ab6bad21cfb27d22")</f>
        <v/>
      </c>
      <c r="F87">
        <f>HYPERLINK("https://careers.southwestair.com/us/en/job/SOUTUSR202663837ENUSEXTERNAL/Sr-NOC-Safety-Performance-Program-Manager?utm_source=indeed&amp;utm_medium=phenom-feeds", "https://careers.southwestair.com/us/en/job/SOUTUSR202663837ENUSEXTERNAL/Sr-NOC-Safety-Performance-Program-Manager?utm_source=indeed&amp;utm_medium=phenom-feeds")</f>
        <v/>
      </c>
      <c r="G87" t="inlineStr">
        <is>
          <t>Dallas, TX, US</t>
        </is>
      </c>
      <c r="H87" s="3" t="n">
        <v>46047</v>
      </c>
      <c r="I87" t="inlineStr">
        <is>
          <t>**Department:** Network Operations Control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As the Sr NOC Safety Performance Program Manager, you’ll lead the safety programs that support the daily operation of Southwest’s Network Operations Center (NOC), ensuring compliance with the FAA’s 14 CFR Part 5 Safety Management System framework and Company safety policies. You’ll drive Safety Risk Management for all NOC operational, technological, and procedural changes—identifying risks, documenting them, and guiding mitigations through Leadership review and approval. Working collaboratively across Dispatch, Technology, Operations, and Safety Teams, you’ll support Safety Policy, Safety Assurance, and Safety Promotion to elevate safety performance across the organization. Through proactive oversight and strong cross‑functional partnership, you’ll help ensure the NOC operates safely, reliably, and with unwavering commitment to our Customers and Employees.
Additional details
The culture of Southwest Airlines means we value the camaraderie, collaboration, and innovation that occurs when we come together and interact face\-to\-face at our vibrant Corporate Campus. Due to the nature of this role, you would be required to work from our Dallas, TX Headquarters facility during business hours.
U.S. citizenship or current authorization to work in the U.S. required and no current or future work authorization sponsorship available.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Responsibilities
Develop, design, enhance, implement, evaluate and monitor policies, processes, and procedures that enhance safety performance at Southwest Airlines
Serve as a point of contact for NOC safety reporting systems (e.g., ASAP, Irregularity Reporting \[IR], Safety Reporting System \[SRS])
Manage, coordinate and execute functions of NOC’s Safety program as assigned (e.g., Aviation Safety Action Partnership \[ASAP])
Review, research and analyze safety data
Develop accurate and quantitative insights
Prepare professional presentations and reports
Prepare recommendations to enhance Safety performance
Develop, author and present safety information to NOC and Company Leadership
Develop, author and deliver safety promotion (e.g., communication, training, briefings, news, workshops) to NOC Employees
Collaborate with various Southwest Airlines Teams (e.g., Safety and Security, Emergency Response, other Operating Departments)
Participate in and/or facilitate safety investigations and event debriefs
Assist FAA and NTSB investigations involving NOC functions
Attend and/or present at industry meetings, conferences, or seminars
Provide friendly service and maintain positive relationships with all internal and external Customers
May perform other job duties as directed by Employee's Leaders
Knowledge, Skills and Abilities
Working knowledge of airline, operational control, flight planning and flight following standards, policies and procedures
Working knowledge of 14 CFR Part 5 and Part 121 regulatory requirements and associated regulatory guidance
Knowledge of interfaces with other Southwest Airlines operating departments (e.g., organization, operation, philosophy, procedures)
Skilled analytical work with investigative and problem\-solving abilities
Skilled in appropriate computer software knowledge and skills
Skilled in written and verbal communication
Skilled in detailed work, applying technical documents, managing multiple concurrent tasks with frequent interruptions
Ability to influence others to fain buy in and support
Ability to assemble and organize technical data, preparing comprehensive and logical factual and analytical reports, and creating and communicating effective presentations to large and small audiences regarding these findings
Ability to handle sensitive and confidential information
Ability to work well under tight time constraints to accomplish assignments and projects within regulatory constraints
Ability to take initiative and work independently
Ability to work well with others as part of a team and work well in a fast paced environment Education
**Required:** High School Diploma or GED
Experience
**Required:** Expert level, expansive and far\-reaching knowledge in:
14 CFR Part 121 airline operational experience
**Any combination of:** safety investigation or safety management experience or project management experience
**Preferred:** Strong background in Dispatch, including prior dispatch experience or an active/previous dispatch license; familiarity with Dispatch and SMS, ideally within Part 121 airlines
**Preferred:** Experience with Safety Management Systems (SMS) and understanding of how SMS integrates into airline operations
Licensing/Certification
N/A
Physical Abilities
Ability to perform work duties from \[limited space workstation/desk/office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Must be able to comply with Company attendance standards as described in established guidelines
Ability to work extended hours based on operational needs
Must meet confidentiality expectations as to confidential, proprietary and sensitive Company information
**Pay \&amp; Benefits:**  
Competitive market salary from $132,200\.00 \- $146,900\.00 per year\* depending on qualifications and experience. For eligible Leadership and individual contributor roles, additional bonus opportunities are available and awarded at the discretion of the company.
**Benefits you’ll love:**  
* Fly for free, as a privilege, on any open seat on all Southwest flights (your eligible
dependents too)
* Southwest will help fund your 401(k) retirement savings with Company
contributions up to 9\.3% of your eligible earnings\*\*
* Potential for annual ProfitSharing contribution in the Southwest Retirement
Savings Plan\- when Southwest profits, you profit\*\*\*
* Competitive health insurance for you and your eligible dependents (including
pets)
* Southwest offers health plan coverage options that start from the very first day of
employment. You will have 30 days to select and enroll in your health plan with
coverage retroactively available to your first day of employment.
* Explore more Benefits you’ll love: https://careers.southwestair.com/benefits
* Pay amount does not guarantee employment for any particular period of time.
\*\*401(k) match contributions are subject to Retirement Savings Plan vesting schedule
and applicable IRS limits
\*\*\*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01/29/2026</t>
        </is>
      </c>
    </row>
    <row r="88">
      <c r="A88" t="inlineStr">
        <is>
          <t>in-4ed70ea48dfc3a8d</t>
        </is>
      </c>
      <c r="B88" t="inlineStr">
        <is>
          <t>Sr. Program Manager</t>
        </is>
      </c>
      <c r="C88" t="inlineStr">
        <is>
          <t>VG Systems</t>
        </is>
      </c>
      <c r="D88" t="inlineStr">
        <is>
          <t>indeed</t>
        </is>
      </c>
      <c r="E88">
        <f>HYPERLINK("https://www.indeed.com/viewjob?jk=4ed70ea48dfc3a8d", "https://www.indeed.com/viewjob?jk=4ed70ea48dfc3a8d")</f>
        <v/>
      </c>
      <c r="F88">
        <f>HYPERLINK("https://vgsystems.bamboohr.com/careers/130?source=indeed&amp;src=indeed&amp;postedDate=2026-01-25", "https://vgsystems.bamboohr.com/careers/130?source=indeed&amp;src=indeed&amp;postedDate=2026-01-25")</f>
        <v/>
      </c>
      <c r="G88" t="inlineStr">
        <is>
          <t>Huntsville, AL, US</t>
        </is>
      </c>
      <c r="H88" s="3" t="n">
        <v>46046</v>
      </c>
      <c r="I88" t="inlineStr">
        <is>
          <t>VG Systems, LLC is seeking a seasoned **Program Manager** to lead and manage a large\-scale Department of Defense (DoD) contract. The ideal candidate will possess a strong blend of leadership, technical, managerial, and business acumen, with a proven track record of delivering exceptional performance on enterprise\-level government programs. The Program Manager will provide direction to program staff, ensure compliance with PWS requirements, and partner closely with Government stakeholders to achieve mission success.  
**Responsibilities include, but are not limited to:**
* Provide  
executive\-level leadership and direction for contract execution to ensure mission, schedule, and quality objectives are met.
* Oversee program operations, including resource allocation, performance management, and risk mitigation.
* Lead, mentor, and guide management and technical teams supporting the contract.
* Hire, develop, and retain high\-performing staff; drive performance evaluations and corrective actions when needed.
* Direct development of program deliverables, status reports, briefings, and contract artifacts.
* Serve as the primary liaison with Government leadership; foster strong customer relationships.
* Address complex challenges through strategic thinking and decisive action.
* Ensure program activities comply with contract, regulatory, and corporate policies.
**Required Qualifications**
* Bachelor’s degree (BA/BS) in any discipline.
* Minimum of **15 years of experience** managing Government contracts, particularly DoD programs, with substantive involvement in stakeholder engagement, PWS execution, and oversight of program teams.
* Master’s degree (MA/MS) or PhD with **10 years of relevant experience** may substitute for the experience requirement.
* Active **Top Secret (TS) clearance** at time of hire with the ability to maintain eligibility.
* Strong leadership, decision\-making, and communication skills aligned with high\-stakes DoD environments.
**Physical Work Requirements**
This position requires **on\-site presence** in **Huntsville, AL**.
 **Why work at VG Systems?**  
Based out of Quantico, Virginia, VG Systems, LLC is a recognized HUBZone Small Business. Working with VG Systems means you're joining a family of staff focused on providing our unique "Value Gained" IT Services to our customers. We Implement Innovation© by delivering highly optimized project portfolio management, infrastructure solutions, and project management office support to the public, private, and DoD clients.  
At VG Systems you'll receive:
* Competitive Salaries
* Company\-sponsored 401k Plans
* Medical, Dental and Vision Insurance
* Continued Employee Education
* Remote Work Opportunities
* Generous PTO</t>
        </is>
      </c>
    </row>
    <row r="89">
      <c r="A89" t="inlineStr">
        <is>
          <t>in-3d25d2ef89e7da5a</t>
        </is>
      </c>
      <c r="B89" t="inlineStr">
        <is>
          <t>Storage EU CRA Program Manager, Fort Collins, CO or Houston, TX</t>
        </is>
      </c>
      <c r="C89" t="inlineStr">
        <is>
          <t>Hewlett Packard Enterprise | HPE</t>
        </is>
      </c>
      <c r="D89" t="inlineStr">
        <is>
          <t>indeed</t>
        </is>
      </c>
      <c r="E89">
        <f>HYPERLINK("https://www.indeed.com/viewjob?jk=3d25d2ef89e7da5a", "https://www.indeed.com/viewjob?jk=3d25d2ef89e7da5a")</f>
        <v/>
      </c>
      <c r="F89">
        <f>HYPERLINK("https://careers.hpe.com/us/en/job/HPE1US1201362EXTERNALENUS/Storage-EU-CRA-Program-Manager-Fort-Collins-CO-or-Houston-TX?utm_source=indeed&amp;utm_medium=phenom-feeds", "https://careers.hpe.com/us/en/job/HPE1US1201362EXTERNALENUS/Storage-EU-CRA-Program-Manager-Fort-Collins-CO-or-Houston-TX?utm_source=indeed&amp;utm_medium=phenom-feeds")</f>
        <v/>
      </c>
      <c r="G89" t="inlineStr">
        <is>
          <t>Fort Collins, CO, US</t>
        </is>
      </c>
      <c r="H89" s="3" t="n">
        <v>46046</v>
      </c>
      <c r="I89" t="inlineStr">
        <is>
          <t>Storage EU CRA Program Manager, Fort Collins, CO or Houston, TX  
This role has been designed as ‘Hybrid’ with an expectation that you will work on average 2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**Location: Fort Collins, Colorado or Houston, Texas**
**Hybrid role: 2 days per week working onsite required**
***Responsibilities:***
* This position will report into the HPE Storage Program Management Office (PMO) within the Hybrid Cloud organization.
* Manage and lead the European Union Cyber Resilience Act (EU CRA) program for the Storage Business.
* The EU CRA program involves interfacing with multiple functions and product/project teams both within Storage and the greater HPE Product Security Office (PSO).
* This role will oversee the multiple activities required to meet the EU CRA regulatory requirements, across all Storage product families, within the designated timeframe.
* Responsible for creating schedules, ensuring alignment and the successful execution of critical deliverables within schedule timeframes.
* Responsible for managing program budget, resource allocation plan, and other supporting requirements for delivery of the program objectives.
* Manage the activities of the project teams, internal and external partners to ensures progress against established plan and makes determinations based on analysis of business information to alter or update schedule and resource allocation to meet program requirements and schedule.
* Communicate program progress, drive escalations, and provide program analysis to product stakeholders; collaborate with management and internal PSO workstreams to recommend and implement changes to schedule, processes, or business plans to resolve escalated issues, produce solutions, ensure adherence to budgets and established program roadmaps and schedules
* Drive innovation and the integration of new technologies and initiatives into the program and activities to gain efficiencies and produce results.
* Will lead and provide guidance and mentoring to less\-experienced staff members.
 ***Knowledge and Skills:***
* Experience with security and regulatory compliance initiatives
* Experience managing programs that cross organizational boundaries
* Extensive experience with using Smartsheet and other program planning tools and software packages to create, manage, and track program results.
* Excellent analytical and problem\-solving skills.
* Demonstrated business acumen and successful experience managing all aspects of programs, including communicating with stakeholders and directing very large matrixed teams and resources.
* Excellent written and verbal communication skills; mastery in English and local language required.
* Ability to effectively communicate program plans, proposals, and results, and negotiate options at senior management levels.
* Knowledge of EU CRA, SBOMs, and HPE’s engineering and regulatory systems (e.g VTN, STAR, OSRB, Compliance360\) is a plus.
***Education and Experience Required:***
* Bachelor's or Master's degree in Business Management, Engineering, Computer Sciences, or equivalent.
* 6\-10 years experience.in Program Management
* PMP/PMI certification preferred.
* Smartsheet experience required
\#unitedstates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\#operations**Job:**
Engineering**Job Level:**
TCP\_04  
"The expected salary/wage range for this position is provided below. Actual offer may vary from this range based upon geographic location, work experience, education/training, and/or skill level.  
– United States of America: Annual Salary USD 111,000 \- 211,000 in Colorado // 105,500 \- 243,000 in Texas  
The listed salary range reflects base salary. Variable incentives may also be offered." "The expected salary/wage range for this position is provided below. Actual offer may vary from this range based upon geographic location, work experience, education/training, and/or skill level.  
– United States of America: Annual Salary USD 111,000 \- 211,000 in Colorado // 105,500 \- 243,000 in Texas
Information about employee benefits offered in the US can be found at https://myhperewards.com/main/new\-hire\-enrollment.html
The estimated job application period closure is March 30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90">
      <c r="A90" t="inlineStr">
        <is>
          <t>in-dbef709bd7386f79</t>
        </is>
      </c>
      <c r="B90" t="inlineStr">
        <is>
          <t>Program Manager II</t>
        </is>
      </c>
      <c r="C90" t="inlineStr">
        <is>
          <t>Parsons</t>
        </is>
      </c>
      <c r="D90" t="inlineStr">
        <is>
          <t>indeed</t>
        </is>
      </c>
      <c r="E90">
        <f>HYPERLINK("https://www.indeed.com/viewjob?jk=dbef709bd7386f79", "https://www.indeed.com/viewjob?jk=dbef709bd7386f79")</f>
        <v/>
      </c>
      <c r="F90">
        <f>HYPERLINK("https://jobs.parsons.com/jobs/program-manager-ii-san-antonio-r-176784-jobs--project-program-management--", "https://jobs.parsons.com/jobs/program-manager-ii-san-antonio-r-176784-jobs--project-program-management--")</f>
        <v/>
      </c>
      <c r="G90" t="inlineStr">
        <is>
          <t>San Antonio, TX, US</t>
        </is>
      </c>
      <c r="H90" s="3" t="n">
        <v>46046</v>
      </c>
      <c r="I90"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**Program Manager II** to support Naval Medical Research Unit – San Antonio (NAMRU\-SA) and its collaborating institutions in the management of research programs. NAMRU\-SA’s mission is to improve survival, operational readiness, and safety of DoD personnel engaged in routine and expeditionary operations.
The Program Manager II will assist the Chief Science Director and Human Protections Director with administrative tasks related to the Scientific Review Board (SRB) and Human Research Protections Program (HRPP). The role involves gathering information for research program taskers, providing recommendations on workflow efficiency, and maintaining research documents. Additionally, the Program Manager II will assist with space utilization, financial tracking, and business planning.
**What You'll Be Doing:**
* Assist the Chief Science Director and Human Protections Director with SRB and HRPP administrative tasks as required.
* Assist the Government with gathering information for research program taskers, ensuring all information/taskers are approved and submitted by authorized government personnel.
* Provide recommendations on task order labor/manpower utilization and workflow to increase efficiency and productivity.
* Assist with the gathering of Government\-prepared documentation for contract actions and proposals, ensuring task order completion in accordance with established policies and procedures.
* Assist with various research\-related administrative tasks and track spreadsheets (dynamic Excel spreadsheets) based on purchases made by the Government and/or the contractor for research\-related items.
* Maintain and organize Government\-prepared research documents.
* Perform market research regarding the development of study budgets and provide information to the Government for decision\-making.
* Confirm sponsored monthly, quarterly, and annual reports are in accordance with sponsor guidelines and templates.
* Assist the Government with space utilization within the directorate personnel and make recommendations accordingly.
* Assist Directors in carrying out administrative and financial tasks related to research.
* Provide business and growth plans for research under contract to the directorate.
* Track study expenditures and report financial status related to research under contract to the Government.
* Collaborate with the Government to provide recommendations for yearly budgets related to research under contract.
* Submit Government\-approved proposals and grants via various websites (i.e., eBRAP, grants.gov, CMRDP, etc.).
* Verify Government\-prepared documentation is available for various research meetings.
* Coordinate and schedule directorate meetings; take minutes and provide them to the Director.
**What Required Skills You'll Bring:**
* Bachelor's degree with seven (7\) years of related experience, or a Master’s degree with five (5\) years of related experience.
* Demonstrated ability to assist with administrative tasks related to SRB and HRPP.
* Proficiency in gathering information for research program taskers and providing workflow recommendations.
* Strong organizational skills for maintaining and organizing research documents.
* Excellent communication skills for coordinating meetings and submitting proposals and grants.
* Ability to assist with space utilization, financial tracking, and business planning.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91">
      <c r="A91" t="inlineStr">
        <is>
          <t>in-f3a9c74156881961</t>
        </is>
      </c>
      <c r="B91" t="inlineStr">
        <is>
          <t>Program Manager</t>
        </is>
      </c>
      <c r="C91" t="inlineStr">
        <is>
          <t>Parsons</t>
        </is>
      </c>
      <c r="D91" t="inlineStr">
        <is>
          <t>indeed</t>
        </is>
      </c>
      <c r="E91">
        <f>HYPERLINK("https://www.indeed.com/viewjob?jk=f3a9c74156881961", "https://www.indeed.com/viewjob?jk=f3a9c74156881961")</f>
        <v/>
      </c>
      <c r="F91">
        <f>HYPERLINK("https://jobs.parsons.com/jobs/program-manager-san-antonio-r-176783-jobs--project-program-management--", "https://jobs.parsons.com/jobs/program-manager-san-antonio-r-176783-jobs--project-program-management--")</f>
        <v/>
      </c>
      <c r="G91" t="inlineStr">
        <is>
          <t>San Antonio, TX, US</t>
        </is>
      </c>
      <c r="H91" s="3" t="n">
        <v>46046</v>
      </c>
      <c r="I91"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**Program Manager I** to support Naval Medical Research Unit – San Antonio (NAMRU\-SA) and its collaborating institutions in the management of research programs. NAMRU\-SA’s mission is to improve survival, operational readiness, and safety of DoD personnel engaged in routine and expeditionary operations.
The Program Manager I will assist the Chief Science Director and Human Protections Director with administrative tasks related to the Scientific Review Board (SRB) and Human Research Protections Program (HRPP). The role involves gathering information for research program taskers, providing recommendations on workflow efficiency, and maintaining research documents.
**What You'll Be Doing:**
* Assist the Chief Science Director and Human Protections Director with SRB and HRPP administrative tasks as required.
* Assist the Government with gathering information for research program taskers, ensuring all information/taskers are approved and submitted by authorized government personnel.
* Provide recommendations on task order labor/manpower utilization and workflow to increase efficiency and productivity.
* Assist with the gathering of Government\-prepared documentation for contract actions and proposals, ensuring task order completion in accordance with established policies and procedures.
* Assist with various research\-related administrative tasks and track spreadsheets (dynamic Excel spreadsheets) based on purchases made by the Government and/or the contractor for research\-related items.
* Maintain and organize Government\-prepared research documents.
* Perform market research regarding the development of study budgets and provide information to the Government for decision\-making.
* Confirm sponsored monthly, quarterly, and annual reports are in accordance with sponsor guidelines and templates.
* Submit Government\-approved proposals and grants via various websites (i.e., eBRAP, grants.gov, CMRDP, etc.).
* Verify Government\-prepared documentation is available for various research meetings.
* Coordinate and schedule directorate meetings; take minutes and provide them to the Director.
**What Required Skills You'll Bring:**
* Bachelor's degree with five (5\) years of related experience, or a Master’s degree with three (3\) years of related experience.
* Demonstrated ability to assist with administrative tasks related to SRB and HRPP.
* Proficiency in gathering information for research program taskers and providing workflow recommendations.
* Strong organizational skills for maintaining and organizing research documents.
* Excellent communication skills for coordinating meetings and submitting proposals and grants.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92">
      <c r="A92" t="inlineStr">
        <is>
          <t>in-e92850ef45e2ab26</t>
        </is>
      </c>
      <c r="B92" t="inlineStr">
        <is>
          <t>Director Technical Program Manager</t>
        </is>
      </c>
      <c r="C92" t="inlineStr">
        <is>
          <t>GEICO</t>
        </is>
      </c>
      <c r="D92" t="inlineStr">
        <is>
          <t>indeed</t>
        </is>
      </c>
      <c r="E92">
        <f>HYPERLINK("https://www.indeed.com/viewjob?jk=e92850ef45e2ab26", "https://www.indeed.com/viewjob?jk=e92850ef45e2ab26")</f>
        <v/>
      </c>
      <c r="F92">
        <f>HYPERLINK("https://click.appcast.io/t/OSBQpVH39j7-2Z5b-NOVQntK-mMH3laiMeyr0a--19E=", "https://click.appcast.io/t/OSBQpVH39j7-2Z5b-NOVQntK-mMH3laiMeyr0a--19E=")</f>
        <v/>
      </c>
      <c r="G92" t="inlineStr">
        <is>
          <t>Palo Alto, CA, US</t>
        </is>
      </c>
      <c r="H92" s="3" t="n">
        <v>46046</v>
      </c>
      <c r="I9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Director Technical Program Manager acts as a strategic partner and force multiplier for the organization’s leadership, by managing priorities, overseeing internal processes, and driving special horizontal initiatives. This role involves strategic planning, ensuring organizational operational efficiency, facilitating communication, and making data\-driven decision support, effectively serving as the glue that binds the organization and the pulse that keeps everything flowing efficiently and effectively.
Core Expectations:
1\. Collaborate with engineering and cross\-functional teams to define program requirements, set priorities, and establish scope, including defining the roadmap and long\-term strategy.
2\. Manage cross\-functional dependencies, risks, and changes effectively by optimizing scope, schedule, and resources accordingly.
3\. Communicate to stakeholders effectively and proactively.
4\. Partner with cross\-functional teams to drive technical analysis, design, development, testing, implementation, and post\-implementation phases.
5\. Define and track key metrics and quality and performance indicators, driving cross\-functional execution of program deliverables.
6\. Proactively identify and analyze complex, long\-term, critical problems with engineering leaders and stakeholders.
7\. Provide regular updates to senior leadership on project status, risks, and mitigation strategies.
8\. Consistently share best practices and improve processes within and across teams.
Fundamentals:
* Must be able to, with or without accommodation, perform the essential functions which include, but are not limited to seeing, hearing, typing and speaking.
* Must be able to concentrate and demonstrate a capacity for learning technical concepts and adapting to new technologies quickly.
* Must be able to use a PC.
* Must be able to follow complex instructions, resolve conflicts or facilitate conflict resolution, and have strong organization/priority setting skills.
* Must be able to multi\-task.
* Must be able to learn and apply large amounts of technical and procedural information and follow processes that have been published.
* Must be able to communicate in a clear, concise, professional oral or written manner, to be understood by customers, clients, co\-workers and other employees of the organization.
* Must be able to perform under pressure and stressful situations.
* Must be able to concentrate and demonstrate a capacity for learning technical concepts and adapting to new technologies quickly.
* Must be able to gather user needs, requirements, and defining large scale program scope accordingly.
* Must be able to operate autonomously across multiple teams \&amp; global regions, demonstrating critical thinking and thought leadership.
* Must be able to work with technical leadership to develop systems, solutions, and products.
* Must be able to utilize project management methodologies, tools (ADO), and best practices.
* Must have the following experience:
* Bachelor’s degree in Computer Science, Information Systems, or equivalent education or work experience.
* 10\+ years of experience managing highly technical engineering programs or products at scale, from inception to implementation.
* 8\+ years of engineering or technical product / program management experience.
 **Annual Salary**
$153,750\.00 \- $256,250\.00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3">
      <c r="A93" t="inlineStr">
        <is>
          <t>in-0fee87e909221cd8</t>
        </is>
      </c>
      <c r="B93" t="inlineStr">
        <is>
          <t>Principal Product Manager - AI/ML Infrastructure</t>
        </is>
      </c>
      <c r="C93" t="inlineStr">
        <is>
          <t>GEICO</t>
        </is>
      </c>
      <c r="D93" t="inlineStr">
        <is>
          <t>indeed</t>
        </is>
      </c>
      <c r="E93">
        <f>HYPERLINK("https://www.indeed.com/viewjob?jk=0fee87e909221cd8", "https://www.indeed.com/viewjob?jk=0fee87e909221cd8")</f>
        <v/>
      </c>
      <c r="F93">
        <f>HYPERLINK("https://click.appcast.io/t/ebEfE-_TEFIAazjI66Z3wj_aoD-Src8ql9wKQi3RSE8=", "https://click.appcast.io/t/ebEfE-_TEFIAazjI66Z3wj_aoD-Src8ql9wKQi3RSE8=")</f>
        <v/>
      </c>
      <c r="G93" t="inlineStr">
        <is>
          <t>New York, NY, US</t>
        </is>
      </c>
      <c r="H93" s="3" t="n">
        <v>46046</v>
      </c>
      <c r="I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4">
      <c r="A94" t="inlineStr">
        <is>
          <t>in-b0f7bc222ede75dd</t>
        </is>
      </c>
      <c r="B94" t="inlineStr">
        <is>
          <t>Principal Product Manager - AI/ML Infrastructure</t>
        </is>
      </c>
      <c r="C94" t="inlineStr">
        <is>
          <t>GEICO</t>
        </is>
      </c>
      <c r="D94" t="inlineStr">
        <is>
          <t>indeed</t>
        </is>
      </c>
      <c r="E94">
        <f>HYPERLINK("https://www.indeed.com/viewjob?jk=b0f7bc222ede75dd", "https://www.indeed.com/viewjob?jk=b0f7bc222ede75dd")</f>
        <v/>
      </c>
      <c r="F94">
        <f>HYPERLINK("https://click.appcast.io/t/u_cRYu39Zi2frfjlWC8XgNTuQMMOXKtVqYQc9gxEucw=", "https://click.appcast.io/t/u_cRYu39Zi2frfjlWC8XgNTuQMMOXKtVqYQc9gxEucw=")</f>
        <v/>
      </c>
      <c r="G94" t="inlineStr">
        <is>
          <t>Seattle, WA, US</t>
        </is>
      </c>
      <c r="H94" s="3" t="n">
        <v>46046</v>
      </c>
      <c r="I9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5">
      <c r="A95" t="inlineStr">
        <is>
          <t>in-3aea83e0168f8303</t>
        </is>
      </c>
      <c r="B95" t="inlineStr">
        <is>
          <t>Principal Product Manager - AI/ML Infrastructure</t>
        </is>
      </c>
      <c r="C95" t="inlineStr">
        <is>
          <t>GEICO</t>
        </is>
      </c>
      <c r="D95" t="inlineStr">
        <is>
          <t>indeed</t>
        </is>
      </c>
      <c r="E95">
        <f>HYPERLINK("https://www.indeed.com/viewjob?jk=3aea83e0168f8303", "https://www.indeed.com/viewjob?jk=3aea83e0168f8303")</f>
        <v/>
      </c>
      <c r="F95">
        <f>HYPERLINK("https://click.appcast.io/t/uynHN1ZR_kPLvZj4xauLdR_4pHwGiP94_Zrw-PYj3jI=", "https://click.appcast.io/t/uynHN1ZR_kPLvZj4xauLdR_4pHwGiP94_Zrw-PYj3jI=")</f>
        <v/>
      </c>
      <c r="G95" t="inlineStr">
        <is>
          <t>Richardson, TX, US</t>
        </is>
      </c>
      <c r="H95" s="3" t="n">
        <v>46046</v>
      </c>
      <c r="I9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6">
      <c r="A96" t="inlineStr">
        <is>
          <t>in-c4f64548db2e0cef</t>
        </is>
      </c>
      <c r="B96" t="inlineStr">
        <is>
          <t>Principal Product Manager - AI/ML Infrastructure</t>
        </is>
      </c>
      <c r="C96" t="inlineStr">
        <is>
          <t>GEICO</t>
        </is>
      </c>
      <c r="D96" t="inlineStr">
        <is>
          <t>indeed</t>
        </is>
      </c>
      <c r="E96">
        <f>HYPERLINK("https://www.indeed.com/viewjob?jk=c4f64548db2e0cef", "https://www.indeed.com/viewjob?jk=c4f64548db2e0cef")</f>
        <v/>
      </c>
      <c r="F96">
        <f>HYPERLINK("https://click.appcast.io/t/PiYnNicb1r-Daavw5T_A9tGjxqjkdoQSWtTx_VtKbG8=", "https://click.appcast.io/t/PiYnNicb1r-Daavw5T_A9tGjxqjkdoQSWtTx_VtKbG8=")</f>
        <v/>
      </c>
      <c r="G96" t="inlineStr">
        <is>
          <t>Chicago, IL, US</t>
        </is>
      </c>
      <c r="H96" s="3" t="n">
        <v>46046</v>
      </c>
      <c r="I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7">
      <c r="A97" t="inlineStr">
        <is>
          <t>in-08bd0047d9d4d15d</t>
        </is>
      </c>
      <c r="B97" t="inlineStr">
        <is>
          <t>Principal Product Manager - AI/ML Infrastructure</t>
        </is>
      </c>
      <c r="C97" t="inlineStr">
        <is>
          <t>GEICO</t>
        </is>
      </c>
      <c r="D97" t="inlineStr">
        <is>
          <t>indeed</t>
        </is>
      </c>
      <c r="E97">
        <f>HYPERLINK("https://www.indeed.com/viewjob?jk=08bd0047d9d4d15d", "https://www.indeed.com/viewjob?jk=08bd0047d9d4d15d")</f>
        <v/>
      </c>
      <c r="F97">
        <f>HYPERLINK("https://click.appcast.io/t/7RHc-OYHU8YbOlDesuHQkLHwVFmO7Gu7yJ4NBTc2sHo=", "https://click.appcast.io/t/7RHc-OYHU8YbOlDesuHQkLHwVFmO7Gu7yJ4NBTc2sHo=")</f>
        <v/>
      </c>
      <c r="G97" t="inlineStr">
        <is>
          <t>Austin, TX, US</t>
        </is>
      </c>
      <c r="H97" s="3" t="n">
        <v>46046</v>
      </c>
      <c r="I9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8">
      <c r="A98" t="inlineStr">
        <is>
          <t>in-85ef1399f8626cde</t>
        </is>
      </c>
      <c r="B98" t="inlineStr">
        <is>
          <t>Principal Product Manager - AI/ML Infrastructure</t>
        </is>
      </c>
      <c r="C98" t="inlineStr">
        <is>
          <t>GEICO</t>
        </is>
      </c>
      <c r="D98" t="inlineStr">
        <is>
          <t>indeed</t>
        </is>
      </c>
      <c r="E98">
        <f>HYPERLINK("https://www.indeed.com/viewjob?jk=85ef1399f8626cde", "https://www.indeed.com/viewjob?jk=85ef1399f8626cde")</f>
        <v/>
      </c>
      <c r="F98">
        <f>HYPERLINK("https://click.appcast.io/t/AUZAQic9uMOOI2xNmUIRK4bJOuBP3AInKzlSzu-DbCU=", "https://click.appcast.io/t/AUZAQic9uMOOI2xNmUIRK4bJOuBP3AInKzlSzu-DbCU=")</f>
        <v/>
      </c>
      <c r="G98" t="inlineStr">
        <is>
          <t>Palo Alto, CA, US</t>
        </is>
      </c>
      <c r="H98" s="3" t="n">
        <v>46046</v>
      </c>
      <c r="I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9">
      <c r="A99" t="inlineStr">
        <is>
          <t>in-5742013ad0773b0f</t>
        </is>
      </c>
      <c r="B99" t="inlineStr">
        <is>
          <t>Principal Product Manager</t>
        </is>
      </c>
      <c r="C99" t="inlineStr">
        <is>
          <t>GEICO</t>
        </is>
      </c>
      <c r="D99" t="inlineStr">
        <is>
          <t>indeed</t>
        </is>
      </c>
      <c r="E99">
        <f>HYPERLINK("https://www.indeed.com/viewjob?jk=5742013ad0773b0f", "https://www.indeed.com/viewjob?jk=5742013ad0773b0f")</f>
        <v/>
      </c>
      <c r="F99">
        <f>HYPERLINK("https://click.appcast.io/t/eoPQrCLsaXypGs7_aiT0x1_djpeFIzn2MsOMSwlb4bE=", "https://click.appcast.io/t/eoPQrCLsaXypGs7_aiT0x1_djpeFIzn2MsOMSwlb4bE=")</f>
        <v/>
      </c>
      <c r="G99" t="inlineStr">
        <is>
          <t>San Jose, CA, US</t>
        </is>
      </c>
      <c r="H99" s="3" t="n">
        <v>46046</v>
      </c>
      <c r="I9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0">
      <c r="A100" t="inlineStr">
        <is>
          <t>in-92a1eb7562ae7b6e</t>
        </is>
      </c>
      <c r="B100" t="inlineStr">
        <is>
          <t>Principal Product Manager</t>
        </is>
      </c>
      <c r="C100" t="inlineStr">
        <is>
          <t>GEICO</t>
        </is>
      </c>
      <c r="D100" t="inlineStr">
        <is>
          <t>indeed</t>
        </is>
      </c>
      <c r="E100">
        <f>HYPERLINK("https://www.indeed.com/viewjob?jk=92a1eb7562ae7b6e", "https://www.indeed.com/viewjob?jk=92a1eb7562ae7b6e")</f>
        <v/>
      </c>
      <c r="F100">
        <f>HYPERLINK("https://click.appcast.io/t/8KE3WYVBIKv_mFpF_sxeVvWnPE84kVfl0GFdDVU6hKs=", "https://click.appcast.io/t/8KE3WYVBIKv_mFpF_sxeVvWnPE84kVfl0GFdDVU6hKs=")</f>
        <v/>
      </c>
      <c r="G100" t="inlineStr">
        <is>
          <t>Palo Alto, CA, US</t>
        </is>
      </c>
      <c r="H100" s="3" t="n">
        <v>46046</v>
      </c>
      <c r="I10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1">
      <c r="A101" t="inlineStr">
        <is>
          <t>in-c134ce187fbf2861</t>
        </is>
      </c>
      <c r="B101" t="inlineStr">
        <is>
          <t>Principal Product Manager</t>
        </is>
      </c>
      <c r="C101" t="inlineStr">
        <is>
          <t>GEICO</t>
        </is>
      </c>
      <c r="D101" t="inlineStr">
        <is>
          <t>indeed</t>
        </is>
      </c>
      <c r="E101">
        <f>HYPERLINK("https://www.indeed.com/viewjob?jk=c134ce187fbf2861", "https://www.indeed.com/viewjob?jk=c134ce187fbf2861")</f>
        <v/>
      </c>
      <c r="F101">
        <f>HYPERLINK("https://click.appcast.io/t/mLGh6T01peJu0_cHyZWPLk7pAL88D9MNtzfaYprbE68=", "https://click.appcast.io/t/mLGh6T01peJu0_cHyZWPLk7pAL88D9MNtzfaYprbE68=")</f>
        <v/>
      </c>
      <c r="G101" t="inlineStr">
        <is>
          <t>Palo Alto, CA, US</t>
        </is>
      </c>
      <c r="H101" s="3" t="n">
        <v>46046</v>
      </c>
      <c r="I1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2">
      <c r="A102" t="inlineStr">
        <is>
          <t>in-194856b148f4e892</t>
        </is>
      </c>
      <c r="B102" t="inlineStr">
        <is>
          <t>Principal Product Manager</t>
        </is>
      </c>
      <c r="C102" t="inlineStr">
        <is>
          <t>GEICO</t>
        </is>
      </c>
      <c r="D102" t="inlineStr">
        <is>
          <t>indeed</t>
        </is>
      </c>
      <c r="E102">
        <f>HYPERLINK("https://www.indeed.com/viewjob?jk=194856b148f4e892", "https://www.indeed.com/viewjob?jk=194856b148f4e892")</f>
        <v/>
      </c>
      <c r="F102">
        <f>HYPERLINK("https://click.appcast.io/t/SUOfoCOeJcQbqzMTPwxY7KbmZQCoqntjpGSWL2gzjJM=", "https://click.appcast.io/t/SUOfoCOeJcQbqzMTPwxY7KbmZQCoqntjpGSWL2gzjJM=")</f>
        <v/>
      </c>
      <c r="G102" t="inlineStr">
        <is>
          <t>San Jose, CA, US</t>
        </is>
      </c>
      <c r="H102" s="3" t="n">
        <v>46046</v>
      </c>
      <c r="I10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3">
      <c r="A103" t="inlineStr">
        <is>
          <t>in-93dd84c325c9f3a2</t>
        </is>
      </c>
      <c r="B103" t="inlineStr">
        <is>
          <t>Principal Product Manager</t>
        </is>
      </c>
      <c r="C103" t="inlineStr">
        <is>
          <t>GEICO</t>
        </is>
      </c>
      <c r="D103" t="inlineStr">
        <is>
          <t>indeed</t>
        </is>
      </c>
      <c r="E103">
        <f>HYPERLINK("https://www.indeed.com/viewjob?jk=93dd84c325c9f3a2", "https://www.indeed.com/viewjob?jk=93dd84c325c9f3a2")</f>
        <v/>
      </c>
      <c r="F103">
        <f>HYPERLINK("https://click.appcast.io/t/6bdF-8XB-agVsJ4_zOnNLRQ1cq3mD0xhvTzeurd0rkg=", "https://click.appcast.io/t/6bdF-8XB-agVsJ4_zOnNLRQ1cq3mD0xhvTzeurd0rkg=")</f>
        <v/>
      </c>
      <c r="G103" t="inlineStr">
        <is>
          <t>San Francisco, CA, US</t>
        </is>
      </c>
      <c r="H103" s="3" t="n">
        <v>46046</v>
      </c>
      <c r="I10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4">
      <c r="A104" t="inlineStr">
        <is>
          <t>in-4f194fe1857ca2e0</t>
        </is>
      </c>
      <c r="B104" t="inlineStr">
        <is>
          <t>Principal Product Manager</t>
        </is>
      </c>
      <c r="C104" t="inlineStr">
        <is>
          <t>GEICO</t>
        </is>
      </c>
      <c r="D104" t="inlineStr">
        <is>
          <t>indeed</t>
        </is>
      </c>
      <c r="E104">
        <f>HYPERLINK("https://www.indeed.com/viewjob?jk=4f194fe1857ca2e0", "https://www.indeed.com/viewjob?jk=4f194fe1857ca2e0")</f>
        <v/>
      </c>
      <c r="F104">
        <f>HYPERLINK("https://click.appcast.io/t/s8K4LD0ZkHPO0KMPVHR4RSg8lRb7CRU_ZANFOwJiU_8=", "https://click.appcast.io/t/s8K4LD0ZkHPO0KMPVHR4RSg8lRb7CRU_ZANFOwJiU_8=")</f>
        <v/>
      </c>
      <c r="G104" t="inlineStr">
        <is>
          <t>San Francisco, CA, US</t>
        </is>
      </c>
      <c r="H104" s="3" t="n">
        <v>46046</v>
      </c>
      <c r="I1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5">
      <c r="A105" t="inlineStr">
        <is>
          <t>in-1f0839ea727d249b</t>
        </is>
      </c>
      <c r="B105" t="inlineStr">
        <is>
          <t>Senior Product Manager - Agency Partner Integrations</t>
        </is>
      </c>
      <c r="C105" t="inlineStr">
        <is>
          <t>GEICO</t>
        </is>
      </c>
      <c r="D105" t="inlineStr">
        <is>
          <t>indeed</t>
        </is>
      </c>
      <c r="E105">
        <f>HYPERLINK("https://www.indeed.com/viewjob?jk=1f0839ea727d249b", "https://www.indeed.com/viewjob?jk=1f0839ea727d249b")</f>
        <v/>
      </c>
      <c r="F105">
        <f>HYPERLINK("https://click.appcast.io/t/gqyx9IgblCPiGYjf3vTsVHB1vlIuqV0l_bn84X5Qyjg=", "https://click.appcast.io/t/gqyx9IgblCPiGYjf3vTsVHB1vlIuqV0l_bn84X5Qyjg=")</f>
        <v/>
      </c>
      <c r="G105" t="inlineStr">
        <is>
          <t>San Francisco, CA, US</t>
        </is>
      </c>
      <c r="H105" s="3" t="n">
        <v>46046</v>
      </c>
      <c r="I1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6">
      <c r="A106" t="inlineStr">
        <is>
          <t>in-0f71758a5dcdf9bf</t>
        </is>
      </c>
      <c r="B106" t="inlineStr">
        <is>
          <t>Senior Product Manager - Agency Partner Integrations</t>
        </is>
      </c>
      <c r="C106" t="inlineStr">
        <is>
          <t>GEICO</t>
        </is>
      </c>
      <c r="D106" t="inlineStr">
        <is>
          <t>indeed</t>
        </is>
      </c>
      <c r="E106">
        <f>HYPERLINK("https://www.indeed.com/viewjob?jk=0f71758a5dcdf9bf", "https://www.indeed.com/viewjob?jk=0f71758a5dcdf9bf")</f>
        <v/>
      </c>
      <c r="F106">
        <f>HYPERLINK("https://click.appcast.io/t/MWB2jAS_-uUz7Wo_Adkby-vTKPZOy3FOEA0V7hTBJZ8=", "https://click.appcast.io/t/MWB2jAS_-uUz7Wo_Adkby-vTKPZOy3FOEA0V7hTBJZ8=")</f>
        <v/>
      </c>
      <c r="G106" t="inlineStr">
        <is>
          <t>San Jose, CA, US</t>
        </is>
      </c>
      <c r="H106" s="3" t="n">
        <v>46046</v>
      </c>
      <c r="I10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7">
      <c r="A107" t="inlineStr">
        <is>
          <t>in-e627cd1504ed1344</t>
        </is>
      </c>
      <c r="B107" t="inlineStr">
        <is>
          <t>Principal Product Manager</t>
        </is>
      </c>
      <c r="C107" t="inlineStr">
        <is>
          <t>GEICO</t>
        </is>
      </c>
      <c r="D107" t="inlineStr">
        <is>
          <t>indeed</t>
        </is>
      </c>
      <c r="E107">
        <f>HYPERLINK("https://www.indeed.com/viewjob?jk=e627cd1504ed1344", "https://www.indeed.com/viewjob?jk=e627cd1504ed1344")</f>
        <v/>
      </c>
      <c r="F107">
        <f>HYPERLINK("https://click.appcast.io/t/NiINCnJkZGULwbx_uPT1JcdDmWWUM170h3PgKEJHvzY=", "https://click.appcast.io/t/NiINCnJkZGULwbx_uPT1JcdDmWWUM170h3PgKEJHvzY=")</f>
        <v/>
      </c>
      <c r="G107" t="inlineStr">
        <is>
          <t>Chevy Chase, MD, US</t>
        </is>
      </c>
      <c r="H107" s="3" t="n">
        <v>46046</v>
      </c>
      <c r="I10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8">
      <c r="A108" t="inlineStr">
        <is>
          <t>in-bd3e95b5d361649e</t>
        </is>
      </c>
      <c r="B108" t="inlineStr">
        <is>
          <t>Director Technical Program Manager</t>
        </is>
      </c>
      <c r="C108" t="inlineStr">
        <is>
          <t>GEICO</t>
        </is>
      </c>
      <c r="D108" t="inlineStr">
        <is>
          <t>indeed</t>
        </is>
      </c>
      <c r="E108">
        <f>HYPERLINK("https://www.indeed.com/viewjob?jk=bd3e95b5d361649e", "https://www.indeed.com/viewjob?jk=bd3e95b5d361649e")</f>
        <v/>
      </c>
      <c r="F108">
        <f>HYPERLINK("https://click.appcast.io/t/LKRnIoabeqeuEiA8OLRB3wE83WDbZmj_8f9oGy7uLHI=", "https://click.appcast.io/t/LKRnIoabeqeuEiA8OLRB3wE83WDbZmj_8f9oGy7uLHI=")</f>
        <v/>
      </c>
      <c r="G108" t="inlineStr">
        <is>
          <t>Chevy Chase, MD, US</t>
        </is>
      </c>
      <c r="H108" s="3" t="n">
        <v>46046</v>
      </c>
      <c r="I10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Director Technical Program Manager acts as a strategic partner and force multiplier for the organization’s leadership, by managing priorities, overseeing internal processes, and driving special horizontal initiatives. This role involves strategic planning, ensuring organizational operational efficiency, facilitating communication, and making data\-driven decision support, effectively serving as the glue that binds the organization and the pulse that keeps everything flowing efficiently and effectively.
Core Expectations:
1\. Collaborate with engineering and cross\-functional teams to define program requirements, set priorities, and establish scope, including defining the roadmap and long\-term strategy.
2\. Manage cross\-functional dependencies, risks, and changes effectively by optimizing scope, schedule, and resources accordingly.
3\. Communicate to stakeholders effectively and proactively.
4\. Partner with cross\-functional teams to drive technical analysis, design, development, testing, implementation, and post\-implementation phases.
5\. Define and track key metrics and quality and performance indicators, driving cross\-functional execution of program deliverables.
6\. Proactively identify and analyze complex, long\-term, critical problems with engineering leaders and stakeholders.
7\. Provide regular updates to senior leadership on project status, risks, and mitigation strategies.
8\. Consistently share best practices and improve processes within and across teams.
Fundamentals:
* Must be able to, with or without accommodation, perform the essential functions which include, but are not limited to seeing, hearing, typing and speaking.
* Must be able to concentrate and demonstrate a capacity for learning technical concepts and adapting to new technologies quickly.
* Must be able to use a PC.
* Must be able to follow complex instructions, resolve conflicts or facilitate conflict resolution, and have strong organization/priority setting skills.
* Must be able to multi\-task.
* Must be able to learn and apply large amounts of technical and procedural information and follow processes that have been published.
* Must be able to communicate in a clear, concise, professional oral or written manner, to be understood by customers, clients, co\-workers and other employees of the organization.
* Must be able to perform under pressure and stressful situations.
* Must be able to concentrate and demonstrate a capacity for learning technical concepts and adapting to new technologies quickly.
* Must be able to gather user needs, requirements, and defining large scale program scope accordingly.
* Must be able to operate autonomously across multiple teams \&amp; global regions, demonstrating critical thinking and thought leadership.
* Must be able to work with technical leadership to develop systems, solutions, and products.
* Must be able to utilize project management methodologies, tools (ADO), and best practices.
* Must have the following experience:
* Bachelor’s degree in Computer Science, Information Systems, or equivalent education or work experience.
* 10\+ years of experience managing highly technical engineering programs or products at scale, from inception to implementation.
* 8\+ years of engineering or technical product / program management experience.
 **Annual Salary**
$153,750\.00 \- $256,250\.00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9">
      <c r="A109" t="inlineStr">
        <is>
          <t>in-9695e6395c2e85e6</t>
        </is>
      </c>
      <c r="B109" t="inlineStr">
        <is>
          <t>Principal Product Manager</t>
        </is>
      </c>
      <c r="C109" t="inlineStr">
        <is>
          <t>GEICO</t>
        </is>
      </c>
      <c r="D109" t="inlineStr">
        <is>
          <t>indeed</t>
        </is>
      </c>
      <c r="E109">
        <f>HYPERLINK("https://www.indeed.com/viewjob?jk=9695e6395c2e85e6", "https://www.indeed.com/viewjob?jk=9695e6395c2e85e6")</f>
        <v/>
      </c>
      <c r="F109">
        <f>HYPERLINK("https://click.appcast.io/t/VkjX6NesSKc0fNrbEBovNxL7_6I5gXL8H9riZ_RVjds=", "https://click.appcast.io/t/VkjX6NesSKc0fNrbEBovNxL7_6I5gXL8H9riZ_RVjds=")</f>
        <v/>
      </c>
      <c r="G109" t="inlineStr">
        <is>
          <t>Chevy Chase, MD, US</t>
        </is>
      </c>
      <c r="H109" s="3" t="n">
        <v>46046</v>
      </c>
      <c r="I10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0">
      <c r="A110" t="inlineStr">
        <is>
          <t>in-a0963c898b5ec9da</t>
        </is>
      </c>
      <c r="B110" t="inlineStr">
        <is>
          <t>Senior Product Manager - Agency Partner Integrations</t>
        </is>
      </c>
      <c r="C110" t="inlineStr">
        <is>
          <t>GEICO</t>
        </is>
      </c>
      <c r="D110" t="inlineStr">
        <is>
          <t>indeed</t>
        </is>
      </c>
      <c r="E110">
        <f>HYPERLINK("https://www.indeed.com/viewjob?jk=a0963c898b5ec9da", "https://www.indeed.com/viewjob?jk=a0963c898b5ec9da")</f>
        <v/>
      </c>
      <c r="F110">
        <f>HYPERLINK("https://click.appcast.io/t/HpdyHvit988JkJGaDhKKWR8m0kJDTn4L2Jnn-IaO1ao=", "https://click.appcast.io/t/HpdyHvit988JkJGaDhKKWR8m0kJDTn4L2Jnn-IaO1ao=")</f>
        <v/>
      </c>
      <c r="G110" t="inlineStr">
        <is>
          <t>Chevy Chase, MD, US</t>
        </is>
      </c>
      <c r="H110" s="3" t="n">
        <v>46046</v>
      </c>
      <c r="I1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1">
      <c r="A111" t="inlineStr">
        <is>
          <t>in-101a51338de63d51</t>
        </is>
      </c>
      <c r="B111" t="inlineStr">
        <is>
          <t>Principal Product Manager - AI/ML Infrastructure</t>
        </is>
      </c>
      <c r="C111" t="inlineStr">
        <is>
          <t>GEICO</t>
        </is>
      </c>
      <c r="D111" t="inlineStr">
        <is>
          <t>indeed</t>
        </is>
      </c>
      <c r="E111">
        <f>HYPERLINK("https://www.indeed.com/viewjob?jk=101a51338de63d51", "https://www.indeed.com/viewjob?jk=101a51338de63d51")</f>
        <v/>
      </c>
      <c r="F111">
        <f>HYPERLINK("https://click.appcast.io/t/Wp16C4awzhKQmBNBH57y5sQ8j8B0cp-FS4TAldCxYd8=", "https://click.appcast.io/t/Wp16C4awzhKQmBNBH57y5sQ8j8B0cp-FS4TAldCxYd8=")</f>
        <v/>
      </c>
      <c r="G111" t="inlineStr">
        <is>
          <t>Chevy Chase, MD, US</t>
        </is>
      </c>
      <c r="H111" s="3" t="n">
        <v>46046</v>
      </c>
      <c r="I1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2">
      <c r="A112" t="inlineStr">
        <is>
          <t>in-732892ab22a340d9</t>
        </is>
      </c>
      <c r="B112" t="inlineStr">
        <is>
          <t>Associate Program Manager</t>
        </is>
      </c>
      <c r="C112" t="inlineStr">
        <is>
          <t>Toyota Material Handling</t>
        </is>
      </c>
      <c r="D112" t="inlineStr">
        <is>
          <t>indeed</t>
        </is>
      </c>
      <c r="E112">
        <f>HYPERLINK("https://www.indeed.com/viewjob?jk=732892ab22a340d9", "https://www.indeed.com/viewjob?jk=732892ab22a340d9")</f>
        <v/>
      </c>
      <c r="F112">
        <f>HYPERLINK("https://recruiting.adp.com/srccsh/public/RTI.home?r=5001172367906&amp;c=1138141&amp;d=TMHUCareerSite&amp;rb=INDEED", "https://recruiting.adp.com/srccsh/public/RTI.home?r=5001172367906&amp;c=1138141&amp;d=TMHUCareerSite&amp;rb=INDEED")</f>
        <v/>
      </c>
      <c r="G112" t="inlineStr">
        <is>
          <t>Greene, NY, US</t>
        </is>
      </c>
      <c r="H112" s="3" t="n">
        <v>46046</v>
      </c>
      <c r="I112" t="inlineStr">
        <is>
          <t>Join our Team as an **Associate Program Manager**!
**The Role:**
We’re seeking a passionate and dedicated Associate Program Manager who brings enthusiasm and expertise to the table. In this role, you'll work with the assigned Program Manager, coordinating essential tasks on moderately complex or large/complex projects to support strategic business initiatives. You will coordinate and complete directly\-assigned, small, non\-complex projects on time, within budget, and scope. You will track milestone progress and follow up with project leads on the status of their assigned project tasks. This role performs work under general supervision and handles small/minor issues, referring complex or unusual issues to others, keeping the program manager informed.
**What You’ll Be Doing:**
* Coordinate internal resources and third parties/vendors.
* Ensure project resource needs are understood and validate assignment of resources with department managers.
* Ensure that directly assigned projects are delivered on\-time, within scope and within budget.
* Facilitate approval of project scope and objectives across all relevant stakeholders.
* Working with assigned Program Manager, facilitate real\-time updates of detailed project plans to monitor and track progress.
* Upkeep status of project work items in software development management system.
* Facilitate approvals of changes to the project scope, project schedule and project costs by project sponsors.
* Coordinate project meetings, ensuring timely scheduling of meetings with the applicable internal and external project contributors.
* Coordinate project events, reserving venues and technical equipment, and facilitating meals and catering.
* Prepare and distribute detailed meeting minutes.
* Organize project documentation and ensure distribution to project team.
* Prepare reports regarding status of projects.
* Track invoices and project costs in budge\-tracking worksheets.
* Facilitate collaboration and communication across the project team.
* Perform related work as assigned.
* Regular attendance in the workplace is required for interaction with others and to support teamwork
**What We’re Looking For:**
* Bachelor’s degree (related field is preferred).
* Three or more years of broad experience in project or program management.
* Experience working with software implementation projects is a plus.
* Experience working with software development management systems (such as Jira or Azure DevOps) is a plus.
**Knowledge and Skills:**
* Understands and applies a general knowledge of the concepts, practices and procedures relating to  
the project/program management fields.
* Possesses good project management skills including, but not limited to:
	+ Planning and organization.
	+ Attention to detail, with the ability to successfully transition between projects.
	+ Facilitating collaboration across the project team.
	+ Tracking project budgets.
* Possesses strong verbal and written communication skills.
* Strong working knowledge of Microsoft Office and Project Management software
**Where and When You’ll Work:**
* Enjoy the best of both worlds with a hybrid schedule—collaborate in person at our Greene, NY office and work remotely
**What Your Total Compensation \&amp; Benefits Package will look like:**
**Salary** \- $83,340 \- $106,845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 Onsite Fitness Center \&amp; Occupational Health Clinic
* Best in class work culture!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
Equal Opportunity Employer Minorities/Women/Protected Veterans/Disabled</t>
        </is>
      </c>
    </row>
    <row r="113">
      <c r="A113" t="inlineStr">
        <is>
          <t>in-1197df9aa438d104</t>
        </is>
      </c>
      <c r="B113" t="inlineStr">
        <is>
          <t>Senior Product Manager</t>
        </is>
      </c>
      <c r="C113" t="inlineStr">
        <is>
          <t>Buyers Edge Platform</t>
        </is>
      </c>
      <c r="D113" t="inlineStr">
        <is>
          <t>indeed</t>
        </is>
      </c>
      <c r="E113">
        <f>HYPERLINK("https://www.indeed.com/viewjob?jk=1197df9aa438d104", "https://www.indeed.com/viewjob?jk=1197df9aa438d104")</f>
        <v/>
      </c>
      <c r="F113">
        <f>HYPERLINK("https://grnh.se/l3n8kc1k5us", "https://grnh.se/l3n8kc1k5us")</f>
        <v/>
      </c>
      <c r="G113" t="inlineStr">
        <is>
          <t>Remote, US</t>
        </is>
      </c>
      <c r="H113" s="3" t="n">
        <v>46046</v>
      </c>
      <c r="I113" t="inlineStr">
        <is>
          <t>We are seeking a **Senior Product Manager** who will bridge business priorities with data science capabilities, guiding the development, deployment, and scaling of models that deliver measurable business impact. This role combines strong product owner agile leadership with an understanding of machine learning, predictive modeling, and applied data science.
**Who we are:**
Buyers Edge Platform stands at the forefront of revolutionizing the foodservice industry through technology, purchasing power and partnerships. We are dedicated to empowering stakeholders across the entire foodservice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foodservice, with over 200K operator locations across North America and over $50 billion of aggregated spend volume. Our commitment to foodservice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*We are focused on performance, not presence. What matters is not that you are sitting in front of your computer from 9am to 5pm, but rather that you build highly effective and efficient software within agreed timelines. In practice, this might mean working extra hours some days to hit that while having other days that allow for more free time and recovery.* *Our goal is for Buyers Edge Platform to be a place where people are able to work in a way that is the most efficient and effective for them. This will enable us all to enjoy the solutions we build and the team we are on.*
*We are unable to offer work sponsorship for this role.*
**Your Impact:**
Product Ownership \&amp; Strategy
* Help our AI product team define the vision, strategy, and roadmap for data science and modeling across the company.
* Build and manage a team's backlog, directing product lifecycles from concept through deployment and enhancements.
* Help team break large initiatives down into functional \- but incremental \- release milestones.
* Define business cases and success metrics to drive effective backlog prioritization and track team's measurable impact toward roadmap goals
AI \&amp; Data Science Leadership
* Partner with data scientists to validate, test, and monitor models for performance, fairness, and business impact.
* Ensure the scalable deployment of models into production environments.
* Understand when AI tooling and agentic workflows are appropriate to power features
Cross\-Functional Collaboration
* Act as the primary liaison between data science, engineering, product, and executive stakeholders for your team's deliverables.
* Collaborate with data scientists and internal team stakeholders to ensure clarity of goals, resourcing, and technical feasibility.
* Setup your team's releases for success: by training employees to use and navigate new products adeptly, and by directing marketing and release content to promote value and expand adoption rates of new features.
Customer \&amp; Market Insight
* Conduct research with internal and external stakeholders to understand decision\-making workflows and data\-driven opportunities.
* Monitor industry trends, modeling techniques, and competitor approaches to ensure a leading\-edge data science strategy.
* Use insights from model performance and business impact to refine the ai \&amp; data science roadmap.
**About you:**
* 3\+ years in Product Management
* 1\+ year working with AI or Data Science projects
* Experience managing the lifecycle of a customer\-facing product or platform feature
* Proven success launching and optimizing high\-impact messaging or communications products
* Strong product thinking, with the ability to define vision and translate ideas into actionable execution
* Strong analytical mindset, with experience interpreting engagement data and user behavior
* Comfort collaborating across engineering, design, marketing, and data science
Nice to Have
* Experience integrating with APIs, automation tools, or machine learning models
* Knowledge of the restaurant or foodservice industry
* Understanding of SQL or Python for basic reporting or exploration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114">
      <c r="A114" t="inlineStr">
        <is>
          <t>in-e6c88dfd68c73f55</t>
        </is>
      </c>
      <c r="B114" t="inlineStr">
        <is>
          <t>Program Manager 4DX</t>
        </is>
      </c>
      <c r="C114" t="inlineStr">
        <is>
          <t>MARA</t>
        </is>
      </c>
      <c r="D114" t="inlineStr">
        <is>
          <t>indeed</t>
        </is>
      </c>
      <c r="E114">
        <f>HYPERLINK("https://www.indeed.com/viewjob?jk=e6c88dfd68c73f55", "https://www.indeed.com/viewjob?jk=e6c88dfd68c73f55")</f>
        <v/>
      </c>
      <c r="F114">
        <f>HYPERLINK("https://grnh.se/jflfv0285us", "https://grnh.se/jflfv0285us")</f>
        <v/>
      </c>
      <c r="G114" t="inlineStr">
        <is>
          <t>Miami, FL, US</t>
        </is>
      </c>
      <c r="H114" s="3" t="n">
        <v>46046</v>
      </c>
      <c r="I114" t="inlineStr">
        <is>
          <t>**SUMMARY**
MARA is seeking an experienced execution leader to **own and lead the implementation of the 4 Disciplines of Execution (4DX) framework across the company**, starting with the People organization and expanding to leaders and leaders\-of\-leaders enterprise\-wide.
This role is **not a traditional project manager**. The primary responsibility is to serve as MARA's **internal 4DX expert, execution coach, and operating\-cadence owner**, ensuring leaders are effectively defining Wildly Important Goals (WIGs), identifying meaningful lead measures, running disciplined weekly WIG sessions, and sustaining a high\-accountability rhythm of execution.
The ideal candidate has **hands\-on experience leading a 4DX rollout at a prior organization**, has coached senior leaders through adoption challenges, and knows how to drive execution through influence, credibility, and behavioral change—not authority alone.
**ESSENTIAL DUTIES AND RESPONSIBILITIES**
**4DX Leadership \&amp; Execution Ownership**
* Serve as the **primary owner and internal subject\-matter expert for the 4 Disciplines of Execution (4DX)** at MARA.
* Lead the **design, rollout, and ongoing evolution** of MARA's 4DX operating cadence.
* Partner closely with executive leadership, people leaders, and leaders\-of\-leaders to:
* + Define high\-quality Wildly Important Goals (WIGs)
	+ Identify effective lead measures tied to controllable behaviors
	+ Establish compelling scoreboards that drive focus and engagement
* Coach leaders on **how to run effective weekly WIG sessions**, including accountability conversations and commitment discipline.
* Observe, assess, and continuously improve the quality and consistency of WIG sessions across teams.
* Identify adoption gaps, resistance, or execution breakdowns and intervene with targeted coaching, reinforcement, or course correction.
* Act as a trusted execution partner to leaders, balancing support with firm accountability to commitments.
**Execution Cadence \&amp; Operating Discipline**
* Establish and maintain lightweight but effective **execution rhythms** that reinforce focus on WIGs.
* Track progress against WIGs and lead measures, surfacing risks, trends, and systemic issues early.
* Ensure leaders have clarity on priorities, commitments, and progress at all times.
* Create visibility into execution health without creating unnecessary reporting burden.
**Cross\-Functional Enablement**
* Support execution of key HR and cross\-functional initiatives that align to enterprise WIGs.
* Translate strategic priorities into clear workplans, milestones, and execution commitments.
* Coordinate across HR, Talent Acquisition, Finance, IT, and other partners to remove blockers and enable progress.
* Facilitate working sessions, leader workshops, and execution reviews as needed.
* Prepare concise, executive\-ready updates on execution progress, risks, and adoption.
**Continuous Improvement \&amp; Capability Building**
* Capture lessons learned from 4DX adoption and execution cycles.
* Recommend and implement improvements to execution practices, tools, and leader enablement.
* Contribute to building long\-term execution maturity across the organization—not just short\-term delivery.
**QUALIFICATIONS**
**Required Qualifications**
* **Demonstrated experience leading the implementation of the 4 Disciplines of Execution (4DX)** at a prior organization.
* Hands\-on experience **coaching senior leaders and leadership teams** through 4DX adoption.
* Proven ability to operate as an **execution coach**, not just a project manager.
* Strong influence skills and comfort holding leaders accountable without direct authority.
* Experience driving sustained behavioral and operating\-cadence change across multiple teams.
* 5\+ years of experience in project management, program management, organizational effectiveness, or execution\-focused roles.
**Preferred Qualifications**
* Experience implementing 4DX in a high\-growth, fast\-changing, or public\-company environment.
* Formal exposure to or training in 4DX through FranklinCovey or equivalent programs.
* Background in organizational effectiveness, leadership development, or operating\-model design.
* Experience working in matrixed, cross\-functional environments.
**Education**
* Bachelor's degree or equivalent experience required.</t>
        </is>
      </c>
    </row>
    <row r="115">
      <c r="A115" t="inlineStr">
        <is>
          <t>in-69516469f53bf3eb</t>
        </is>
      </c>
      <c r="B115" t="inlineStr">
        <is>
          <t>Program Manager - Fully Cleared (Future Funded)</t>
        </is>
      </c>
      <c r="C115" t="inlineStr">
        <is>
          <t>INTELLIFORCE-IT SOLUTIONS GROUP</t>
        </is>
      </c>
      <c r="D115" t="inlineStr">
        <is>
          <t>indeed</t>
        </is>
      </c>
      <c r="E115">
        <f>HYPERLINK("https://www.indeed.com/viewjob?jk=69516469f53bf3eb", "https://www.indeed.com/viewjob?jk=69516469f53bf3eb")</f>
        <v/>
      </c>
      <c r="F115">
        <f>HYPERLINK("https://intelliforceitsolutionsgroup.applytojob.com/apply/37fKTTso9G/Program-Manager-Fully-Cleared-Future-Funded?source=INDE&amp;~", "https://intelliforceitsolutionsgroup.applytojob.com/apply/37fKTTso9G/Program-Manager-Fully-Cleared-Future-Funded?source=INDE&amp;~")</f>
        <v/>
      </c>
      <c r="G115" t="inlineStr">
        <is>
          <t>Annapolis Junction, MD, US</t>
        </is>
      </c>
      <c r="H115" s="3" t="n">
        <v>46046</v>
      </c>
      <c r="I115" t="inlineStr">
        <is>
          <t>### **You own delivery. You lead teams. You protect mission outcomes****.**
**This role sits at the center of a high visibility Intelligence Community program. You manage cost, schedule, performance, and risk across a complex technical environment. You serve as the primary interface with Government leadership and contractor executives. You keep programs on track when pressure is high and timelines are tight.**
**You translate strategy into execution. You bring order to complexity. You keep teams aligned and accountable.**
**Core Responsibilities.**
* ### **Serve as the single point of contact for the Contracting Officer, Contracting Officer’s Representative, Government Program Manager, and senior contractor leadership.**
* ### **Own program cost, schedule, and performance across the full contract lifecycle.**
* ### **Plan, track, and execute work using Integrated Program Baselines and resource loaded schedules.**
* ### **Lead requirements analysis, staffing plans, and resource allocation across multi task, multi vendor efforts.**
* ### **Manage risk proactively. Identify issues early. Drive mitigation plans to closure.**
* ### **Oversee Earned Value Management, Estimates to Complete, funds tracking, and man hour reporting.**
* ### **Review and approve all financial, technical, and status reports prior to Government delivery.**
* ### **Prepare and deliver program reviews, status briefings, and formal updates to Government stakeholders.**
* ### **Ensure compliance with contract terms, FAR, DFARS, DoD 5000 series, and Intelligence Community policies.**
* ### **Coordinate Engineering Change Proposals, value engineering efforts, and quality assurance activities.**
* ### **Build and sustain strong working relationships across Government, prime, and subcontractor teams.**
### **Technical and Program Management Requirements.**
* ### **Fifteen years of experience managing programs or projects of similar scope, type, and complexity.**
* ### **Demonstrated success managing multi task contracts and subcontractors in a multi vendor environment.**
* ### **Hands on experience with cost control, schedule management, deliverable tracking, and reporting.**
* ### **At least three years managing funds and resources using Earned Value Management or equivalent systems.**
* ### **Strong working knowledge of FAR, DFARS, DoD 5000 series, and ICD 801 policies.**
* ### **PMP, FAC P PM Senior Level, or DAWIA Level 3 certification in Program Management.**
### **Intelligence Community Program Expectations.**
* ### **Comfort operating in classified environments with evolving priorities.**
* ### **Ability to balance mission urgency with compliance and fiscal discipline.**
* ### **Experience supporting operational, analytic, or mission systems programs.**
* ### **Skill translating technical progress into clear executive level communication.**
### **Leadership and Soft Skills.**
* ### **Executive presence. You communicate with clarity and confidence at all levels.**
* ### **Calm under pressure. You make decisions with incomplete data and tight deadlines.**
* ### **Team builder. You align engineers, analysts, and stakeholders toward shared outcomes.**
* ### **Accountability driven. You set expectations and hold teams to delivery.**
* ### **Diplomatic but direct. You surface issues early and propose solutions, not excuses.**
* ### **Trusted partner. Government counterparts rely on your judgment and transparency.**
### **What Success Looks Like.**
* ### **Programs meet cost, schedule, and performance targets.**
* ### **Risks are managed, not reacted to.**
* ### **Government stakeholders stay informed and confident.**
* ### **Teams stay focused, motivated, and aligned.**
* ### **Mission outcomes stay front and center.**
### **This role is for a senior Program Manager who wants ownership, impact, and responsibility inside the Intelligence Community. If you enjoy complexity, accountability, and mission focused leadership, this seat has your name on it.**
**Why Intelliforce? Because you matter—your work, your growth, and your well\-being.**  
At Intelliforce, we don’t just push the boundaries of technology—we partner with some of the most mission\-driven teams in defense and beyond to solve challenges that truly matter. As a Systems Engineer here, you won’t just contribute to projects—you’ll help shape outcomes that make a real\-world impact.  
We also know that great work starts with a great environment. That’s why we invest in you:* **Ample PTO** to rest and recharge—plus all federal holidays and your birthday off, just because.
* **Multiple medical plan options**, including ones with **zero deductible or premium** for employees.
* **Generous 401(k)** with immediate vesting—because your future matters now.
* **Exciting bonus opportunities**, from profit sharing to quarterly awards and President’s Club recognition.
* A culture of **collaboration, connection, and fun**, with regular team activities that go beyond the work.
**Ready to grow with purpose?**  
At Intelliforce, your career will flourish in a place where innovation thrives and people come first. Join us—and let’s build something meaningful together. You can reach us at careers@intelliforce\-itsg.com or schedule a call with our Director of Recruitment, just visit this link to view their calendar: https://calendly.com/amwolfe\-intelliforce\-itsg/30min .**Equal Opportunity Matters**  
Intelliforce\-IT Solutions Group, LLC is proud to be an Equal Opportunity/Affirmative Action Employer. U.S. Citizenship is required for most positions.  
Need accommodations during the application process? We’re happy to help. Reach out to us at Recruiting@intelliforce\-itsg.com with your specific request.
37fKTTso9G</t>
        </is>
      </c>
    </row>
    <row r="116">
      <c r="A116" t="inlineStr">
        <is>
          <t>in-ce35f282fab08ea9</t>
        </is>
      </c>
      <c r="B116" t="inlineStr">
        <is>
          <t>Deputy Program Manager - Fully Cleared (Future Funded)</t>
        </is>
      </c>
      <c r="C116" t="inlineStr">
        <is>
          <t>INTELLIFORCE-IT SOLUTIONS GROUP</t>
        </is>
      </c>
      <c r="D116" t="inlineStr">
        <is>
          <t>indeed</t>
        </is>
      </c>
      <c r="E116">
        <f>HYPERLINK("https://www.indeed.com/viewjob?jk=ce35f282fab08ea9", "https://www.indeed.com/viewjob?jk=ce35f282fab08ea9")</f>
        <v/>
      </c>
      <c r="F116">
        <f>HYPERLINK("https://intelliforceitsolutionsgroup.applytojob.com/apply/UA2eJuD423/Deputy-Program-Manager-Fully-Cleared-Future-Funded?source=INDE&amp;~", "https://intelliforceitsolutionsgroup.applytojob.com/apply/UA2eJuD423/Deputy-Program-Manager-Fully-Cleared-Future-Funded?source=INDE&amp;~")</f>
        <v/>
      </c>
      <c r="G116" t="inlineStr">
        <is>
          <t>Annapolis Junction, MD, US</t>
        </is>
      </c>
      <c r="H116" s="3" t="n">
        <v>46046</v>
      </c>
      <c r="I116" t="inlineStr">
        <is>
          <t>### **You keep the program moving. You turn direction into execution. You step in without friction.**
**This role supports a high visibility Intelligence Community program with complex technical scope and multiple stakeholders. You partner closely with the Program Manager to drive cost, schedule, performance, and risk management. You lead execution across teams while maintaining strong alignment with Government counterparts.**
**You operate as the right hand. You bring discipline, follow through, and momentum.**
**Core Responsibilities.**
* ### **Support the Program Manager in managing cost, schedule, performance, and contract execution.**
* ### **Act as an alternate point of contact for the Government Program Manager, Contracting Officer, and Contracting Officer’s Representative.**
* ### **Own day to day execution across tasking, staffing, and deliverables.**
* ### **Track program performance against the Integrated Program Baseline and resource loaded schedules.**
* ### **Coordinate task leads, technical leads, and subcontractors to ensure delivery alignment.**
* ### **Monitor risks and issues. Drive mitigation actions to closure.**
* ### **Prepare program status updates, metrics, and briefing materials for Government reviews.**
* ### **Review technical and financial inputs prior to submission to the Program Manager.**
* ### **Support Earned Value Management, Estimates to Complete, funds tracking, and labor reporting.**
* ### **Ensure contract compliance in coordination with contracts, finance, and security teams.**
### **Technical and Program Management Requirements.**
* ### **Twelve or more years of experience supporting or managing programs of similar scope, type, and complexity.**
* ### **Experience working multi task contracts and coordinating across multiple vendors or teams.**
* ### **Hands on experience with schedule tracking, deliverable management, and performance reporting.**
* ### **Working knowledge of Earned Value Management or comparable cost and schedule control methods.**
* ### **Familiarity with FAR, DFARS, DoD 5000 series, and Intelligence Community policies.**
* ### **PMP, FAC P PM, or DAWIA certification preferred.**
### **Intelligence Community Program Expectations.**
* ### **Experience operating in classified environments with mission driven timelines.**
* ### **Ability to manage competing priorities without losing execution discipline.**
* ### **Comfort translating technical details into clear, actionable updates.**
* ### **Strong coordination skills across engineering, operations, and Government stakeholders.**
### **Leadership and Soft Skills.**
* ### **Execution focused. You move work forward without noise.**
* ### **Reliable. Leadership trusts you to close gaps and resolve issues.**
* ### **Clear communicator. You keep stakeholders informed and aligned.**
* ### **Team oriented. You support leaders while guiding teams with confidence.**
* ### **Adaptable. You adjust plans quickly as priorities shift.**
* ### **Ownership mindset. You treat program outcomes as personal commitments.**
### **What Success Looks Like.**
* ### **Daily execution stays on track.**
* ### **Risks surface early and shrink fast.**
* ### **Teams know priorities and deadlines.**
* ### **Government partners stay confident in delivery.**
* ### **The Program Manager stays focused on strategy, not fire drills.**
### **If you thrive in execution, coordination, and accountability within the Intelligence Community, this role fits.**
**Why Intelliforce? Because you matter—your work, your growth, and your well\-being.**  
At Intelliforce, we don’t just push the boundaries of technology—we partner with some of the most mission\-driven teams in defense and beyond to solve challenges that truly matter. As a Systems Engineer here, you won’t just contribute to projects—you’ll help shape outcomes that make a real\-world impact.  
We also know that great work starts with a great environment. That’s why we invest in you:* **Ample PTO** to rest and recharge—plus all federal holidays and your birthday off, just because.
* **Multiple medical plan options**, including ones with **zero deductible or premium** for employees.
* **Generous 401(k)** with immediate vesting—because your future matters now.
* **Exciting bonus opportunities**, from profit sharing to quarterly awards and President’s Club recognition.
* A culture of **collaboration, connection, and fun**, with regular team activities that go beyond the work.
**Ready to grow with purpose?**  
At Intelliforce, your career will flourish in a place where innovation thrives and people come first. Join us—and let’s build something meaningful together. You can reach us at careers@intelliforce\-itsg.com or schedule a call with our Director of Recruitment, just visit this link to view their calendar: https://calendly.com/amwolfe\-intelliforce\-itsg/30min .**Equal Opportunity Matters**  
Intelliforce\-IT Solutions Group, LLC is proud to be an Equal Opportunity/Affirmative Action Employer. U.S. Citizenship is required for most positions.  
Need accommodations during the application process? We’re happy to help. Reach out to us at Recruiting@intelliforce\-itsg.com with your specific request.
UA2eJuD423</t>
        </is>
      </c>
    </row>
    <row r="117">
      <c r="A117" t="inlineStr">
        <is>
          <t>in-2cdd257dd1a58d89</t>
        </is>
      </c>
      <c r="B117" t="inlineStr">
        <is>
          <t>Associate Program Manager</t>
        </is>
      </c>
      <c r="C117" t="inlineStr">
        <is>
          <t>Toyota Material Handling</t>
        </is>
      </c>
      <c r="D117" t="inlineStr">
        <is>
          <t>indeed</t>
        </is>
      </c>
      <c r="E117">
        <f>HYPERLINK("https://www.indeed.com/viewjob?jk=2cdd257dd1a58d89", "https://www.indeed.com/viewjob?jk=2cdd257dd1a58d89")</f>
        <v/>
      </c>
      <c r="F117">
        <f>HYPERLINK("https://recruiting.adp.com/srccsh/public/RTI.home?r=5001172367906&amp;c=1138141&amp;d=TMHUCareerSite&amp;rb=INDEED&amp;idUnique=5001172367906", "https://recruiting.adp.com/srccsh/public/RTI.home?r=5001172367906&amp;c=1138141&amp;d=TMHUCareerSite&amp;rb=INDEED&amp;idUnique=5001172367906")</f>
        <v/>
      </c>
      <c r="G117" t="inlineStr">
        <is>
          <t>Greene, NY, US</t>
        </is>
      </c>
      <c r="H117" s="3" t="n">
        <v>46046</v>
      </c>
      <c r="I117" t="inlineStr">
        <is>
          <t>Join our Team as an **Associate Program Manager**!
**The Role:**
We're seeking a passionate and dedicated Associate Program Manager who brings enthusiasm and expertise to the table. In this role, you'll work with the assigned Program Manager, coordinating essential tasks on moderately complex or large/complex projects to support strategic business initiatives. You will coordinate and complete directly\-assigned, small, non\-complex projects on time, within budget, and scope. You will track milestone progress and follow up with project leads on the status of their assigned project tasks. This role performs work under general supervision and handles small/minor issues, referring complex or unusual issues to others, keeping the program manager informed.
**What You'll Be Doing:**
* Coordinate internal resources and third parties/vendors.
* Ensure project resource needs are understood and validate assignment of resources with department managers.
* Ensure that directly assigned projects are delivered on\-time, within scope and within budget.
* Facilitate approval of project scope and objectives across all relevant stakeholders.
* Working with assigned Program Manager, facilitate real\-time updates of detailed project plans to monitor and track progress.
* Upkeep status of project work items in software development management system.
* Facilitate approvals of changes to the project scope, project schedule and project costs by project sponsors.
* Coordinate project meetings, ensuring timely scheduling of meetings with the applicable internal and external project contributors.
* Coordinate project events, reserving venues and technical equipment, and facilitating meals and catering.
* Prepare and distribute detailed meeting minutes.
* Organize project documentation and ensure distribution to project team.
* Prepare reports regarding status of projects.
* Track invoices and project costs in budge\-tracking worksheets.
* Facilitate collaboration and communication across the project team.
* Perform related work as assigned.
* Regular attendance in the workplace is required for interaction with others and to support teamwork
**What We're Looking For:**
* Bachelor's degree (related field is preferred).
* Three or more years of broad experience in project or program management.
* Experience working with software implementation projects is a plus.
* Experience working with software development management systems (such as Jira or Azure DevOps) is a plus.
**Knowledge and Skills:**
* Understands and applies a general knowledge of the concepts, practices and procedures relating to  
the project/program management fields.
* Possesses good project management skills including, but not limited to:
	+ Planning and organization.
	+ Attention to detail, with the ability to successfully transition between projects.
	+ Facilitating collaboration across the project team.
	+ Tracking project budgets.
* Possesses strong verbal and written communication skills.
* Strong working knowledge of Microsoft Office and Project Management software
**Where and When You'll Work:**
* Enjoy the best of both worlds with a hybrid schedule—collaborate in person at our Greene, NY office and work remotely
**What Your Total Compensation \&amp; Benefits Package will look like:**
**Salary** \- $83,340 \- $106,845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 Onsite Fitness Center \&amp; Occupational Health Clinic
* Best in class work culture!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
Additional Details : Employment authorization required. Toyota Material Handling North America will not pursue visa sponsorship for this position.</t>
        </is>
      </c>
    </row>
    <row r="118">
      <c r="A118" t="inlineStr">
        <is>
          <t>in-8e3b04bcf45680de</t>
        </is>
      </c>
      <c r="B118" t="inlineStr">
        <is>
          <t>Senior Program Manager</t>
        </is>
      </c>
      <c r="C118" t="inlineStr">
        <is>
          <t>Lockheed Martin</t>
        </is>
      </c>
      <c r="D118" t="inlineStr">
        <is>
          <t>indeed</t>
        </is>
      </c>
      <c r="E118">
        <f>HYPERLINK("https://www.indeed.com/viewjob?jk=8e3b04bcf45680de", "https://www.indeed.com/viewjob?jk=8e3b04bcf45680de")</f>
        <v/>
      </c>
      <c r="F118">
        <f>HYPERLINK("https://click.appcast.io/t/xYPumOYUkOi_lW8cR5noU0We20otwZDe-bkbuwHjdwM=", "https://click.appcast.io/t/xYPumOYUkOi_lW8cR5noU0We20otwZDe-bkbuwHjdwM=")</f>
        <v/>
      </c>
      <c r="G118" t="inlineStr">
        <is>
          <t>Arlington, TX, US</t>
        </is>
      </c>
      <c r="H118" s="3" t="n">
        <v>45978</v>
      </c>
      <c r="I118" t="inlineStr">
        <is>
          <t>**Job ID:** 710032BR
**Date posted:** Nov. 18, 2025  
**Description:**\*\*Work locations: Sunnyvale, CA, Huntsville, AL or Arlington, TX only\*\*  
You will be the Senior Program Manager for the Upper Tier Integrated Air and Missile Defense (UTIAMD) Integrated and Follow‑on Programs team. Our team is responsible for executing the strategic vision for Upper Tier IAMD, driving innovation and growth through both line‑of‑business and corporate internal research and development, and fostering collaboration across business areas to integrate capabilities and drive program success.  
**What You Will Be Doing**  
As the Senior Program Manager you will be responsible for executing the strategic vision for Upper Tier IAMD, driving innovation and growth through both LOB and corporate internal research and development, and fostering collaboration across business areas to integrate capabilities and drive program success.  
Your responsibilities will include, but are not limited to:  
* Lead internal research and development efforts, making strategic technology investments to support the Upper Tier IAMD vision.
* Collaborate with cross‑business area teams to identify and pursue integration opportunities for the THAAD Weapon System.
* Provide leadership and guidance to program teams to ensure new concepts are successfully transitioned to Development Programs.
* Develop and maintain relationships with key stakeholders, including customers, partners, and internal teams.
* Support pursuit of new business opportunities, both domestically and internationally, to drive growth and expansion of Upper Tier IAMD capabilities.
**Why Join Us**  
The ideal candidate is a forward‑thinking, collaborative leader who thrives in a dynamic, mission‑critical environment. You will shape high‑impact programs, work alongside top engineers and strategists, and see your ideas translate into tangible defense capabilities. This role stands out because it sits at the nexus of technology, strategy, and partnership\-offering you the chance to influence the future of integrated air and missile defense.  
We are committed to supporting your work‑life balance and overall well‑being, offering flexible scheduling options. Learn more about Lockheed Martin's comprehensive benefits package here.  
**Further Information About This Opportunity**  
This position is located at Sunnyvale, CA, Arlington, TX or Huntsville, AL.  
**Security Clearance Requirement**  
MUST BE A U.S. CITIZEN \- This position is located at a facility that requires special access. The selected candidate must possess an active Secret clearance to start.  
**Basic Qualifications:**  
* Bachelor's or higher degree from an accredited college plus 12\+ years of related professional level experience
* Active Secret Clearance
* Demonstrated development Program management experience
* Ability to travel on an as needed basis
* Experience working in fast\-paced, advanced program or research and development environment
**Desired Skills:**  
* Demonstrated program management and business acumen to include knowledge and understanding of Earned Value Management, negotiations, performance metrics, and processes develop and execute cost and schedule baselines
* Demonstrated ability developing and executing strategic objectives
* Previous experience with USG agencies, such as MDA
* Prior experience supporting or leading capture/proposals
* Knowledge of requirements management, systems engineering, software/hardware development a plus
* Demonstrated experience leading large scale, complex system development programs over geographically dispersed locations
* Excellent verbal and written communication skills to include aptitude for formal presentations of complex issues to management and customers
* Proactive problem solving and troubleshooting skills with the ability to exercise mature judgment
* Strong organization and time management skills, attention to detail, and ability to proactively manage multiple tasks and priorities
* Ability to inspire a diverse cross\-functional team to meet goals
* Knowledge of IAMD Programs
* Strong Engineering or Technical development background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$151,200 \- $266,570\.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$173,900 \- $301,415\.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Management  
**Type:** Full\-Time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li-4365741839</t>
        </is>
      </c>
      <c r="B2" t="inlineStr">
        <is>
          <t>Product Manager, Payments</t>
        </is>
      </c>
      <c r="C2" t="inlineStr">
        <is>
          <t>Whatnot</t>
        </is>
      </c>
      <c r="D2" t="inlineStr">
        <is>
          <t>linkedin</t>
        </is>
      </c>
      <c r="E2" t="inlineStr"/>
      <c r="F2" t="inlineStr"/>
      <c r="G2" t="inlineStr"/>
      <c r="H2" t="inlineStr"/>
      <c r="I2" t="inlineStr">
        <is>
          <t>**About The Company**
 Join the Future of Commerce with Whatnot! Whatnot is the largest live shopping platform operating across North America and Europe, revolutionizing the way people buy, sell, and discover their favorite items. Our innovative platform combines community engagement, entertainment, and e\-commerce, creating a unique shopping experience tailored for enthusiasts of fashion, beauty, electronics, collectibles such as trading cards, comic books, live plants, and more. As a rapidly growing marketplace, we are committed to fostering a dynamic environment where passion meets commerce, enabling users to turn their passions into thriving businesses.
 With a presence in the US, UK, Germany, Ireland, and Poland, our remote co\-located team is driven by innovation and anchored in core values of transparency, community, and growth. Our goal is to build the future of online marketplaces by integrating cutting\-edge technology with user\-centric design, ensuring seamless transactions and a vibrant community experience. We continuously update our platform with new features and improvements, as highlighted in our news and engineering blogs, to stay ahead in the competitive landscape of live shopping and e\-commerce.
**About The Role**
 We are seeking an experienced Product Manager, Payments, to lead the strategy and execution of our core payments platform that underpins the entire Whatnot marketplace. This role involves owning and optimizing the systems responsible for facilitating buyer payments, seller payouts, refunds, and overall financial transactions. Managing billions in annual gross merchandise volume (GMV) across over 50 categories, the successful candidate will ensure the smooth movement of money within our ecosystem, supporting tens of thousands of sellers globally.
 The Product Manager will work across the full payments stack—from payment initiation and processing to payouts, refunds, and financial data infrastructure. Collaborating closely with Engineering, Design, Finance, Trust \&amp; Safety, Legal, Customer Experience, and Operations teams, this role aims to deliver scalable, secure, and efficient payment capabilities that foster growth while maintaining strict financial controls and risk management. The role reports to a Vice President of Product and requires proximity to one of our major hubs in New York, San Francisco, Seattle, or Los Angeles.
 Key responsibilities include defining the product vision and roadmap, understanding stakeholder needs, establishing core payment metrics, driving cross\-functional execution, and building a robust financial data foundation. The role also involves ensuring compliance, managing risks, and implementing metrics and experimentation frameworks to validate performance and foster continuous improvement.
**Qualifications**
* 10\+ years of product management experience, with significant focus on payments products and platforms
* Proven experience managing high\-volume, mission\-critical payments systems in marketplace, fintech, or platform companies
* Deep familiarity with payment processors such as Stripe, Braintree, Adyen, or similar
* Strong leadership skills with a track record of setting strategy, influencing cross\-functional teams, and executing complex initiatives from inception to scale
* Extensive understanding of financial data, reconciliation, and reporting processes, especially in high\-transaction\-volume environments
* Ability to operate effectively in ambiguous, fast\-paced environments, making informed decisions with limited information
* Experience leveraging data and experimentation to drive product decisions and measure impact
* Excellent communication skills and ability to collaborate with Engineering, Design, Finance, Legal, CX, Operations, and risk teams
* High level of empathy for users and stakeholders, with a passion for creating trustworthy financial experiences
* Nice to have: Experience in marketplaces or multi\-sided platforms where payments and incentives are tightly integrated
**Responsibilities**
* Define and own the product vision and strategic roadmap for the Payments platform, balancing immediate needs with long\-term scalability and international expansion
* Deeply understand stakeholder needs, including sellers, finance teams, customer support, and compliance requirements, translating these into effective product solutions
* Establish and monitor core payment metrics such as authorization rates, payout success, refund rates, processing costs, and financial accuracy to guide prioritization and measure success
* Lead the execution of multiple workstreams, coordinating backend payments systems, integrations, and user experience enhancements
* Build and maintain the financial data infrastructure, including ledger systems supporting internal reporting, seller transparency, and monthly financial closes
* Partner cross\-functionally with Finance, Legal, Trust \&amp; Safety, Customer Experience, and Operations to ensure compliance, risk management, and operational efficiency
* Implement metrics and experimentation frameworks to validate performance, test new features, and optimize outcomes for users and internal teams
* Manage dependencies, timelines, and stakeholder expectations across complex projects
* Stay informed about industry trends, emerging payment technologies, and regulatory changes impacting payments systems
**Benefits**
* Competitive salary and equity options
* Flexible remote work arrangements and support for remote team members
* Health, dental, and vision insurance coverage
* Generous paid time off and holiday leave
* Professional development opportunities and ongoing training
* Collaborative and innovative company culture that values diversity and inclusion
* Participation in company events, team\-building activities, and community engagement initiatives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status under applicable law. We believe</t>
        </is>
      </c>
    </row>
    <row r="3">
      <c r="A3" t="inlineStr">
        <is>
          <t>li-4355815074</t>
        </is>
      </c>
      <c r="B3" t="inlineStr">
        <is>
          <t>Product Manager</t>
        </is>
      </c>
      <c r="C3" t="inlineStr">
        <is>
          <t>SoTalent</t>
        </is>
      </c>
      <c r="D3" t="inlineStr">
        <is>
          <t>linkedin</t>
        </is>
      </c>
      <c r="E3" t="inlineStr"/>
      <c r="F3" t="inlineStr"/>
      <c r="G3" t="inlineStr">
        <is>
          <t>Chicago, IL</t>
        </is>
      </c>
      <c r="H3" t="inlineStr"/>
      <c r="I3" t="inlineStr">
        <is>
          <t>Product Manager – CRM \&amp; Commercial Enablement
 Overview
 We’re looking for a strategic, customer\-obsessed Product Manager to lead the evolution of CRM capabilities that power modern sales and marketing experiences. This role sits at the intersection of technology, data, and customer journeys, shaping how prospects are engaged, opportunities are managed, and value is delivered across digital and human touchpoints.
 You’ll be part of a forward\-thinking commercial organization that believes growth comes from deep customer understanding, strong brand leadership, and smart use of data. Your work will directly influence how teams attract, convert, and retain customers—at scale.
 What You’ll Own
 Product Direction \&amp; Roadmap
* Define and continuously refine the vision for CRM capabilities that support demand generation, lead lifecycle management, and purchase conversion
* Align platform priorities with customer journey objectives and measurable business outcomes
* Monitor market trends, emerging technologies, and evolving customer expectations to guide roadmap decisions
* Establish persona\-driven CRM solutions that improve usability, adoption, and effectiveness for sales and marketing teams
 Experience \&amp; Journey Alignment
* Partner closely with journey and experience leaders to ensure CRM functionality supports end\-to\-end customer workflows
* Collaborate with experience architects and designers to translate journey concepts into practical system capabilities
* Ensure consistency and continuity across digital and human channels throughout the pre\-purchase and purchase phases
 Delivery \&amp; Execution
* Lead product development from discovery through launch, managing backlogs, priorities, and release planning
* Translate strategic goals into clear features, epics, and user stories in collaboration with technical teams
* Oversee integrations with adjacent platforms such as marketing automation, pricing, quoting, and commerce tools
* Measure success using metrics tied to pipeline health, conversion efficiency, sales velocity, and campaign performance
 Data, Insights \&amp; Intelligence
* Define a CRM data strategy that enables a unified customer view and supports advanced analytics
* Ensure strong data quality, governance, and reporting foundations
* Leverage platform capabilities to drive automation, insight generation, and informed decision\-making, including AI\-enabled use cases
 Adoption \&amp; Change Enablement
* Partner with training and enablement teams to drive effective rollout and sustained usage
* Communicate roadmap progress, outcomes, and value to stakeholders and leadership
* Encourage continuous improvement through feedback, experimentation, and iteration
 What You Bring
* A track record of owning and scaling CRM or commercial technology platforms in a sales and marketing context
* Strong product management fundamentals, including roadmap ownership, backlog prioritization, and agile delivery
* Experience working with enterprise CRM platforms (Salesforce or similar) and integrated commercial ecosystems
* Ability to translate complex business needs into scalable, user\-centered solutions
* Comfort working across cross\-functional teams including sales, marketing, digital, design, and engineering
* A data\-driven mindset with experience using KPIs to guide decisions and demonstrate impact
 Why This Role
 You’ll join an organization that values curiosity, accountability, and collaboration—and believes meaningful growth starts with understanding customers better than anyone else. The culture emphasizes transparency, inclusion, and continuous learning, supported by flexible ways of working that balance focus, collaboration, and impact.
 This role is ideal for someone who thrives in complexity, enjoys shaping platforms that enable others to succeed, and wants their work to influence how customers experience a brand every day.
**Please note:** 
 This job posting is just a preview of the full scope of the position. A comprehensive job description is shared by a member of our team</t>
        </is>
      </c>
    </row>
    <row r="4">
      <c r="A4" t="inlineStr">
        <is>
          <t>li-4365769234</t>
        </is>
      </c>
      <c r="B4" t="inlineStr">
        <is>
          <t>Senior Product Manager</t>
        </is>
      </c>
      <c r="C4" t="inlineStr">
        <is>
          <t>National Geographic Society</t>
        </is>
      </c>
      <c r="D4" t="inlineStr">
        <is>
          <t>linkedin</t>
        </is>
      </c>
      <c r="E4" t="inlineStr"/>
      <c r="F4" t="inlineStr"/>
      <c r="G4" t="inlineStr">
        <is>
          <t>Washington, DC</t>
        </is>
      </c>
      <c r="H4" t="inlineStr"/>
      <c r="I4" t="inlineStr">
        <is>
          <t>****How You’ll Contribute****
 The Technology Division creates digital experiences for and delivers information technology services to the National Geographic Society. From our staff to our constituents, Technology provides the power to amplify National Geographic’s impact through value\-based product delivery, transformational data services, and world\-class support and infrastructure services. These services include employee training and technical support, audio/visual production, device management, enterprise architecture, network management, on\-premises and cloud computing, information security, identity management, data management and integration, product management, user experience design, software development, systems engineering, and systems administration. Technology comprises five teams: Business Products, Constituent Products, Data Products, Infrastructure \&amp; Security, and Technology Support Services.
 The Senior Product Manager (PM) is a member of the Constituent Products team. The PM is responsible for leading the product and platform development efforts of a software engineering team, also known as a “pod”. The pod is a cross\-functional team composed of the PM, a user experience designer, and several engineers who are empowered to create and maintain products that meet the needs of our constituents, which include Explorers, Donors, Members, Educators, Museum Visitors, NGS Staff, and others the Society seeks to empower in service of its mission.
 The ideal candidate is passionate about the Society’s mission and an accomplished, outcome\-driven and user\-focused product manager with experience leading a team to discover, design, and deliver great software products.
 This position reports to the Director of Product Management.
**Your Impact**
****Responsibilities Include****
* Lead product development to deliver value to end users while advancing the Society’s programmatic and business goals. Collaborate with diverse stakeholders across various Society divisions, who may have differing priorities, to formulate and drive a unified product strategy and roadmap that successfully addresses their needs and progresses the organization's overarching objectives. (20%
* Collaborate with other members of the pod to discover the problems, opportunities, and constraints that inform the design and architecture of a viable and valuable solution. (20%)
* Work closely with pod members to design and validate solutions that meet the needs of users. Utilize appropriate processes and techniques (prototyping, usability testing, iterative development, QA, etc.) to ensure products are usable, reliable, and feasible to deliver and maintain with the time and resources available. (20%)
* Collaborate with other Technology teams and internal stakeholder groups (such as Communications, Advancement, Legal, and Finance) to ensure product viability. (15%)
* Serve as a product evangelist and thought leader, clearly communicating the product vision, strategy, and impact to staff at multiple levels to inspire alignment and demonstrate value. (15%)
* Keep up with current trends, technologies and best practices in software development, artificial intelligence, and product management. (10%)
****What You’ll Bring****
****Education****
 Bachelor’s degree preferred.
**Experience**
 At least 5 years of product management experience.
****Necessary Knowledge and Skills****
* Experience applying techniques and methods of modern product discovery and delivery, including leveraging enterprise AI tools to increase the efficiency and impact of product work.
* Demonstrated skill in developing product briefs and other essential artifacts to constructively and collaboratively engage with a diverse set of partners, including engineers, designers, architects, other product managers and their teams, stakeholders, and organizational leadership.
* Proven ability to continuously refine time and resource estimates, while also assessing and validating the relative user and business value of backlog items.
* Experience leveraging cost and value estimates along with stakeholder input to guide iterative decisions on scope, sequencing, and prioritization, ensuring product development efforts deliver maximum business value and impact.
* Experience developing roadmaps and managing team capacity while operating and maintaining a portfolio of products.
* Demonstrated ability to share a product vision and strategy to effectively motivate and inspire team members and others who contribute to the product's success.
* Experience leveraging metrics tools and data analysis skills to understand how products are being used and to inform potential enhancements and strategic decision\-making.
**Desired Qualifications**
* A deep\-seated curiosity about user goals and pain points, coupled with a strong drive to genuinely solve problems through broad idea generation and rigorous pressure testing.
* Demonstrated ability to learn multiple functional areas of business – e.g., engineering, design, finance, marketing, fundraising, operations.
* Comfortable working in an agile environment and can adapt to evolving priorities.
* Experience diving deep on technology, data architecture, systems diagramming, APIs, and other architectural concerns.
* Demonstrated ability to figure out solutions to hard problems with many constraints, using sound judgment to assess risks and communicate recommendations with well\-structured, data\-informed narratives.
****Supervision****
 No Direct Reports.
**Salary Information**
 The National Geographic Society offers a competitive and holistic total rewards package. Our compensation structure and transparent pay philosophy are based on industry\-specific market data for similar\-sized nonprofit organizations.
 The salary range for this position accounts for a wide range of factors including but not limited to organizational need; specific skill sets; experience and training; certifications; and more. At the National Geographic Society, individuals are typically hired at or near the starting point of the salary range for their role, and compensation decisions are dependent on the facts and circumstances of each case.
 The salary range for this position is $137,750\.00 \- $145,000\.00\.
 In addition, the National Geographic Society offers a competitive and comprehensive benefits package that includes, but is not limited to, medical, dental, and vision insurance; engaging and comprehensive wellness program; 401(k) retirement savings plan with matching contributions after 6 months of employment; flexible paid time off benefits with up to 22 days of paid annual leave per calendar year (15 days for new hires in their first year, prorated based on the number of pay periods remaining in the year) and 10 days of sick leave; 12 paid holidays and a paid winter break between December 25 and 31 (May not apply to all roles that are required to work during high volume seasons or essential workers. Please check with the hiring manager for confirmation.); paid parental leave, adoption and surrogacy expense reimbursement, fertility benefits; learning and development opportunities; Lifestyle Spending Account; pet adoption assistance and insurance; pre\-tax transportation benefits with a generous employer subsidy; employer\-paid life insurance and disability benefit; and a variety of National Geographic discounts and perks.
**Job Designation**
 Remote \- Our Remote designation includes staff who must work in another location in the U.S. or abroad, such as our regional leads for our Education and International teams or regional fundraisers in Advancement. Staff may also be designated as Remote by their supervisors (with approval by the Senior Team lead) because of their job duties, and are afforded this status when it is beneficial to NGS, their respective team, and the employee.
*Candidates must be legally authorized to work in the United States. This position is not eligible for visa sponsorship.*
*W* 
*e encourage you to apply even if your experience is not a 100% match with the position. We are looking for someone with relevant skills and experience, not a checklist that exactly matches the job description. We want to help you grow and in return, you help us grow into a stronger, more inclusive organization.*</t>
        </is>
      </c>
    </row>
    <row r="5">
      <c r="A5" t="inlineStr">
        <is>
          <t>li-4361508141</t>
        </is>
      </c>
      <c r="B5" t="inlineStr">
        <is>
          <t>CFC Product Owner, CFC Product Team</t>
        </is>
      </c>
      <c r="C5" t="inlineStr">
        <is>
          <t>Pfizer</t>
        </is>
      </c>
      <c r="D5" t="inlineStr">
        <is>
          <t>linkedin</t>
        </is>
      </c>
      <c r="E5" t="inlineStr"/>
      <c r="F5" t="inlineStr"/>
      <c r="G5" t="inlineStr">
        <is>
          <t>New York, NY</t>
        </is>
      </c>
      <c r="H5" t="inlineStr"/>
      <c r="I5" t="inlineStr">
        <is>
          <t>**Role Summary**
 The CFC (Client\-Facing Colleagues) Product Owner is a new role within the CFC Product team directly reporting to the CFC Business Product Lead within the Global Excellence \&amp; Enablement organization in the Chief Marketing Office (CMO).
 This is a high\-visibility role, owning the end\-to\-end success of our CFC engagement platform supporting pharmaceutical field representatives (CFCs) globally, across all brands representing the needs for Commercial Sales, KAM and Medical user groups. Over the next 5 years Pfizer will be re\-platforming our current CRM technology.
 The role is expected to leverage the product operating model to identify technology enhancement opportunities that enable Pfizer’s business objectives and improve the CFC experience. They will collaborate with a diverse group of stakeholders to understand business needs to evaluate and prioritize opportunities that contribute to the CFC product roadmap. They will partner closely with our effectiveness and digital technology teams and ultimately own the end\-to\-end success of planning, building, deploying and measuring solutions.
**Role Responsibilities**
* Define and continuously evolve a multi\-year engagement roadmap for CFC technology enhancements, balancing strategic vision with operational feasibility.
* Build and sustain strong partnerships with commercial and technology teams to align on strategic objectives, influence technology direction, and ensure shared accountability for outcomes.
* Serve as the voice of the business by deeply comprehending the CFC experience; oversee the creation and refinement of user personas, user stories, and journey maps to inform product strategy and design.
* Oversee agile ceremonies and governance to ensure backlog prioritization reflects strategic goals; guide cross\-functional teams through iterative delivery cycles to accelerate time\-to\-value.
* Partner closely with UX/Design, Engineering, and Operations to drive end\-to\-end delivery of new capabilities—from ideation through deployment—ensuring seamless execution and measurable impact.
* Performance Measurement \&amp; Optimization: Establish and maintain robust metrics to evaluate the business impact of enhancements; use insights to inform future investment decisions and continuous improvement.
* Promote a strong product mindset across teams; reinforce best practices, roles, and responsibilities to foster a high\-performing, customer\-centric culture.
* Ensure consistent and transparent communication of product strategy, progress, and outcomes across all levels of the organization.
* Financial Stewardship: Manage and track the team’s budget
* Maintain knowledge of Life Sciences CFC CRM\-related offerings, drive build/buy decisions and partner to evaluate technology. Manage relationships with vendors to ensure their technologies evolve with Pfizer’s needs.
* Operate with a mindset of standardization, consolidation and global scalability across the CFC technology tooling universe.
* Support privacy, digital, legal, regulatory and compliance teams in setting and deploying data standards, policies and procedures.
**Basic Qualifications**
* BA Required; MBA or equivalent Master’s\-level education preferred.
* 8\+ years of extensive experience in Product management, product owner or other related product roles.
* Extensive experience in the Life Sciences industry in areas closely related to SFA/CRM tooling, ideally working for/ closely with a top 10 pharma company.
* Comprehension of product philosophies, team structure, roles and responsibilities.
* Experienced with agile ways of working and all stages of the product development lifecycle from idea to delivery.
* Experience evaluating product decisions strategically and making prioritization tradeoffs, leveraging large datasets to make data driven product decisions while collaborating with multiple stakeholders and cross functional teams.
* Experience in leading complex, large scale business projects and initiatives, identifying risks and removing roadblocks to enable teams to achieve successful delivery.
* Excellent stakeholder management skills and working in a matrixed environment.
* Self\-motivated with demonstrated ability to execute with speed and high quality.
* Demonstrated business acumen strong analytical skills and mindset.
* Role model for the PFE values (Courage, Excellence, Equity, Joy)
* Strong communication, writing, presentation and influencing skills.
* Ability to thrive under pressure, take accountability and to meet deadlines.
* Discretion and trustworthiness in dealing with confidential information.
* Flexibility to work across global time zones.
**Preferred Qualifications**
* Experience working at a top 20 pharmaceutical company in areas related to commercial/sales/field technology.
* Worked at an organization while they’ve transformed to the product operating model.
* Experience with Salesforce, Veeva and other life sciences technologies.
* Experience with artificial intelligence (AI) solutions.
* Experience with the Key Account Management (KAM) selling process.
* Experience with targeting and segmentation solutions.
* Was once a pharmaceutical sales rep.
* Broad knowledge of the pharmaceutical industry and healthcare environment.
* Experienced with healthcare data landscape at scale.
**OTHER JOB DETAILS:**
* Last Day to Apply: January 27, 2026
* Work Location Assignment: Hybrid, 2\-3 days onsite/week, US Commercial Pfizer site required (per Pfizer’s Log in for Your Day Policy).
 \#CFC \#CRM \#ProductManagement \#SalesForceAutomation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Continuous Imprv and Proj Mgmt</t>
        </is>
      </c>
    </row>
    <row r="6">
      <c r="A6" t="inlineStr">
        <is>
          <t>li-4361597068</t>
        </is>
      </c>
      <c r="B6" t="inlineStr">
        <is>
          <t>CFC Product Owner, CFC Product Team</t>
        </is>
      </c>
      <c r="C6" t="inlineStr">
        <is>
          <t>Pfizer</t>
        </is>
      </c>
      <c r="D6" t="inlineStr">
        <is>
          <t>linkedin</t>
        </is>
      </c>
      <c r="E6" t="inlineStr"/>
      <c r="F6" t="inlineStr"/>
      <c r="G6" t="inlineStr">
        <is>
          <t>La Jolla, CA</t>
        </is>
      </c>
      <c r="H6" t="inlineStr"/>
      <c r="I6" t="inlineStr">
        <is>
          <t>**Role Summary**
 The CFC (Client\-Facing Colleagues) Product Owner is a new role within the CFC Product team directly reporting to the CFC Business Product Lead within the Global Excellence \&amp; Enablement organization in the Chief Marketing Office (CMO).
 This is a high\-visibility role, owning the end\-to\-end success of our CFC engagement platform supporting pharmaceutical field representatives (CFCs) globally, across all brands representing the needs for Commercial Sales, KAM and Medical user groups. Over the next 5 years Pfizer will be re\-platforming our current CRM technology.
 The role is expected to leverage the product operating model to identify technology enhancement opportunities that enable Pfizer’s business objectives and improve the CFC experience. They will collaborate with a diverse group of stakeholders to understand business needs to evaluate and prioritize opportunities that contribute to the CFC product roadmap. They will partner closely with our effectiveness and digital technology teams and ultimately own the end\-to\-end success of planning, building, deploying and measuring solutions.
**Role Responsibilities**
* Define and continuously evolve a multi\-year engagement roadmap for CFC technology enhancements, balancing strategic vision with operational feasibility.
* Build and sustain strong partnerships with commercial and technology teams to align on strategic objectives, influence technology direction, and ensure shared accountability for outcomes.
* Serve as the voice of the business by deeply comprehending the CFC experience; oversee the creation and refinement of user personas, user stories, and journey maps to inform product strategy and design.
* Oversee agile ceremonies and governance to ensure backlog prioritization reflects strategic goals; guide cross\-functional teams through iterative delivery cycles to accelerate time\-to\-value.
* Partner closely with UX/Design, Engineering, and Operations to drive end\-to\-end delivery of new capabilities—from ideation through deployment—ensuring seamless execution and measurable impact.
* Performance Measurement \&amp; Optimization: Establish and maintain robust metrics to evaluate the business impact of enhancements; use insights to inform future investment decisions and continuous improvement.
* Promote a strong product mindset across teams; reinforce best practices, roles, and responsibilities to foster a high\-performing, customer\-centric culture.
* Ensure consistent and transparent communication of product strategy, progress, and outcomes across all levels of the organization.
* Financial Stewardship: Manage and track the team’s budget
* Maintain knowledge of Life Sciences CFC CRM\-related offerings, drive build/buy decisions and partner to evaluate technology. Manage relationships with vendors to ensure their technologies evolve with Pfizer’s needs.
* Operate with a mindset of standardization, consolidation and global scalability across the CFC technology tooling universe.
* Support privacy, digital, legal, regulatory and compliance teams in setting and deploying data standards, policies and procedures.
**Basic Qualifications**
* BA Required; MBA or equivalent Master’s\-level education preferred.
* 8\+ years of extensive experience in Product management, product owner or other related product roles.
* Extensive experience in the Life Sciences industry in areas closely related to SFA/CRM tooling, ideally working for/ closely with a top 10 pharma company.
* Comprehension of product philosophies, team structure, roles and responsibilities.
* Experienced with agile ways of working and all stages of the product development lifecycle from idea to delivery.
* Experience evaluating product decisions strategically and making prioritization tradeoffs, leveraging large datasets to make data driven product decisions while collaborating with multiple stakeholders and cross functional teams.
* Experience in leading complex, large scale business projects and initiatives, identifying risks and removing roadblocks to enable teams to achieve successful delivery.
* Excellent stakeholder management skills and working in a matrixed environment.
* Self\-motivated with demonstrated ability to execute with speed and high quality.
* Demonstrated business acumen strong analytical skills and mindset.
* Role model for the PFE values (Courage, Excellence, Equity, Joy)
* Strong communication, writing, presentation and influencing skills.
* Ability to thrive under pressure, take accountability and to meet deadlines.
* Discretion and trustworthiness in dealing with confidential information.
* Flexibility to work across global time zones.
**Preferred Qualifications**
* Experience working at a top 20 pharmaceutical company in areas related to commercial/sales/field technology.
* Worked at an organization while they’ve transformed to the product operating model.
* Experience with Salesforce, Veeva and other life sciences technologies.
* Experience with artificial intelligence (AI) solutions.
* Experience with the Key Account Management (KAM) selling process.
* Experience with targeting and segmentation solutions.
* Was once a pharmaceutical sales rep.
* Broad knowledge of the pharmaceutical industry and healthcare environment.
* Experienced with healthcare data landscape at scale.
**OTHER JOB DETAILS:**
* Last Day to Apply: January 27, 2026
* Work Location Assignment: Hybrid, 2\-3 days onsite/week, US Commercial Pfizer site required (per Pfizer’s Log in for Your Day Policy).
 \#CFC \#CRM \#ProductManagement \#SalesForceAutomation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Continuous Imprv and Proj Mgmt</t>
        </is>
      </c>
    </row>
    <row r="7">
      <c r="A7" t="inlineStr">
        <is>
          <t>li-4361615677</t>
        </is>
      </c>
      <c r="B7" t="inlineStr">
        <is>
          <t>CFC Product Owner, CFC Product Team</t>
        </is>
      </c>
      <c r="C7" t="inlineStr">
        <is>
          <t>Pfizer</t>
        </is>
      </c>
      <c r="D7" t="inlineStr">
        <is>
          <t>linkedin</t>
        </is>
      </c>
      <c r="E7" t="inlineStr"/>
      <c r="F7" t="inlineStr"/>
      <c r="G7" t="inlineStr">
        <is>
          <t>South San Francisco, CA</t>
        </is>
      </c>
      <c r="H7" t="inlineStr"/>
      <c r="I7" t="inlineStr">
        <is>
          <t>**Role Summary**
 The CFC (Client\-Facing Colleagues) Product Owner is a new role within the CFC Product team directly reporting to the CFC Business Product Lead within the Global Excellence \&amp; Enablement organization in the Chief Marketing Office (CMO).
 This is a high\-visibility role, owning the end\-to\-end success of our CFC engagement platform supporting pharmaceutical field representatives (CFCs) globally, across all brands representing the needs for Commercial Sales, KAM and Medical user groups. Over the next 5 years Pfizer will be re\-platforming our current CRM technology.
 The role is expected to leverage the product operating model to identify technology enhancement opportunities that enable Pfizer’s business objectives and improve the CFC experience. They will collaborate with a diverse group of stakeholders to understand business needs to evaluate and prioritize opportunities that contribute to the CFC product roadmap. They will partner closely with our effectiveness and digital technology teams and ultimately own the end\-to\-end success of planning, building, deploying and measuring solutions.
**Role Responsibilities**
* Define and continuously evolve a multi\-year engagement roadmap for CFC technology enhancements, balancing strategic vision with operational feasibility.
* Build and sustain strong partnerships with commercial and technology teams to align on strategic objectives, influence technology direction, and ensure shared accountability for outcomes.
* Serve as the voice of the business by deeply comprehending the CFC experience; oversee the creation and refinement of user personas, user stories, and journey maps to inform product strategy and design.
* Oversee agile ceremonies and governance to ensure backlog prioritization reflects strategic goals; guide cross\-functional teams through iterative delivery cycles to accelerate time\-to\-value.
* Partner closely with UX/Design, Engineering, and Operations to drive end\-to\-end delivery of new capabilities—from ideation through deployment—ensuring seamless execution and measurable impact.
* Performance Measurement \&amp; Optimization: Establish and maintain robust metrics to evaluate the business impact of enhancements; use insights to inform future investment decisions and continuous improvement.
* Promote a strong product mindset across teams; reinforce best practices, roles, and responsibilities to foster a high\-performing, customer\-centric culture.
* Ensure consistent and transparent communication of product strategy, progress, and outcomes across all levels of the organization.
* Financial Stewardship: Manage and track the team’s budget
* Maintain knowledge of Life Sciences CFC CRM\-related offerings, drive build/buy decisions and partner to evaluate technology. Manage relationships with vendors to ensure their technologies evolve with Pfizer’s needs.
* Operate with a mindset of standardization, consolidation and global scalability across the CFC technology tooling universe.
* Support privacy, digital, legal, regulatory and compliance teams in setting and deploying data standards, policies and procedures.
**Basic Qualifications**
* BA Required; MBA or equivalent Master’s\-level education preferred.
* 8\+ years of extensive experience in Product management, product owner or other related product roles.
* Extensive experience in the Life Sciences industry in areas closely related to SFA/CRM tooling, ideally working for/ closely with a top 10 pharma company.
* Comprehension of product philosophies, team structure, roles and responsibilities.
* Experienced with agile ways of working and all stages of the product development lifecycle from idea to delivery.
* Experience evaluating product decisions strategically and making prioritization tradeoffs, leveraging large datasets to make data driven product decisions while collaborating with multiple stakeholders and cross functional teams.
* Experience in leading complex, large scale business projects and initiatives, identifying risks and removing roadblocks to enable teams to achieve successful delivery.
* Excellent stakeholder management skills and working in a matrixed environment.
* Self\-motivated with demonstrated ability to execute with speed and high quality.
* Demonstrated business acumen strong analytical skills and mindset.
* Role model for the PFE values (Courage, Excellence, Equity, Joy)
* Strong communication, writing, presentation and influencing skills.
* Ability to thrive under pressure, take accountability and to meet deadlines.
* Discretion and trustworthiness in dealing with confidential information.
* Flexibility to work across global time zones.
**Preferred Qualifications**
* Experience working at a top 20 pharmaceutical company in areas related to commercial/sales/field technology.
* Worked at an organization while they’ve transformed to the product operating model.
* Experience with Salesforce, Veeva and other life sciences technologies.
* Experience with artificial intelligence (AI) solutions.
* Experience with the Key Account Management (KAM) selling process.
* Experience with targeting and segmentation solutions.
* Was once a pharmaceutical sales rep.
* Broad knowledge of the pharmaceutical industry and healthcare environment.
* Experienced with healthcare data landscape at scale.
**OTHER JOB DETAILS:**
* Last Day to Apply: January 27, 2026
* Work Location Assignment: Hybrid, 2\-3 days onsite/week, US Commercial Pfizer site required (per Pfizer’s Log in for Your Day Policy).
 \#CFC \#CRM \#ProductManagement \#SalesForceAutomation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Continuous Imprv and Proj Mgmt</t>
        </is>
      </c>
    </row>
    <row r="8">
      <c r="A8" t="inlineStr">
        <is>
          <t>li-4321542527</t>
        </is>
      </c>
      <c r="B8" t="inlineStr">
        <is>
          <t>Product Manager – Ads Platform (Creative)</t>
        </is>
      </c>
      <c r="C8" t="inlineStr">
        <is>
          <t>TikTok</t>
        </is>
      </c>
      <c r="D8" t="inlineStr">
        <is>
          <t>linkedin</t>
        </is>
      </c>
      <c r="E8" t="inlineStr"/>
      <c r="F8" t="inlineStr"/>
      <c r="G8" t="inlineStr">
        <is>
          <t>San Jose, CA</t>
        </is>
      </c>
      <c r="H8" t="inlineStr"/>
      <c r="I8" t="inlineStr">
        <is>
          <t>**Responsibilities**
 The Ads Platform team is responsible for the business\-facing solutions within TikTok for Business ecosystem. Our mission is Empower clients to excel on TikTok by offering comprehensive, easily accessible insights and tools. As the window of TikTok's business services, we build tools and solutions to enable and inspire clients effortlessly connecting with audiences and maximizing brand potential.
 We’re hiring a Product Manager to join the Creative Platform team within TikTok Ads. This role focuses on building scalable, intuitive creative tools to improve the volume and quality of ad creatives across performance\-driven verticals such as Commerce, Gaming, and App Ads.
 You’ll help shape core advertiser experiences, working closely with XFN teams to deliver high\-impact product solutions that enable advertisers to produce more effective creatives, faster.
 Responsibilities:
 \-Own the strategy and roadmap for creative experiences in TikTok Ads Manager, with a focus on scaling creative supply and improving creative effectiveness.
 \-Collaborate with Engineering, Design, Data Science, and business teams to build end\-to\-end ad creation workflows that balance platform consistency with vertical\-specific needs.
 \-Abstract diverse advertiser requirements into clear product goals, ensuring scalability and operational efficiency.
 \-Use data, user feedback, and market insights to prioritize features and guide product iterations.
 \-Define and track key metrics such as creation volume, success rate, and engagement lift, driving measurable improvements in creative outcomes.
 \-Partner with internal platform and infra teams to ensure product foundations are extensible and future\-proof.
**Qualifications**
 Minimum Qualifications:
 \-BA/BS degree in a technical, business, or related field.
 \-3–5 years of product management experience, with proven success of external products.
 \-Strong analytical and problem\-solving skills, with the ability to define metrics and use data to inform decisions.
 \-Experience collaborating cross\-functionally and leading execution across complex stakeholder environments.
 \-Familiarity with the online advertising ecosystem, particularly ad creation and performance optimization.
 \-Excellent communication skills and comfort working in fast\-paced, high\-ambiguity environments.
 Preferred Qualifications:
 \-Experience building creative tools or working on advertiser\-facing interfaces.
 \-Exposure to performance ad formats such as shopping, app install, or lead gen.
 \-Background in creative automation or infra\-scale product work.
 \- Fluency in both English and Mandarin required: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
      <c r="A9" t="inlineStr">
        <is>
          <t>li-4347801784</t>
        </is>
      </c>
      <c r="B9" t="inlineStr">
        <is>
          <t>Product Manager</t>
        </is>
      </c>
      <c r="C9" t="inlineStr">
        <is>
          <t>UST</t>
        </is>
      </c>
      <c r="D9" t="inlineStr">
        <is>
          <t>linkedin</t>
        </is>
      </c>
      <c r="E9" t="inlineStr"/>
      <c r="F9" t="inlineStr"/>
      <c r="G9" t="inlineStr">
        <is>
          <t>San Jose, CA</t>
        </is>
      </c>
      <c r="H9" t="inlineStr"/>
      <c r="I9" t="inlineStr">
        <is>
          <t>**Role Description**
**Product Manager**
**Project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The Product Manager is responsible for defining product vision, strategy, and roadmap, and working cross\-functionally to bring successful products to market. This role combines customer insight, business acumen, and technical understanding to deliver products that drive value and support company goals.
**The Opportunity**
* Product Strategy \&amp; Vision
* Develop and communicate the product vision, strategy, and roadmap.
* Conduct market, competitive, and industry research to identify opportunities.
* Define product success metrics and track performance.
* Customer \&amp; Market Insights
* Gather customer feedback through interviews, surveys, and usage data.
* Identify customer pain points and translate them into product requirements.
* Validate ideas through experiments, prototypes, and research.
* Roadmap \&amp; Prioritization
* Manage and prioritize the product backlog.
* Define product requirements, user stories, and acceptance criteria.
* Balance customer needs, business goals, and technical constraints.
* Cross\-Functional Collaboration
* Work closely with engineering, design, marketing, sales, and support teams.
* Lead product planning, sprint planning, and release activities.
* Ensure alignment across teams and stakeholders.
 This position description identifies the responsibilities and tasks typically associated with the performance of the position. Other relevant essential functions may be required.
**What You Need**
* Bachelor's degree in Business, Computer Science, Engineering, or related field (or equivalent experience).
* 3–7 years of experience in product management or related roles.
* Strong understanding of product development processes (Agile/Scrum preferred).
* Demonstrated ability to translate customer needs into product requirements.
* Excellent communication, collaboration, and stakeholder\-management skills.
* Experience working with engineering and design teams.
* Analytical mindset with experience using product analytics tools.
* Strong problem\-solving and prioritization skills.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California**
**Compensation Range** 
 : $88,000\-$132,000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Product Management,Saas,Data Visualization</t>
        </is>
      </c>
    </row>
    <row r="10">
      <c r="A10" t="inlineStr">
        <is>
          <t>li-4321412669</t>
        </is>
      </c>
      <c r="B10" t="inlineStr">
        <is>
          <t>EverHealth - Product Manager: Document Management</t>
        </is>
      </c>
      <c r="C10" t="inlineStr">
        <is>
          <t>RemoteHunter</t>
        </is>
      </c>
      <c r="D10" t="inlineStr">
        <is>
          <t>linkedin</t>
        </is>
      </c>
      <c r="E10" t="inlineStr"/>
      <c r="F10" t="inlineStr"/>
      <c r="G10" t="inlineStr"/>
      <c r="H10" t="inlineStr"/>
      <c r="I10" t="inlineStr">
        <is>
          <t>About the Opportunity:
 Medical practices spend significant uncompensated time managing inbound and outbound documents—reviewing faxes, filing records, routing tasks, and coordinating approvals. This work is essential, fragmented, and largely manual.
 As the Product Manager overseeing Document Management functions, you are responsible for improving how practices ingest, understand, route, and act on documents, reducing unnecessary human steps and cognitive load. Your work supports the organization’s goal of reducing uncompensated time around a visit, currently estimated at about eight minutes per visit.
 This is an individual contributor role with end\-to\-end ownership of the document management product area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Collaborate with design and engineering to deliver solutions that reduce manual document handling; translate requirements into user stories and work within an Agile environment.
 • Apply automation and AI to classify and summarize documents, file them correctly, and trigger downstream workflows such as tasking, routing, and provider sign\-off.
 • Ensure solutions are scalable and extensible across products. Define clear success metrics and be accountable for results.
 Requirements:
 • Five or more years of product management experience.
 • Proven ability to own complex, workflow\-driven product areas and deliver measurable outcomes.
 • Strong product discovery skills and comfort operating in ambiguity.
 • Experience with healthcare workflows or EHRs preferred.
 • Track record of shipping practical solutions adopted by teams and customers.
 • Basic foundational knowledge of AI and LLMs preferred.
 Benefits \&amp; Perks:
 • Flexibility to work in\-office, remote, or hybrid within the country of employment
 • Robust health and wellness benefits, including an annual wellness stipend
 • Professional development investment through Udemy
 • 401k or RRSP with company match
 • Flexible and generous paid time off
 • Employee Stock Purchase Program
 Compensation:
 • The annual base salary range for this position is $110,000 to $125,000 USD per year.
 • Salary range is a general guideline combining distinct labor markets within the US.
 • Compensation decisions consider position scope, candidate experience, location, education, skills, internal equity, market data, and business considerations.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
      <c r="A11" t="inlineStr">
        <is>
          <t>li-4321328976</t>
        </is>
      </c>
      <c r="B11" t="inlineStr">
        <is>
          <t>Sr Product Manager</t>
        </is>
      </c>
      <c r="C11" t="inlineStr">
        <is>
          <t>RemoteHunter</t>
        </is>
      </c>
      <c r="D11" t="inlineStr">
        <is>
          <t>linkedin</t>
        </is>
      </c>
      <c r="E11" t="inlineStr"/>
      <c r="F11" t="inlineStr"/>
      <c r="G11" t="inlineStr"/>
      <c r="H11" t="inlineStr"/>
      <c r="I11" t="inlineStr">
        <is>
          <t>About the Opportunity:
 A rapidly growing SaaS company is transforming how Durable Medical Equipment (DME) and Home Medical Equipment (HME) providers operate through an all\-in\-one platform that streamlines business operations. The Sr Product Manager will lead and expand the product team, driving product vision, roadmap, and execution to support clients’ goals and maintain the platform’s market leadership.
 Responsibilities:
 • Develop and own the product vision and roadmap aligned with business goals and customer needs
 • Collaborate with internal teams to deliver products on time and within scope
 • Identify opportunities to improve and expand the platform using market research, customer feedback, and emerging technologies
 • Assess and prioritize product initiatives based on market demand, customer feedback, and ROI
 • Communicate the vision and roadmap to internal teams, customers, and executives
 • Define and track key performance indicators (KPIs) to evaluate product success
 • Partner with Customer Success and Sales teams to understand user pain points and refine the product
 • Develop processes and frameworks to support efficient product development and delivery in a fast\-paced environment
 Requirements:
 • 5\+ years of product development experience with at least 3 years in a leadership role in a SaaS environment
 • Solid understanding of AI/ML tools, frameworks, and practical applications
 • Ability to interpret complex data and translate it into actionable product insights
 • Proven ability to bring new products and features to market with measurable business outcomes
 • Experience engaging with stakeholders at all levels and clearly articulating product vision
 • Deep knowledge of Agile and iterative development processes
 • Proficiency with product tools such as Jira and Confluence
 • Strong focus on understanding customer needs and delivering exceptional user experiences
 Bonus Points:
 Experience working with SaaS solutions in the healthcare industry
 Benefits \&amp; Perks:
 • Fully remote role
 • Must be based in the U.S. or Canada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li-4361615676</t>
        </is>
      </c>
      <c r="B12" t="inlineStr">
        <is>
          <t>CFC Product Owner, CFC Product Team</t>
        </is>
      </c>
      <c r="C12" t="inlineStr">
        <is>
          <t>Pfizer</t>
        </is>
      </c>
      <c r="D12" t="inlineStr">
        <is>
          <t>linkedin</t>
        </is>
      </c>
      <c r="E12" t="inlineStr"/>
      <c r="F12" t="inlineStr"/>
      <c r="G12" t="inlineStr">
        <is>
          <t>Lake Forest, IL</t>
        </is>
      </c>
      <c r="H12" t="inlineStr"/>
      <c r="I12" t="inlineStr">
        <is>
          <t>**Role Summary**
 The CFC (Client\-Facing Colleagues) Product Owner is a new role within the CFC Product team directly reporting to the CFC Business Product Lead within the Global Excellence \&amp; Enablement organization in the Chief Marketing Office (CMO).
 This is a high\-visibility role, owning the end\-to\-end success of our CFC engagement platform supporting pharmaceutical field representatives (CFCs) globally, across all brands representing the needs for Commercial Sales, KAM and Medical user groups. Over the next 5 years Pfizer will be re\-platforming our current CRM technology.
 The role is expected to leverage the product operating model to identify technology enhancement opportunities that enable Pfizer’s business objectives and improve the CFC experience. They will collaborate with a diverse group of stakeholders to understand business needs to evaluate and prioritize opportunities that contribute to the CFC product roadmap. They will partner closely with our effectiveness and digital technology teams and ultimately own the end\-to\-end success of planning, building, deploying and measuring solutions.
**Role Responsibilities**
* Define and continuously evolve a multi\-year engagement roadmap for CFC technology enhancements, balancing strategic vision with operational feasibility.
* Build and sustain strong partnerships with commercial and technology teams to align on strategic objectives, influence technology direction, and ensure shared accountability for outcomes.
* Serve as the voice of the business by deeply comprehending the CFC experience; oversee the creation and refinement of user personas, user stories, and journey maps to inform product strategy and design.
* Oversee agile ceremonies and governance to ensure backlog prioritization reflects strategic goals; guide cross\-functional teams through iterative delivery cycles to accelerate time\-to\-value.
* Partner closely with UX/Design, Engineering, and Operations to drive end\-to\-end delivery of new capabilities—from ideation through deployment—ensuring seamless execution and measurable impact.
* Performance Measurement \&amp; Optimization: Establish and maintain robust metrics to evaluate the business impact of enhancements; use insights to inform future investment decisions and continuous improvement.
* Promote a strong product mindset across teams; reinforce best practices, roles, and responsibilities to foster a high\-performing, customer\-centric culture.
* Ensure consistent and transparent communication of product strategy, progress, and outcomes across all levels of the organization.
* Financial Stewardship: Manage and track the team’s budget
* Maintain knowledge of Life Sciences CFC CRM\-related offerings, drive build/buy decisions and partner to evaluate technology. Manage relationships with vendors to ensure their technologies evolve with Pfizer’s needs.
* Operate with a mindset of standardization, consolidation and global scalability across the CFC technology tooling universe.
* Support privacy, digital, legal, regulatory and compliance teams in setting and deploying data standards, policies and procedures.
**Basic Qualifications**
* BA Required; MBA or equivalent Master’s\-level education preferred.
* 8\+ years of extensive experience in Product management, product owner or other related product roles.
* Extensive experience in the Life Sciences industry in areas closely related to SFA/CRM tooling, ideally working for/ closely with a top 10 pharma company.
* Comprehension of product philosophies, team structure, roles and responsibilities.
* Experienced with agile ways of working and all stages of the product development lifecycle from idea to delivery.
* Experience evaluating product decisions strategically and making prioritization tradeoffs, leveraging large datasets to make data driven product decisions while collaborating with multiple stakeholders and cross functional teams.
* Experience in leading complex, large scale business projects and initiatives, identifying risks and removing roadblocks to enable teams to achieve successful delivery.
* Excellent stakeholder management skills and working in a matrixed environment.
* Self\-motivated with demonstrated ability to execute with speed and high quality.
* Demonstrated business acumen strong analytical skills and mindset.
* Role model for the PFE values (Courage, Excellence, Equity, Joy)
* Strong communication, writing, presentation and influencing skills.
* Ability to thrive under pressure, take accountability and to meet deadlines.
* Discretion and trustworthiness in dealing with confidential information.
* Flexibility to work across global time zones.
**Preferred Qualifications**
* Experience working at a top 20 pharmaceutical company in areas related to commercial/sales/field technology.
* Worked at an organization while they’ve transformed to the product operating model.
* Experience with Salesforce, Veeva and other life sciences technologies.
* Experience with artificial intelligence (AI) solutions.
* Experience with the Key Account Management (KAM) selling process.
* Experience with targeting and segmentation solutions.
* Was once a pharmaceutical sales rep.
* Broad knowledge of the pharmaceutical industry and healthcare environment.
* Experienced with healthcare data landscape at scale.
**OTHER JOB DETAILS:**
* Last Day to Apply: January 27, 2026
* Work Location Assignment: Hybrid, 2\-3 days onsite/week, US Commercial Pfizer site required (per Pfizer’s Log in for Your Day Policy).
 \#CFC \#CRM \#ProductManagement \#SalesForceAutomation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Continuous Imprv and Proj Mgmt</t>
        </is>
      </c>
    </row>
    <row r="13">
      <c r="A13" t="inlineStr">
        <is>
          <t>li-4350869693</t>
        </is>
      </c>
      <c r="B13" t="inlineStr">
        <is>
          <t>Product Manager</t>
        </is>
      </c>
      <c r="C13" t="inlineStr">
        <is>
          <t>UST</t>
        </is>
      </c>
      <c r="D13" t="inlineStr">
        <is>
          <t>linkedin</t>
        </is>
      </c>
      <c r="E13" t="inlineStr"/>
      <c r="F13" t="inlineStr"/>
      <c r="G13" t="inlineStr">
        <is>
          <t>San Jose, CA</t>
        </is>
      </c>
      <c r="H13" t="inlineStr"/>
      <c r="I13" t="inlineStr">
        <is>
          <t>**Role Description**
**Product Manager**
**Product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looking for a passionate Product Manager who is obsessed with details, well\-versed in solving problems, and skilled at business information systems.
**The Opportunity**
* Hybrid: In office/remote
* Democratize data and insights as you strive to deliver self\-service tools to your partners and enable them to make better, quicker decisions
* Contribute to product strategy and vision for Enterprise Data \&amp; Analytics (EDA) team and build working relationships with partners to understand their data analytics needs and priorities, clarify objectives and clearly communicate plans.
* Review customer business/analytic needs and transform them into clearly defined product requirements, features, and enhancements.
* Prioritize and oversee end\-to\-end delivery of solutions that integrate batched and streaming data sources.
* Leverage Customer’s strategic data assets to deliver trusted insights that drive business outcomes, promoting our data driven decision\-making culture
 This position description identifies the responsibilities and tasks typically associated with the performance of the position. Other relevant essential functions may be required.
**What You Need**
* Bachelor's Degree or 5 years of equivalent practical experience
* Strong proficiency in SQL/SparkSQL/Python to query and manipulate large data sets.
* Experience with platforms like Databricks, Power BI and Tableau.
* You are a self\-starter, independent, hard worker, with a high degree of motivation to go above and beyond the task at hand. You anticipate and creatively implement next steps in a complex environment
* You have mastered the ability to influence outcomes, navigate, mediate to consensus with integrity. You possess great interpersonal communication, presentation skills, and social skills and a solid sense of humor.
* Data requirement writing skills: collecting, prioritizing, and gathering input from multiple sources, providing accurate requirements with attention to detail
* You already know or can rapidly learn enterprise application capabilities in order to deliver transaction and event\-driven data solutions (examples: SAP, MS Dynamics, Customer’s
* Experience Platform and similar marketing tools, ADLS/Hadoop/Databricks,Kafka streams)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California**
**Compensation Range** 
 : $96,000\-$144,000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product management,sql,python,databricks,</t>
        </is>
      </c>
    </row>
    <row r="14">
      <c r="A14" t="inlineStr">
        <is>
          <t>li-4353502158</t>
        </is>
      </c>
      <c r="B14" t="inlineStr">
        <is>
          <t>FinX Product Manager</t>
        </is>
      </c>
      <c r="C14" t="inlineStr">
        <is>
          <t>UST</t>
        </is>
      </c>
      <c r="D14" t="inlineStr">
        <is>
          <t>linkedin</t>
        </is>
      </c>
      <c r="E14" t="inlineStr"/>
      <c r="F14" t="inlineStr"/>
      <c r="G14" t="inlineStr">
        <is>
          <t>Boston, MA</t>
        </is>
      </c>
      <c r="H14" t="inlineStr"/>
      <c r="I14" t="inlineStr">
        <is>
          <t>**Role Description**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https://ust.com.
 UST founded UST FinX in 2025 to liberate mid\-tier financial institutions from the burdens of legacy technology with the least amount of pain, investing in a strong team to bring to market the first fully managed composable best\-of\-breed cloud native banking platform. The Fintech model for the mid\-tier banks is broken, great individual solutions, but costs and risks associated with a composable, non\-integrated eco\-system are too high. UST FinX was founded to solve this by taking on the risk and burden of owning the entire stack and be the single point of contact for our clients.
**You Are**
 A highly experienced Core Banking Subject Matter Expert (SME)/Product Manager with deep expertise in legacy core banking systems such as Jack Henry, FIS, or Fiserv and a strong background in product management, combined with leadership or operational experience within the U.S. community banking and credit union market. This role will play a critical part in guiding a product platform build, modernization strategies, and driving product innovation.
**The Opportunity**
* Serve as a subject matter expert for legacy core banking platforms (Jack Henry, FIS, Fiserv).
* Collaborate with cross\-functional teams to define product roadmaps, requirements, and implementation strategies.
* Provide thought leadership and advisory support on industry best practices, regulatory compliance, and operational efficiency.
* Engage with internal and client stakeholders to understand business needs and translate them into technical and product solutions.
* Mentor and guide teams on core banking processes, system integrations, and operational workflows.
* Support client strategic initiatives to modernize and optimize core banking systems for community banks and credit unions.
* Represent the organization in client meetings, industry forums, and vendor discussions.
**You Will Need**
* At least 12 years of experience in core banking systems, with hands\-on expertise in Jack Henry, FIS, or Fiserv platforms.
* Proven track record in product management, including roadmap development and lifecycle management.
* Strong leadership or operational experience within community banking or credit union environments.
* In\-depth understanding of U.S. banking regulations, compliance standards, and industry trends, digital banking, product roadmaps, systems integration, API integration, customer journey mapping, competitive analysis/market research experience
* Excellent communication, stakeholder management, and problem\-solving skills.
**Bonus Points If You Have**
* Familiarity with API integrations and fintech partnerships.
* Strong analytical and strategic thinking capabilities.
*Compensation can differ depending on factors including but not limited to the specific office location, role, skill set, education, and level of experience. As required by local law, UST provides a reasonable range of compensation for roles that may be hired in California, Colorado, New York City, or Washington as set forth below.*
**Role Location:** 
 Remote (East Coast\-based preferred)
**Compensation Range:** 
 $116,000 to $174,000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belonging,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**Skills**
 core banking,jack henry,fis,fiserv,product management,regulatory compliance,digital banking,product roadmaps,system integration,api integration,fintech,customer journey mapping,competitive analysis,market research</t>
        </is>
      </c>
    </row>
    <row r="15">
      <c r="A15" t="inlineStr">
        <is>
          <t>li-4321442920</t>
        </is>
      </c>
      <c r="B15" t="inlineStr">
        <is>
          <t>Senior Product Manager, Vertical Ads Platform - San Jose</t>
        </is>
      </c>
      <c r="C15" t="inlineStr">
        <is>
          <t>TikTok</t>
        </is>
      </c>
      <c r="D15" t="inlineStr">
        <is>
          <t>linkedin</t>
        </is>
      </c>
      <c r="E15" t="inlineStr"/>
      <c r="F15" t="inlineStr"/>
      <c r="G15" t="inlineStr">
        <is>
          <t>San Jose, CA</t>
        </is>
      </c>
      <c r="H15" t="inlineStr"/>
      <c r="I15" t="inlineStr">
        <is>
          <t>**Responsibilities**
 The Global Monetization Product and Technology\-Ads Interface and Platform\-Product team is seeking an experienced Product Manager to develop ads platform products that streamline the ad creation process and improve the overall user journey. This role will focus on enhancing the workflow within TikTok Ads Manager, specifically supporting both Commerce and Non\-Commerce performance ads verticals. You will work on optimizing the ads creation experience to meet the needs of advertisers within these verticals, driving performance and growth on the platform.
 The Commerce Platform team sits within the Global Monetization Product organization and is responsible for building advertising solutions tailored to Commerce advertisers. Our vision is to become the leading platform for Shop and Web commerce marketers to acquire users and deliver high\-quality products to shoppers. We aim to achieve this by developing advertiser\-facing experiences that address the unique needs of each commerce vertical.
 Responsibilities:
 \- Lead the development and optimization of features within TikTok Ads Manager, focusing on improving the ads creation workflow and user journey for Commerce or Non\-Commerce performance ads verticals.
 \- Recommend and prioritize innovative features to enhance the usability and performance of the platform, ensuring the ad creation experience is seamless and intuitive for these verticals.
 \- Collaborate with cross\-functional teams to identify challenges, define product strategies, and set objectives that align with the needs of Commerce or Non\-Commerce performance advertisers.
 \- Leverage customer feedback, user research, and data analytics to identify opportunities for growth and continuous improvement in the ad creation process.
 \- Stay up\-to\-date with ad tech trends and emerging technologies, applying this knowledge to keep TikTok at the forefront of advertising solutions.
 \- Track and analyze key product metrics to inform product decisions and drive iterative improvements to the ads platform.
**Qualifications**
 Minimum Qualifications:
 \- BA/BS degree.
 \- 5\+ years of experience as a Product Manager, managing full product cycles, integrating customer feedback, and driving prioritization.
 \- 2\-5\+ years of experience building and launching ad interfaces or platform products.
 \- Strong knowledge of the online advertising ecosystem, including ad creation, optimization, and bidding.
 \- Strong problem\-solving and analytical skills, with the ability to use data to guide product decisions and improve performance.
 \- Proven ability to collaborate cross\-functionally with engineering, design, data science, and other teams.
 \- Excellent communication skills, capable of articulating complex product concepts to both technical and non\-technical stakeholders.
 Preferred Qualifications:
 \- 5\+ years of experience as a PM, building and launching ad interface or platform products.
 \- An understanding of performance ads, particularly within Commerce or Non\-Commerce verticals such as shopping ads, lead generation, app ads and gaming.
 \- Experience in fast\-paced environments, particularly within startups or rapidly evolving industries.
 \- Proficient in English and Mandrian listening, speaking, reading and writing. Cross\-cultural working/studying experience is preferred. Both English and Mandrian skill sets will help you to evaluate case analysis and investigations.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6">
      <c r="A16" t="inlineStr">
        <is>
          <t>li-4321452839</t>
        </is>
      </c>
      <c r="B16" t="inlineStr">
        <is>
          <t>Monetization Product Manager (Payment Settlement)</t>
        </is>
      </c>
      <c r="C16" t="inlineStr">
        <is>
          <t>TikTok</t>
        </is>
      </c>
      <c r="D16" t="inlineStr">
        <is>
          <t>linkedin</t>
        </is>
      </c>
      <c r="E16" t="inlineStr"/>
      <c r="F16" t="inlineStr"/>
      <c r="G16" t="inlineStr">
        <is>
          <t>San Jose, CA</t>
        </is>
      </c>
      <c r="H16" t="inlineStr"/>
      <c r="I16" t="inlineStr">
        <is>
          <t>**Responsibilities**
 The influencer marketing team is dedicated to connecting brands with quality creators, providing clients with precise marketing and efficient conversion capabilities to enhance brand value and sales. We also offer native influencer and ad solutions, whether for ad placements or organic traffic, we maximize brand marketing effectiveness through intelligent ROI optimization and GMV growth techniques.
 We seamlessly integrate creativity, community, and commerce, with AI technology at the core, helping brands efficiently reach their target users and achieve sustainable growth. Our mission is to inspire creativity and drive growth. Our vision is to build a growth engine centered on creativity and driven by AI, ensuring that every content exploration brings measurable business value.
 Responsibilities:
 \- Responsible for the construction of global payment fund flow and the establishment of payment systems, coordinating whole\-link management of payments for advertisers and influencers, ensuring payment efficiency and User Experience, and guaranteeing the security, compliance, and efficiency of fund transfer;
 \- Deeply exploring the payment needs of B\-side advertisers and service providers, designing suitable payment solutions in combination with different market characteristics, including but not limited to models such as recharge, credit, and bank transfer, requiring familiarity with mainstream payment methods in each market and having monetization implementation experience;
 \- Proposing and promoting optimization plans around pain points in online payment, advertisers' usage experience, and conversion bottlenecks to increase the penetration of online payment usage and drive business growth;
 \- Integrating payment capabilities and strategies, covering core modules such as settlement, payment, and risk control, closely collaborating with compliance teams such as finance and taxation to build standardized payment processes and solutions that meet the business scenarios of influencers.
**Qualifications**
 Minimum Qualifications:
 \- Bachelor's degree or above, with 3 years or more of Product Manager experience; those with experience in global payment scenarios and advertiser/influencer service platforms are preferred.
 \- Proficient in payment business logic, familiar with the monetization applications of mainstream payment methods in various markets, able to independently design payment solutions and drive their implementation.
 \- Possess strong capabilities in requirements analysis, logical thinking, and solution implementation, able to clearly streamline complex business processes and balance User Experience with business objectives.
 Preferred Qualification:
 \- Proficient in English and Mandarin listening, speaking, reading and writing. Both English and Mandarin skill sets are required to support clients in APAC and to communicate with stakeholders.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7">
      <c r="A17" t="inlineStr">
        <is>
          <t>li-4321313041</t>
        </is>
      </c>
      <c r="B17" t="inlineStr">
        <is>
          <t>Senior Product Manager II - Growth</t>
        </is>
      </c>
      <c r="C17" t="inlineStr">
        <is>
          <t>RemoteHunter</t>
        </is>
      </c>
      <c r="D17" t="inlineStr">
        <is>
          <t>linkedin</t>
        </is>
      </c>
      <c r="E17" t="inlineStr"/>
      <c r="F17" t="inlineStr"/>
      <c r="G17" t="inlineStr"/>
      <c r="H17" t="inlineStr"/>
      <c r="I17"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li-4347720421</t>
        </is>
      </c>
      <c r="B18" t="inlineStr">
        <is>
          <t>Product Owner</t>
        </is>
      </c>
      <c r="C18" t="inlineStr">
        <is>
          <t>UST</t>
        </is>
      </c>
      <c r="D18" t="inlineStr">
        <is>
          <t>linkedin</t>
        </is>
      </c>
      <c r="E18" t="inlineStr"/>
      <c r="F18" t="inlineStr"/>
      <c r="G18" t="inlineStr">
        <is>
          <t>Bellevue, WA</t>
        </is>
      </c>
      <c r="H18" t="inlineStr"/>
      <c r="I18" t="inlineStr">
        <is>
          <t>**Role Description**
**Product Owner**
**Group Product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Product Owners who will work defining requirements, assisting with the overall product roadmap/vision, and driving value at the scrum team level.
**The Opportunity**
* Represents business Liaison between the Business (Product Manager, Leads) and the project team
* Leads the implementation partner relationship
* Leads business requirements
* Leads UAT phase, coordinates UAT approval,
* Leads Hypercare and Transition to Production
* Owns Icertis Software Product relationship and roadmap monitoring
* Collaborates with Product Manager (PdM):
* Business roadmap development and ICI user licensing Product SME and ICI Business Admin
 This position description identifies the responsibilities and tasks typically associated with the performance of the position. Other relevant essential functions may be required.
**What You Need**
* Experience: 10\+ years in relevant roles.
* Skills:
* Knowledge of Azure DevOps (ADO).
* Understanding of Retail domain.
* Experience with Icertis Software Product and roadmap monitoring.
* Ability to lead UAT, Hypercare, and transition to production.
* Strong collaboration skills with Product Managers, business leads, and Agile teams.
* Proficiency in backlog grooming, story acceptance, and release tracking.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 $116,000\-$174,000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**Skills**
 Business Solutions,Business Analysis,Product Management</t>
        </is>
      </c>
    </row>
    <row r="19">
      <c r="A19" t="inlineStr">
        <is>
          <t>li-4321472501</t>
        </is>
      </c>
      <c r="B19" t="inlineStr">
        <is>
          <t>Principal Product Manager - Groups</t>
        </is>
      </c>
      <c r="C19" t="inlineStr">
        <is>
          <t>RemoteHunter</t>
        </is>
      </c>
      <c r="D19" t="inlineStr">
        <is>
          <t>linkedin</t>
        </is>
      </c>
      <c r="E19" t="inlineStr"/>
      <c r="F19" t="inlineStr"/>
      <c r="G19" t="inlineStr"/>
      <c r="H19" t="inlineStr"/>
      <c r="I19" t="inlineStr">
        <is>
          <t>About the Opportunity:
 The organization is focused on improving access to quality care by providing health and wellness clinicians with tools to succeed in private practice. The role involves leading product discovery, validation, and incubation to support clinicians and practice owners, with an emphasis on developing new group practice offerings.
 Responsibilities:
 • Develop a strategic viewpoint on the marketplace including integrations and partnerships
 • Identify key integration and partnership opportunities in the behavioral health practice ecosystem to drive growth
 • Define build, buy, or partner framework for addressing product gaps and opportunities
 • Support M\&amp;A strategy by identifying potential acquisitions or strategic investments
 • Define and advocate for the needs and priorities of group practices as an internal subject matter expert
 • Conduct detailed market research using qualitative and quantitative insights to shape the product roadmap
 • Represent group practices’ needs across the Product Leadership Team
 • Ensure alignment and smooth processes to build scalable solutions for group practices
 • Collaborate with Product Marketing to plan and execute launch strategies for new group practice products
 • Partner with Customer Success to manage large accounts and conduct quarterly reviews
 • Use a data\-driven approach with prototypes, pilots, and customer feedback to validate products and reduce risk
 Requirements:
 • Proven experience leading product vision and driving new offerings from discovery through commercialization
 • Strong customer focus with ability to use quantitative and qualitative data to guide roadmap decisions
 • Understanding of market dynamics and ability to identify growth and differentiation opportunities
 • Data\-driven mindset comfortable with metrics and value demonstration
 • Experience with agile development methodologies
 • 10 or more years of product development experience
 • Exceptional communication and collaboration skills to motivate cross\-functional teams
 • Passionate product advocate with enthusiasm for creating remarkable customer experiences
 • SaaS industry experience is a plus
 Benefits \&amp; Perks:
 • Medical, dental, vision, life, and disability insurance
 • 401(k) plan with company match
 • Flexible Time Off, wellbeing days, paid holidays, and summer Fridays
 • Mental health resources
 • Paid parental leave and backup care
 • Tuition reimbursement
 • Employee Resource Groups
 Compensation:
 • Base salary range $215,000 to $235,000 annually
 • Eligibility for annual bonus or commission
 • Some roles may be eligible for overtime pay
 • Final pay considers factors including skills, experience, qualifications, and geographic location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li-4321432627</t>
        </is>
      </c>
      <c r="B20" t="inlineStr">
        <is>
          <t>Product Owner - Courts</t>
        </is>
      </c>
      <c r="C20" t="inlineStr">
        <is>
          <t>RemoteHunter</t>
        </is>
      </c>
      <c r="D20" t="inlineStr">
        <is>
          <t>linkedin</t>
        </is>
      </c>
      <c r="E20" t="inlineStr"/>
      <c r="F20" t="inlineStr"/>
      <c r="G20" t="inlineStr"/>
      <c r="H20" t="inlineStr"/>
      <c r="I20" t="inlineStr">
        <is>
          <t>About the Opportunity:
 This organization is a technology\-driven software application company providing enterprise management software solutions across private and semi\-private club, foodservices, construction, metal service centers, moving \&amp; storage, and attractions \&amp; leisure, fitness \&amp; sports industries. With multiple respected brands, it serves over 8000 customers in 15 countries and operates offices in Canada, the United States, the United Kingdom, and the Caribbean. The Product Owner \- Courts role involves managing internal projects within the Product team, overseeing product planning, quality assurance, and documentation around product releases. The position requires close collaboration with engineering, sales, marketing, and support to meet customer satisfaction and align product outcomes with the organization’s strategy. This role also acts as an industry consultant for private club staff on racquet and athletic software, reporting to the Head of Product and managing 1\-2 QA Analysts.
 Responsibilities:
 • Oversee product development from ideation to deployment
 • Ensure on\-time, on\-budget product launches that meet customer expectations
 • Conduct market research to understand customer needs and industry trends
 • Prioritize features aligned with strategic goals to focus the product roadmap
 • Collaborate with engineering, marketing, sales, and other teams for product launch and management
 • Participate actively in sprint planning meetings
 • Create Product Requirements Documents with prioritized features and justifications
 • Design wireframe mockups for enhancements and new product interfaces
 • Manage QA resources to meet user expectations and address bugs and product enhancements
 • Run beta and pilot programs, including client enlistment, training, and collaboration
 • Write internal and external product release notes and agreement language for new products
 • Continuously monitor and optimize products to maintain competitiveness and meet evolving needs
 • Represent the product at tradeshows, webinars, demos, and occasional client site visits
 Requirements:
 • 2\-5 years of experience as Product Owner, Manager, or Analyst
 • Familiarity with the private club industry
 • Strong communication skills to convey product vision, strategy, and progress; comfortable leading webinars
 • Ability to balance client and business needs effectively
 • Skilled at translating user and business requirements into detailed specifications
 • Proficient in conflict resolution and problem\-solving
 • Evidence\-based decision\-making and rigorous prioritization abilities
 • Ability to say “no” with clear explanations understood by stakeholders
 • Transparency in prioritization and roadmap processes
 • Proven success in defining and launching products
 • Technical background with software product management experience
 • Understanding of UI and UX best practices
 • Strong teamwork and cross\-functional influence skills without formal authority
 • Experience working with external third parties on partnerships and integrations
 • Entrepreneurial, self\-starting work style
 • Excellent organizational, interpersonal, and communication skills
 • Ability to work well with designers and engineers
 • Skilled at tactfully communicating progress to senior management
 • User advocacy and understanding of user motivation
 • Comfortable managing change and ambiguity with composure under pressure
 • Commitment to meeting expectations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li-4353482157</t>
        </is>
      </c>
      <c r="B21" t="inlineStr">
        <is>
          <t>Senior Product Manager</t>
        </is>
      </c>
      <c r="C21" t="inlineStr">
        <is>
          <t>UST</t>
        </is>
      </c>
      <c r="D21" t="inlineStr">
        <is>
          <t>linkedin</t>
        </is>
      </c>
      <c r="E21" t="inlineStr"/>
      <c r="F21" t="inlineStr"/>
      <c r="G21" t="inlineStr">
        <is>
          <t>San Jose, CA</t>
        </is>
      </c>
      <c r="H21" t="inlineStr"/>
      <c r="I21" t="inlineStr">
        <is>
          <t>**Role Description**
**Senior Product Manager**
**Project Manager I**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Senior Product Manager with strong expertise in SAP S/4HANA, ECC, and financial applications/systems. Define product roadmap, identify growth opportunities, and lead teams to develop financial solutions.
**The Opportunity**
* Serve as the subject matter expert in S4H Treasury Management and financial accounting areas
* Define and drive the product roadmap to address future business needs and opportunities.
* Identify and prioritize growth opportunities using data, customer insights, competitive analysis, and industry\-standard methodologies.
* Work together with collaborators from the finance business unit to ensure product solutions meet business requirements.
* Partner with cross\-functional teams including engineering, finance, operations, and analytics to guide finance products from conception to launch.
 This position description identifies the responsibilities and tasks typically associated with the performance of the position. Other relevant essential functions may be required.
**What You Need**
* 10\+ years of experience in product management of SAP S4H FICO, FSCM, TRM along with treasury operations like in house cash, cash management, forecasting, credits and collections, Capital market investments, Foreign Exchange, risk management etc.
* Proven experience directing all aspects of a product lifecycle, from development to launch and support.
* Strong background in SAP S/4H, SAP ECC, Salesforce, MS\-Dynamics, Databricks, and other analytical systems.
* Experience crafting and implementing General Ledger, Accounts payable and receivables, Treasury, Tax, RAR etc.
* Strong understanding of accounting standards and principles.
* Ability to translate business requirements into functional specifications and partner with development teams to build product capabilities.
* Hands\-on experience working with agile and scrum methodologies in software product development.
* Strong analytical skills with the ability to bring to bear multiple data sources to support business decisions.
* Proven ability to operate effectively in fast\-paced, time\-sensitive situations with minimal direction.
* Experience in software product launches and working across multiple teams to drive product success.
* Soft Skills \&amp; Leadership Qualities
* Strong collaboration skills, with the ability to build credibility and trust across multiple teams.
* Ability to present effectively at the executive level, communicating complex ideas with clarity.
* Strong influencing and interpersonal skills, adept at managing relationships with senior leadership.
* Must be a self\-starter, able to drive initiatives end to end with minimal mentorship.
* A strategic problem solver who can work autonomously and thrive in ambiguity.
* Outstanding verbal and written communication skills, comfortable working with technical and non\-technical audiences alike.
* Passion for problem\-solving and innovation in financial applications.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California**
**Compensation Range** 
 : $88,000\-$132,000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sap s/4hana,treasury management,sap fico,ms\-dynamics,</t>
        </is>
      </c>
    </row>
    <row r="22">
      <c r="A22" t="inlineStr">
        <is>
          <t>li-4362165438</t>
        </is>
      </c>
      <c r="B22" t="inlineStr">
        <is>
          <t>Digital Product Manager/Owner</t>
        </is>
      </c>
      <c r="C22" t="inlineStr">
        <is>
          <t>Jobs via Dice</t>
        </is>
      </c>
      <c r="D22" t="inlineStr">
        <is>
          <t>linkedin</t>
        </is>
      </c>
      <c r="E22" t="inlineStr"/>
      <c r="F22" t="inlineStr"/>
      <c r="G22" t="inlineStr">
        <is>
          <t>Torrance, CA</t>
        </is>
      </c>
      <c r="H22" t="inlineStr"/>
      <c r="I22" t="inlineStr">
        <is>
          <t>CALL US NOW for immediate consideration! Click Apply on Web or Apply Now to view our recruiter s contact info and reach out today, we d love to speak with you!
 \=\=\=
 \*\* We will NOT accept 3rd Party (C2C) Contractors \*\*
 \=\=\=
 JOB DETAILS:
 Position:Digital Product Manager/Owner (Salesforce)
 JOB REF\#:43643 \- JIH5JP00003753
 Duration:12\+ Months (On\-Going Contract)
 Location:HYBRID \- Torrance, CA 90501
 Pay Rate:$74\.00 per hour (W2 Only)
 \*\* Must be able to work ONSITE 4 days per week\*\*
 HIRING REQUIREMENTS:
 \*\* NOT accepting any 3rd Party C2C candidates for any reason\*\*
 \*\* NOT accepting candidates who live more than 45 miles from Torrance\*\*
 \*\* NOT accepting candidates willing to relocate (LOCAL CANDIDATES Only)\*\*
 Seeking an entrepreneurial Product Owner to join our digital team, responsible for end\-to\-end ownership across the full software development lifecycle (SDLC), including requirements and acceptance criteria, backlog grooming and prioritization, UAT execution, stakeholder communications, demos, field training support, and launch and warranty\-period triage. The Digital Product Team for the distinguished WEBSITES/MOBILE apps, the customer service agent console and other digital tools. Our mission is to provide exemplary Customer Experience to foster trust and loyalty. As a Product Owner for a Financial Services provider, you are detail oriented and own a high level of accountability. You maintain high standards for both project launches and operational excellence through quality, cost and delivery.
 RESPONSIBILITIES INCLUDE:
 Leading the Product team and be a subject matter expert for the SALESFORCE and MOBILE apps environments
 Writes clear user stories and acceptance criteria
 Works with Business and IT teams to document process flows, status reports
 Writes and executes well planned test scripts for UAT and provide support of other testing workstreams. Triage. Report on testing results
 Supports nationwide customer, dealer and field for operations (including the chat line and inbox), training and organizational change management
 Working with CX, business, development and testing resources to imagine, write, deliver and test user stories
 Leading initiatives. Meeting with leadership to articulate art of the possible, proposal plans and budgets to gain approvals
 Maintaining operations to meet SLAs through payments batch, deployments, maintenance and vendor releases, platform releases, incident management and troubleshooting, license management, cost management, vendor management, etc.
 Lead Agile sprint planning, demo, retrospective and backlog management.
 Top SKILLS REQUIRED for this position: (RESUME MUST REFLECT THIS EXPERIENCE)
 Experienced with Agile methodology, backlog planning, and product management process.
 Experienced with writing user stories, acceptance criteria, writing UAT test scripts, and executing UAT scripts all with quality.
 Go\-getter who is process minded and detailed oriented
 Excellent communication and presentation skills
 REQUIRED SKILLS/EXPERIENCE:
 7\+ years of product management, product development or product operations experience with customer facing top brand (Fortune 500\) digital product
 3\+ years of leadership experience, managing mixed teams: business / IT, internal / external, onshore / nearshore / offshore
 2\+ years of payments, financial services and/or captive finance industry experience
 1\+ years of roadmap and business planning experience. Experience driving procurement process from identification of options, evaluations and RFI/RFP selection of tools and vendors
 1\+ years of developing roadmaps and business planning experience.
 Experience driving procurement process from identification of options, evaluations and RFI/RFP selection of tools and vendors
 Experience leading grooming sessions, capturing requirements and acceptance criteria, aid the prioritization and sizing of work, prepare and perform user acceptance testing, assist field training
 Experience leading/collaborating with UX, marketing and training as you are working with engineering, testing, SOX, compliance and legal.
 Outstanding written and verbal multidisciplinary communication skills
 DESIRED SKILLS:
 1\+ years of direct leadership experience, managing associates
 Agile certification for Product Owner or Scrum Master (PREFER SAFe Agile)
 Salesforce certifications or the ability to gain Salesforce admin certification by year 1
 Mobile app experience
 \=\=
 \=\=
 Calance Consultant Benefits Offerings:
* EPO/PPO Medical Plans
* HMO/PPO Dental programs
* Vision \- VSP (Vision Plan Summary)
* 401K Retirement vesting program (VOYA)
* Paid Bi\-Weekly/Direct Deposit
* Flex Spending Plan
* Voluntary Life, AD\&amp;D, STD or LTD plans</t>
        </is>
      </c>
    </row>
    <row r="23">
      <c r="A23" t="inlineStr">
        <is>
          <t>li-4355823704</t>
        </is>
      </c>
      <c r="B23" t="inlineStr">
        <is>
          <t>Principal Product Manager - Performance Solutions Delivery Architecture</t>
        </is>
      </c>
      <c r="C23" t="inlineStr">
        <is>
          <t>FactSet</t>
        </is>
      </c>
      <c r="D23" t="inlineStr">
        <is>
          <t>linkedin</t>
        </is>
      </c>
      <c r="E23" t="inlineStr"/>
      <c r="F23" t="inlineStr"/>
      <c r="G23" t="inlineStr"/>
      <c r="H23" t="inlineStr"/>
      <c r="I23"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4">
      <c r="A24" t="inlineStr">
        <is>
          <t>li-4362572500</t>
        </is>
      </c>
      <c r="B24" t="inlineStr">
        <is>
          <t>Product Owner ( 3753 )</t>
        </is>
      </c>
      <c r="C24" t="inlineStr">
        <is>
          <t>Jobs via Dice</t>
        </is>
      </c>
      <c r="D24" t="inlineStr">
        <is>
          <t>linkedin</t>
        </is>
      </c>
      <c r="E24" t="inlineStr"/>
      <c r="F24" t="inlineStr"/>
      <c r="G24" t="inlineStr">
        <is>
          <t>Torrance, CA</t>
        </is>
      </c>
      <c r="H24" t="inlineStr"/>
      <c r="I24" t="inlineStr">
        <is>
          <t>A client of Sharp Decisions Inc. is looking to bring on a
 **Product Owner** 
 to be based in
 **Torrance, CA** 
 . The position is
 **HYBRID** 
 (4 days a week onsite). The
 **contract duration** 
 is
 **17 months** 
 with possible extension. \*W2 and local only.
* This role will involve a high percent of testing; we are looking for candidates with experience in writing their own UAT scripts and executing those scripts.
* We are looking for candidates who have strong communication skills and be able to clearly articulate their thoughts.
* Salesforce experience is required.
* Experienced with Agile methodology, backlog planning, and product management process.
* Experienced with writing user stories, acceptance criteria, writing UAT test scripts, and executing UAT scripts all with quality.
**JOB DESCRIPTION:** 
 .
 We are looking for an entrepreneurial Product Owner to join as a key member of our digital team. You will own responsibilities across the entire software development life cycle for projects and production support. For example, you will drive grooming sessions, capture requirements and acceptance criteria, aid the prioritization and sizing of work, prepare and perform user acceptance testing, assist field training, craft customer / field / stakeholder communications, perform demos, support launch and triage during warranty.
 You are as comfortable leading and collaborating with UX, marketing and training as you are working with engineering, testing, SOX, compliance and legal. You are open to ambiguity and quickly flex for changing conditions. You use outstanding written and verbal multidisciplinary communication skills and have an eagerness to make steady progress to successfully engage business and IT partners from AHFC, enterprise or external vendors.
 As a Product Owner for a financial services provider, you are detail oriented and own a high level of accountability. You maintain high standards for both project launches and operational excellence through quality, cost and delivery. You are a fast learner who will become a subject matter expert on customer personas, the platform, payment flows, business rules, account conditions, etc. You will measure and analyze metrics for business cases and platform reporting.
**As such, daily tasks include:**
 leading the Product team and be a subject matter expert for the Salesforce and mobile app environments
 write clear user stories and acceptance criteria
 work with Business and IT teams to document process flows, status reports
 write and execute well planned test scripts for UAT and provide support of other testing workstreams. Triage. Report on testing results
 support nationwide customer, dealer and field for operations (including the chat line and inbox), training and organizational change management
 working with CX, business, development and testing resources to imagine, write, deliver and test user stories
 leading initiatives. Meeting with leadership to articulate art of the possible, proposal plans and budgets to gain approvals
 maintaining operations to meet SLAs through payments batch, deployments, maintenance and vendor releases, platform releases, incident management and troubleshooting, license management, cost management, vendor management, etc.
 lead agile spring planning, demo, retrospective and backlog management
**Position Success Criteria (Desired) \- 'WANTS'**
**Customer Facing Product Experience.**
 PAYMENTS EXCELLENCE.
 ROADMAP \+ DECISION MAKING.
**People Skills Platform Strategy.**
 BA/BS degree
 3\-5 years of product management, product development or product operations experience with customer facing top brand (Fortune 500\) digital product
 3\-5 years of leadership experience, managing mixed teams: business / IT, internal / external, onshore / nearshore / offshore
 1\-2 years of roadmap and business planning experience. Experience driving procurement process from identification of options, evaluations and RFI/RFP selection of tools and vendors
**1\-2 Years Of Direct Leadership Experience, Managing Associates (PREFERRED)**
 2 years of payments, financial services or captive finance industry experience
 Agile certification for Product Owner or Scrum Master (PREFER SAFe Agile)
 Salesforce certifications (PREFERRED). Else ability to gain Salesforce admin certification by year 1</t>
        </is>
      </c>
    </row>
    <row r="25">
      <c r="A25" t="inlineStr">
        <is>
          <t>li-4354117761</t>
        </is>
      </c>
      <c r="B25" t="inlineStr">
        <is>
          <t>Senior Product Owner, Cybersecurity</t>
        </is>
      </c>
      <c r="C25" t="inlineStr">
        <is>
          <t>Jobs via Dice</t>
        </is>
      </c>
      <c r="D25" t="inlineStr">
        <is>
          <t>linkedin</t>
        </is>
      </c>
      <c r="E25" t="inlineStr"/>
      <c r="F25" t="inlineStr"/>
      <c r="G25" t="inlineStr"/>
      <c r="H25" t="inlineStr"/>
      <c r="I25" t="inlineStr">
        <is>
          <t>Duration: 6\+ Months
 Location: MN\-Minneapolis, 100% Remote
 Overview: Every Turnberry consultant belongs to a practice, an internal group of consultants and leaders with shared experience and expertise. Each of these practices aligns to one of the core services Turnberry offers to clients. As a Senior Product Owner, Cybersecurity, you will join Turnberry's Business Agility practice. Turnberry's Business Agility practice provides ways\-of\-working assessments with supporting improvement recommendations, Product Management and Agile Delivery education opportunities, team and enterprise\-level Product and Agile coaching, and strategic staffing for each of the skills required to drive Agile and/or Project to Product transformation journeys.
 Responsibilities:
 Work as a key team member on a cross functional team, responsible for continuous delivery of value to the customer through compelling and empowering customer experiences
 Collaborate with Product Manager and stakeholders to ensure work prioritization is aligned with company priorities and overall product roadmap as well as to provide product development feedback and direction
 Continuously innovate and evolve the product in alignment with strategic priorities
 Create, maintain, and evolve the product roadmap
 Maintain and refine product backlog: Create user stories and acceptance criteria and prioritize all stories to ensure work focuses on those with maximum business value that align with product strategy
 Ensure stories clearly communicate the customer and stakeholder needs to meet key business objectives and strategies for the product
 Available for consultation during agile team planning and grooming sessions as needed
 Work with other product teams/owners to align product roadmaps and sprint plans, and to focus on delivering the maximum business value to the organization
 Work as a part of an agile team, ensure the team is aligned around similar goals and objectives, and attend all team meetings
 Engage with customers and users on a regular basis to uncover implicit and explicit needs
 Develop and track key value drivers that measure effectiveness of product discovery and overall product performance, and communicate these to stakeholders and business leaders on a regular basis
 Foster a sense of urgency to achieve goals and leverage resources to overcome unexpected obstacles
 Inspire others to achieve challenging goals and high standards of performance while committing to the organization's direction (Product/Agile/DevOps))
 Qualifications:
 Bachelor's degree or equivalent work experience
 Certified Product Owner or similar certification preferred
 4\-6 years relevant business experience
 Understand fundamentals of iterative development, software development process and procedures
 Familiarity with principles of Agile Product Management, stakeholder management, market and user research, technology management, and process design
 Strong organization skills and attention to detail
 Passion and understanding of new technology and trends
 Strong communication abilities to all levels of seniority and disciplines within the organization
 Experience developing business cases, roadmaps, and product execution strategies
 Ability to prioritize work against enterprise, division, and product strategies
 Able to effectively communicate rationale and impact for prioritization choices
 Experience in defining high\-quality business requirements and proficient in Agile story writing
 Experience with foundational product management tools, techniques and principles across discovery, design, build, release, and measure cycle
 Strong leadership skills to coordinate and motivate product teams, even outside direct reporting relationships
 Demonstrated experience with user interface design and best practices for usability
 Experience working in large, complex organizational initiatives
 Advanced skills in MS Office Suite with particular emphasis on Excel and PowerPoint
* No direct personnel supervisory responsibility, however, supervises product teams with cross\-functional team members
 The salary range for this role is $135,000 to $190,000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Americans with Disabilities Act (ADA)
 Turnberry will provide reasonable accommodation with our application process upon request as required to comply with applicable laws. If you have a disability and require accommodation assistance in this application process, please send an email to our Human Resources department at</t>
        </is>
      </c>
    </row>
    <row r="26">
      <c r="A26" t="inlineStr">
        <is>
          <t>li-4355703707</t>
        </is>
      </c>
      <c r="B26" t="inlineStr">
        <is>
          <t>Program Manager, AIazswx</t>
        </is>
      </c>
      <c r="C26" t="inlineStr">
        <is>
          <t>Incendia Partners</t>
        </is>
      </c>
      <c r="D26" t="inlineStr">
        <is>
          <t>linkedin</t>
        </is>
      </c>
      <c r="E26" t="inlineStr"/>
      <c r="F26" t="inlineStr"/>
      <c r="G26" t="inlineStr">
        <is>
          <t>Richmond, VA</t>
        </is>
      </c>
      <c r="H26" t="inlineStr"/>
      <c r="I26" t="inlineStr">
        <is>
          <t>**Technical AI Program Manager**
**Location: Richmond, VA**
**Work Requirements: 3 days on\-site, 2 days remote
 Type: Full\-time, direct hire (No C2C or Visa transfers)
 Salary: $120K \+ benefits**
 Reporting to the Director, IT Project \&amp; Program Management, the Technical AI Program Manager is responsible for driving the successful execution and strategic prioritization of the organization’s artificial intelligence and machine learning initiatives. This role serves as a key connector between business leaders and technical teams—shaping, sequencing, and delivering AI solutions that align with enterprise goals and produce measurable business impact.
 This is an individual contributor role with meaningful influence over what gets built, how, when, and why. The role focuses on intake, prioritization, delivery, and continuous refinement of the AI portfolio, ensuring that initiatives are not only executed well, but chosen with strategic impact, ROI, and feasibility in mind.
 Strategic Prioritization \&amp; Portfolio Shaping
* Partner with business and technical leaders to identify, evaluate, determine feasibility, and refine AI use cases.
* Assess proposed initiatives for business value, feasibility, risk, and scalability.
* Develop structured recommendations on prioritization, sequencing, and resourcing.
* Maintain a clear, continuously updated view of the AI initiative pipeline and roadmap.
* Support leadership decision\-making through impact analysis, tradeoff articulation, and scenario modeling.
* Track realized value and inform future prioritization based on outcomes.
 Program \&amp; Delivery Management
* Manage multiple concurrent AI and/or machine learning initiatives from concept through production.
* Create and maintain project plans, milestones, dependencies, and risk logs.
* Facilitate cross\-functional collaboration across business, engineering, data, security, and legal teams.
* Proactively identify risks, resolve blockers, and keep initiatives moving forward.
* Ensure projects meet defined business goals, technical requirements, and governance standards.
* Provide clear, executive\-ready updates on status, risks, and progress.
 Business Partnership \&amp; Translation
* Translate business challenges into structured, AI\-ready problem statements.
* Help stakeholders understand what AI can and cannot do in practical terms.
* Define success metrics and measurable outcomes for each initiative.
* Document requirements, assumptions, constraints, and decisions.
* Serve as a trusted thought partner for business leaders exploring AI opportunities.
 Governance, Risk, \&amp; Responsible AI Alignment
* Ensure AI initiatives comply with data privacy, security, and regulatory standards.
* Apply governance frameworks consistently across initiatives.
* Coordinate reviews with security, legal, and compliance teams.
* Support responsible, ethical, and explainable AI practices throughout the lifecycle.
 Vendor \&amp; Platform Coordination
* Support evaluation and selection of AI tools, platforms, and vendors as needed for projects.
* Coordinate pilot programs and proof\-of\-concept efforts.
* Manage vendor timelines, dependencies, and deliverables.
* Partner with internal teams on integration and scaling planning.
 Process Improvement \&amp; Organizational Enablement
* Build and refine reusable intake, prioritization, and delivery frameworks.
* Develop templates, playbooks, and best practices.
* Identify patterns across initiatives to improve future execution.
* Increase organizational clarity on how AI initiatives move from idea to production.
* Comply with company C\-TPAT and TSA security procedures.
* Perform other duties as assigned.
**Skills And Abilities**
* Strategic Execution: Combines high\-level strategic thinking and systems thinking with a hands\-on focus on accountability, follow\-through, and measurable results.
* AI \&amp; Technical Proficiency: Deep understanding of AI/ML (Generative AI, NLP, machine learning, agentic AI usecases) and experience building proof of concept and scalable enterprise or automation solutions.
* Technical Translation: Ability to simplify complex technical concepts into executive level insights to guide high stakes decisions across the business.
* Cross\-Functional Influence: Exceptional emotional intelligence and ability to influence without authority to lead diverse teams through ambiguity and across organizational boundaries.
* Delivery \&amp; Risk Management: Proven track record in the full project delivery lifecycle, including prioritizing initiatives based on business impact, feasibility, risk, and data governance, security and privacy.
* Collaborative Problem Solving: A quantitative, analytical approach to problem\-solving paired with active listening, excellent written and verbal communication, and empathy for cross\-functional partners.
* Familiarity with data governance, privacy, and compliance considerations.
* Experience managing complex, cross\-functional initiatives.
* Experience supporting prioritization, roadmap planning, or portfolio management.
* Experience working with engineering, data, or platform teams.
* Exposure to AI, automation, or advanced analytics initiatives preferred.
* Experience working with vendors or SaaS platforms preferred.
* Must be eligible to work in the United States.
* At this time, we will not sponsor a new applicant for employment authorization for this position.
**Education/Experience**
 Minimum of a Bachelor’s degree (or equivalent) in Computer Science, Information Systems, Engineering, Business, or related field and 6\-9\+ years of experience in technical program management, product operations, management consulting, or digital transformation roles. However, a combination of experience and/or education will be taken into consideration.
**LICENSES/CERTIFICATIONS**
* PMP or equivalent project management certification preferred.
* Agile certifications (CSM, SAFe, etc.) preferred.
* Cloud certifications (AWS, Azure, GCP) preferred.
* AI/ML fundamentals or data governance certifications preferred.
**TRAVEL**
 None required.
 \#ZR</t>
        </is>
      </c>
    </row>
    <row r="27">
      <c r="A27" t="inlineStr">
        <is>
          <t>li-4362134550</t>
        </is>
      </c>
      <c r="B27" t="inlineStr">
        <is>
          <t>Product Manager</t>
        </is>
      </c>
      <c r="C27" t="inlineStr">
        <is>
          <t>Jobs via Dice</t>
        </is>
      </c>
      <c r="D27" t="inlineStr">
        <is>
          <t>linkedin</t>
        </is>
      </c>
      <c r="E27" t="inlineStr"/>
      <c r="F27" t="inlineStr"/>
      <c r="G27" t="inlineStr">
        <is>
          <t>Phoenix, AZ</t>
        </is>
      </c>
      <c r="H27" t="inlineStr"/>
      <c r="I27" t="inlineStr">
        <is>
          <t>RESPONSIBILITIES:
 Kforce has a client in Phoenix, Arizona that is seeking a Product Manager to join their team.
 Summary:
 You will join a team centered on understanding users, optimizing usability, and delivering intelligent decisioning capabilities that power profitable customer acquisition. This includes shaping strategies to prevent misuse, enhance offer decisioning, and ensure customers are guided toward products that meet their needs. You will collaborate across marketing, analytics, technology, and product teams to execute platform vision and continuously refine cross\-functional roadmaps.
 Duties:
* Define product vision and roadmap, working closely with leadership, partners, and cross\-functional stakeholders
* Product Manager will drive global development efforts related to digital applications, collaborating with multiple technical and business teams
* Partner with technology teams to design, develop, test, and release new features and services
* Translate product strategy into clear requirements, including user stories, acceptance criteria, and release plans
* Use data and insights to design product features that simplify rule creation, improve threshold execution, and enhance decisioning
* Lead prioritization efforts and guide agile teams through iterative development cycles
* Leverage qualitative and quantitative analytics to inform strategy, experimentation, and product evolution
* Stay informed on trends and competitive practices to ensure the product remains innovative and customer\-first
* As a Product Manager, you will support performance tracking and reporting, developing metrics to measure and communicate product impact
* Embed operational excellence, governance, and data integrity across product workflows
* Cultivate strong cross\-team relationships to support alignment, problem\-solving, and successful execution
 REQUIREMENTS:
* Bachelor's degree in Computer Science, Engineering, Information Technology, or a related field (preferred)
* 5\+ years of experience in digital product development or product management with a strong track record of delivering impactful, customer\-centric features
* Experience managing and prioritizing a product backlog in an Agile environment
* Experience in matrixed or cross\-functional organizations
* Familiarity with SAFe Agile frameworks and collaboration tools such as Rally, Jira/Atlassian Suite, or Slack
* Analytical and technical problem\-solver, comfortable making data\-backed decisions and tackling complex challenges
* Customer\-first mindset with a passion for building intuitive and meaningful product experiences
* Strong collaboration and influencing skills, with the ability to partner across technical, business, and leadership teams
* Foundational data skills, including table building and SQL querying
* Comfort thriving in fast\-paced, dynamic environments with shifting priorities
* Highly organized, detail\-oriented, and a critical thinker who can simplify complexity
* Exceptional communication and relationship\-building skills across diverse stakeholder groups
* Curious, driven, and willing to challenge assumptions, champion innovation, and deliver measurable impact
* Proven ability to analyze data and processes to identify creative solutions and drive continuous improvement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8">
      <c r="A28" t="inlineStr">
        <is>
          <t>li-4362099803</t>
        </is>
      </c>
      <c r="B28" t="inlineStr">
        <is>
          <t>Artificial Intelligence Product Owner</t>
        </is>
      </c>
      <c r="C28" t="inlineStr">
        <is>
          <t>Jobs via Dice</t>
        </is>
      </c>
      <c r="D28" t="inlineStr">
        <is>
          <t>linkedin</t>
        </is>
      </c>
      <c r="E28" t="inlineStr"/>
      <c r="F28" t="inlineStr"/>
      <c r="G28" t="inlineStr">
        <is>
          <t>Dallas, TX</t>
        </is>
      </c>
      <c r="H28" t="inlineStr"/>
      <c r="I28" t="inlineStr">
        <is>
          <t>**Position Description:**
 Make an impact like never before.
 We're growing rapidly and are looking for an Artificial Intelligence Product owner to serve as the Customer proxy, and be responsible for working with Product Management and other stakeholders\-including other product owners and other teams\-to define and prioritize the Team Backlog so that the solution effectively addresses program priorities while maintaining technical integrity.
 We're a close\-knit team that has access to global resources. You'll have the opportunity to explore a wide range of industries, technologies, and geographies, all while enjoying the personal touch that our local operating approach offers.
 Growth at CGI is driven by your goals, so if you're looking for an inclusive place where you're empowered to chart your own path, then we'd love to meet you.
 This role is based out of Dallas, TX and is a 3\-day onsite (Hybrid) role.
**Your future duties and responsibilities:**
* Provide innovation and the end\-to\-end launch of integrated solutions/products across multiple Agile Teams
* Collaborate with Business Partners and Product Managers to co\-develop a roadmap and drive products and features from concept to launch in a fast\-paced environment across multiple Agile Teams
* Work with senior stakeholders and customers across the organization to inform the product vision, strategy, features, and prioritization
* Attend product management meetings, planning, and backlog/vision refinement sessions.
* Serve as a mentor to the APO and PO
* Translate product roadmap features into well\-defined product requirements including features, user stories, and acceptance test criteria across multiple products or complex solutions . Turn data insights into products with actionable outcomes to the ultimate customer
* Oversee the design, construction, and implementation of integrated solutions ensuring functionality meets business requirements
* Coach and mentor other Product Owners across multiple Agile Teams to build, refine, prioritize and maintain their Team backlogs
* Review, approve, and drive iteration content by prioritizing user stories and accept user stories as complete
* Define and prioritize solutions to complex issues and effectively communicate dependencies, risks, issues and cope for complex solutions
* Coach and mentor Product Owners and Scrum Masters in the successful delivery of Scrum ceremonies such as iteration planning, iteration reviews, and demos
**Required qualifications to be successful in this role:**
* Hands on AI experience required but not necessarily in depth
* Advanced\-level experience, seasoned and specialized knowledge in:
* Agile and Scrum software development methodologies
* Business analysis, project management or software development delivering enterprise products and solutions
* Ability to make decisions independently and demonstrate skills to support, guide, and mentor other Product Owners in the same business domain
* Ability to understand technical issues across multiple business systems and how business areas interact in order to drive toward the best solutions
* Ability to be analytical and problem solve with a high attention to detail
* Ability to show initiative by anticipating risks, issues and opportunities, and escalating them accordingly, while mentoring and coaching
* Skilled in presentation, facilitation, communication, and negotiation across multiple stakeholders and levels in the organization
* Ability to search for opportunities, focus on business value and the Return On Investment and act proactively on possible risks and threats
* Ability to effectively manage complex tasks that are not well defined
* Ability to balance priority, risk, value, learning opportunities and dependencies and effectively uses product / Team backlog to manage them
* Ability to effectively communicate complex problems, risks, progress, or new ideas to diverse Stakeholders and influence direction . Knowledge of industry trends and new technologies in order to provide innovative product guidance to the Business or Product Manager
* Expertise in Agile including the value and principles, and how they are applied in enterprise environments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$88,200\.00 \- $214,800\.00\.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\#DICE
**Skills:**
* Artificial Intelligence
* Product Owner
* SCRUM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9">
      <c r="A29" t="inlineStr">
        <is>
          <t>li-4362612164</t>
        </is>
      </c>
      <c r="B29" t="inlineStr">
        <is>
          <t>Product Manager - Analytics, Reporting &amp; Workflow</t>
        </is>
      </c>
      <c r="C29" t="inlineStr">
        <is>
          <t>Jobs via Dice</t>
        </is>
      </c>
      <c r="D29" t="inlineStr">
        <is>
          <t>linkedin</t>
        </is>
      </c>
      <c r="E29" t="inlineStr"/>
      <c r="F29" t="inlineStr"/>
      <c r="G29" t="inlineStr">
        <is>
          <t>Houston, TX</t>
        </is>
      </c>
      <c r="H29" t="inlineStr"/>
      <c r="I29"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This
 **Product Manager \- Analytics, Reporting \&amp; Workflow** 
 role will help lead the development and strategy of healthcare technology products that support Medicaid programs, ensuring solutions meet regulatory requirements while aligning with client goals and user needs. Acting as the key liaison between stakeholders and development teams, this individual sets product vision, drives execution throughout the agile development lifecycle, and emphasizes reporting, analytics, and workflow optimization. The role includes ownership of product roadmap development and governance, serving as the voice of the client, and fostering strong collaboration through client engagement and cross?functional partnerships. Ideal candidates bring experience with tools such as Power BI, SSRS, and workflow automation platforms like Appian, along with a strong understanding of Medicaid operations, including claims, encounters, eligibility, and financial reconciliation.
****Your role in our mission****
**Product Strategy \&amp; Management**
* Define and communicate a clear product vision and roadmap that supports Medicaid policy, operational efficiency, and client priorities.
* Translate complex business and regulatory requirements into actionable user stories and features with clear acceptance criteria.
* Own and manage the product backlog in partnership with colleagues, ensuring it reflects business value, stakeholder input, and technical feasibility.
* Develop and maintain Product Roadmaps aligned with other related and critical Product areas \- working closely with Product Managers and other Product Owners.
* Focusing and leading the future strategy and needs of the solution area this individual would be responsible for.
**Cross\-Functional Collaboration**
* Act as a liaison between internal development teams and external stakeholders to ensure shared understanding of priorities and goals.
* Ensure the final product meets quality expectations, user needs, and compliance requirements specific to Medicaid programs.
* Collaborating on sales activities and meeting client needs.
**Process Optimization, Reporting \&amp; Automation**
* Analyze existing product workflows and identify opportunities to streamline Medicaid business processes, reduce operational overhead, and improve user experience.
* Design and maintain operational dashboards and performance reports using tools such as Power BI and SSRS to support client reporting and decision making.
* Leverage business process automation tools such as Appian to increase transparency, compliance tracking, and workflow efficiency across key Medicaid activities.
****What we're looking for****
* 5\+ years of experience as a Product Owner, Business Analyst, or Product Manager, preferably in the Medicaid or broader public health sector
* Solid understanding of Medicaid programs, policies, and business processes such as eligibility, claims, encounters, prior authorization, or provider management
* Strong experience working within Agile/Scrum environments
* Proficient in backlog management, requirements gathering, and stakeholder communication
* Hands\-on experience with Power BI, SSRS, and workflow automation platforms (e.g., Appian)
* Excellent organizational, presentation, analytical, and interpersonal skills
****What you should expect in this role****
* Primarily remote within the US with occasional travel may be required
* Opportunities to travel through your work (0\-10%)
* Willingness to work a flexible schedule to accommodate business needs and travel as required.
* Video cameras must be used during all interviews, as well as during the initial week of orientation.
 The Deadline to submit applications for this posting is
 **April 30, 2026\.**
 The pay range for this position is $108,500\.00 \- $155,000\.00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is>
      </c>
    </row>
    <row r="30">
      <c r="A30" t="inlineStr">
        <is>
          <t>li-4362582499</t>
        </is>
      </c>
      <c r="B30" t="inlineStr">
        <is>
          <t>Product Manager - Analytics, Reporting &amp; Workflow</t>
        </is>
      </c>
      <c r="C30" t="inlineStr">
        <is>
          <t>Jobs via Dice</t>
        </is>
      </c>
      <c r="D30" t="inlineStr">
        <is>
          <t>linkedin</t>
        </is>
      </c>
      <c r="E30" t="inlineStr"/>
      <c r="F30" t="inlineStr"/>
      <c r="G30" t="inlineStr">
        <is>
          <t>Austin, TX</t>
        </is>
      </c>
      <c r="H30" t="inlineStr"/>
      <c r="I30"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This
 **Product Manager \- Analytics, Reporting \&amp; Workflow** 
 role will help lead the development and strategy of healthcare technology products that support Medicaid programs, ensuring solutions meet regulatory requirements while aligning with client goals and user needs. Acting as the key liaison between stakeholders and development teams, this individual sets product vision, drives execution throughout the agile development lifecycle, and emphasizes reporting, analytics, and workflow optimization. The role includes ownership of product roadmap development and governance, serving as the voice of the client, and fostering strong collaboration through client engagement and cross?functional partnerships. Ideal candidates bring experience with tools such as Power BI, SSRS, and workflow automation platforms like Appian, along with a strong understanding of Medicaid operations, including claims, encounters, eligibility, and financial reconciliation.
****Your role in our mission****
**Product Strategy \&amp; Management**
* Define and communicate a clear product vision and roadmap that supports Medicaid policy, operational efficiency, and client priorities.
* Translate complex business and regulatory requirements into actionable user stories and features with clear acceptance criteria.
* Own and manage the product backlog in partnership with colleagues, ensuring it reflects business value, stakeholder input, and technical feasibility.
* Develop and maintain Product Roadmaps aligned with other related and critical Product areas \- working closely with Product Managers and other Product Owners.
* Focusing and leading the future strategy and needs of the solution area this individual would be responsible for.
**Cross\-Functional Collaboration**
* Act as a liaison between internal development teams and external stakeholders to ensure shared understanding of priorities and goals.
* Ensure the final product meets quality expectations, user needs, and compliance requirements specific to Medicaid programs.
* Collaborating on sales activities and meeting client needs.
**Process Optimization, Reporting \&amp; Automation**
* Analyze existing product workflows and identify opportunities to streamline Medicaid business processes, reduce operational overhead, and improve user experience.
* Design and maintain operational dashboards and performance reports using tools such as Power BI and SSRS to support client reporting and decision making.
* Leverage business process automation tools such as Appian to increase transparency, compliance tracking, and workflow efficiency across key Medicaid activities.
****What we're looking for****
* 5\+ years of experience as a Product Owner, Business Analyst, or Product Manager, preferably in the Medicaid or broader public health sector
* Solid understanding of Medicaid programs, policies, and business processes such as eligibility, claims, encounters, prior authorization, or provider management
* Strong experience working within Agile/Scrum environments
* Proficient in backlog management, requirements gathering, and stakeholder communication
* Hands\-on experience with Power BI, SSRS, and workflow automation platforms (e.g., Appian)
* Excellent organizational, presentation, analytical, and interpersonal skills
****What you should expect in this role****
* Primarily remote within the US with occasional travel may be required
* Opportunities to travel through your work (0\-10%)
* Willingness to work a flexible schedule to accommodate business needs and travel as required.
* Video cameras must be used during all interviews, as well as during the initial week of orientation.
 The Deadline to submit applications for this posting is
 **April 30, 2026\.**
 The pay range for this position is $108,500\.00 \- $155,000\.00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is>
      </c>
    </row>
    <row r="31">
      <c r="A31" t="inlineStr">
        <is>
          <t>li-4362119061</t>
        </is>
      </c>
      <c r="B31" t="inlineStr">
        <is>
          <t>Lead Program Manager</t>
        </is>
      </c>
      <c r="C31" t="inlineStr">
        <is>
          <t>Jobs via Dice</t>
        </is>
      </c>
      <c r="D31" t="inlineStr">
        <is>
          <t>linkedin</t>
        </is>
      </c>
      <c r="E31" t="inlineStr"/>
      <c r="F31" t="inlineStr"/>
      <c r="G31" t="inlineStr"/>
      <c r="H31" t="inlineStr"/>
      <c r="I31" t="inlineStr">
        <is>
          <t>**Summary**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The Concentrix Technical Products and Services team is the driving force behind Concentrix's transformation, data, and technology services. We integrate world\-class digital engineering, creativity, and a deep understanding of human behavior to find and unlock value through tech\-powered and intelligence\-fueled experiences. We combine human\-centered design, powerful data, and strong tech to accelerate transformation at scale. You will be surrounded by the best in the world providing market leading technology and insights to modernize and simplify the customer experience. Within our professional services team, you will deliver strategic consulting, design, advisory services, market research, and contact center analytics that deliver insights to improve outcomes and value for our clients. Hence achieving our vision. Our game\-changers around the world have devoted their careers to ensuring every relationship is exceptional. And we're proud to be recognized with awards such as "World's Best Workplaces," "Best Companies for Career Growth," and "Best Company Culture," year after year. Join us and be part of this journey towards greater opportunities and brighter futures.
 **Description**
**Title: Lead Program Manager**
**Location: Atlanta, GA (** 
**Onsite 3 days a week** 
**) Hybrid**
 As the Lead Program Manager, you will lead the project, ensuring seamless coordination and clear communication across teams. You will play a pivotal role in monitoring program statuses and facilitating the gathering of technical and strategic insights. Your leadership will be critical in synchronizing the efforts across different managerial levels for optimal program performance.
**Responsibilities:**
* Facilitate tracking of program statuses, risks, mitigation strategies, and change requests (CRs).
* Monitor the defect queue hourly to ensure timely responses and execute warm hand\-offs.
* Host and lead weekly meetings for the team, providing crucial updates and summarizing insights using Co\-pilot post\-meeting.
* Attend various sync meetings with Program Managers, Testing, and Directors to maintain domain coverage.
* Compile and distribute testing on\-call schedules for all team areas weekly.
* Coordinate gathering technical details for design, business continuity planning, and domain roadmaps with TPMs, Architects, System Analysis, and Development Managers.
* Participate in team Operation meetings to facilitate connections that improve efficiency and prevent timing conflicts.
* Attend design meetings to ensure leadership coverage for the team, setting expectations, and involving key leadership figures when necessary.
**Qualifications:**
 10\+ years experience in Program Management
* Proven experience in program management or a related field.
* Strong leadership and communication skills, with the ability to manage and synthesize information from multiple sources.
* Excellent organizational skills and attention to detail.
* Ability to work collaboratively with a wide range of teams and stakeholders.
* Experience in the technology or services sector preferred.
* Proficiency in managing schedules, risk assessments, and strategic planning.
**The deadline to apply for this position is 01/25/2026**
 The base salary range for this position is
 **$106,087 \- $166,709**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At Concentrix, we provide customer experience solutions that may involve handling sensitive data. As part of our hiring process, all candidates must undergo a background check in accordance with applicable law, which will include identity verification and employment eligibility.
**\#Concentrix**
**\#AtlantaGA**</t>
        </is>
      </c>
    </row>
    <row r="32">
      <c r="A32" t="inlineStr">
        <is>
          <t>li-4321423388</t>
        </is>
      </c>
      <c r="B32" t="inlineStr">
        <is>
          <t>Service Agreement Program Manager</t>
        </is>
      </c>
      <c r="C32" t="inlineStr">
        <is>
          <t>Carrier</t>
        </is>
      </c>
      <c r="D32" t="inlineStr">
        <is>
          <t>linkedin</t>
        </is>
      </c>
      <c r="E32" t="inlineStr"/>
      <c r="F32" t="inlineStr"/>
      <c r="G32" t="inlineStr">
        <is>
          <t>Charlotte, NC</t>
        </is>
      </c>
      <c r="H32" t="inlineStr"/>
      <c r="I32" t="inlineStr">
        <is>
          <t>**About Carrier**
 Carrier, global leader in intelligent climate and energy solutions, is committed to creating innovations that bring comfort, safety and sustainability to life. Through cutting\-edge advancements in climate solutions such as temperature control, air quality and transportation, we improve lives, empower critical industries and ensure the safe transport of food, life\-saving medicines and more. Since inventing modern air conditioning in 1902, we lead with purpose: enhancing the lives we live and the world we share. We continue to lead because of our world\-class, inclusive workforce that puts the customer at the center of everything we do. For more information, visit corporate.carrier.com or follow Carrier on social media at @Carrier
**About The Role**
 The Service Agreement Program Manager is responsible for developing, executing, and optimizing programs that increase service revenue/ sales orders, expand customer retention, and support operational efficiency. This role works cross\-functionally with operations, sales, marketing, and finance to ensure scalable growth, strong customer experience, and profitable long\-term service performance. Reporting to the North American Growth Leader, the Service Agreement Program Manager provides oversight and responsibility for management of NA Service Agreement portfolio existing and managed NA Service Agreement facilities as well as activities surrounding the pursuit.
**Key Responsibilities**
**Program Development \&amp; Growth Execution:**
* Create and execute programs for service agreements, Service Offerings, and customer retention.
* Assess market trends and customers’ needs to find new service opportunities.
* Manage the launch of new offerings such as subscription plans and predictive maintenance.
* Enhance our program by integrating VOC and aligning with corporate strategy (e.g., digital tools, capital planning, and strategic renewals).
**Sales Enablement \&amp; Program Adoption**
* Build sales tools and materials (scripts, brochures, proposal templates).
* Track adoption rates and performance of service programs and adjust strategies as needed.
* Streamline and accelerate the sales process and ensure alignment between Sales and Field Service on agreements and scope.
* Support pricing models and work closely with finance on margin optimization.
**Customer Experience \&amp; Retention**
* Optimize the complete customer journey for service clients, encompassing booking to post\-service follow\-up.
* Deploy retention strategies including automated reminders, loyalty programs, and satisfaction surveys.
* Assess service feedback and execute ongoing improvement initiatives.
**Cross\-Functional Leadership \&amp; Reporting**
* Lead cross\-functional initiatives to enhance service growth, operational efficiency, and overall profitability.
* Prepare and deliver monthly and quarterly program performance reports. Clearly communicate program objectives and outcomes to executive leadership and key stakeholders.
* Design and implement comprehensive training programs for service teams to uphold consistent delivery standards and support ongoing skill development.
* Regularly monitor service KPIs and initiate corrective measures when targets are not achieved.
* Facilitate communication, insight and improvement suggestions/investments between the local markets and Executive Leadership.
* Promote a culture of accountability and innovation by actively soliciting feedback and facilitating idea exchange among service departments.
**Required Qualifications**
* Bachelor’s degree
* 5 \+ years of experience in field services, and/or program management
* Willing to travel as required to support programs within the United States and Canada (25%\-50%)
**Preferred Qualifications**
* Outstanding interpersonal and communication abilities, including proficient writing, speaking, and presentation skills.
* HVAC experience
* Established management and leadership capabilities, encompassing staff training, team building, presenting, negotiating, branch administration, and collaboration with both customers and company executives.
* Experience in scaling service agreement programs or launching new service offerings.
* Background in process improvement (Lean, Six Sigma, etc.).
* Demonstrated expertise in program management, service operations oversight, and business development.
* Comprehensive knowledge of service workflows, dispatch procedures, and various service agreement models.
* Exceptional project management skills with a proven ability to coordinate projects involving multiple teams.
* Proficient in\-service management software, CRM platforms, and data analytics applications.
* Highly skilled in delivering presentations, report preparation, effective written communication, decision\-making, risk management, and problem\-solving.
* Capable of interpreting financial statements; prior experience in profit and loss (P\&amp;L) management is preferred.
**Benefits**
 Employees are eligible for benefits, including:
* Health Care benefits: Medical, Dental, Vision; wellness incentives
* Retirement benefits
* Time Off and Leave: Paid vacation days, up to 15 days; paid sick days, up to 5 days; paid personal leave, up to 5 days; paid holidays, up to 13 days; birth and adoption leave; parental leave; family and medical leave; bereavement leave; jury duty; military leave; purchased vacation
* Disability: Short\-term and long\-term disability
* Life Insurance and Accidental Death and Dismemberment
* Tax\-Advantaged Accounts: Health Savings Account; Healthcare Spending Account; Dependent Care Spending Account
* Tuition Assistance
**To learn more about our benefits offering, please click here:** 
 Work With Us \| Carrier Corporate The specific benefits available to any employee may vary depending on state and local laws and eligibility factors, such as date of hire and the applicability of collective bargaining agreements.
 The annual salary for this position is between $143,250 – $200,750\. Factors which may affect pay within this range include, but are not limited to, skills, education, experience, and other unique qualifications of the successful candidate.
 This position is entitled to short\-term cash incentives, subject to plan requirements.
 Applications will be accepted for at least 3 days from Job Posting Date. Job Posting Date: January 21, 2026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is>
      </c>
    </row>
    <row r="33">
      <c r="A33" t="inlineStr">
        <is>
          <t>li-4365783520</t>
        </is>
      </c>
      <c r="B33" t="inlineStr">
        <is>
          <t>Program Manager</t>
        </is>
      </c>
      <c r="C33" t="inlineStr">
        <is>
          <t>Parsons Corporation</t>
        </is>
      </c>
      <c r="D33" t="inlineStr">
        <is>
          <t>linkedin</t>
        </is>
      </c>
      <c r="E33" t="inlineStr"/>
      <c r="F33" t="inlineStr"/>
      <c r="G33" t="inlineStr">
        <is>
          <t>San Antonio, TX</t>
        </is>
      </c>
      <c r="H33" t="inlineStr"/>
      <c r="I3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**Program Manager I** 
 to support Naval Medical Research Unit – San Antonio (NAMRU\-SA) and its collaborating institutions in the management of research programs. NAMRU\-SA’s mission is to improve survival, operational readiness, and safety of DoD personnel engaged in routine and expeditionary operations.
 The Program Manager I will assist the Chief Science Director and Human Protections Director with administrative tasks related to the Scientific Review Board (SRB) and Human Research Protections Program (HRPP). The role involves gathering information for research program taskers, providing recommendations on workflow efficiency, and maintaining research documents.
**What You'll Be Doing**
* Assist the Chief Science Director and Human Protections Director with SRB and HRPP administrative tasks as required.
* Assist the Government with gathering information for research program taskers, ensuring all information/taskers are approved and submitted by authorized government personnel.
* Provide recommendations on task order labor/manpower utilization and workflow to increase efficiency and productivity.
* Assist with the gathering of Government\-prepared documentation for contract actions and proposals, ensuring task order completion in accordance with established policies and procedures.
* Assist with various research\-related administrative tasks and track spreadsheets (dynamic Excel spreadsheets) based on purchases made by the Government and/or the contractor for research\-related items.
* Maintain and organize Government\-prepared research documents.
* Perform market research regarding the development of study budgets and provide information to the Government for decision\-making.
* Confirm sponsored monthly, quarterly, and annual reports are in accordance with sponsor guidelines and templates.
* Submit Government\-approved proposals and grants via various websites (i.e., eBRAP, grants.gov, CMRDP, etc.).
* Verify Government\-prepared documentation is available for various research meetings.
* Coordinate and schedule directorate meetings; take minutes and provide them to the Director.
**What Required Skills You'll Bring**
* Bachelor's degree with five (5\) years of related experience, or a Master’s degree with three (3\) years of related experience.
* Demonstrated ability to assist with administrative tasks related to SRB and HRPP.
* Proficiency in gathering information for research program taskers and providing workflow recommendations.
* Strong organizational skills for maintaining and organizing research documents.
* Excellent communication skills for coordinating meetings and submitting proposals and grants.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row>
    <row r="34">
      <c r="A34" t="inlineStr">
        <is>
          <t>li-4365781333</t>
        </is>
      </c>
      <c r="B34" t="inlineStr">
        <is>
          <t>Procurement Program Manager, I&amp;C &amp; WPB</t>
        </is>
      </c>
      <c r="C34" t="inlineStr">
        <is>
          <t>Laveer Engineering</t>
        </is>
      </c>
      <c r="D34" t="inlineStr">
        <is>
          <t>linkedin</t>
        </is>
      </c>
      <c r="E34" t="inlineStr"/>
      <c r="F34" t="inlineStr"/>
      <c r="G34" t="inlineStr">
        <is>
          <t>Cranberry Township, PA</t>
        </is>
      </c>
      <c r="H34" t="inlineStr"/>
      <c r="I34" t="inlineStr">
        <is>
          <t>Requisition Number: 29965
 Company: Westinghouse Electric Co
 Location:
 Cranberry Township, US
 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Procurement Program Manager, I\&amp;C \&amp; WPB you will oversee the planning and coordination of procurement across multiple large I\&amp;C and WPB projects. You will align project planning and execution across major projects and the PPMs supporting specific project procurements with suppliers, driving consistency, strategic agreement, communication, ensuring readiness for execution. You will lead supply chain resources across the supply chain teams in delivering direct procurements to support projects and revenue recognition for the business. You will report to the Global Manager, Project Procurement \- I\&amp;C/WPB Electrical and be located at our Cranberry Township, PA location. This is a hybrid role.
**Key Responsibilities**
* Develop and oversee execution of project procurement strategies
* Build relationships with BU project teams to understand and develop solutions across I\&amp;C and WPB project portfolio
* Coordinate procurement activities to ensure agreement on our goals
* Contribute to project planning proposals and approval stage\-gates·
* Lead program\-level risk management, compliance, and performance monitoring·
* Partner with team to improve sourcing strategies and supplier engagement·
* Monitor KPIs and report on major project performance to senior leadership·
* Guide process improvements and digitalization projects within procurement programs·
* Mentor and support procurement project managers·
* Support development of procurement strategies and plans together with Offer and Project Teams. Identify and capture the demand, identify potential suppliers, and establish a communication channel towards the suppliers.
* Support Commercial Teams with execution of sourcing strategies to achieve our goals while using continuous improvement tactics.
* Coordinate the RFx Process and establishing sourcing strategies for suppliers and services.
* Solicit quotations and analyze contract proposals while leading formulation of strategy and negotiation of pricing, delivery, terms and conditions to satisfy requirements for complex and specialized materials, equipment, components, and services.
* Lead Contract preparation and purchasing process.
* Evaluate all elements of cost for commodity groups to identify and obtain cost improvements.
* Develop strategies and tactics to maximize supplier base cost/value.
* Maintain relationships with suppliers and partners while mediating and resolving contract performance issues.
* Use the corporate Approved Supplier List Process for sourcing requirements.
* Ensure compliance with regulatory requirements and Westinghouse's Procurement policies and procedures.
* Manage supply and supplier commitments after making a purchase order or contract, including change and contract management.
* Analyze the entitlement and cost basis, supporting negotiation, drafting agreements on changes and reflecting the change in the System (SAP).
* Support Accounts Payables for resolution of discrepancies between the supplier invoices and the purchase orders.
* Utilize Best\-Cost Country Sourcing, with emphasis on middle/eastern Europe.
**Qualifications**
* Bachelor's degree or equivalent experience
* 8\+ years of experience supply chain management
* 3\+ years program management experience, EPC experience preferred.
* Experience working with and across global teams
* Experience in sourcing, supplier management and knowledge of supplier base for the nuclear sector preferred.
* Expertise in Microsoft Project and procurement systems (SAP, Ariba) or similar systems preferred.
 Ability to travel from 10 to 20%
 We are committed to transparency and equity in all of our people practices. The base salary range for this position, which is dependent upon experience, qualifications and skills, is estimated to be $100,800 to $126,000 per year.
**Why Westinghouse?**
**Benefits**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Westinghouse is an Equal Opportunity Employer including Veterans and Individuals with Disabilities
**Get connected with Westinghouse on social media:** 
**Twitter** 
**\|** 
**Facebook** 
**\|** 
**LinkedIn** 
**\|** 
**YouTube**
 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
**Job Segment:** 
 Supply Chain Manager, Supply Chain, Procurement, Program Manager, Environmental Engineering, Operations, Management, Engineering</t>
        </is>
      </c>
    </row>
    <row r="35">
      <c r="A35" t="inlineStr">
        <is>
          <t>li-4365771262</t>
        </is>
      </c>
      <c r="B35" t="inlineStr">
        <is>
          <t>Program Manager for Youth Peer Support Statewide Network</t>
        </is>
      </c>
      <c r="C35" t="inlineStr">
        <is>
          <t>Community Care ME</t>
        </is>
      </c>
      <c r="D35" t="inlineStr">
        <is>
          <t>linkedin</t>
        </is>
      </c>
      <c r="E35" t="inlineStr"/>
      <c r="F35" t="inlineStr"/>
      <c r="G35" t="inlineStr">
        <is>
          <t>Bangor, ME</t>
        </is>
      </c>
      <c r="H35" t="inlineStr"/>
      <c r="I35" t="inlineStr">
        <is>
          <t>**General Purpose And Objectives/Position Statement**
 The YPSSN Statewide Program Manager serves as the project lead, supervising the YPSSN Regional Manager and providing statewide oversight of YPSSN to ensure the delivery of exceptional peer support services and compliance with all contractual requirements.
**Essential Job Functions**
* Attend both the Peer Connect training and Peer Connect Supervisors training to become Maine Peer Connect certified within the timeline set by the program, in addition to annually attending Peer Connect Learning Collaborative components to maintain Maine certification and all additional agency training.
* Demonstrate an understanding of the core competencies established by the Federal Substance Abuse and Mental Health Services Administration.
* Monitor data entry of all YPSN staff into the agency electronic record and tracking tool to ensure accurate data entry and tracking including, but not limited to, referrals, contacts, and all YPSSN activities. Follow\-up as necessary to address barriers to data entry and assist each region in meeting compliance expectations.
* Provide supervision and support to YPSSN Regional Supervisors to ensure the delivery of exceptional quality Peer Support Services in accordance with the Peer Connect curriculum.
* Partner with the Director of Quality Improvement and YPSSN Program Director to assist in the widespread dissemination of the quarterly Youth Satisfaction Survey.
* Review Youth Satisfaction Survey results and share findings with Regional Supervisors \- acknowledge successes and strategize ways to improve youth satisfaction.
* Serve as the lead in arranging all collaborative meetings with the Department and serve as the primary contact person for the Department.
* Monitor YPSSN staff training records in Relias to ensure all required training occurs within established deadlines. Follow\-up as necessary to ensure training occurs and notify the Executive Director of any patterns in delinquency.
* Through case supervision with Reginal Supervisors, review data from the tracking tool, agency electronic record, and youth satisfaction surveys to identify performance strengths within their region and isolate any potential area for improvement \- offering guidance as to shifts in practice that may need to occur to make necessary corrections.
* Visit offices across the various regions during drop\-in hours/other YPSSN scheduled activities to demonstrate support and observe practices, ensuring that each region is delivering services in accordance with the Peer Connect curriculum.
* Review Youth Satisfaction Survey results with the agency management team in addition to strategies being deployed to address any areas of programmatic concern that are lending to a decrease in youth satisfaction.
* Through supervision with Regional Supervisors, review the regional quarterly calendar of YPSSN events to ensure a minimum of 10 drop\-in hours per month is being offered as well as a variety of workshops \- looking for opportunities for Regional Supervisors to share resources and bring youth together statewide.
* Review tracking tool results monthly to ensure each region and program in its entirety is on track in reaching performance goals and deliverables, reporting findings to the agency management team on a quarterly basis, and seeking guidance from the ED when results are not in compliance with contractual expectations.
* Meet with the Statewide and Regional YAB Chairs on a minimum of a monthly basis to provide those areas in which assistance/input is being sought, gather input on areas they have assessed as of late, and to relay program performance results.
* Serve as the main contact for the Statewide and Regional YAB Chairs to assist in offering technical assistance and/or linking the Board with technical assistance from YouthMove.
* Maintain program's social media platforms, including Dischord.
* Network and collaborate with community resources to build a robust schedule of activities/locations and manage those logistics.
**Education, Experience And Certificates**
 The YPSSN Program Manager must have lived experience with Severe Emotional Disturbance or Severe Mental Illness, a bachelor's degree in a related field (i.e. social services, education, rehabilitation, etc.), at least two years of supervisory experience, and a Valid State of Maine Driver's license as well as a registered/insured vehicle. The YPSSN Program Manager must complete all requirements to obtain and maintain appropriate Maine certification in Peer Connect including Peer Connect for Supervisors.</t>
        </is>
      </c>
    </row>
    <row r="36">
      <c r="A36" t="inlineStr">
        <is>
          <t>li-4362116069</t>
        </is>
      </c>
      <c r="B36" t="inlineStr">
        <is>
          <t>OSP Program Manager (Fisherville, VA)</t>
        </is>
      </c>
      <c r="C36" t="inlineStr">
        <is>
          <t>Jobs via Dice</t>
        </is>
      </c>
      <c r="D36" t="inlineStr">
        <is>
          <t>linkedin</t>
        </is>
      </c>
      <c r="E36" t="inlineStr"/>
      <c r="F36" t="inlineStr"/>
      <c r="G36" t="inlineStr">
        <is>
          <t>Fishersville, VA</t>
        </is>
      </c>
      <c r="H36" t="inlineStr"/>
      <c r="I36" t="inlineStr">
        <is>
          <t>**Description**
 Our client is a turn key vendor that support OSP and ISP construction for Telecommunication efforts. They are a large General Contractor that supports the East Coast with strategically located offices and continued expansion. The majority of their business is relative to the Cable TV industry and support MSO's/customers such as Comcast, Sunlink, Cox, Zayo, Windstream, backhaul carriers, etc.
 We are looking for an experienced program manager to support their OSP telecommunications construction efforts not limited to Commercial (Metro E and SMB) and Residential (Multiple Dwelling Units), SDU (Single Dwelling Unit) jobs. This will be mainly supporting Comcast and Sunlink and will be an 60/40 split between aerial/UG for Fisherville.
 The project manager will be involved with Strategic oversight of Cable TV expansions for a few major clients. They will have a team of construction coordinators/managers that report to them who are in charge of the day to day oversight of both internal/external crews supporting the construction builds and providing various updates. The Program Managers role is more client facing, looking at current processes to gain efficiencies, vendor management, internal/external communication. For all intensive purposes they will be running that location and in charge of all general operations such at P\&amp;L, High\-level Fleet Management, Workforce Development, Presentations to Sr. Leadership, etc.
 These will be turn key projects so they will be responsible for overseeing a team of Construction Managers and technicians. The Program Manager should have previous experience with Site Surveys, Site Walks, creating and validating BOM's, approving line items, set expectations with end clients, coordinating construction with various crews (fiber/directional drilling preferred) , performing QC, and working project through close out to validate As\-builts, and overseeing the over all budget of projects. Again, they will have a team of resources executing the day to day, but need to be able to perform QC over all of that. They really need to be comfortable creating accurate timelines after assessing projects, getting the work done efficiently, correctly, and under/on budget.
 This is a direct placement opportunity with a stable and growing company. The main objective for this candidate will be to help take on the additional growth of the VA region and run a portion of the office as if it was their own business.
 Experience working across Design, Permitting, and Construction is a plus. But they do have an in\-house permitting team. Need to have great internal and external communication abilities.
**Skills**
 Osp, Construction, Telecom, fiber optic, coax, project management, budget, PO, Vendor Management, Lifecycle, site development, problem solving, Hyper Fiber Coax, aerial, Infrastructure, excel, Material Management, Surveys, Maps, designs, signal flow, Implementation, Project plan
**Top Skills Details**
 Osp,Construction,Telecom,fiber optic,coax,project management,budget,PO,Vendor Management,Lifecycle,site development,problem solving,Hyper Fiber Coax,aerial,Infrastructure
**Additional Skills \&amp; Qualifications**
 This person needs to be motivated and have the ability to take initiative. They will have a strong support system and need to know when to escalate issues to higher managers. Also in charge of raising awareness around vendors performance. Tons of collaboration internally and externally.
 Providing updates and QC report tracking
 Reporting to client and the Operations Manager weekly
 Tracking in excel
 Assessing project defining scope find bill of materials approve line items
 Engaging in accurate timelines
 Working with contractors and in house construction teams
 Be able to change digital to as\-builds
 On call responsibilities will be helping to mitigate risk with outages. They will need to make sure the Construction Coordinators are working quickly to assure crews are responding in a timely manner.
**Experience Level**
 Expert Level
**Job Type \&amp; Location**
 This is a Permanent position based out of Fishersville, VA.
**Pay And Benefits**
 The pay range for this position is $95000\.00 \- $130000\.00/yr.
 DP, very stable and provides a take home company vehicle, 2 weeks PTO, 1 week sick pay, 401K 100% vested after 1 year, health, dental, vision, etc.
**Workplace Type**
 This is a fully onsite position in Fishersville,VA.
**Application Deadline**
 This position is anticipated to close on Feb 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7">
      <c r="A37" t="inlineStr">
        <is>
          <t>li-4365779847</t>
        </is>
      </c>
      <c r="B37" t="inlineStr">
        <is>
          <t>Entry Level Product Manager: 2026</t>
        </is>
      </c>
      <c r="C37" t="inlineStr">
        <is>
          <t>Lensa</t>
        </is>
      </c>
      <c r="D37" t="inlineStr">
        <is>
          <t>linkedin</t>
        </is>
      </c>
      <c r="E37">
        <f>HYPERLINK("https://www.linkedin.com/jobs/view/4365779847", "https://www.linkedin.com/jobs/view/4365779847")</f>
        <v/>
      </c>
      <c r="F37" t="inlineStr"/>
      <c r="G37" t="inlineStr">
        <is>
          <t>San Jose, CA</t>
        </is>
      </c>
      <c r="H37" t="inlineStr"/>
      <c r="I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38">
      <c r="A38" t="inlineStr">
        <is>
          <t>li-4365785769</t>
        </is>
      </c>
      <c r="B38" t="inlineStr">
        <is>
          <t>Product Owner - Remote</t>
        </is>
      </c>
      <c r="C38" t="inlineStr">
        <is>
          <t>Lensa</t>
        </is>
      </c>
      <c r="D38" t="inlineStr">
        <is>
          <t>linkedin</t>
        </is>
      </c>
      <c r="E38">
        <f>HYPERLINK("https://www.linkedin.com/jobs/view/4365785769", "https://www.linkedin.com/jobs/view/4365785769")</f>
        <v/>
      </c>
      <c r="F38" t="inlineStr"/>
      <c r="G38" t="inlineStr">
        <is>
          <t>Hartford, CT</t>
        </is>
      </c>
      <c r="H38" t="inlineStr"/>
      <c r="I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Our Healthcare Insurance client is looking for a Product Owner for a remote work from home 1 year contract. We are looking for a Product Owner that has a strong background working with Web and Mobile Development Teams, identity \&amp; access management, Multi\-Factor Authentication for a external customer facing web and mobile. This team supports the non\-member (brokers, employers, providers, Medicaid, supplemental insurance, etc.) population of a large insurance companies flagship member portal.
 As a Product Owner you will work in a fast\-paced environment and will carry the responsibility to manage an important part of a digital services and data platform. This role focuses on identity and access management. These are largely API\-based services, so a technical background is highly desired.
 You will be guiding scrum teams with representation from architecture, engineering, product management and others. This role affords you the opportunity to expand your skills by working alongside talented and passionate teammates from diverse backgrounds. You will be contributing to building identity capabilities that are a critical part of our health care platform.
**Key Responsibilities**
* Understand customer needs to define product direction and articulate user stories and features
* Decompose high\-level requirements into user stories and tasks, manage and prioritize the product backlog, participate in scrums and meta\-scrums, and validate delivered solution designs
* Lead quarterly Product Increment planning for your scrum team(s)
* Understand, assess and critique the defined architecture and ensure that the scrum team delivery is aligned to that architecture
* Partner with engineering team to define, track and test user stories in an agile software development life cycle
* Provide product subject matter expertise and leadership
* Work with program management to track schedule against the roadmap and escalate risks and issues
**Background/Experience**
* 3\+ years of professional work experience with a least a couple years working with back\-end systems and APIs
* 1\+ year experience working with identity and access management products
* Technical aptitude and preferably experience managing or using API\-based products
* Demonstrated collaborative style, with ability to lead and influence diverse teams
* Demonstrated experience driving agile product development
* Passion for health and wellness
 Skills/Competencies
* Outstanding verbal and written communication skills
* Ability to thrive in a SAFe Agile development environment
* Experience using Rally to manage user requirements
 EDUCATION Bachelor's degree or equivalent experience.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3\+ years as a Product Owner
 Experience working with Web and Mobile Development Teams
 Experience working in Healthcare Insurance companies
 SAFe Agile
 Multi\-Factor Authentication
 Identity \&amp; Access Management
 experience working on an external member portal (web \&amp; mobile)
 If you have questions about this posting, please contact support@lensa.com</t>
        </is>
      </c>
    </row>
    <row r="39">
      <c r="A39" t="inlineStr">
        <is>
          <t>li-4365790091</t>
        </is>
      </c>
      <c r="B39" t="inlineStr">
        <is>
          <t>Associate Product Manager</t>
        </is>
      </c>
      <c r="C39" t="inlineStr">
        <is>
          <t>Lensa</t>
        </is>
      </c>
      <c r="D39" t="inlineStr">
        <is>
          <t>linkedin</t>
        </is>
      </c>
      <c r="E39">
        <f>HYPERLINK("https://www.linkedin.com/jobs/view/4365790091", "https://www.linkedin.com/jobs/view/4365790091")</f>
        <v/>
      </c>
      <c r="F39" t="inlineStr"/>
      <c r="G39" t="inlineStr">
        <is>
          <t>Rockville, MD</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DealerOn. Clicking "Apply Now" or "Read more" on Lensa redirects you to the job board/employer site. Any information collected there is subject to their terms and privacy notice.
**Job Description**
 The Associate Product Manager plays a key role in shaping and advancing DealerOn’s software solutions. This role supports the entire product lifecycle: research, discovery, definition, delivery, and optimization. The ideal candidate demonstrates strong analytical thinking, curiosity about customer needs, and the ability to translate complex problems into actionable requirements for cross\-functional teams.
 This is an entry to mid\-level position well\-suited for individuals looking to launch or grow their product management career in a fast\-paced, data\-driven, and customer\-focused SaaS environment.
**Essential Functions**
 Product Discovery \&amp; Strategy
* Conduct competitive analysis and industry research within the automotive retail software space to identify market trends, customer challenges, and strategic opportunities.
* Interview customers, dealers, internal SMEs, and partners to understand workflows, pain points, and emerging needs.
* Help define product vision, goals, and success metrics aligned with company strategy.
 Roadmap \&amp; Requirements Management
* Assist in developing and maintaining the product roadmap for your products, balancing customer value, business priorities, and technical feasibility.
* Create clear, concise functional and non\-functional requirements – including user stories, acceptance criteria, and detailed user flows.
* Translate customer and stakeholder requests into well\-defined problem statements and actionable backlog items.
 Cross\-Functional Collaboration
* Work closely with UX/UI designers to refine user experiences, participate in usability testing, and validate solutions before development.
* Partner with engineering teams to ensure shared understanding of requirements, answer questions during development, and support sprint planning and backlog refinement.
* Collaborate with Training, Support, and Marketing teams to ensure product updates are clearly documented, communicated, and understood internally and externally.
* Provide troubleshooting and knowledge support to Operational teams for your products and features.
 Execution \&amp; Delivery
* Participate in Agile ceremonies such as daily standups, sprint planning, retrospectives, and grooming.
* Ensure backlog is prioritized, refined, and consistently aligned with roadmap goals.
* Triage incoming bug reports, feature suggestions, and improvement requests while assessing impact and recommending priority.
* Support release planning by preparing release notes, validating acceptance criteria, and conducting post\-launch analyses.
 Customer \&amp; Stakeholder Communication
* Communicate product decisions, timelines, and updates to stakeholders clearly and proactively.
* Validate feature outcomes through user feedback, analytics, and performance metrics.
* Assist in developing customer\-facing documentation, training materials, and product guides.
**Required Skills \&amp; Experience**
* Bachelor’s degree or equivalent professional experience, preferably in business, engineering, computer science, or related field.
* 1\+ year of experience in SaaS, automotive software, digital retailing, or related technology environment.
* Familiarity with Agile/Scrum methodologies and experience working with product or development teams.
* Proficiency with Product Management software such as Jira, Confluence, or Microsoft Project.
* Strong analytical, communication, and documentation skills.
* Ability to validate acceptance criteria and collaborate with users.
* Highly organized, detail\-oriented, and able to manage multiple priorities.
* Proficiency with Microsoft Office.
* Ability to work autonomously while collaborating effectively in a team environment.
* Strong problem\-solving skills with a customer\-first mindset.
**Preferred Skills \&amp; Experience**
* 2\+ years in product management, business analysis, or a related discipline within SaaS or automotive technology.
* Experience within dealership software, automotive retail operations, digital marketing, or automotive e\-commerce platforms.
* Formal product management training (e.g., Pragmatic, Product School, CSPO).
* Experience using roadmapping tools such as Aha!, ProductPlan, Monday.com.
* Ability to thrive in a dynamic environment with frequently changing priorities.
* Strong technical writing capabilities.
* Experience building lightweight prototypes or wireframes utilizing Balsamiq, Photoshop or AI tools such as Loveable.
 The targeted salary range for this position is $50,900 \- $72,850\.
 The posted salary range for this position may be adjusted based on job\-related factors permitted by law, such as experience and training; internal pay equity; licensure and certifications; market factors; departmental budgets; and responsibility. Our Talent Acquisition Team will be happy to answer any questions.
 This position is open to US residents only.
**About Us**
 We are an online marketing company providing website and agency services to automotive dealerships across North and South America. We are known for our cutting\-edge products that streamline the car buying process and provide an experience both shoppers and dealers love. Our business model is working: we were recognized on the Inc. 5000 list of fastest growing companies six years in a row, expanding to over 30 manufacturer relationship, and over 5,000 dealer partners. We are proud of what our company has done, and it’s all due to the talented and diverse team we’ve been lucky enough to assemble.
**Perks And Benefits**
 Aside from the awesome people you will get to interact with on a daily basis, we offer a number of benefits, including:
* Medical, dental and vision insurance
* Company matched 401K plan
* Flexible PTO \+ Sick Leave
* 6 weeks paid Parental Leave
* 8 Paid National Holidays
* Company\-paid basic Life Insurance
* Voluntary supplemental Life Insurance
* Voluntary long\-term/short\-term disability insurance
* Voluntary Pet Insurance
* Optional Healthcare/Dependent Care FSA Account
 DealerOn is an Equal Opportunity Employer. We celebrate diversity and are committed to creating an inclusive environment for all employees. We also participate in E\-Verify (for more information, click here: E\-Verify Participation and Right to Work). A successful candidate must pass a background check as a condition of joining the team.
 Powered by JazzHR
 If you have questions about this posting, please contact support@lensa.com</t>
        </is>
      </c>
    </row>
    <row r="40">
      <c r="A40" t="inlineStr">
        <is>
          <t>li-4365781858</t>
        </is>
      </c>
      <c r="B40" t="inlineStr">
        <is>
          <t>Product Owner</t>
        </is>
      </c>
      <c r="C40" t="inlineStr">
        <is>
          <t>Lensa</t>
        </is>
      </c>
      <c r="D40" t="inlineStr">
        <is>
          <t>linkedin</t>
        </is>
      </c>
      <c r="E40">
        <f>HYPERLINK("https://www.linkedin.com/jobs/view/4365781858", "https://www.linkedin.com/jobs/view/4365781858")</f>
        <v/>
      </c>
      <c r="F40" t="inlineStr"/>
      <c r="G40" t="inlineStr"/>
      <c r="H40" t="inlineStr"/>
      <c r="I4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Leidos. Clicking "Apply Now" or "Read more" on Lensa redirects you to the job board/employer site. Any information collected there is subject to their terms and privacy notice.
**Description**
 In this rapidly evolving world, Leidos is always looking for new ways to disrupt the status quo, go to market faster, and optimize customer experiences. We’re seeking an experienced product owner to help lead this mission.
 The ideal candidate will have big ideas and strategies that foster an environment of collaboration and creativity. We need someone who has an entrepreneurial mindset for distilling business value and goals into roadmaps and refined product backlogs. Most important, we need a product owner who can help us build better products that people love to use. Candidates will have broad IT experience and deep understanding of IT management and engineering management processes, business acumen, project management, and advise on organization\-wide system improvements and optimization. The successful candidate should be collaborative, analytical thinker with strong problem\-solving and program management skills to deliver the best solutions in support of the customer’s mission. The candidate must possess strong communications skills and the demonstrated ability to convey technical concepts to non\-technical audiences.
 Role will be primarily telecommute. May require onsite meetings in the DC Metro area. Local candidates are preferred.
**Candidate MUST**
 be currently located in the United States for the current three consecutive years
 be US Citizen or US Person (Green Card Holder) with the ability to obtain a level 5 Public Trust Clearance..
**Responsibilities**
* Lead the product\-release plans and set expectations for delivery of new functionalities.
* Develop and communicate a clear product vision and strategy aligned with company objectives.
* Ensure that the team and stakeholders have a shared understanding of the product goals.
* Create, prioritize, and maintain the product backlog, ensuring it is aligned with the product strategy and goals.
* Clearly define user stories and acceptance criteria.
* Act as the primary point of contact for stakeholders, gathering and clarifying requirements and feedback. Manage expectations and ensure stakeholder alignment with product goals and priorities.
* Work closely with the development team to ensure clear understanding of requirements and priorities.
* Participate in Scrum ceremonies, including sprint planning, review, and retrospective meetings.
* Make critical decisions regarding product scope, feature prioritization, and trade\-offs based on business value.
* Balance short\-term and long\-term objectives in decision\-making.
* Define and uphold standards for product quality, including acceptance criteria and definition of done.
* Identify areas for improvement and make data\-driven decisions.
* Adapt and refine the product backlog based on feedback and changing requirements.
* Conduct market and competitor analysis to inform product strategy and identify opportunities.
* Stay up to date with industry trends and innovations.
* Maintain clear and comprehensive product documentation.
* Communicate progress, risks, and changes to stakeholders and team members effectively.
**Basic Qualifications**
* Active Public Trust Clearance or Ability to obtain a Public Trust Clearance
* Bachelor’s Degree and a minimum of 8 years of experience with large\-scale projects/ program(s). 4 additional years of experience considered in lieu of degree.
* In\-depth knowledge of agile methodology for project management.
* Ability to work well under pressure and be flexible at juggling competing priorities. Must be resourceful and independent problem solvers.
* Experience with standard system engineering lifecycle concepts, architectural frameworks, and artifacts to produce working solutions.
* 5\+ years of experience working in an agile role and environment
* Agile certifications Scrum Master (CSM, ACSM, CSP\-SM)
**Preferred Qualifications/Skills**
* Experience within Federal Government, such as DHS, FDA, NIH, or HHS is highly preferred.
* Certifications in Product Owner (CSPO, ACSPO, CSP\-PO), Developer (CSD, CSD\-P, ACSD); ACS\-CF, CAL1, CAS\-S1
* Certifications and Experience with CMMI level certifications
* Proficiency with applicable project management tools and technology.
* Familiar with Microsoft aligned products like Power Platform, M365/MS Teams, and AVD
* Other Expertise in Atlassian suite products, Azure, JAMF, Okta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21,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$92,300\.00 \- $166,850\.00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
 If you believe you are the victim of a scam, contact your local law enforcement and report the incident to the U.S. Federal Trade Commission (https://reportfraud.ftc.gov/\#/) .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
 REQNUMBER: R\-00174146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If you have questions about this posting, please contact support@lensa.com</t>
        </is>
      </c>
    </row>
    <row r="41">
      <c r="A41" t="inlineStr">
        <is>
          <t>li-4365772910</t>
        </is>
      </c>
      <c r="B41" t="inlineStr">
        <is>
          <t>Associate Product Manager (Remote USA - EST)</t>
        </is>
      </c>
      <c r="C41" t="inlineStr">
        <is>
          <t>Lensa</t>
        </is>
      </c>
      <c r="D41" t="inlineStr">
        <is>
          <t>linkedin</t>
        </is>
      </c>
      <c r="E41">
        <f>HYPERLINK("https://www.linkedin.com/jobs/view/4365772910", "https://www.linkedin.com/jobs/view/4365772910")</f>
        <v/>
      </c>
      <c r="F41" t="inlineStr"/>
      <c r="G41" t="inlineStr">
        <is>
          <t>Atlanta, GA</t>
        </is>
      </c>
      <c r="H41" t="inlineStr"/>
      <c r="I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RELX. Clicking "Apply Now" or "Read more" on Lensa redirects you to the job board/employer site. Any information collected there is subject to their terms and privacy notice.
**About The Business**
 LexisNexis Risk Solutions is the essential partner in the assessment of risk. Within our Government vertical, our solutions assist government agencies and law enforcement to drive insights from complex data sets, improving operation efficiency, increasing program integrity, discovering, and recovering revenue, and making timely and informed decisions to enhance investigations. You can learn more about LexisNexis Risk at the link below. https://risk.lexisnexis.com/government
**About The Role**
 The Associate Product Manager will work closely with various groups to translate public safety customer needs into product requirements. They will also help with implementation via collaboration with the development teams. Individuals in this role will become a part of a fast\-paced, highly collaborative team environment that supports innovations and creativity.
 This position can be home based but must be able to work East coast hours. ???????
 ResponsibilitiesCustomer Focus\- Develops and builds awareness of key customer needs, as relayed by others.\- Participates in customer discovery activities with the product team and gives input for solutions.\- Helps others to deliver on existing customer commitments.\- Regularly reads competitive announcements and events.Data\-Driven Decision\-Making \&amp; Analysis\- Seeks out data in partnership with others to support decisions.\- Demonstrates ability to review data from predefined dashboards and shares with team members for decision making.\- Understands key metrics for their feature area and major influencers of these metrics.Go to Market \&amp; Product Marketing Lifecycle\- With clear direction participates in go to market launch plans and activities.\- Develops an understanding of how the product is marketed to customers.\- Participates in select customer events.\- Distributes information to sales and marketing to educate on product issues.Product Delivery \&amp; Development Lifecycle\- Demonstrates an understanding of the customer experience, and the components of a good product.\- Writes clear and concise product requirements that meet guidelines in a timely and effective manner.\- Recommends and plans use of feature functionality.Strategy \&amp; Commercial Acumen\- Develops an understanding of, and executes defined product strategy.\- Proactively asks questions about strategy and goals.Technical Skills\- Learns the company technology stack at a high level, for his/her feature area.\- Ability to write detailed technical user stories and present to internal stakeholders.\- Learns about technologies to assist day\-to\-day tasks.Competencies:Personal Capability\- Is curious and keen to learn and develop new ideas, skills and knowledge\- Acts on feedback to improve him/herself\- Looks for developmental opportunities in day\-to\-day work\- Invests time and energy in self\-development (professional qualifications , relevant reading, networking meetings, etc.)
* Practices Self\-DevelopmentSolves Problems and Analyzes Issues\- Is able to understand, analyze and resolve core issues within own role\- Works with others on solving complex problems and issuesInnovates\- Brainstorms with others to look for different approaches to current process and tasks\- Looks for opportunities to develop new ideas or thinking within own role\- Experiments with new ideas as part of roleInterpersonal SkillsCommunicates Powerfully and Prolifically\- Demonstrates effective conversational skills, including active listening and questioning\- Shares information relevant to own role\- Participates in team presentationsCollaboration and Teamwork\- Develops co\-operative working relationships within the team\- Considers how own style affects others and tailors interactions accordingly\- Looks for ways to develop mutually beneficial relationships across teamsBuilds Relationships\- Is approachable and friendly\- Asks for opinions of others\- Participates in formal and informal gatherings to meet new people and develop new relationships
* Treats all individuals with respectInspires and motivates others to high performance\- Brings enthusiasm to the team\- Gets to know others in the team and what is important to them\- Observes behaviors and models self after the others\- Leads by example by performing at high levelsFocus On ResultsDrives for Results\- Works hard to achieve objectives\- Stays focused on key commitments\- Looks to overcome obstacles or barriers to performing\- Works with others to achieve joint goals
**Requirements**
* Minimum Years of Product Management Experience: 0\-2 years
* Demonstrated ability to manage multiple tasks, projects and priorities.
* Demonstrated critical thinking skills.
* Understanding software development methodologies like Agile Scrum, Kanban and writing user stories.
* Experience in Government or Law Enforcement industries and/or public records is a plus.
* Familiarity with our Law Enforcement products (Accurint Virtual Crime Center and Accurint TraX) is a plus.
* Education to Qualify: Bachelor's or Master's degree in a technical subject (Computer Science or Engineering discipline) is preferred, but not essential.
* US Citizenship is required for this specific role
 Physical and/or logical access to criminal justice information is an essential function of this role. The successful candidate will be required to pass an enhanced criminal background check conducted by the Company's state and local law enforcement partners conducted in compliance with the FBI's Criminal Justice Information System ("CJIS") security policy. Employees in this role may also be subject to ongoing criminal background checks as required by the Company's state and local law enforcement partners. Candidates and/or employees who are not certified by state and local law enforcement to access criminal justice information will not be able to perform the essential functions of this role.
 U.S. National Base Pay Range: $52,800 \- $88,000\. Geographic differentials may apply in some locations to better reflect local market rates.
 Base Pay Range for CO is $52,800 \- $88,000\. Base Pay Range for IL is $55,400 \- $92,400\. Base Pay Range for Chicago, IL is $58,100 \- $96,800\. Base Pay Range for MD is $55,400 \- $92,400\. Base Pay Range for NY is $58,100 \- $96,800\. Base Pay Range for New York City is $60,700 \- $101,200\. Base Pay Range for Rochester, NY is $50,100 \- $83,600\. Base Pay Range for OH is $50,100 \- $83,600\.
 This job is eligible for an annual incentive bonus.
 Application deadline is 01/31/2026\.
**Benefits**
 We know that your wellbeing and happiness are key to a long and successful career. These are some of the benefits we are delighted to offer to our US full\- and part\-time employees working at least 20 hours or more per week:
*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In addition to annual Paid Time Off, we offer up to two days of paid leave each to participate in Employee Resource Groups and to volunteer with your charity of choice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If you have questions about this posting, please contact support@lensa.com</t>
        </is>
      </c>
    </row>
    <row r="42">
      <c r="A42" t="inlineStr">
        <is>
          <t>li-4321388998</t>
        </is>
      </c>
      <c r="B42" t="inlineStr">
        <is>
          <t>Principal Product Manager</t>
        </is>
      </c>
      <c r="C42" t="inlineStr">
        <is>
          <t>GEICO</t>
        </is>
      </c>
      <c r="D42" t="inlineStr">
        <is>
          <t>linkedin</t>
        </is>
      </c>
      <c r="E42">
        <f>HYPERLINK("https://www.linkedin.com/jobs/view/4321388998", "https://www.linkedin.com/jobs/view/4321388998")</f>
        <v/>
      </c>
      <c r="F42" t="inlineStr"/>
      <c r="G42" t="inlineStr">
        <is>
          <t>San Francisco, CA</t>
        </is>
      </c>
      <c r="H42" t="inlineStr"/>
      <c r="I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3">
      <c r="A43" t="inlineStr">
        <is>
          <t>li-4321533032</t>
        </is>
      </c>
      <c r="B43" t="inlineStr">
        <is>
          <t>Principal Product Manager</t>
        </is>
      </c>
      <c r="C43" t="inlineStr">
        <is>
          <t>GEICO</t>
        </is>
      </c>
      <c r="D43" t="inlineStr">
        <is>
          <t>linkedin</t>
        </is>
      </c>
      <c r="E43">
        <f>HYPERLINK("https://www.linkedin.com/jobs/view/4321533032", "https://www.linkedin.com/jobs/view/4321533032")</f>
        <v/>
      </c>
      <c r="F43" t="inlineStr"/>
      <c r="G43" t="inlineStr">
        <is>
          <t>Palo Alto, CA</t>
        </is>
      </c>
      <c r="H43" t="inlineStr"/>
      <c r="I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4">
      <c r="A44" t="inlineStr">
        <is>
          <t>li-4321409250</t>
        </is>
      </c>
      <c r="B44" t="inlineStr">
        <is>
          <t>Principal Product Manager</t>
        </is>
      </c>
      <c r="C44" t="inlineStr">
        <is>
          <t>GEICO</t>
        </is>
      </c>
      <c r="D44" t="inlineStr">
        <is>
          <t>linkedin</t>
        </is>
      </c>
      <c r="E44">
        <f>HYPERLINK("https://www.linkedin.com/jobs/view/4321409250", "https://www.linkedin.com/jobs/view/4321409250")</f>
        <v/>
      </c>
      <c r="F44">
        <f>HYPERLINK("https://click.appcast.io/t/PmcCK1jm-_Tlr-611ekVIioLP1NcRngkmdZl2z8_ERA=?source=LinkedIn&amp;urlHash=-x3C", "https://click.appcast.io/t/PmcCK1jm-_Tlr-611ekVIioLP1NcRngkmdZl2z8_ERA=?source=LinkedIn&amp;urlHash=-x3C")</f>
        <v/>
      </c>
      <c r="G44" t="inlineStr">
        <is>
          <t>San Jose, CA</t>
        </is>
      </c>
      <c r="H44" t="inlineStr"/>
      <c r="I4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5">
      <c r="A45" t="inlineStr">
        <is>
          <t>li-4321483502</t>
        </is>
      </c>
      <c r="B45" t="inlineStr">
        <is>
          <t>Senior Product Manager</t>
        </is>
      </c>
      <c r="C45" t="inlineStr">
        <is>
          <t>Buyers Edge Platform</t>
        </is>
      </c>
      <c r="D45" t="inlineStr">
        <is>
          <t>linkedin</t>
        </is>
      </c>
      <c r="E45">
        <f>HYPERLINK("https://www.linkedin.com/jobs/view/4321483502", "https://www.linkedin.com/jobs/view/4321483502")</f>
        <v/>
      </c>
      <c r="F45">
        <f>HYPERLINK("https://job-boards.greenhouse.io/buyersedgeplatformrecruiting/jobs/4653434005?gh_src=866654c45us&amp;urlHash=cQcQ", "https://job-boards.greenhouse.io/buyersedgeplatformrecruiting/jobs/4653434005?gh_src=866654c45us&amp;urlHash=cQcQ")</f>
        <v/>
      </c>
      <c r="G45" t="inlineStr"/>
      <c r="H45" t="inlineStr"/>
      <c r="I45" t="inlineStr">
        <is>
          <t>We are seeking a
 **Senior Product Manager** 
 who will bridge business priorities with data science capabilities, guiding the development, deployment, and scaling of models that deliver measurable business impact. This role combines strong product owner agile leadership with an understanding of machine learning, predictive modeling, and applied data science.
**Who we are:**
 Buyers Edge Platform stands at the forefront of revolutionizing the foodservice industry through technology, purchasing power and partnerships. We are dedicated to empowering stakeholders across the entire foodservice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foodservice, with over 200K operator locations across North America and over $50 billion of aggregated spend volume. Our commitment to foodservice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*We are focused on performance, not presence. What matters is not that you are sitting in front of your computer from 9am to 5pm, but rather that you build highly effective and efficient software within agreed timelines. In practice, this might mean working extra hours some days to hit that while having other days that allow for more free time and recovery.* 
*Our goal is for Buyers Edge Platform to be a place where people are able to work in a way that is the most efficient and effective for them. This will enable us all to enjoy the solutions we build and the team we are on.*
*We are unable to offer work sponsorship for this role.*
**Your Impact:**
 Product Ownership \&amp; Strategy
* Help our AI product team define the vision, strategy, and roadmap for data science and modeling across the company.
* Build and manage a team’s backlog, directing product lifecycles from concept through deployment and enhancements.
* Help team break large initiatives down into functional \- but incremental \- release milestones.
* Define business cases and success metrics to drive effective backlog prioritization and track team’s measurable impact toward roadmap goals
 AI \&amp; Data Science Leadership
* Partner with data scientists to validate, test, and monitor models for performance, fairness, and business impact.
* Ensure the scalable deployment of models into production environments.
* Understand when AI tooling and agentic workflows are appropriate to power features
 Cross\-Functional Collaboration
* Act as the primary liaison between data science, engineering, product, and executive stakeholders for your team’s deliverables.
* Collaborate with data scientists and internal team stakeholders to ensure clarity of goals, resourcing, and technical feasibility.
* Setup your team’s releases for success: by training employees to use and navigate new products adeptly, and by directing marketing and release content to promote value and expand adoption rates of new features.
 Customer \&amp; Market Insight
* Conduct research with internal and external stakeholders to understand decision\-making workflows and data\-driven opportunities.
* Monitor industry trends, modeling techniques, and competitor approaches to ensure a leading\-edge data science strategy.
* Use insights from model performance and business impact to refine the ai \&amp; data science roadmap.
**About you:**
* 3\+ years in Product Management
* 1\+ year working with AI or Data Science projects
* Experience managing the lifecycle of a customer\-facing product or platform feature
* Proven success launching and optimizing high\-impact messaging or communications products
* Strong product thinking, with the ability to define vision and translate ideas into actionable execution
* Strong analytical mindset, with experience interpreting engagement data and user behavior
* Comfort collaborating across engineering, design, marketing, and data science
 Nice to Have
* Experience integrating with APIs, automation tools, or machine learning models
* Knowledge of the restaurant or foodservice industry
* Understanding of SQL or Python for basic reporting or exploration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46">
      <c r="A46" t="inlineStr">
        <is>
          <t>li-4321423515</t>
        </is>
      </c>
      <c r="B46" t="inlineStr">
        <is>
          <t>Principal Product Manager</t>
        </is>
      </c>
      <c r="C46" t="inlineStr">
        <is>
          <t>GEICO</t>
        </is>
      </c>
      <c r="D46" t="inlineStr">
        <is>
          <t>linkedin</t>
        </is>
      </c>
      <c r="E46">
        <f>HYPERLINK("https://www.linkedin.com/jobs/view/4321423515", "https://www.linkedin.com/jobs/view/4321423515")</f>
        <v/>
      </c>
      <c r="F46">
        <f>HYPERLINK("https://click.appcast.io/t/SHWoL4i4iUNvcwZazO2Za75cZbcnhAebCgsZw93FsuU=?source=LinkedIn&amp;urlHash=DDkF", "https://click.appcast.io/t/SHWoL4i4iUNvcwZazO2Za75cZbcnhAebCgsZw93FsuU=?source=LinkedIn&amp;urlHash=DDkF")</f>
        <v/>
      </c>
      <c r="G46" t="inlineStr">
        <is>
          <t>San Francisco, CA</t>
        </is>
      </c>
      <c r="H46" t="inlineStr"/>
      <c r="I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7">
      <c r="A47" t="inlineStr">
        <is>
          <t>li-4365780854</t>
        </is>
      </c>
      <c r="B47" t="inlineStr">
        <is>
          <t>Technical Product Owner (Remote - Chicago, IL)</t>
        </is>
      </c>
      <c r="C47" t="inlineStr">
        <is>
          <t>Lensa</t>
        </is>
      </c>
      <c r="D47" t="inlineStr">
        <is>
          <t>linkedin</t>
        </is>
      </c>
      <c r="E47">
        <f>HYPERLINK("https://www.linkedin.com/jobs/view/4365780854", "https://www.linkedin.com/jobs/view/4365780854")</f>
        <v/>
      </c>
      <c r="F47" t="inlineStr"/>
      <c r="G47" t="inlineStr">
        <is>
          <t>Chicago, IL</t>
        </is>
      </c>
      <c r="H47" t="inlineStr"/>
      <c r="I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GN Hearing. Clicking "Apply Now" or "Read more" on Lensa redirects you to the job board/employer site. Any information collected there is subject to their terms and privacy notice.
**Technical Product Owner**
* Please consider before applying: While this is a remote role, the selected candidate will be required to physically reside in Chicago, IL or nearby surrounding area.
**Position Overview**
 The primary responsibility of the Technical Product Owner is to prioritize and manage the product backlog, learning the customers and markets to deliver industry\-leading software applications through documenting, analyzing, prioritizing, and agreeing on requirements for the engineering team.
**Essential Functions**
* Translate product road map to features
* Participate in daily Scrum ceremonies, leading refinement sessions, and engaging with implementation team
* Act as a liaison between cross\-functional teams
* Manage product backlog, prioritize features, and create detailed user stories and acceptance criteria for the development team
* Transform business priorities into technical requirements and engage thoroughly to ensure that business objectives are accomplished for PI
* Demonstrate sense of ownership
* Ability to communicate technical concepts, risks and dependencies and translate them into TFS/Azure work items or plans
* Writing and reviewing requirements as well as maintaining the requirements in our requirement systems cross platform
* Participating in scope discussions and facilitating the requirements elicitation process, leading from user needs, business needs, and regulatory requirements into well\-documented requirements suitable for product development
* Contributing to and creating corporate procedures that are related to requirement management and system engineering
**Required Skills (Knowledge And Skills Needed For This Position)**
* Ability to document complex products and systems
* Demonstrate knowledge of concepts, practices, and procedures in engineering and product development
* Demonstrate ability to think both strategically and tactically
* Thorough knowledge of both web\-based and desktop applications
* Experience with Medical devices or regulated healthcare industry
* Ability to communicate across departments
* Experience creating detailed reports and giving presentations
* Experience leading Agile ceremonies for Scrum teams and authoring features, user stories, acceptance criteria and related technical details
* The capacity to engage stakeholders and collaborate with them to define the team's requirements
* Working knowledge of Figma for reviewing UI designs
* Proficiency in Azure DevOps/TFS
**Desired Qualifications**
**Education:** 
 Degree in computer science, engineering or equivalent
**Experience**
* Strong technical understanding of requirements methodologies, tools and best practices
* 5\+ years of software engineering, product development or related experience
* 3\+ years' experience in project delivery role
* Experience in agile development, SAFe
* Medical device experience
* Solid understanding of regulatory requirements and business processes in the medical device industry \- or any other regulated industry
**Pay Transparency Notice**
* The target annual compensation for this position can range from $100,000\.00 \- $115,000\.00 with a discretionary bonus if you are an active employee as of the fiscal year\-end.
* Compensation for roles at GN depends on a wide array of factors including but not limited to location, role, skill set, and level of experience
* To remain competitive, GN offers a competitive benefits package, including annual bonuses, health insurance, a 401(k) plan, and paid vacation and holidays
**We Encourage You To Apply**
 We highly value a mindset, motivation, and energy, that aligns with our core values, to not only ensure growth for you, but for your team and the wider GN organization as well.
**We Are Committed To An Inclusive Recruitment Process**
 GN welcomes applicants from all backgrounds and applicants will receive equal consideration for employment. We make life sound better by developing intelligent sound solutions that transform lives through the power of sound, enabling you to hear more, do more \&amp; be more than you ever thought possible. Founded in 1869, GN group today has more than 6,000 employees.
**Disability Accommodation**
 If you have a disability and you believe you need a reasonable accommodation in order to search for a job opening or to submit an online application, please e\-mail careers.us@gn.com or call 978\-606\-2210\. This email and phone number is created exclusively to assist disabled job seekers whose disability prevents them from being able to apply online. Only messages left for this purpose will be returned. Messages left for other purposes, such as following up on an application or technical issues not related to a disability, will not receive a response.
 GN brings people closer through our advanced intelligent hearing, audio, video, and gaming solutions. Inspired by people and motivated by innovation, we deliver technology that enhances the senses of hearing and sight. We enable people with hearing loss overcome real\-life problems, improve communication and collaboration for businesses and provide great experiences for audio and gaming enthusiasts.
 We hope you will join us on this journey and look forward to receiving your application.
 GN brings people closer through our leading intelligent hearing, audio, video, and gaming solutions. Inspired by people and driven by innovation, we deliver technology that enhance the senses of hearing and sight. We help people with hearing loss overcome real\-life challenges, improve communication and collaboration for businesses, and provide great experiences for audio and gaming enthusiasts.
 GN was founded more than 150 years ago with a vision to connect the world. Today, inspired by our strong heritage, GN touches more lives than ever with the broadest portfolio of products and services in our history \- fostering a sense of community, openness, and understanding.
 By listening to customers and combining our unique expertise in the human ear, audio, video, and speech, wireless technologies, software, and miniaturization, we transform what it takes to bring people closer to what is important to them.
**The GN\-owned brands that are responsible for bringing these technologies to life:**
* Medical grade hearing technology: ReSound (https://www.resound.com/en) , Beltone (https://www.beltone.com/en) , Interton (https://www.interton.com/en) , Jabra (https://www.jabra.com/hearing)
* Professional collaboration: Jabra (https://www.jabra.com/) , BlueParrott (https://www.emea.blueparrott.com/) , FalCom (https://falcom.gn.com/)
* Gaming, calls and media: SteelSeries (https://steelseries.com/) , Jabra (https://www.jabra.com/)
 Founded in 1869, the GN Group employs 7,000 people and is listed on Nasdaq Copenhagen (GN.CO). GN's solutions are sold in around 100 countries across the world.
 If you would like to learn more about us, visit our homepage gn.com or click on our different brands. You can also connect with us on LinkedIn (https://www.linkedin.com/company/gn\-store\-nord/) , Facebook (https://www.facebook.com/gnstorenord/) and Twitter (https://twitter.com/gnstorenord) .
 We are a Equal Opportunity Employer that values a diverse and inclusive workforce. We do not discriminate on the basis of race, color, national origin, religion, age, gender identity, sexual orientation, marital status, disability, genetic information, veteran status, or any other basis prohibited by federal, state, or local law. Women, minorities, veterans, LGBTQIA\+ individuals, and persons with disabilities are encouraged to apply. Come join our team!
 If you have questions about this posting, please contact support@lensa.com</t>
        </is>
      </c>
    </row>
    <row r="48">
      <c r="A48" t="inlineStr">
        <is>
          <t>li-4321533031</t>
        </is>
      </c>
      <c r="B48" t="inlineStr">
        <is>
          <t>Principal Product Manager</t>
        </is>
      </c>
      <c r="C48" t="inlineStr">
        <is>
          <t>GEICO</t>
        </is>
      </c>
      <c r="D48" t="inlineStr">
        <is>
          <t>linkedin</t>
        </is>
      </c>
      <c r="E48">
        <f>HYPERLINK("https://www.linkedin.com/jobs/view/4321533031", "https://www.linkedin.com/jobs/view/4321533031")</f>
        <v/>
      </c>
      <c r="F48" t="inlineStr"/>
      <c r="G48" t="inlineStr">
        <is>
          <t>San Jose, CA</t>
        </is>
      </c>
      <c r="H48" t="inlineStr"/>
      <c r="I4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9">
      <c r="A49" t="inlineStr">
        <is>
          <t>li-4321349283</t>
        </is>
      </c>
      <c r="B49" t="inlineStr">
        <is>
          <t>Principal Product Manager</t>
        </is>
      </c>
      <c r="C49" t="inlineStr">
        <is>
          <t>GEICO</t>
        </is>
      </c>
      <c r="D49" t="inlineStr">
        <is>
          <t>linkedin</t>
        </is>
      </c>
      <c r="E49">
        <f>HYPERLINK("https://www.linkedin.com/jobs/view/4321349283", "https://www.linkedin.com/jobs/view/4321349283")</f>
        <v/>
      </c>
      <c r="F49" t="inlineStr"/>
      <c r="G49" t="inlineStr">
        <is>
          <t>Palo Alto, CA</t>
        </is>
      </c>
      <c r="H49" t="inlineStr"/>
      <c r="I4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0">
      <c r="A50" t="inlineStr">
        <is>
          <t>li-4321399166</t>
        </is>
      </c>
      <c r="B50" t="inlineStr">
        <is>
          <t>Principal Product Manager - AI/ML Infrastructure</t>
        </is>
      </c>
      <c r="C50" t="inlineStr">
        <is>
          <t>GEICO</t>
        </is>
      </c>
      <c r="D50" t="inlineStr">
        <is>
          <t>linkedin</t>
        </is>
      </c>
      <c r="E50">
        <f>HYPERLINK("https://www.linkedin.com/jobs/view/4321399166", "https://www.linkedin.com/jobs/view/4321399166")</f>
        <v/>
      </c>
      <c r="F50" t="inlineStr"/>
      <c r="G50" t="inlineStr">
        <is>
          <t>New York, NY</t>
        </is>
      </c>
      <c r="H50" t="inlineStr"/>
      <c r="I5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1">
      <c r="A51" t="inlineStr">
        <is>
          <t>li-4365773830</t>
        </is>
      </c>
      <c r="B51" t="inlineStr">
        <is>
          <t>Senior Vice President, Product Manager</t>
        </is>
      </c>
      <c r="C51" t="inlineStr">
        <is>
          <t>Lensa</t>
        </is>
      </c>
      <c r="D51" t="inlineStr">
        <is>
          <t>linkedin</t>
        </is>
      </c>
      <c r="E51">
        <f>HYPERLINK("https://www.linkedin.com/jobs/view/4365773830", "https://www.linkedin.com/jobs/view/4365773830")</f>
        <v/>
      </c>
      <c r="F51">
        <f>HYPERLINK("https://lensa.com/cgw/0bb1eb3ce3ac407989d104b1263806cftjo1?jpsi=directemployers&amp;publisher_preference=easier_apply&amp;utm_campaign=Other%20Management%20Occupations&amp;utm_medium=slot&amp;utm_source=linkedin&amp;utm_term=jse&amp;urlHash=K36D", "https://lensa.com/cgw/0bb1eb3ce3ac407989d104b1263806cftjo1?jpsi=directemployers&amp;publisher_preference=easier_apply&amp;utm_campaign=Other%20Management%20Occupations&amp;utm_medium=slot&amp;utm_source=linkedin&amp;utm_term=jse&amp;urlHash=K36D")</f>
        <v/>
      </c>
      <c r="G51" t="inlineStr">
        <is>
          <t>Carrollton, TX</t>
        </is>
      </c>
      <c r="H51" t="inlineStr"/>
      <c r="I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PennyMac. Clicking "Apply Now" or "Read more" on Lensa redirects you to the job board/employer site. Any information collected there is subject to their terms and privacy notice.
 PENNYMAC
 Pennymac is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SVP, Product Manager is adept at translating complex business needs into detailed technical requirements, understanding system architecture, data flows, and integration points, and acting as the critical bridge between business stakeholders and engineering teams. This role is responsible for defining what we build and why, ensuring our technical products are robust, scalable, secure, and effectively enable our business objectives and customer experiences. The SVP, Product Manager will guide, mentor, and empower your team of Product Owners to achieve their product goals.
**The SVP, Product Manager Will**
* Lead, manage, coach, and mentor a team of Product Owners. Foster their professional growth, set clear performance expectations, and cultivate a collaborative, high\-performing product culture within your group
* Define, articulate, and champion a clear, overarching vision and strategy for your collective technical product domain, ensuring alignment with company goals. Guide your Product Owners in developing individual product strategies and roadmaps that contribute to this larger vision
* Oversee the development and aggregation of roadmaps across your teams. Drive strategic prioritization at a group level, managing dependencies and making complex trade\-off decisions that impact multiple product areas
* Provide expert technical guidance to your POs and act as an escalation point for complex technical product decisions. Ensure deep understanding of underlying systems, data, and architecture informs requirements
* Represent your teams' work and strategy, translating complex technical concepts effectively. Ensure seamless collaboration between your POs, their engineering teams, and other dependent groups
* Oversee the end\-to\-end product lifecycle across your teams' products, ensuring best practices are followed from ideation through launch and iteration, with a focus on technical execution, quality, and consistency
* Engage with and influence senior leadership and key stakeholders across the organization. Effectively communicate the collective vision, progress, risks, and strategic direction of your product portfolio
 What You’ll Bring
* Bachelor's degree in Computer Science, Engineering, Information Systems, Business Administration, or a related field
* 10\+ years of progressive experience in product management, business systems analysis, or technical program management, with significant focus on highly technical products (e.g., platforms, APIs, infrastructure, complex backend systems)
* Proven experience (e.g., 3\-5\+ years) directly managing, coaching, and developing a team of Product Managers or Product Owners
* Demonstrable ability to not only perform but also lead and standardize the elicitation, analysis, specification, and validation of complex technical requirements across multiple teams
* Solid understanding of SDLC, Agile methodologies, system architecture, databases, API design, cloud technologies, and integration patterns. Ability to guide technical discussions and decisions
* Excellent analytical, strategic thinking, and problem\-solving skills
* Exceptional communication, presentation, and interpersonal skills, capable of influencing at all levels, including senior executives
* Proven ability to lead, inspire, and manage teams of product professionals in a complex, fast\-paced environment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 We value the hard work and dedication of our employees. In addition to a competitive salary, positions may offer bonus opportunities.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$140,000 \- $175,000
 Work Model
 OFFICE
 If you have questions about this posting, please contact support@lensa.com</t>
        </is>
      </c>
    </row>
    <row r="52">
      <c r="A52" t="inlineStr">
        <is>
          <t>li-4321443185</t>
        </is>
      </c>
      <c r="B52" t="inlineStr">
        <is>
          <t>Principal Product Manager - AI/ML Infrastructure</t>
        </is>
      </c>
      <c r="C52" t="inlineStr">
        <is>
          <t>GEICO</t>
        </is>
      </c>
      <c r="D52" t="inlineStr">
        <is>
          <t>linkedin</t>
        </is>
      </c>
      <c r="E52">
        <f>HYPERLINK("https://www.linkedin.com/jobs/view/4321443185", "https://www.linkedin.com/jobs/view/4321443185")</f>
        <v/>
      </c>
      <c r="F52">
        <f>HYPERLINK("https://click.appcast.io/t/fydt8GbAKCJz04woLTPDjoDl8jQmqSrg7QOhzugvRcI=?source=LinkedIn&amp;urlHash=lNsW", "https://click.appcast.io/t/fydt8GbAKCJz04woLTPDjoDl8jQmqSrg7QOhzugvRcI=?source=LinkedIn&amp;urlHash=lNsW")</f>
        <v/>
      </c>
      <c r="G52" t="inlineStr">
        <is>
          <t>Palo Alto, CA</t>
        </is>
      </c>
      <c r="H52" t="inlineStr"/>
      <c r="I5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3">
      <c r="A53" t="inlineStr">
        <is>
          <t>li-4365803327</t>
        </is>
      </c>
      <c r="B53" t="inlineStr">
        <is>
          <t>Principal Product Manager</t>
        </is>
      </c>
      <c r="C53" t="inlineStr">
        <is>
          <t>GEICO</t>
        </is>
      </c>
      <c r="D53" t="inlineStr">
        <is>
          <t>linkedin</t>
        </is>
      </c>
      <c r="E53">
        <f>HYPERLINK("https://www.linkedin.com/jobs/view/4365803327", "https://www.linkedin.com/jobs/view/4365803327")</f>
        <v/>
      </c>
      <c r="F53" t="inlineStr"/>
      <c r="G53" t="inlineStr">
        <is>
          <t>Chevy Chase, MD</t>
        </is>
      </c>
      <c r="H53" t="inlineStr"/>
      <c r="I5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seeking an accomplished Applied AI Product Leader to spearhead the development and expansion of cutting\-edge artificial intelligence solutions within GEICO's sales division. In this distinguished senior position, you will define the strategic vision for transformative AI initiatives across diverse product lines and multidisciplinary teams. This role provides a unique opportunity to drive pivotal organizational results, shape executive\-level decision\-making, and architect innovative solutions that will redefine the future landscape of GEICO’s sales operations.
 As a visionary strategic leader, you will spearhead AI and machine learning initiatives designed to enhance customer experience and drive operational excellence. You will oversee the integration of advanced technologies, including large language models, computer vision, and predictive analytics, to tackle complex global delivery challenges. This pivotal role requires exceptional technical expertise, keen business insight, and strong problem\-solving capabilities in a thriving, innovative environment.
 This position is a hybrid role 2\-3 days per week in the office.
 Hybrid locations include: Palo Alto, CA, and Chevy Chase, MD
 In this position, you will be responsible for contributing to the development of GEICO’s quoting and binding processes as well as impacting data infrastructure and governance. You will be working directly with senior leadership to define and execute strategies that will set new industry standards.
**Responsibilities**
* Define product strategy and roadmap to boost operational efficiency, and improve customer experience, ensuring alignment with GEICO’s AI goals.
* Use cutting\-edge AI technologies, including language models, to develop features customized for individual needs.
* Coordinate execution across engineering, UX, research, and marketing teams for the development and launch of AI\-powered features.
* Gather and document requirements from diverse stakeholders, defining and maintaining scalable data infrastructure, validating and remediating data streams, and establishing robust governance practices to drive forward the AI strategy.
* Work closely with research teams to support a user\-centered approach, enhance user experience, and set KPIs for measuring feature success.
* Build partnerships with stakeholders throughout GEICO and clearly communicate product vision, strategy, and updates to leadership.
**Basic Qualifications**
* 6\+ years of product management experience, with 3\+ years focusing on AI/ML products
* Experience using quantitative and qualitative data to inform design decisions and drive change
* Experience working with both technical and business stakeholders (Marketing, Operations, Data, etc.)
* Familiar with organizational maturity and related transformation
* Demonstrated experience influencing senior management and setting expectations for major cross\-functional initiatives
* Exceptional written and verbal communication skills
**Preferred Qualifications**
* Experience building large\-scale machine learning and AI solutions at Internet scale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4">
      <c r="A54" t="inlineStr">
        <is>
          <t>li-4321413079</t>
        </is>
      </c>
      <c r="B54" t="inlineStr">
        <is>
          <t>Principal Product Manager</t>
        </is>
      </c>
      <c r="C54" t="inlineStr">
        <is>
          <t>GEICO</t>
        </is>
      </c>
      <c r="D54" t="inlineStr">
        <is>
          <t>linkedin</t>
        </is>
      </c>
      <c r="E54">
        <f>HYPERLINK("https://www.linkedin.com/jobs/view/4321413079", "https://www.linkedin.com/jobs/view/4321413079")</f>
        <v/>
      </c>
      <c r="F54">
        <f>HYPERLINK("https://click.appcast.io/t/SHWoL4i4iUNvcwZazO2Za75cZbcnhAebCgsZw93FsuU=?source=LinkedIn&amp;urlHash=DDkF", "https://click.appcast.io/t/SHWoL4i4iUNvcwZazO2Za75cZbcnhAebCgsZw93FsuU=?source=LinkedIn&amp;urlHash=DDkF")</f>
        <v/>
      </c>
      <c r="G54" t="inlineStr">
        <is>
          <t>Chevy Chase, MD</t>
        </is>
      </c>
      <c r="H54" t="inlineStr"/>
      <c r="I5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seeking a Principal Product Manager \- Data to join us on a transformational journey to leverage data as a strategic asset—driving customer\-centric innovation, operational excellence, and measurable business outcomes. We’re seeking a dynamic leader to elevate our data products, platforms, and analytics capabilities to the next level to drive a transformative initiative focused on improving data reliability, accessibility, and AI readiness across the organization. This role will be pivotal in capturing requirements, validating data streams, establishing robust governance, and ensuring the ongoing health of the data infrastructure to enable self\-service, automation, and personalization.
 As the Principal Product Manager – Data, you will own the vision, strategy, roadmap and execution for high\-impact data products and platforms that empower business partners, analysts, engineers and customers. You will work at the intersection of business, data science/engineering, and technology to deliver scalable, actionable data solutions that enable insights, decision\-making, personalization, risk management, and growth.
 This position is a hybrid role 2\-3 days per week in the office.
 Hybrid locations include: Palo Alto, CA, and Chevy Chase, MD
**Key Responsibilities**
* Requirements Gathering: Lead a comprehensive effort to collect and document requirements from business, product, engineering, and cross\-functional partners.
* Build and Define Data Infrastructure Requirements: Develop, document, and implement requirements to ensure the health, scalability, and reliability of the sales organization’s data infrastructure. Proactively monitor and address infrastructure issues to maintain optimal performance and data integrity.
* Data Validation \&amp; Remediation: Analyze current data streams, identify gaps, and execute remediation plans—starting with core workstreams in the GEICO Insurance Agency as a model for broader adoption.
* Governance \&amp; Quality: Establish and maintain strong data governance practices, including monitoring data thresholds, accuracy, and lineage. Ensure all changes are properly reviewed and approved.
* Self\-Service Enablement: Organize and label data using a dictionary\-driven approach to support scripting, reuse, and accessibility for all teams.
* Training \&amp; Empowerment: Design and deliver a basic scripting bootcamp to empower business users, adjusters, and leaders to independently pull insights, test hypotheses, and interact with AI agents.
* AI Integration: Collaborate on the development and deployment of an AI use case.
* Stakeholder Alignment: Ensure alignment and coverage across all sales departments and cross\-functional teams.
* Evangelize data product capabilities across the organization, enable business users to self\-serve insights, build data literacy, and scale adoption
* Influence senior leadership and engage stakeholders at all levels to build alignment, secure resources, and remove impediments
* Define, measure and manage success metrics (e.g., data quality, availability, latency, self\-service adoption, business impact, ROI) and ensure products deliver measurable value
* Lead trade\-off decisions: balancing business value, technical feasibility, cost, risk and time\-to\-market
**Basic Qualifications**
* Bachelor's degree in computer science, Engineering, Business, or related field (advanced degree preferred)
* 8\-12\+ years of product management experience (or equivalent) including significant experience leading data\-oriented products/platforms
* Proven track record of owning and shipping data products or platforms at scale (e.g., CDP, Customer 360, Data Warehouse, Analytics Platform, Identity/Matching, Data Activation)
* Proven track record of mapping data lineage and architecture to identify gaps and help address solutions.
* Understanding of modern data architectures, query engines, and compute frameworks (Spark, Trino, Databricks, Presto, etc.)
* Experience with APIs, SDKs, or client integration layers for platforms
* Experience with working with vendor platforms, tools, and services as a product manager, incorporating them into the roadmap and product strategy
* Basic understanding of instrumentation, telemetry, and observability practices
* Experience in cloud data ecosystems (AWS, GCP, Azure)
**Preferred Qualifications**
* Experience in the insurance, financial services or other highly regulated domain
* Previous experience as a software or data engineer is a plus
* Experience with data analytics tools (Jupyter Notebooks, Apache Superset, Tableau, Power BI, etc.)
* Experience with semantic models and layers
* Knowledge of data governance frameworks and compliance requirements
* Experience with customer\-centric data use cases: personalization, segmentation, next\-best\-action, lifecycle analytics, fraud detection
* Prior success in building data self\-service tools, data productization, or operationalizing analytics.
* Experience engaging and influencing senior executives
* Experience with distributed systems at scale
* Master's degree in Computer Science, AI or related field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5">
      <c r="A55" t="inlineStr">
        <is>
          <t>li-4365802523</t>
        </is>
      </c>
      <c r="B55" t="inlineStr">
        <is>
          <t>Principal Product Manager - AI/ML Infrastructure</t>
        </is>
      </c>
      <c r="C55" t="inlineStr">
        <is>
          <t>GEICO</t>
        </is>
      </c>
      <c r="D55" t="inlineStr">
        <is>
          <t>linkedin</t>
        </is>
      </c>
      <c r="E55">
        <f>HYPERLINK("https://www.linkedin.com/jobs/view/4365802523", "https://www.linkedin.com/jobs/view/4365802523")</f>
        <v/>
      </c>
      <c r="F55" t="inlineStr"/>
      <c r="G55" t="inlineStr">
        <is>
          <t>Seattle, WA</t>
        </is>
      </c>
      <c r="H55" t="inlineStr"/>
      <c r="I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**Summary**
 GEICO is seeking a dynamic and visionary Principal Product Manager to join our AI Infrastructure team. This leader will partner closely with engineering, architecture, and innovation teams to drive the development, deployment, optimization, and observability of AI/ML platforms and services that power GEICO’s transformation into an AI\-native insurer.
 Job Responsibilities
* Define and execute product strategy for scalable, secure, and efficient AI/ML infrastructure platforms, systems, and services.
* Own the roadmap for core infrastructure initiatives, ensuring alignment with business objectives and technical vision.
* Collaborate with engineering, architecture, and cross\-functional partners to deliver GPU infrastructure, LLM inference gateways, distributed training/serving solutions, and model development services.
* Drive innovation in emerging areas such as quantum ML, confidential AI, infra governance, multimodal inferencing, and model lifecycle management.
* Champion cost optimization efforts, including usage\-based compute planning and model efficiency at scale.
* Establish and maintain processes for model registry, lifecycle management, and governance.
* Serve as the primary point of contact for internal and external stakeholders regarding AI/ML infrastructure initiatives.
* Monitor and report on metrics, impact, quality, reliability, and adoption of AI/ML infrastructure products.
* Contribute to talent enablement and team growth by mentoring product managers and fostering a culture of excellence.
**Candidate Qualifications And Skills**
* 10\+ years of product management experience, with at least 5 years in AI/ML, cloud infrastructure, or related technology domains.
* Proven track record of delivering enterprise\-scale infrastructure products.
* Expertise in model development, deployment, and lifecycle management for AI/ML workloads.
* Strong understanding of GPU platforms, distributed systems, LLMs, and emerging AI technologies.
* Experience collaborating with engineering, architecture, and program management teams in a matrixed environment.
* Exceptional communication, stakeholder management, and leadership skills.
* Ability to translate complex technical requirements into actionable product strategies and roadmaps.
* Bachelor’s degree in Computer Science, Engineering, or related field; advanced degree preferred.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6">
      <c r="A56" t="inlineStr">
        <is>
          <t>li-4365768886</t>
        </is>
      </c>
      <c r="B56" t="inlineStr">
        <is>
          <t>Sr. Technical Product Manager (Remote)</t>
        </is>
      </c>
      <c r="C56" t="inlineStr">
        <is>
          <t>Lensa</t>
        </is>
      </c>
      <c r="D56" t="inlineStr">
        <is>
          <t>linkedin</t>
        </is>
      </c>
      <c r="E56">
        <f>HYPERLINK("https://www.linkedin.com/jobs/view/4365768886", "https://www.linkedin.com/jobs/view/4365768886")</f>
        <v/>
      </c>
      <c r="F56">
        <f>HYPERLINK("https://lensa.com/cgw/917a3aef7c98481fa5a3b90f94f87233tjo1?jpsi=directemployers&amp;publisher_preference=easier_apply&amp;utm_campaign=Operations%20Specialties%20Managers&amp;utm_medium=slot&amp;utm_source=linkedin&amp;utm_term=jse&amp;urlHash=dUZ4", "https://lensa.com/cgw/917a3aef7c98481fa5a3b90f94f87233tjo1?jpsi=directemployers&amp;publisher_preference=easier_apply&amp;utm_campaign=Operations%20Specialties%20Managers&amp;utm_medium=slot&amp;utm_source=linkedin&amp;utm_term=jse&amp;urlHash=dUZ4")</f>
        <v/>
      </c>
      <c r="G56" t="inlineStr">
        <is>
          <t>Washington, DC</t>
        </is>
      </c>
      <c r="H56" t="inlineStr"/>
      <c r="I5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57">
      <c r="A57" t="inlineStr">
        <is>
          <t>li-4366108065</t>
        </is>
      </c>
      <c r="B57" t="inlineStr">
        <is>
          <t>Staff Product Manager-Generative &amp; Agentic AI</t>
        </is>
      </c>
      <c r="C57" t="inlineStr">
        <is>
          <t>EDB</t>
        </is>
      </c>
      <c r="D57" t="inlineStr">
        <is>
          <t>linkedin</t>
        </is>
      </c>
      <c r="E57">
        <f>HYPERLINK("https://www.linkedin.com/jobs/view/4366108065", "https://www.linkedin.com/jobs/view/4366108065")</f>
        <v/>
      </c>
      <c r="F57" t="inlineStr"/>
      <c r="G57" t="inlineStr">
        <is>
          <t>Boise, ID</t>
        </is>
      </c>
      <c r="H57" t="inlineStr"/>
      <c r="I57"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58">
      <c r="A58" t="inlineStr">
        <is>
          <t>li-4366100105</t>
        </is>
      </c>
      <c r="B58" t="inlineStr">
        <is>
          <t>Staff Product Manager-Generative &amp; Agentic AI</t>
        </is>
      </c>
      <c r="C58" t="inlineStr">
        <is>
          <t>EDB</t>
        </is>
      </c>
      <c r="D58" t="inlineStr">
        <is>
          <t>linkedin</t>
        </is>
      </c>
      <c r="E58">
        <f>HYPERLINK("https://www.linkedin.com/jobs/view/4366100105", "https://www.linkedin.com/jobs/view/4366100105")</f>
        <v/>
      </c>
      <c r="F58" t="inlineStr"/>
      <c r="G58" t="inlineStr">
        <is>
          <t>Austin, TX</t>
        </is>
      </c>
      <c r="H58" t="inlineStr"/>
      <c r="I58"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59">
      <c r="A59" t="inlineStr">
        <is>
          <t>li-4366103090</t>
        </is>
      </c>
      <c r="B59" t="inlineStr">
        <is>
          <t>Staff Product Manager-Generative &amp; Agentic AI</t>
        </is>
      </c>
      <c r="C59" t="inlineStr">
        <is>
          <t>EDB</t>
        </is>
      </c>
      <c r="D59" t="inlineStr">
        <is>
          <t>linkedin</t>
        </is>
      </c>
      <c r="E59">
        <f>HYPERLINK("https://www.linkedin.com/jobs/view/4366103090", "https://www.linkedin.com/jobs/view/4366103090")</f>
        <v/>
      </c>
      <c r="F59" t="inlineStr"/>
      <c r="G59" t="inlineStr">
        <is>
          <t>Columbus, OH</t>
        </is>
      </c>
      <c r="H59" t="inlineStr"/>
      <c r="I59"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0">
      <c r="A60" t="inlineStr">
        <is>
          <t>li-4366101103</t>
        </is>
      </c>
      <c r="B60" t="inlineStr">
        <is>
          <t>Staff Product Manager-Generative &amp; Agentic AI</t>
        </is>
      </c>
      <c r="C60" t="inlineStr">
        <is>
          <t>EDB</t>
        </is>
      </c>
      <c r="D60" t="inlineStr">
        <is>
          <t>linkedin</t>
        </is>
      </c>
      <c r="E60">
        <f>HYPERLINK("https://www.linkedin.com/jobs/view/4366101103", "https://www.linkedin.com/jobs/view/4366101103")</f>
        <v/>
      </c>
      <c r="F60">
        <f>HYPERLINK("https://www.businessworkforce.com/job.asp?id=3139586952&amp;aff=52EFF1C4-FB9D-4BBB-9F72-E231CF9CFD29&amp;urlHash=RgpF", "https://www.businessworkforce.com/job.asp?id=3139586952&amp;aff=52EFF1C4-FB9D-4BBB-9F72-E231CF9CFD29&amp;urlHash=RgpF")</f>
        <v/>
      </c>
      <c r="G60" t="inlineStr">
        <is>
          <t>Cheyenne, WY</t>
        </is>
      </c>
      <c r="H60" t="inlineStr"/>
      <c r="I60"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1">
      <c r="A61" t="inlineStr">
        <is>
          <t>li-4365790388</t>
        </is>
      </c>
      <c r="B61" t="inlineStr">
        <is>
          <t>Staff Product Manager-Generative &amp; Agentic AI</t>
        </is>
      </c>
      <c r="C61" t="inlineStr">
        <is>
          <t>EDB</t>
        </is>
      </c>
      <c r="D61" t="inlineStr">
        <is>
          <t>linkedin</t>
        </is>
      </c>
      <c r="E61">
        <f>HYPERLINK("https://www.linkedin.com/jobs/view/4365790388", "https://www.linkedin.com/jobs/view/4365790388")</f>
        <v/>
      </c>
      <c r="F61" t="inlineStr"/>
      <c r="G61" t="inlineStr">
        <is>
          <t>Salem, OR</t>
        </is>
      </c>
      <c r="H61" t="inlineStr"/>
      <c r="I61"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2">
      <c r="A62" t="inlineStr">
        <is>
          <t>li-4366101100</t>
        </is>
      </c>
      <c r="B62" t="inlineStr">
        <is>
          <t>Staff Product Manager-Generative &amp; Agentic AI</t>
        </is>
      </c>
      <c r="C62" t="inlineStr">
        <is>
          <t>EDB</t>
        </is>
      </c>
      <c r="D62" t="inlineStr">
        <is>
          <t>linkedin</t>
        </is>
      </c>
      <c r="E62">
        <f>HYPERLINK("https://www.linkedin.com/jobs/view/4366101100", "https://www.linkedin.com/jobs/view/4366101100")</f>
        <v/>
      </c>
      <c r="F62" t="inlineStr"/>
      <c r="G62" t="inlineStr">
        <is>
          <t>Madison, WI</t>
        </is>
      </c>
      <c r="H62" t="inlineStr"/>
      <c r="I62"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3">
      <c r="A63" t="inlineStr">
        <is>
          <t>li-4366103094</t>
        </is>
      </c>
      <c r="B63" t="inlineStr">
        <is>
          <t>Staff Product Manager-Generative &amp; Agentic AI</t>
        </is>
      </c>
      <c r="C63" t="inlineStr">
        <is>
          <t>EDB</t>
        </is>
      </c>
      <c r="D63" t="inlineStr">
        <is>
          <t>linkedin</t>
        </is>
      </c>
      <c r="E63">
        <f>HYPERLINK("https://www.linkedin.com/jobs/view/4366103094", "https://www.linkedin.com/jobs/view/4366103094")</f>
        <v/>
      </c>
      <c r="F63" t="inlineStr"/>
      <c r="G63" t="inlineStr">
        <is>
          <t>Frankfort, KY</t>
        </is>
      </c>
      <c r="H63" t="inlineStr"/>
      <c r="I63"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4">
      <c r="A64" t="inlineStr">
        <is>
          <t>li-4365793133</t>
        </is>
      </c>
      <c r="B64" t="inlineStr">
        <is>
          <t>Staff Product Manager-Generative &amp; Agentic AI</t>
        </is>
      </c>
      <c r="C64" t="inlineStr">
        <is>
          <t>EDB</t>
        </is>
      </c>
      <c r="D64" t="inlineStr">
        <is>
          <t>linkedin</t>
        </is>
      </c>
      <c r="E64">
        <f>HYPERLINK("https://www.linkedin.com/jobs/view/4365793133", "https://www.linkedin.com/jobs/view/4365793133")</f>
        <v/>
      </c>
      <c r="F64" t="inlineStr"/>
      <c r="G64" t="inlineStr">
        <is>
          <t>St Paul, MN</t>
        </is>
      </c>
      <c r="H64" t="inlineStr"/>
      <c r="I64"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5">
      <c r="A65" t="inlineStr">
        <is>
          <t>li-4358376298</t>
        </is>
      </c>
      <c r="B65" t="inlineStr">
        <is>
          <t>Product Manager II</t>
        </is>
      </c>
      <c r="C65" t="inlineStr">
        <is>
          <t>Cox Automotive Inc.</t>
        </is>
      </c>
      <c r="D65" t="inlineStr">
        <is>
          <t>linkedin</t>
        </is>
      </c>
      <c r="E65">
        <f>HYPERLINK("https://www.linkedin.com/jobs/view/4358376298", "https://www.linkedin.com/jobs/view/4358376298")</f>
        <v/>
      </c>
      <c r="F65" t="inlineStr"/>
      <c r="G65" t="inlineStr">
        <is>
          <t>Austin, TX</t>
        </is>
      </c>
      <c r="H65" t="inlineStr"/>
      <c r="I65" t="inlineStr">
        <is>
          <t>**Cox Automotive** 
 is looking for a
 **Product Manager II** 
 to join our Inventory Management Enablement Services release train. In this role, you'll develop and execute a comprehensive approach to enhance and improve vAuto platform capabilities.
 You will collaborate with cross\-functional teams to deliver solutions that improve vAuto platform \- all while experiencing competitive pay, awesome benefits and an award\-winning workplace culture.
 Excited to dive in? Let's talk!
**What's In It for You?**
 Here's a sneak peek at the benefits you could experience as a Cox employee:
* A competitive salary and top\-notch bonus/incentive plans.
* Professional development and continuing education opportunities.
* The chance to work with fascinating, cutting\-edge platforms.
* Exceptional work\-life balance, flexible time\-off policies and accommodating work schedules.
* Comprehensive healthcare, with multiple options for individuals and families.
* Generous 401(k) retirement plans with company match.
* Inclusive parental leave policies, plus comprehensive fertility coverage and adoption assistance. Check out all our benefits.
**What You'll Do**
 In a nutshell, you'll oversee our teams' efforts to deliver products, capabilities, services and enhancements. Here's what that looks like:
* Supporting release train and scrum teams in product increment (PI) planning, defect prioritization and backlog management.
* Partnering with product managers to understand and influence product strategy.
* Generate ideas for enhancing performance and achieving KPIs.
* Collaborating with scrum teams to build, enhance and manage products.
* Managing stakeholder engagement, addressing problems, managing resolutions and collecting feedback.
* Defining and managing scoping, requirements and prioritization activities, ensuring adherence to standards and traceability.
* Coordinating with other Agile Product Managers to deliver on a vision that crosses multiple delivery streams or release trains.
* Leading projects, identifying and managing risks, applying appropriate project management methods and ensuring project closure and review.
* Conducting analysis and performance monitoring for specified products, supporting problem resolution and contributing to product launches.
**Who You Are**
 You're an expert multitasker who enjoys collaborating with other technical teams. Here's what more you bring to the table:
* A bachelor's degree and 2 years of experience in a related field. The right candidate could also have a different combination, such as a master's degree and up to 2 years of experience; or 6 years' experience in a related field.
* Working knowledge of SAFe Agile methodology.
* The ability to translate data into quantifiable actions or deliverables.
* Experience in design, development and implementation of product plans.
* Experience in full product lifecycle methodologies.
* Experience creating, prioritizing and recommending epics and features.
**Preferred**
* Technical background with hands\-on development experience.
* Experience with cloud platforms (AWS Preferred)
 Let's build something great together. Join Cox today!
 USD 98,300\.00 \- 147,500\.00 per year
**Compensation**
 Compensation includes a base salary of $98,300\.00 \- $147,500\.00\.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66">
      <c r="A66" t="inlineStr">
        <is>
          <t>li-4366104074</t>
        </is>
      </c>
      <c r="B66" t="inlineStr">
        <is>
          <t>Staff Product Manager-Generative &amp; Agentic AI</t>
        </is>
      </c>
      <c r="C66" t="inlineStr">
        <is>
          <t>EDB</t>
        </is>
      </c>
      <c r="D66" t="inlineStr">
        <is>
          <t>linkedin</t>
        </is>
      </c>
      <c r="E66">
        <f>HYPERLINK("https://www.linkedin.com/jobs/view/4366104074", "https://www.linkedin.com/jobs/view/4366104074")</f>
        <v/>
      </c>
      <c r="F66" t="inlineStr"/>
      <c r="G66" t="inlineStr">
        <is>
          <t>Springfield, IL</t>
        </is>
      </c>
      <c r="H66" t="inlineStr"/>
      <c r="I66"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7">
      <c r="A67" t="inlineStr">
        <is>
          <t>li-4365798126</t>
        </is>
      </c>
      <c r="B67" t="inlineStr">
        <is>
          <t>Staff Product Manager-Generative &amp; Agentic AI</t>
        </is>
      </c>
      <c r="C67" t="inlineStr">
        <is>
          <t>EDB</t>
        </is>
      </c>
      <c r="D67" t="inlineStr">
        <is>
          <t>linkedin</t>
        </is>
      </c>
      <c r="E67">
        <f>HYPERLINK("https://www.linkedin.com/jobs/view/4365798126", "https://www.linkedin.com/jobs/view/4365798126")</f>
        <v/>
      </c>
      <c r="F67" t="inlineStr"/>
      <c r="G67" t="inlineStr">
        <is>
          <t>Topeka, KS</t>
        </is>
      </c>
      <c r="H67" t="inlineStr"/>
      <c r="I67"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8">
      <c r="A68" t="inlineStr">
        <is>
          <t>li-4365796129</t>
        </is>
      </c>
      <c r="B68" t="inlineStr">
        <is>
          <t>Staff Product Manager-Generative &amp; Agentic AI</t>
        </is>
      </c>
      <c r="C68" t="inlineStr">
        <is>
          <t>EDB</t>
        </is>
      </c>
      <c r="D68" t="inlineStr">
        <is>
          <t>linkedin</t>
        </is>
      </c>
      <c r="E68">
        <f>HYPERLINK("https://www.linkedin.com/jobs/view/4365796129", "https://www.linkedin.com/jobs/view/4365796129")</f>
        <v/>
      </c>
      <c r="F68" t="inlineStr"/>
      <c r="G68" t="inlineStr">
        <is>
          <t>Jackson, MS</t>
        </is>
      </c>
      <c r="H68" t="inlineStr"/>
      <c r="I68"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69">
      <c r="A69" t="inlineStr">
        <is>
          <t>li-4365794140</t>
        </is>
      </c>
      <c r="B69" t="inlineStr">
        <is>
          <t>Staff Product Manager-Generative &amp; Agentic AI</t>
        </is>
      </c>
      <c r="C69" t="inlineStr">
        <is>
          <t>EDB</t>
        </is>
      </c>
      <c r="D69" t="inlineStr">
        <is>
          <t>linkedin</t>
        </is>
      </c>
      <c r="E69">
        <f>HYPERLINK("https://www.linkedin.com/jobs/view/4365794140", "https://www.linkedin.com/jobs/view/4365794140")</f>
        <v/>
      </c>
      <c r="F69" t="inlineStr"/>
      <c r="G69" t="inlineStr">
        <is>
          <t>Baton Rouge, LA</t>
        </is>
      </c>
      <c r="H69" t="inlineStr"/>
      <c r="I69"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70">
      <c r="A70" t="inlineStr">
        <is>
          <t>li-4321329378</t>
        </is>
      </c>
      <c r="B70" t="inlineStr">
        <is>
          <t>Senior Product Manager - Agency Partner Integrations</t>
        </is>
      </c>
      <c r="C70" t="inlineStr">
        <is>
          <t>GEICO</t>
        </is>
      </c>
      <c r="D70" t="inlineStr">
        <is>
          <t>linkedin</t>
        </is>
      </c>
      <c r="E70">
        <f>HYPERLINK("https://www.linkedin.com/jobs/view/4321329378", "https://www.linkedin.com/jobs/view/4321329378")</f>
        <v/>
      </c>
      <c r="F70" t="inlineStr"/>
      <c r="G70" t="inlineStr">
        <is>
          <t>San Jose, CA</t>
        </is>
      </c>
      <c r="H70" t="inlineStr"/>
      <c r="I7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1">
      <c r="A71" t="inlineStr">
        <is>
          <t>li-4321329380</t>
        </is>
      </c>
      <c r="B71" t="inlineStr">
        <is>
          <t>Senior Product Manager - Agency Partner Integrations</t>
        </is>
      </c>
      <c r="C71" t="inlineStr">
        <is>
          <t>GEICO</t>
        </is>
      </c>
      <c r="D71" t="inlineStr">
        <is>
          <t>linkedin</t>
        </is>
      </c>
      <c r="E71">
        <f>HYPERLINK("https://www.linkedin.com/jobs/view/4321329380", "https://www.linkedin.com/jobs/view/4321329380")</f>
        <v/>
      </c>
      <c r="F71">
        <f>HYPERLINK("https://click.appcast.io/t/myF8tq42f78xCjImTYRlbhHbhYqlvIIt5dVffZ4G3OM=?source=LinkedIn&amp;urlHash=psLO", "https://click.appcast.io/t/myF8tq42f78xCjImTYRlbhHbhYqlvIIt5dVffZ4G3OM=?source=LinkedIn&amp;urlHash=psLO")</f>
        <v/>
      </c>
      <c r="G71" t="inlineStr">
        <is>
          <t>San Francisco, CA</t>
        </is>
      </c>
      <c r="H71" t="inlineStr"/>
      <c r="I7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an accomplished, customer\-obsessed, results\-oriented, and technically strong Product Manager to join our Geico Insurance Agency (GIA) team in the Sales Product Management Organization to support the Partner Integrations that enable Geico to offer products from our third\-party partners.
 We are looking for candidates who have sound Agile product management fundamentals, a proven track record of building and working with teams that deliver full\-stack, Enterprise grade technical platforms and products, from the APIs, Microservices, and SDKs used to integrate with 3rd parties, to the front\-end experiences used by millions of customers and thousands of Agents to shop for their products. A clear record of building strong relationships across teams and functions including internal business partners and other Product teams will be necessary. Successful candidates will also have customer empathy, strong execution skills, and a track record of building and leading multiple high\-performing sprint teams.
 This position is a hybrid role 2\-3 days per week in the office.
 Hybrid locations include: Palo Alto, CA, and Chevy Chase, MD
 In this position, you will lead a team with Technology, Design, and Business to operate and modernize GEICO’s products that enable our customers to find the coverage they need from our eco\-system of partner providers.
**In This Role, You Will Be Accountable For**
* Leading multiple sprint teams that balance a portfolio of products and capabilities focused on partner integrations.
* Increasing sales of partner products by ensuring we have the right selection and optimizing the shopping experience for our customers and agents.
* Building technical products that are scalable and adaptive to changing partner needs and market conditions so that we can offer more products, in more placements, to more prospective customers.
* Promoting and identifying effective ways of working and managing talent to drive sustainable results.
* Inspiring all levels of the company with a compelling product vision that is backed in data and focused on driving continuous value for our customers, partners,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milestones focused on delivering iterative value. Artifacts include Vision, Strategy, Roadmap, Experimentation Plans, Go To Market plans, and ability to define clear Epics, Features, User Stories, and Tasks with clear Acceptance Criteria and Test Plans
* Leading multiple high\-performing teams that are cross\-functional and understand how to work in a matrixed org with dependencies and competing goals
* Partnering with Technology leaders to influence end\-state architecture and drive secure, resilient, performant, and scalable product solutions that solve material customer and business problems
* Leveraging data, running experiments, and 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Familiarity with Insurance products is a plus
**Basic Qualifications**
* 5\+ years of experience in product leadership positions with proven record of accomplishment
* 5\+ years in Agile product management
* 5\+ years of experience creating Consumer or Agent facing products
* 4\+ years managing all aspects of a product feature throughout its lifecycle from concept to delivery
* Bachelor’s Degree
**Preferred Qualifications**
* High sense of accountability and strong problem\-solving skills
* Experience using quantitative and qualitative data to inform design decisions and drive change
* Excellent written and verbal communication skills
* Strong interpersonal and collaborative skills to influence across the organization
* Insurance industry experience preferable, not required
* Agile certifications preferred (i.e., SAFe, Scrum Alliance, Scrum.Org, ICAgile)
**Annual Salary**
 $100,450\.00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2">
      <c r="A72" t="inlineStr">
        <is>
          <t>li-4365769887</t>
        </is>
      </c>
      <c r="B72" t="inlineStr">
        <is>
          <t>Global Product Manager - Fremont, CA or Portland, OR</t>
        </is>
      </c>
      <c r="C72" t="inlineStr">
        <is>
          <t>Lensa</t>
        </is>
      </c>
      <c r="D72" t="inlineStr">
        <is>
          <t>linkedin</t>
        </is>
      </c>
      <c r="E72">
        <f>HYPERLINK("https://www.linkedin.com/jobs/view/4365769887", "https://www.linkedin.com/jobs/view/4365769887")</f>
        <v/>
      </c>
      <c r="F72" t="inlineStr"/>
      <c r="G72" t="inlineStr">
        <is>
          <t>Portland, OR</t>
        </is>
      </c>
      <c r="H72" t="inlineStr"/>
      <c r="I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ECMS \- BASF Environmental Catalyst and Metal Solutions Division. Clicking "Apply Now" or "Read more" on Lensa redirects you to the job board/employer site. Any information collected there is subject to their terms and privacy notice.
 Global Product Manager \- Fremont, CA or Portland, OR
 Fremont, CA, US, 94538Portland, OR, US, 97222
 Leveraging its deep expertise as the global leader in catalysis and precious metals, BASF Environmental Catalyst and Metal Solutions (ECMS) serves customers in many industries including automotive, aerospace, indoor air quality, semiconductors and hydrogen economy, and provides full loop services with its precious metals trading and recycling offering. With a focus on circular solutions and sustainability, ECMS is committed to helping our customers create a cleaner, more sustainable world. Protecting our elements of life is our purpose and this inspires us to ever\-new solutions.
 ECMS operates globally in 15 countries with approximately 20 production sites and over 4,000 employees.
**As the Global Product Manager, Temperature Sensing (TS) you will LEAD by……….**
 Focusing on driving revenue growth and profitability margin expansion primarily by collaborating with different functions such as Sales, Application Technology, Product Development, Manufacturing, Operations, Controlling through partnership to (1\) gain profitable market share, (2\) develop and implement pricing strategies, (3\) develop new products that meets customer needs and enables us to capture additional value, (4\) end\-to\-end profit and operational analysis for optimal business performance for PGM (Platinum Group Metal products) and non\-PGM elements of our business, etc.
 Success is measured by effective business management of the existing line, and development and implementation of a profitable growth strategies in all regions globally focusing on external and internal measures.
 The incumbent is a key member of the TS leadership team, and partners with members to develop and implement the overall business plan.
 In this role you will manage the key business flows:
**Margin Management**
* Responsible for the margin management of the TS portfolio globally
* Ownership of pricing and pricing process
* Initiates activities to reduce costs from the system, including overall end\-to\-end PGM (Platinum Group Metals) and non\-PGM activities
* Customer bids
* Cost and complexity optimization of the TS portfolio by optimizing end\-to\-end activities
**Portfolio Management**
* Responsible for product portfolio strategy per market segments
* Monitors competitive landscape; identifies business opportunities, risks, and unmet needs
* Supports product development and product launch activities
* Coordinates growth projects cross\-business functions and within ECMS.
* Actively participates and decides on product related topics on supply chain, planning, quality, regulatory, product allocation, etc.
* Value chain optimization and capital projects
**Contract Management**
* Partners with Sales for 3rd party agreements
* Partners with Technology Manager to optimize tollers and / or suppliers
**Forecast and short\-term budget process**
* Business financial forecasting in collaboration with Sales, Controlling, Operations, etc.
* Responsible to develop the short\-term plan
**Your elements for success……**
* BA/BS required: a degree in Engineering, or extensive experience in relevant raw materials and markets. MBA Preferred
* Minimum 6 years’ experience in sales, marketing, product management, procurement.
* Demonstrated analytical, organizational, reporting and communication skills plus business acumen are required.
* Knowledge of pricing, business planning, budgeting and forecasting methodology is required.
* Experienced in working in complex, interdisciplinary and cross\-functional teams with ability to build organizational alignment cross\-functionally through collaboration and trust
* Proven track record of achieving short\-term financial results while developing and implementing long\-term measures
* Understanding of PGMs, and/or semiconductor/industrial glass is a plus but not needed
* Must be willing and able to travel 20% of the time, including internationally
***You @ BASF ECMS***
 At BASF ECMS you get more than just compensation, Medical \&amp; Dental. Our total offer includes a wide range of elements you need to be your best in every stage of your life.
* Flexible Work Arrangements whenever possible
* Retirement Benefits with company contributions
* Competitive Medical and Dental Plan Options
* Disability and Life Insurance Programs
* Wellness Programs
* Maternity/Paternity Leave, Infertility \&amp; Adoption reimbursement
* Mentoring \&amp; Development Programs
* Employee Discounts
* Pet insurance
***What are you waiting for? Click Apply now to BELONG@BASF!!***
 BASF ECMS takes security \&amp; data privacy very seriously. We will never request financial information of any kind via email, private text message or direct message on any social medial platform or job board. Furthermore, we will never send a candidate a check for equipment or request any type of payment during the job application process. If you have experienced any of the above, please contact HR4U.US@basf\-catalystsmetals.com to report fraud. BASF is committed to pay transparency practices. The competitive Pay Range for this role is$115k\-$135kannually. Actual pay will be determine based on education, certifications, experience, and other job\-related factor permitted by law.
**All qualified applicants will receive consideration for employment without regard to race, color, religion, sex, sexual orientation, gender identity, national origin, disability, veteran status.**
**Nearest Major Market:** 
 San Francisco
**Nearest Secondary Market:** 
 Oakland
 If you have questions about this posting, please contact support@lensa.com</t>
        </is>
      </c>
    </row>
    <row r="73">
      <c r="A73" t="inlineStr">
        <is>
          <t>li-4365799137</t>
        </is>
      </c>
      <c r="B73" t="inlineStr">
        <is>
          <t>Staff Product Manager-Generative &amp; Agentic AI</t>
        </is>
      </c>
      <c r="C73" t="inlineStr">
        <is>
          <t>EDB</t>
        </is>
      </c>
      <c r="D73" t="inlineStr">
        <is>
          <t>linkedin</t>
        </is>
      </c>
      <c r="E73">
        <f>HYPERLINK("https://www.linkedin.com/jobs/view/4365799137", "https://www.linkedin.com/jobs/view/4365799137")</f>
        <v/>
      </c>
      <c r="F73">
        <f>HYPERLINK("https://www.businessworkforce.com/job.asp?id=3139561797&amp;aff=52EFF1C4-FB9D-4BBB-9F72-E231CF9CFD29&amp;urlHash=gsuQ", "https://www.businessworkforce.com/job.asp?id=3139561797&amp;aff=52EFF1C4-FB9D-4BBB-9F72-E231CF9CFD29&amp;urlHash=gsuQ")</f>
        <v/>
      </c>
      <c r="G73" t="inlineStr">
        <is>
          <t>Little Rock, AR</t>
        </is>
      </c>
      <c r="H73" t="inlineStr"/>
      <c r="I73"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74">
      <c r="A74" t="inlineStr">
        <is>
          <t>li-4365787766</t>
        </is>
      </c>
      <c r="B74" t="inlineStr">
        <is>
          <t>Global Product Manager - Fremont, CA or Portland, OR</t>
        </is>
      </c>
      <c r="C74" t="inlineStr">
        <is>
          <t>Lensa</t>
        </is>
      </c>
      <c r="D74" t="inlineStr">
        <is>
          <t>linkedin</t>
        </is>
      </c>
      <c r="E74">
        <f>HYPERLINK("https://www.linkedin.com/jobs/view/4365787766", "https://www.linkedin.com/jobs/view/4365787766")</f>
        <v/>
      </c>
      <c r="F74">
        <f>HYPERLINK("https://lensa.com/cgw/14dead2c431542c2a5bb312d674834a9tjo1?jpsi=directemployers&amp;publisher_preference=easier_apply&amp;utm_campaign=Other%20Management%20Occupations&amp;utm_medium=slot&amp;utm_source=linkedin&amp;utm_term=jse&amp;urlHash=YkgK", "https://lensa.com/cgw/14dead2c431542c2a5bb312d674834a9tjo1?jpsi=directemployers&amp;publisher_preference=easier_apply&amp;utm_campaign=Other%20Management%20Occupations&amp;utm_medium=slot&amp;utm_source=linkedin&amp;utm_term=jse&amp;urlHash=YkgK")</f>
        <v/>
      </c>
      <c r="G74" t="inlineStr">
        <is>
          <t>Fremont, CA</t>
        </is>
      </c>
      <c r="H74" t="inlineStr"/>
      <c r="I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ECMS \- BASF Environmental Catalyst and Metal Solutions Division. Clicking "Apply Now" or "Read more" on Lensa redirects you to the job board/employer site. Any information collected there is subject to their terms and privacy notice.
 Global Product Manager \- Fremont, CA or Portland, OR
 Fremont, CA, US, 94538Portland, OR, US, 97222
 Leveraging its deep expertise as the global leader in catalysis and precious metals, BASF Environmental Catalyst and Metal Solutions (ECMS) serves customers in many industries including automotive, aerospace, indoor air quality, semiconductors and hydrogen economy, and provides full loop services with its precious metals trading and recycling offering. With a focus on circular solutions and sustainability, ECMS is committed to helping our customers create a cleaner, more sustainable world. Protecting our elements of life is our purpose and this inspires us to ever\-new solutions.
 ECMS operates globally in 15 countries with approximately 20 production sites and over 4,000 employees.
**As the Global Product Manager, Temperature Sensing (TS) you will LEAD by……….**
 Focusing on driving revenue growth and profitability margin expansion primarily by collaborating with different functions such as Sales, Application Technology, Product Development, Manufacturing, Operations, Controlling through partnership to (1\) gain profitable market share, (2\) develop and implement pricing strategies, (3\) develop new products that meets customer needs and enables us to capture additional value, (4\) end\-to\-end profit and operational analysis for optimal business performance for PGM (Platinum Group Metal products) and non\-PGM elements of our business, etc.
 Success is measured by effective business management of the existing line, and development and implementation of a profitable growth strategies in all regions globally focusing on external and internal measures.
 The incumbent is a key member of the TS leadership team, and partners with members to develop and implement the overall business plan.
 In this role you will manage the key business flows:
**Margin Management**
* Responsible for the margin management of the TS portfolio globally
* Ownership of pricing and pricing process
* Initiates activities to reduce costs from the system, including overall end\-to\-end PGM (Platinum Group Metals) and non\-PGM activities
* Customer bids
* Cost and complexity optimization of the TS portfolio by optimizing end\-to\-end activities
**Portfolio Management**
* Responsible for product portfolio strategy per market segments
* Monitors competitive landscape; identifies business opportunities, risks, and unmet needs
* Supports product development and product launch activities
* Coordinates growth projects cross\-business functions and within ECMS.
* Actively participates and decides on product related topics on supply chain, planning, quality, regulatory, product allocation, etc.
* Value chain optimization and capital projects
**Contract Management**
* Partners with Sales for 3rd party agreements
* Partners with Technology Manager to optimize tollers and / or suppliers
**Forecast and short\-term budget process**
* Business financial forecasting in collaboration with Sales, Controlling, Operations, etc.
* Responsible to develop the short\-term plan
**Your elements for success……**
* BA/BS required: a degree in Engineering, or extensive experience in relevant raw materials and markets. MBA Preferred
* Minimum 6 years’ experience in sales, marketing, product management, procurement.
* Demonstrated analytical, organizational, reporting and communication skills plus business acumen are required.
* Knowledge of pricing, business planning, budgeting and forecasting methodology is required.
* Experienced in working in complex, interdisciplinary and cross\-functional teams with ability to build organizational alignment cross\-functionally through collaboration and trust
* Proven track record of achieving short\-term financial results while developing and implementing long\-term measures
* Understanding of PGMs, and/or semiconductor/industrial glass is a plus but not needed
* Must be willing and able to travel 20% of the time, including internationally
***You @ BASF ECMS***
 At BASF ECMS you get more than just compensation, Medical \&amp; Dental. Our total offer includes a wide range of elements you need to be your best in every stage of your life.
* Flexible Work Arrangements whenever possible
* Retirement Benefits with company contributions
* Competitive Medical and Dental Plan Options
* Disability and Life Insurance Programs
* Wellness Programs
* Maternity/Paternity Leave, Infertility \&amp; Adoption reimbursement
* Mentoring \&amp; Development Programs
* Employee Discounts
* Pet insurance
***What are you waiting for? Click Apply now to BELONG@BASF!!***
 BASF ECMS takes security \&amp; data privacy very seriously. We will never request financial information of any kind via email, private text message or direct message on any social medial platform or job board. Furthermore, we will never send a candidate a check for equipment or request any type of payment during the job application process. If you have experienced any of the above, please contact HR4U.US@basf\-catalystsmetals.com to report fraud. BASF is committed to pay transparency practices. The competitive Pay Range for this role is$115k\-$135kannually. Actual pay will be determine based on education, certifications, experience, and other job\-related factor permitted by law.
**All qualified applicants will receive consideration for employment without regard to race, color, religion, sex, sexual orientation, gender identity, national origin, disability, veteran status.**
**Nearest Major Market:** 
 San Francisco
**Nearest Secondary Market:** 
 Oakland
 If you have questions about this posting, please contact support@lensa.com</t>
        </is>
      </c>
    </row>
    <row r="75">
      <c r="A75" t="inlineStr">
        <is>
          <t>li-4365789422</t>
        </is>
      </c>
      <c r="B75" t="inlineStr">
        <is>
          <t>Staff Product Manager-Generative &amp; Agentic AI</t>
        </is>
      </c>
      <c r="C75" t="inlineStr">
        <is>
          <t>EDB</t>
        </is>
      </c>
      <c r="D75" t="inlineStr">
        <is>
          <t>linkedin</t>
        </is>
      </c>
      <c r="E75">
        <f>HYPERLINK("https://www.linkedin.com/jobs/view/4365789422", "https://www.linkedin.com/jobs/view/4365789422")</f>
        <v/>
      </c>
      <c r="F75">
        <f>HYPERLINK("https://www.businessworkforce.com/job.asp?id=3139561700&amp;aff=52EFF1C4-FB9D-4BBB-9F72-E231CF9CFD29&amp;urlHash=-P_b", "https://www.businessworkforce.com/job.asp?id=3139561700&amp;aff=52EFF1C4-FB9D-4BBB-9F72-E231CF9CFD29&amp;urlHash=-P_b")</f>
        <v/>
      </c>
      <c r="G75" t="inlineStr">
        <is>
          <t>Montgomery, AL</t>
        </is>
      </c>
      <c r="H75" t="inlineStr"/>
      <c r="I75"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****Candidate Note: This role is 100% remote for candidates based in the US****
 We're looking for a Product Manager who can help enterprises unlock the transformative potential of generative AI and agentic systems through our platform. You'll own the strategy for how organizations discover, access, and operationalize AI\-shaping products that meet customers where they are while anticipating where the market is heading.
 This role requires someone who can see around corners. The AI landscape is shifting fast, and our customers are navigating real questions about how to adopt these technologies responsibly and effectively. You'll be the connective tissue between what's technically possible, what the market demands, and what customers actually need to succeed.
**Your Impact Will Be**
* Define and drive product strategy for generative AI and agentic capabilities, ensuring our PG AI platform helps enterprises move from experimentation to real business value
* Maintain a sharp perspective on the evolving AI landscape\-understanding how foundation models, agents, and emerging architectures are reshaping enterprise workflows and decision\-making
* Engage directly with customers to understand their AI adoption challenges, use cases, and the barriers standing between them and meaningful outcomes
* Translate market dynamics and customer insights into a clear product vision and roadmap that positions us to win
* Partner closely with engineering to shape product direction, navigate technical tradeoffs, and deliver experiences that are both powerful and accessible
* Collaborate across go\-to\-market teams to develop positioning, messaging, and strategies that resonate with enterprise buyers
* Influence stakeholders at all levels\-building alignment around a shared vision in a space where everyone has opinions and the ground is constantly shifting
**What You Will Bring**
* Proven product management experience with a focus on strategy and market\-facing work, not just delivery
* Strong command of the generative AI and agentic ecosystem\-you understand the capabilities, limitations, and enterprise implications of these technologies
* The ability to translate complex technical concepts into clear customer value and business outcomes
* Excellent collaboration and influence skills\-you know how to partner with engineering as equals, align diverse stakeholders, and drive decisions in ambiguous environments
* Direct experience working with enterprise customers on AI adoption, data strategy, or related domains
* Sharp product instincts and the ability to synthesize customer feedback, competitive dynamics, and market trends into a differentiated point of view
* Clear, compelling communication\-you can articulate a vision that gets engineers, executives, and customers equally excited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76">
      <c r="A76" t="inlineStr">
        <is>
          <t>li-4353465910</t>
        </is>
      </c>
      <c r="B76" t="inlineStr">
        <is>
          <t>Digital Product Manager</t>
        </is>
      </c>
      <c r="C76" t="inlineStr">
        <is>
          <t>Horizon Blue Cross Blue Shield of New Jersey</t>
        </is>
      </c>
      <c r="D76" t="inlineStr">
        <is>
          <t>linkedin</t>
        </is>
      </c>
      <c r="E76">
        <f>HYPERLINK("https://www.linkedin.com/jobs/view/4353465910", "https://www.linkedin.com/jobs/view/4353465910")</f>
        <v/>
      </c>
      <c r="F76" t="inlineStr"/>
      <c r="G76" t="inlineStr">
        <is>
          <t>Newark, NJ</t>
        </is>
      </c>
      <c r="H76" t="inlineStr"/>
      <c r="I76" t="inlineStr">
        <is>
          <t>Horizon Blue Cross Blue Shield of New Jersey empowers our members to achieve their best health. For over 90 years, we have been New Jersey’s health solutions leader driving innovations that improve health care quality, affordability, and member experience. Our members are our neighbors, our friends, and our families. It is this understanding that drives us to better serve and care for the 3\.5 million people who place their trust in us. We pride ourselves on our best\-in\-class employees and strive to maintain an innovative and inclusive environment that allows them to thrive. When our employees bring their best and succeed, the Company succeeds.
 The Digital Product Manager will act as the primary business owner for multiple digital assets within Horizon, responsible for partnering in the development and implementation of the Digital Strategy vision. Develops and delivers digital products and services for assigned portfolio. Incumbent works cross\-functionally to define the strategic roadmap, and with the team, carries that through to the product backlog. Prioritizes Horizon's investment in building capabilities to support and enable business and technology strategies. Ensures the economic return on these investments, and monitors the effectiveness and efficiency of the delivery of the capability building initiatives.
* Manage the strategic product roadmap. Build and prioritize a product backlog.
* Supports execution against the approved product roadmap and prioritizes the product backlog of features. Collaborates with Product Owners / Business Analysts to ensure Themes/Epics are being broken down into workable user stories ready to be worked on by developers.
* Own the management and continual development of the assigned portfolio of digital assets. Take the role of 'Product Manager' in Agile projects by approving new features/functionality, Subject Matter Expert (SME) for their respective product(s).
* Approves work controls of the team; ensuring that the work item is agreed to and the acceptance criteria are met.
* Build strong strategic relationships with Executive level business leaders. Engages the other business stakeholders, acting as a point of contact for cross\-functional collaboration.
* Works with Marketing, Product, and Design teams to understand user experience and business pain points / hot spots.
* Leads and guides business partners in the analysis, selection and implementation of technology and services.
* Provides product capability assessment and direction to business partners in IT to help support technology decision process. Drives product capability decisions that help increase efficiency and improve user experience.
* Aligns with the Strategy and Architecture team to insure that decisions are consistent with the Architecture and Strategy roadmap.
**Education**
* Bachelors degree from an accredited college or university preferred, preferably in Marketing, Information Technology, or related field.
* Masters degree preferred.
* SAFE / CSPO / Pragmatic Marketing or other relevant industry certification preferred.
**Experience**
* Requires a minimum of 5 years of experience in related Digital product work preferably in healthcare, financial services, consumer products or Information Systems.
* Requires a minimum of 3 years of Product management experience which includes either Product owner or product manager experience.
* Demonstrated track record of cross functional relationship management
* Experience in Healthcare Payer industry preferred.
**Knowledge**
* Maintain knowledge of enterprise business plans and key developments in the industry and among competitors.
**Skills And Abilities**
* Previous roles working within Agile environments using Scrum methodologies is a must.
* Significant track record within fast paced digital product management and development role.
* Demonstrate hand on approach for all digital product management, including experience of both launching and optimizing products for mobile devices and desktop technologies.
* Experienced in managing and working together with design, UX/UI and developer teams.
* Well versed in A/B (multivariate) testing and able to evidence previous role as product champion (best practice).
* Demonstrate exceptional analytical, problem solving and critical thinking.
* Ability to articulate complex ideas, presentations and plans simply and with clarity at all levels across the organization (e.g. from junior team members up to board level).
* Able to coach others on Agile processes and practices
**Travel %:**
* Occasional Travel to vendor meetings, conferences and other Horizon facilities
**Horizon BCBSNJ employees must live in New Jersey, New York, Pennsylvania, Connecticut or Delaware**
**Salary Range**
 $109,600 \- $149,625
 This compensation range is specific to the job level and takes into account the wide range of factors that are considered in making compensation decisions, including but not limited to: education, experience, licensure, certifications, geographic location, and internal equity. This range has been created in good faith based on information known to Horizon at the time of posting. Compensation decisions are dependent on the circumstances of each case. Horizon also provides a comprehensive compensation and benefits package which includes:
* Comprehensive health benefits (Medical/Dental/Vision)
* Retirement Plans
* Generous PTO
* Incentive Plans
* Wellness Programs
* Paid Volunteer Time Off
* Tuition Reimbursement
**Disclaimer**
 This job summary has been designed to indicate the general nature and level of work performed by colleagues within this classification. It is not designed to contain or be interpreted as a comprehensive inventory of all duties, responsibilities, and qualifications required of colleagues assigned to this job.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Horizon will consider reasonable accommodation requests as part of the recruiting and hiring process.**</t>
        </is>
      </c>
    </row>
    <row r="77">
      <c r="A77" t="inlineStr">
        <is>
          <t>li-4321443248</t>
        </is>
      </c>
      <c r="B77" t="inlineStr">
        <is>
          <t>Public Sector Program Manager</t>
        </is>
      </c>
      <c r="C77" t="inlineStr">
        <is>
          <t>MSC Industrial Supply Co.</t>
        </is>
      </c>
      <c r="D77" t="inlineStr">
        <is>
          <t>linkedin</t>
        </is>
      </c>
      <c r="E77">
        <f>HYPERLINK("https://www.linkedin.com/jobs/view/4321443248", "https://www.linkedin.com/jobs/view/4321443248")</f>
        <v/>
      </c>
      <c r="F77" t="inlineStr"/>
      <c r="G77" t="inlineStr">
        <is>
          <t>Los Angeles, CA</t>
        </is>
      </c>
      <c r="H77" t="inlineStr"/>
      <c r="I77" t="inlineStr">
        <is>
          <t>**BUILD A BETTER CAREER WITH MSC** 
 Serving customers and our community starts with the best people doing their best work. That is precisely what we have created at MSC Industrial Supply Co. We are a leading North American distributor of metalworking and maintenance, repair, and operations (MRO), products and services. We offer more than 2 million products and have over 80 years of experience across dozens of industries. We aim to execute our Built to Make You Better brand promise for all our stakeholders, including our associates.
**Requisition ID :** 
 19742
**Employment Type :** 
 Full Time
**Job Category :** 
 Sales
**Work Location :** 
 Los Angeles, CA
 BRIEF POSITION SUMMARY:
 Develop, manage and maintain corporate relationships and contract oversight with established government customers within the assigned program(s). Responsible for growing sales and profit at all existing and new customers.
 DUTIES and RESPONSIBILITIES:
 * Develop enterprise and account level strategies for profitable sales growth within the assigned program(s).
 * Identifies and prioritizes, with the assistance of various functional areas, opportunities for improvement within the assigned program(s).
 * Manages the development of solutions and processes to existing problems and looks towards the future to anticipate potential problems within the assigned program(s).
 * Prepares and assembles RFQ proposals that address the customer's needs within established and new customers.
 * Develops and fosters a team environment for all project members.
 * Interprets sales goals and initiatives so that priorities and timelines can be established in a cost\-effective manner.
 * Manages implementation and evaluates progress of key projects within the assigned program(s).
 * Participates in management meetings and provides input for all government projects under discussion.
 * Develops training and collateral material as applicable for the assigned program(s).
 * Manages successful utilization of the assigned program with the assistance of the field.
 * Fosters the MSC Culture in the department and throughout the company to ensure unity of vision and fulfillment of MSC's mission.
 * Drives the MSC Culture in the department and throughout the company to ensure fulfillment of MSC's vision and unity of purpose.
 * Participation in special projects and performs additional duties as required.
 \*INDICATES ESSENTIAL DUTIES
 To perform this job successfully an associate must be able to perform each essential duty satisfactorily. The requirements listed below are representative of knowledge, experience level and abilities required. Reasonable accommodations may be made to enable individuals with disabilities to perform the essential duties.
 EDUCATION and EXPERIENCE:
 * Bachelor's degree in business or the equivalent is required.
 * Minimum of seven years of business experience is required
 * Direct strategic selling experience with the Federal Government Community
 * Demonstrable familiarity with the Government Contractors and GSA.
 * Familiarity with the procurement process, specifically on major Federal Government contracts.
 * Relevant Military experience is a plus.
 SKILLS:
 * Computer literacy and proficiency in word processing, spreadsheet and database software is required.
 * Excellent organizational and planning skills are required.
 * Knowledge of project management techniques and processes are required.
 * Business analysis experience and the ability to identify and implement improvement opportunities are required.
 * Excellent oral and written communication skills are required.
 COMPETENCIES:
 * Government Sales
 * Relationship Development
 * Evaluate Sales Performance
 OTHER REQUIREMENTS
 * A valid state driver's license and the ability to travel 50% or more of the time required.
 * This position may require access to International Traffic in Arms Regulations Information (“ITAR”) and/or Controlled Unclassified Information (“CUI”).
 Compensation starting at $109,010 \- $133,210 plus commission opportunity, depending on candidate location and experience.
 The salary range represented is based on similar roles in comparable industries, and the cost of labor in respective cities. Actual compensation is based on the candidate's relevant experience, education requirements and peer pay equity. The Company reserves the right to modify the range as market conditions change.
 Applicants must be currently authorized to work in the United States. We are unable to sponsor or take over sponsorship of an employment Visa for this position at this time.
 This job posting will remain open for a minimum of 3 business days from the original posting date or longer as needed to fill the position.
**WHY MSC?** 
 People. Collaboration. Insight. That's how you build something that works. Built on a foundation of trust, MSC works side by side with our customers to help them drive business results. With more than one million product offerings and 80\+ years of experience across industries, MSC strives to help our customers achieve greater productivity, profitability, and growth through inventory management and other innovative supply chain solutions. We care about our associates and have programs in place to help our 6,500\+ team members achieve their potential.
**OUR COMMITMENT TO YOU** 
 Our associates are our top priority and investing in their well\-being is one way we execute our Built to Make You Better brand promise. Alongside competitive pay, we have a comprehensive benefits program to support you and your family's health, well\-being and financial future. We offer dynamic healthcare plans, generous 401K and stock purchasing programs, tuition reimbursement opportunities, and paid time away for holidays, vacations, and illness. Visit our page for a better look at our extensive benefits: Your Future Benefits.
 You will also have the opportunity to join our Associate Inclusion Circles: Women, Pride, Black, Generational, Veterans, HOLA, and Able. These circles are open to all associates and are designed to promote awareness, collaboration, and respect.
**EQUAL EMPLOYMENT OPPORTUNITY STATEMENT** 
 At MSC, we are committed to providing an environment of mutual respect where equal employment opportunities are available to all qualified applicants and our associates without regard to race, color, religion, age, sex, national origin, disability, protected veteran status, sexual orientation or any category protected by applicable law. Accommodation requests can be made at any stage of the recruitment process; applicants are asked to make their needs/requirements known.</t>
        </is>
      </c>
    </row>
    <row r="78">
      <c r="A78" t="inlineStr">
        <is>
          <t>li-4321502986</t>
        </is>
      </c>
      <c r="B78" t="inlineStr">
        <is>
          <t>Managed Care and Pharmacy Contracts Program Manager</t>
        </is>
      </c>
      <c r="C78" t="inlineStr">
        <is>
          <t>Korn Ferry</t>
        </is>
      </c>
      <c r="D78" t="inlineStr">
        <is>
          <t>linkedin</t>
        </is>
      </c>
      <c r="E78">
        <f>HYPERLINK("https://www.linkedin.com/jobs/view/4321502986", "https://www.linkedin.com/jobs/view/4321502986")</f>
        <v/>
      </c>
      <c r="F78" t="inlineStr"/>
      <c r="G78" t="inlineStr">
        <is>
          <t>Sacramento, CA</t>
        </is>
      </c>
      <c r="H78" t="inlineStr"/>
      <c r="I78" t="inlineStr">
        <is>
          <t>Korn Ferry has partnered with our client on their search for
 **Managed Care and Pharmacy Contracts Program Manager** 
 Location: Sacramento, California
 Will report to Director of Managed Care and Pharmacy Contracting
 The Managed Care and Pharmacy Contracts Program Manager works independently and proactively with decision\-making responsibility under the general oversight and direction of the Director; assists department/division leadership with and/or independently drafts, negotiates, oversees, coordinates and processes Department’s payor and provider contracts with professional, facility, pharmacy and ancillary payor and provider contracts with “managed care” payors including: HMO/PPO health plans/payors, insurance companies, third party administrators, payor/specialty networks and external providers. He/she will be drafting original and ‘change’ documents, reviews and edits proposed documents and administers all such contractual transactions during the in\-force life of the arrangement. Serves as a resource for UCDH staff and others to provide information and training regarding the financial and operational terms of the contracted arrangements. He/she is responsible for coordination with all impacted UCDH managed care and non\-managed care operational or functional areas. Performs research and incorporates into contracts changes in federal and/or State law and University policy related to health care contracting.
**Key Responsibilities** 
* Negotiate and manage payor, pharmacy and health plan contracts responsible for system revenue in excess of $2 billion.
**Managed Care/Pharmacy Contracting and Negotiations** 
* Evaluates, reviews, analyzes and/or develops Managed Care Contracts agreements for UCDH managed care programs and arrangements.
* Negotiates HMO/PPO health plan/payor, insurance company, third party administrator, payor/specialty network, external provider, pharmacy and downstream agreements; drafts contracts (or modifies payor agreements) and related documents incorporating negotiated terms, implements and administers the contract during its in\-force life.
* Develops, reviews, documents and presents financial and operational analysis/assessments/due diligence as part of contract negotiation and implementation.
* Interacts with internal constituents in the development of contract terms.
* Evaluates contractual and other transactions to identify potential conflicts with University objectives, policies or procedures; adverse impacts on campus programs or resources; and obligations or liabilities (financial or legal) incompatible with University interests.
* Drafts documents (or reviews/modifies those of others if contracting party requires) to comply with federal \&amp; state law, regulations, strategic direction of the health system and University policy.
* Develops/provides supporting documentation for final approval and execution of assigned portfolio contracts.
* Identifies needs for adoption/revision of policies and/or procedures and reviews proposed policy and/or procedure statements prepared by others, as requested; develops proposals for action, presents recommendations to appropriate administrative and management staff.
* Contributes to the documentation and interpretation of various managed care contractual reimbursement and operational terms for internal and external constituents.
**Analysis/Evaluation/Recommendation** 
* Assures all assigned managed care contracts plus other supporting documents are complete and accurate in content; clear and logical in organization; consistent with applicable standards of form; and effective in assuring coordination of related actions.
* Identifies nature of proposed contracts to determine appropriate processing procedures.
* Locates/obtains information needed for performance of duties.
* Researches specific problems or topics as assigned.
* Evaluates requests for approval of exceptions to policy.
**Program Development and Maintenance** 
* Serves as liaison among faculty/staff, campus administrators and government/private entities; works closely to develop supporting operational processes.
* Coordinates with health system legal, governmental, technical and policy guidelines in development of processes. Provides direction/guidance/advice to UCDH faculty/staff and to public and private entities to resolve sensitive, complex and unique contract/managed care problems.
* Works closely with contracting second parties, faculty/staff, University regulatory and financial departments and public authorities regarding post\- execution contract administration.
* Resolves minor disputes, provides assistance for the implementation of all managed care contracts. Documents all changes in the contract through written amendment.
* Responds to inquiries and participates in various work groups and committees.
**Outreach and Training** 
* Apprises department/division management and affected external UCDH business units of policy/procedure/program changes in area of primary responsibility/assigned portfolio;
* Develops/implements appropriate communication with UCDH and contracting parties to transmit changes and assist in implementation.
* Develops agendas and content for workgroups and meetings.
* Issues updates to managed care contracting changes.
* Represents UCDH Contracts Office at workshops and seminars; participates in and presents at campus\-wide, regional and professional meetings.
**Qualifications and Experience** 
* Bachelor's degree in business or related field and/or equivalent combination of education, training, and experience.
* Advanced business or related degree, or degree in Law.
* Demonstrated advanced experience and knowledge pertaining to managed health care programs, products, operations and policies.
* Demonstrated extensive experience preparing and negotiating complex managed care payor and provider contracts documented. Experience negotiating hospital, medical group, ancillary, pharmacy and/or downstream agreements in a health care provider and/or a payor setting.
* 5\+ yrs payer or provider contracting negotiation experience with a healthcare payer/plan and/or a provider/academic provider is preferred.
* Prior work experience in an academic health care system or a payer. Knowledge of academic or healthcare policies, procedures and issues. Familiarity with UCDH's C360 Contract Management Software is preferred.
**Knowledge** 
* Advanced ability to communicate in writing in a clear, concise and professional manner, via email, letter, and contract documents with the ability to interact with a wide variety of individuals and groups in the healthcare private and public sectors, government, non\-profit organizations, and educational institutions, as well as with UCDH faculty and staff.
* Advanced ability to exercise personal initiative and direction, to maintain a sense of self\-confidence sufficient to enable responsibility for decisions, attempt difficult or unfamiliar tasks, develop new sources of information, present recommendations persuasively, and to provide/receive advice effectively.
* Advanced ability to make sound decisions and recommend appropriate strategies/resolutions to department management based upon knowledge and data.
* Operating knowledge and skills necessary to utilize current business and healthcare system applications such as MS365, Word, Excel, SharePoint, Teams, Adobe, meeting Apps, EPIC, etc.
* Advanced detail orientation, organizational and project management skills to negotiate, manage, and track complex managed care contracts and effectively carry out all contracting activities.
* Advanced critical\-thinking, problem\-solving, and project\-management skills to effectively manage and prioritize multiple levels of information and responsibilities, manage projects from inception to completion, assess complex problems and develop an expedient path of resolution.
* Financial modeling skills with expertise in medical data, spreadsheets and database applications is preferred.
* Demonstrated knowledge of pertinent university policies and procedures falling within the scope of the position is preferred.
**SE:** 
 510754439</t>
        </is>
      </c>
    </row>
    <row r="79">
      <c r="A79" t="inlineStr">
        <is>
          <t>li-4365783898</t>
        </is>
      </c>
      <c r="B79" t="inlineStr">
        <is>
          <t>Senior Software Engineering Program Manager, Design Quality Center of Expertise</t>
        </is>
      </c>
      <c r="C79" t="inlineStr">
        <is>
          <t>Medtronic</t>
        </is>
      </c>
      <c r="D79" t="inlineStr">
        <is>
          <t>linkedin</t>
        </is>
      </c>
      <c r="E79">
        <f>HYPERLINK("https://www.linkedin.com/jobs/view/4365783898", "https://www.linkedin.com/jobs/view/4365783898")</f>
        <v/>
      </c>
      <c r="F79" t="inlineStr"/>
      <c r="G79" t="inlineStr">
        <is>
          <t>Mounds View, MN</t>
        </is>
      </c>
      <c r="H79" t="inlineStr"/>
      <c r="I79" t="inlineStr">
        <is>
          <t>We anticipate the application window for this opening will close on \- 6 Feb 2026
 At Medtronic you can begin a life\-long career of exploration and innovation, while helping champion healthcare access and equity for all. You’ll lead with purpose, breaking down barriers to innovation in a more connected, compassionate world.
**A Day in the Life**
 Join us at Medtronic, where we are partnering across the industry to tackle systemic healthcare challenges with bold leadership. If you seek a challenging, energizing, and rewarding career that changes lives, we invite you to join our team. Become part of the next generation of life\-changing medical technology, impacting patients worldwide.
 The Senior Software Engineering Program Manager drives the evolution of Medtronic’s product development processes to set new industry\-leading standards serving as a domain expert in Software Design Control. Lead our team by coaching internal customers across our diverse product portfolio, to elevate Software Design Control capabilities throughout the organization. In this role, you will proactively identify and implement large\-scale initiatives that enhance rigor, productivity and user experience by leveraging cutting\-edge technologies and innovative methodologies.
 At Medtronic, we must work with a sense of purpose and ownership, knowing there is a human life on the other side of every decision.
 We bring bold ideas forward with speed and decisiveness to put patients first in everything we do. In\-person exchanges are invaluable to our work. We’re working 4\+ days a week onsite as part of our commitment to fostering a culture of professional growth and cross\-functional collaboration as we work together to engineer the extraordinary.
**This position will be on\-site, based at one of the following Medtronic North America sites:**
* Mounds View, MN (Twin Cities Campus).
* Irvine, CA (Orange County Campus).
* Tempe, AZ.
* Lafayette, CO (Colorado Campus).
* Danvers, MA or Billerica, MA.
* Memphis, TN.
* Jacksonville, FL.
* Fort Worth, TX
* North Haven, CT
 Responsibilities may include the following and other duties may be assigned.
* Lead enterprise\-wide initiatives with emphasis on Design, Reliability \&amp; Manufacturability/Maintainability (DRM) to ensure product quality, regulatory compliance and operational excellence across all Medtronic Operating Units (OU).
* Apply your technical expertise to Put Patients First every day.
* Apply Design for Reliability and Design for Manufacturability principles to reduce risk, improve First Time Quality (FTQ), and enable efficient design transfer.
* Guide cross\-functional teams through the Product Development Process (PDP) with a strong focus on positive design control outcomes and regulatory adherence.
* Serve as a subject matter expert in CAPA and Post\-Market Surveillance (PMS), ensuring field performance insights are incorporated into early design phases.
* Apply systems engineering principles to coordinate complex, multi\-disciplinary product development efforts from concept through commercialization.
* Leverage biomedical engineering knowledge to ensure designs meet functional, safety, and efficacy requirements in compliance with medical device standards.
* Maintain deep familiarity with FDA 21 CFR Part 820, ISO 13485, IEC 62304, ISO14971 and other design control regulations, providing expert guidance on compliance throughout the development lifecycle.
* Partner closely with R\&amp;D and Quality colleagues to embed best practices in technical rigor, simplify execution, and bring forward individual perspectives that strengthen decision\-making and solution design.
* Conduct / support software engineering capability assessments to drive continuous improvement initiatives and organizational knowledge sharing.
* Improve product quality, regulatory compliance, and operational excellence across all Operating Units (OUs).
* Serve as subject matter expert for:
+ CAPA.
+ Post‑Market Surveillance (PMS).
+ Incorporation of field performance data into early design phases.
* Provide hands‑on coaching to engineering, quality, and cross‑functional teams to strengthen Software Design Control maturity across Medtronic.
**Must Have: Minimum Requirements**
*To be considered for this role, please ensure the minimum requirements are evident in your applicant profile.* 
* Bachelor’s Degree with 7\+ years of work experience in Quality and/or Development, with 5\+ years of managerial experience.
* OR Advanced Degree with 5\+ years of work experience in Quality and/or Development, with 5\+ years of managerial experience.
**Nice to Have: Preferred Qualifications**
* Experience with traditional staged software development life cycles, as well as incremental / Agile development life cycles.
* Experience leading complex projects/programs.
* Experience with SPC, CAPA, NCMR, PDP processes.
* Effective planning and organization skills including the proven ability to work against multiple objectives simultaneously.
* Ability to establish and maintain a trusted role with the various stakeholders in coordinating multiple functions across the organization.
* Working knowledge of Quality System Regulations such as (QSR 21 CFR 820\), and ISO 13485\.
* Working knowledge of Software Development Standards such as IEC 62304, IEC 82304, and IEC 81001\-5\-1\.
* Green Belt Six Sigma/DRM Training/Certification.
* Effective verbal and written communication, analytical, influencing and interpersonal skills.
* Demonstrated working knowledge of process validation, statistical methods, risk management, software engineering best practices.
* Experience with Software \&amp; Systems Reliability tools and methodologies (e.g. IEEE\-1633\).
* Experience with software capability assessment methodologies (e.g. CMMI, ISO/IEC 12207, ISO/IEC 15504, etc.).
* Relevant professional certifications (e.g. ASQ (CSQE), INCOSE, IEEE (PSEM, CSDP), CSSLP, CSM (Scrum Master), etc.).
* Experience in the application of artificial intelligence/machine learning tools and methods to software quality systems and software development life cycles.
* Experience in the application of secure software development lifecycles and frameworks.
* Strong communication and leadership skills with ability to influence without authority.
* Experience influencing large\-scale process adoption across multiple OUs or business groups.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(USD):$149,600\.00 \- $224,400\.00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80">
      <c r="A80" t="inlineStr">
        <is>
          <t>li-4352335481</t>
        </is>
      </c>
      <c r="B80" t="inlineStr">
        <is>
          <t>Program Manager, Permanent Supportive Housing</t>
        </is>
      </c>
      <c r="C80" t="inlineStr">
        <is>
          <t>Central City Concern</t>
        </is>
      </c>
      <c r="D80" t="inlineStr">
        <is>
          <t>linkedin</t>
        </is>
      </c>
      <c r="E80">
        <f>HYPERLINK("https://www.linkedin.com/jobs/view/4352335481", "https://www.linkedin.com/jobs/view/4352335481")</f>
        <v/>
      </c>
      <c r="F80" t="inlineStr"/>
      <c r="G80" t="inlineStr">
        <is>
          <t>Portland, OR</t>
        </is>
      </c>
      <c r="H80" t="inlineStr"/>
      <c r="I80" t="inlineStr">
        <is>
          <t>**Central City Concern is an innovative nonprofit agency providing comprehensive services to single adults and families in the Portland metro area who are impacted by homelessness, poverty and addictions. We hire people that are skilled and passionate to meet our mission to end homelessness through outcome\-based strategies which support personal and community transformation.**
**Schedule:** 
 Monday\-Friday 8am\-5pm
**Location:** 
 Supprotive Housing Dept\-310 NW 6th Ave, Portland, OR 97209
**Salary:** 
 $65 \- $91K
**Summary**
 The Program Manager for Permanent Supportive Housing (PSH) is responsible for direct oversight, development and supervision of the staff supporting residents in PSH, including Case Managers, Peers, and Resident Services Coordinators. This position is responsible for the development and implementation of program improvements and system changes within CCC’s permanent housing. This position is responsible for outcomes management. This position has a large role in ensuring the connectedness between both housing and CCC services and will work strategically across departments to ensure residents are accessing care that meets their specific needs.
**Essential Duties And Responsibilities**
* Provide leadership, oversight, training, support, and supervision to Permanent Supportive Housing program Staff.
* Uphold and implement best practices to ensure consistent service delivery and organizational compliance.
* Create and manage process improvements with a focus on service line integration.
* Collaborate with all relevant City, County, State and Federal agencies to improve, create, and implement programs funded by these agencies in collaboration with designated and non\- designated community partners.
* Attend Workgroups, Stakeholder meetings, and other Community Events that relate to Housing and Supportive Housing, and the intersection between Housing and Health, and represent CCC’s best interest within those meetings.
* Monitor program outcomes in accordance with both CCC and Funding requirements.
* Report program outcomes to leadership on agreed upon cadence.
* Monitor and respond to budget revenues, expenses and variances within the scope of this position.
* Monitor occupancy and vacancy of units and vouchers to ensure occupancy is at an optimum level.
* Work closely with Property Management teams to ensure both the Services team and Community Management teams are coordinating efforts and working as a team.
* Monitor lease enforcement notices, right to remedy interventions, and advocacy opportunities within the supportive housing portfolio in an effort to minimize evictions.
* Monitor referral, intake, and housing case plan standards to ensure optimal performance from direct line staff
* Support development of Community Engagement Strategy with direct reports to ensure housing, income attainment, and education programs are maintained in permanent housing portfolio.
* Monitor and support coordination with Property Management, Occupancy, and care teams.
* Monitor, and assist as appropriate, staff efforts to connect residents with appropriate services to support tenant self\-sufficiency goals.
* Monitor, and assist as appropriate, staff efforts to connect residents to appropriate community\-based resources.
* Maintain oversight of staff input into Apricot Case Management Software, and other Supportive Housing tracking methods
* Work with Permanent Supportive Housing Associate Director on required internal and external reports in an accurate and timely manner.
* Assist in problem solving issues with both staff and residents.
* Ensure all staff are up to date with mandatory trainings.
* Work directly with Supportive Housing Team to ensure resident service programs are implemented at all designated housing sites.
* Work directly with Supportive Housing Team to ensure that all department outcomes and activities are in place, monitored, and reported on.
* Participate in compliance, quality assurance and quality improvement activities as directed.
* Adhere to all state and federal privacy and security regulations applicable to the program, and to CCC policies and agreements regarding confidentiality, privacy, and security.
* Perform other duties as assigned.
**Skills And Abilities**
* Understanding and knowledge of ADFC Housing and Programs, Permanent Supportive Housing, and Resident Services.
* Ability to think strategically and make program and system improvements based on data and outcomes.
* Knowledge of chemical dependency as a disease, chronic homelessness issues, health and mental health issues as they relate to issues of homelessness.
* Ability to work as a team member and to establish priorities.
* Ability to display a non\-judgmental attitude, and a willingness to learn new skills.
* Demonstrated ability to work without supervision.
* Demonstrated knowledge of community and social agencies, and self\-help groups.
* Ability to maintain accurate records and necessary paperwork.
* Ability to manage time and meet deadlines.
* Ability to communicate clearly and concisely, both orally and in writing.
* Ability to plan, organize, prioritize, implement and multi\-task.
* Creative, innovative, and progressive problem\-solver.
* Sufficient manual dexterity and physical ability to perform assigned tasks.
* Ability to communicate clearly and concisely both verbally and in writing.
* Knowledge of how to work with tenant/client who displays behaviors that are combative.
* Ability to work in an environment where people may be verbally hostile.
* Ability to manage time and meet deadlines.
* Ability to understand and follow verbal and written instructions.
* Ability to work courteously with the general public, tenants, and co\-workers.
* Detailed oriented; ability to maintain accurate records and necessary paperwork.
* Ability to learn and apply training instruction.
* Knowledge of de\-escalation methods or ability to be trained in de\-escalation methods.
* Ability to effectively communicate with clients, co\-workers, corrections personnel, police, merchants, the public at large and supervisor.
* Ability to provide leadership.
* Ability to provide advocacy, as appropriate.
* Professional maintenance of appropriate boundaries.
* Ability to establish and maintain cooperative working relationships with those contacted during the course of work.
**Minimum Qualifications**
* High School Diploma or GED required. Bachelor’s degree preferred.
* 5 years of experience working in supportive housing, behavioral health, social services, or related environment with 2 years of supervisory/lead experience required.
* Experience with program design, implementation and measuring outcomes.
* Must be able to proficiently use Microsoft Office including Excel, Outlook, and Word.
* Must pass a pre\-employment drug screen and background check.
* Must not actively be on parole or probation.
* Will be required to carry an agency cell phone for work use. Cell phone will be provided by Central City Concern.
* Must possess a current driver’s license, access to a vehicle, qualify as an Acceptable Driver as designated in Central City Concern’s Fleet Safety policy. Must pass an initial driver’s training within 60 days of being an approved driver and continued recertification training. Must maintain vehicle insurance coverage of a minimum of $100,000/$300,000 personal auto liability coverage.
* Must be able to perform considerable intra\-city travel.
* Must generally have the ability to bend, stoop, kneel, squat, twist, reach, pull and lift heavy objects and climb stairs, with reasonable or no accommodation.
* Must generally adhere to agency’s non\-discrimination policies.
* Ability to effectively interact with co\-workers and clients with diverse ethnic backgrounds, religious views, political affiliation, cultural backgrounds, lifestyles and sexual orientations, and treat individuals with respect and dignity.
* Ability to adhere to Central City Concern’s drug\-free workplace which encourages a safe, healthy and productive work environment and strictly complies with the Drug\-Free Work Place Ace of 1988\. An employee shall not, in the workplace, unlawfully manufacture, distribute, dispense, possess or use a controlled substance or alcohol.
**Benefits**
 Central City Concern offers incredible benefits to our employees. We offer an extensive total rewards package that includes base wages, medical, dental, vision, and voluntary plans. Central City Concern also takes employees’ financial wellness into consideration and provides a rich retirement match.
* Generous paid time off plan beginning at 4 weeks of PTO accrual per year! Accrual amount/rate increases with longevity.
* Amazing 403(b) Retirement Savings plan with an employer match of 4\.25% in your 1st year, 6% in the 2nd year, and 8% in your 3rd year!
* Up to 11 recognized Holidays and 2 personal holidays (dependent on work shift schedule)
* Comprehensive Medical, Vision, and Dental insurance coverage.
* Employer Paid Life, Short\-Term Disability, AND Long\-Term Disability Insurance!
* Sabbatical Program offering extended time off at years 7, 14, and 21\.
* Relocation packages are available for qualified positions/candidates
 This description is intended to provide a snapshot of the work performed and is not designed to contain a comprehensive inventory of all duties, responsibilities, and qualifications required of the position.
 As an agency deeply rooted in recovery, part of our policy and commitment to a drug and alcohol\-free workplace includes post\-offer, pre\-employment drug screens. Please note we follow Federal Guidelines regarding prohibited substances, even for those legal at the state level.
 Central City Concern is a second\-chance employer and complies with applicable laws regarding the consideration of criminal background for employment purposes. Government regulations, contractual requirements, or the duties of this job may require CCC to conduct a background check and take appropriate action to address prior criminal convictions.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2026-01-26T05:25:42Z</dcterms:created>
  <dcterms:modified xsi:type="dcterms:W3CDTF">2026-01-26T05:25:43Z</dcterms:modified>
</cp:coreProperties>
</file>