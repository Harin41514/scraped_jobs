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in-09ef16dae0175eeb</t>
        </is>
      </c>
      <c r="B2" t="inlineStr">
        <is>
          <t>Software Engineer I</t>
        </is>
      </c>
      <c r="C2" t="inlineStr">
        <is>
          <t>Amazon.com</t>
        </is>
      </c>
      <c r="D2" t="inlineStr">
        <is>
          <t>indeed</t>
        </is>
      </c>
      <c r="E2" t="inlineStr"/>
      <c r="F2" t="inlineStr"/>
      <c r="G2" t="inlineStr">
        <is>
          <t>San Francisco, CA, US</t>
        </is>
      </c>
      <c r="H2" s="2" t="n">
        <v>45946</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in-2529299a16b79014</t>
        </is>
      </c>
      <c r="B3" t="inlineStr">
        <is>
          <t>Software Engineer I</t>
        </is>
      </c>
      <c r="C3" t="inlineStr">
        <is>
          <t>Amazon.com</t>
        </is>
      </c>
      <c r="D3" t="inlineStr">
        <is>
          <t>indeed</t>
        </is>
      </c>
      <c r="E3" t="inlineStr"/>
      <c r="F3" t="inlineStr"/>
      <c r="G3" t="inlineStr">
        <is>
          <t>Irvine, CA, US</t>
        </is>
      </c>
      <c r="H3" s="2" t="n">
        <v>45946</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in-c161d3124ef36172</t>
        </is>
      </c>
      <c r="B4" t="inlineStr">
        <is>
          <t>Software Engineer II</t>
        </is>
      </c>
      <c r="C4" t="inlineStr">
        <is>
          <t>Amazon.com</t>
        </is>
      </c>
      <c r="D4" t="inlineStr">
        <is>
          <t>indeed</t>
        </is>
      </c>
      <c r="E4" t="inlineStr"/>
      <c r="F4" t="inlineStr"/>
      <c r="G4" t="inlineStr">
        <is>
          <t>Irvine, CA, US</t>
        </is>
      </c>
      <c r="H4" s="2" t="n">
        <v>45938</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in-f3eaec5bc957eaf0</t>
        </is>
      </c>
      <c r="B5" t="inlineStr">
        <is>
          <t>Software Engineer II</t>
        </is>
      </c>
      <c r="C5" t="inlineStr">
        <is>
          <t>Amazon.com</t>
        </is>
      </c>
      <c r="D5" t="inlineStr">
        <is>
          <t>indeed</t>
        </is>
      </c>
      <c r="E5" t="inlineStr"/>
      <c r="F5" t="inlineStr"/>
      <c r="G5" t="inlineStr">
        <is>
          <t>San Francisco, CA, US</t>
        </is>
      </c>
      <c r="H5" s="2" t="n">
        <v>45938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in-ea7335a443b375bc</t>
        </is>
      </c>
      <c r="B6" t="inlineStr">
        <is>
          <t>Software Engineer II</t>
        </is>
      </c>
      <c r="C6" t="inlineStr">
        <is>
          <t>Amazon.com</t>
        </is>
      </c>
      <c r="D6" t="inlineStr">
        <is>
          <t>indeed</t>
        </is>
      </c>
      <c r="E6" t="inlineStr"/>
      <c r="F6" t="inlineStr"/>
      <c r="G6" t="inlineStr">
        <is>
          <t>Culver City, CA, US</t>
        </is>
      </c>
      <c r="H6" s="2" t="n">
        <v>45938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in-734ec5ae46043838</t>
        </is>
      </c>
      <c r="B7" t="inlineStr">
        <is>
          <t>Software Engineer II</t>
        </is>
      </c>
      <c r="C7" t="inlineStr">
        <is>
          <t>Amazon.com</t>
        </is>
      </c>
      <c r="D7" t="inlineStr">
        <is>
          <t>indeed</t>
        </is>
      </c>
      <c r="E7" t="inlineStr"/>
      <c r="F7" t="inlineStr"/>
      <c r="G7" t="inlineStr">
        <is>
          <t>San Francisco, CA, US</t>
        </is>
      </c>
      <c r="H7" s="2" t="n">
        <v>45938</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in-beea899cf71e8182</t>
        </is>
      </c>
      <c r="B8" t="inlineStr">
        <is>
          <t>Software Engineer II</t>
        </is>
      </c>
      <c r="C8" t="inlineStr">
        <is>
          <t>Amazon.com</t>
        </is>
      </c>
      <c r="D8" t="inlineStr">
        <is>
          <t>indeed</t>
        </is>
      </c>
      <c r="E8" t="inlineStr"/>
      <c r="F8" t="inlineStr"/>
      <c r="G8" t="inlineStr">
        <is>
          <t>Irvine, CA, US</t>
        </is>
      </c>
      <c r="H8" s="2"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in-fe2a73ffdf3a4357</t>
        </is>
      </c>
      <c r="B9" t="inlineStr">
        <is>
          <t>Software Engineer II</t>
        </is>
      </c>
      <c r="C9" t="inlineStr">
        <is>
          <t>Amazon.com</t>
        </is>
      </c>
      <c r="D9" t="inlineStr">
        <is>
          <t>indeed</t>
        </is>
      </c>
      <c r="E9" t="inlineStr"/>
      <c r="F9" t="inlineStr"/>
      <c r="G9" t="inlineStr">
        <is>
          <t>San Francisco, CA, US</t>
        </is>
      </c>
      <c r="H9" s="2" t="n">
        <v>45921</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in-c0c27076d9747cb4</t>
        </is>
      </c>
      <c r="B10" t="inlineStr">
        <is>
          <t>Sr Software Engineer</t>
        </is>
      </c>
      <c r="C10" t="inlineStr">
        <is>
          <t>Amazon.com</t>
        </is>
      </c>
      <c r="D10" t="inlineStr">
        <is>
          <t>indeed</t>
        </is>
      </c>
      <c r="E10" t="inlineStr"/>
      <c r="F10" t="inlineStr"/>
      <c r="G10" t="inlineStr">
        <is>
          <t>San Francisco, CA, US</t>
        </is>
      </c>
      <c r="H10" s="2" t="n">
        <v>45921</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in-50d99a3b2aaef3d3</t>
        </is>
      </c>
      <c r="B11" t="inlineStr">
        <is>
          <t>Sr Software Engineer</t>
        </is>
      </c>
      <c r="C11" t="inlineStr">
        <is>
          <t>Amazon.com</t>
        </is>
      </c>
      <c r="D11" t="inlineStr">
        <is>
          <t>indeed</t>
        </is>
      </c>
      <c r="E11" t="inlineStr"/>
      <c r="F11" t="inlineStr"/>
      <c r="G11" t="inlineStr">
        <is>
          <t>Irvine, CA, US</t>
        </is>
      </c>
      <c r="H11" s="2" t="n">
        <v>45921</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in-97254e5da0de39b6</t>
        </is>
      </c>
      <c r="B12" t="inlineStr">
        <is>
          <t>Software Engineer II</t>
        </is>
      </c>
      <c r="C12" t="inlineStr">
        <is>
          <t>Amazon.com</t>
        </is>
      </c>
      <c r="D12" t="inlineStr">
        <is>
          <t>indeed</t>
        </is>
      </c>
      <c r="E12" t="inlineStr"/>
      <c r="F12" t="inlineStr"/>
      <c r="G12" t="inlineStr">
        <is>
          <t>Irvine, CA, US</t>
        </is>
      </c>
      <c r="H12" s="2" t="n">
        <v>45921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in-5f0f38744f298879</t>
        </is>
      </c>
      <c r="B13" t="inlineStr">
        <is>
          <t>Software Engineer I- Ad Demand</t>
        </is>
      </c>
      <c r="C13" t="inlineStr">
        <is>
          <t>Amazon.com</t>
        </is>
      </c>
      <c r="D13" t="inlineStr">
        <is>
          <t>indeed</t>
        </is>
      </c>
      <c r="E13" t="inlineStr"/>
      <c r="F13" t="inlineStr"/>
      <c r="G13" t="inlineStr">
        <is>
          <t>San Francisco, CA, US</t>
        </is>
      </c>
      <c r="H13" s="2" t="n">
        <v>45908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in-249069c5d4ea8728</t>
        </is>
      </c>
      <c r="B14" t="inlineStr">
        <is>
          <t>Software Engineer I- Ad Demand</t>
        </is>
      </c>
      <c r="C14" t="inlineStr">
        <is>
          <t>Amazon.com</t>
        </is>
      </c>
      <c r="D14" t="inlineStr">
        <is>
          <t>indeed</t>
        </is>
      </c>
      <c r="E14" t="inlineStr"/>
      <c r="F14" t="inlineStr"/>
      <c r="G14" t="inlineStr">
        <is>
          <t>New York, NY, US</t>
        </is>
      </c>
      <c r="H14" s="2" t="n">
        <v>45908</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in-b58bb6c421249a60</t>
        </is>
      </c>
      <c r="B15" t="inlineStr">
        <is>
          <t>Senior Software Engineer, Twitch</t>
        </is>
      </c>
      <c r="C15" t="inlineStr">
        <is>
          <t>Amazon.com</t>
        </is>
      </c>
      <c r="D15" t="inlineStr">
        <is>
          <t>indeed</t>
        </is>
      </c>
      <c r="E15" t="inlineStr"/>
      <c r="F15" t="inlineStr"/>
      <c r="G15" t="inlineStr">
        <is>
          <t>San Francisco, CA, US</t>
        </is>
      </c>
      <c r="H15" s="2" t="n">
        <v>45995</v>
      </c>
      <c r="I1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in-9d1133e3effea5f3</t>
        </is>
      </c>
      <c r="B16" t="inlineStr">
        <is>
          <t>Senior Software Engineer, Twitch</t>
        </is>
      </c>
      <c r="C16" t="inlineStr">
        <is>
          <t>Amazon.com</t>
        </is>
      </c>
      <c r="D16" t="inlineStr">
        <is>
          <t>indeed</t>
        </is>
      </c>
      <c r="E16" t="inlineStr"/>
      <c r="F16" t="inlineStr"/>
      <c r="G16" t="inlineStr">
        <is>
          <t>Seattle, WA, US</t>
        </is>
      </c>
      <c r="H16" s="2" t="n">
        <v>45995</v>
      </c>
      <c r="I1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in-a93ccb6b8afa5f05</t>
        </is>
      </c>
      <c r="B17" t="inlineStr">
        <is>
          <t>Sr. Software Engineer (ML), AGI Customization</t>
        </is>
      </c>
      <c r="C17" t="inlineStr">
        <is>
          <t>Amazon.com</t>
        </is>
      </c>
      <c r="D17" t="inlineStr">
        <is>
          <t>indeed</t>
        </is>
      </c>
      <c r="E17" t="inlineStr"/>
      <c r="F17" t="inlineStr"/>
      <c r="G17" t="inlineStr">
        <is>
          <t>Boston, MA, US</t>
        </is>
      </c>
      <c r="H17" s="2" t="n">
        <v>45964</v>
      </c>
      <c r="I17"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in-d568dfded496b070</t>
        </is>
      </c>
      <c r="B18" t="inlineStr">
        <is>
          <t>Sr. Software Engineer (ML), AGI Customization</t>
        </is>
      </c>
      <c r="C18" t="inlineStr">
        <is>
          <t>Amazon.com</t>
        </is>
      </c>
      <c r="D18" t="inlineStr">
        <is>
          <t>indeed</t>
        </is>
      </c>
      <c r="E18" t="inlineStr"/>
      <c r="F18" t="inlineStr"/>
      <c r="G18" t="inlineStr">
        <is>
          <t>Sunnyvale, CA, US</t>
        </is>
      </c>
      <c r="H18" s="2" t="n">
        <v>45964</v>
      </c>
      <c r="I18"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in-23b82cc078f4bdde</t>
        </is>
      </c>
      <c r="B19" t="inlineStr">
        <is>
          <t>Senior Software Engineer, AI Agents, Supply Chain</t>
        </is>
      </c>
      <c r="C19" t="inlineStr">
        <is>
          <t>Apple</t>
        </is>
      </c>
      <c r="D19" t="inlineStr">
        <is>
          <t>indeed</t>
        </is>
      </c>
      <c r="E19" t="inlineStr"/>
      <c r="F19" t="inlineStr"/>
      <c r="G19" t="inlineStr">
        <is>
          <t>Cupertino, CA, US</t>
        </is>
      </c>
      <c r="H19" s="2" t="n">
        <v>46046</v>
      </c>
      <c r="I19" t="inlineStr">
        <is>
          <t>Apple has one of the most complicated and efficient supply chains in the world, powered by world class internal systems and tools developed and managed by the Global Sourcing and Supply Management (GSSM) Solutions \&amp; Strategy team. These tools enable us to effectively manage costs, supply, and bring supply chain intelligence to the forefront of our decisions. We are looking for a Product Manager to be responsible for the product strategy, roadmap, and execution to streamline, analyze, and drive decisions. This means creating intuitive experiences that leverage the full potential of a Frontier LLM while being simple, approachable and incredibly powerful.  
We work cross\-functionally and you will partner daily with our AI engineers, designers, software developers \&amp; stakeholders to build impactful software products, specifically unlocking new Agentic experiences. We believe in going deep on user research and data analysis to decide where we would should go next with our products, we believe in delivering iterative features quickly and continuously improving our products and processes, and we are a strong design and product\-led organization. We love talking to and working with our users every day to enable them to do their best work.  
We want someone that has experience taking an idea from the whiteboard to production and then scale it.  
**Description**  
The GSSM organization enables the mass production of Apple's entire product line from iPhones, iPads and MacBooks to the Mac Pro, AppleTV, Apple Watch and Vision Pro. Part of the magic that makes all of this possible is a robust set of applications and systems designed and developed by Apple that support the production of a product from prototype to announcement and beyond.  
The applications we build are used daily by the people at Apple that manage supply, cost, BOM across all products and regions. We have a large cross functional user group including Global supply managers, Material Program managers, Ops Finance, Legal, Suppliers and Contract Manufacturers. We work closely with them to design and architect the best solutions for the challenges faced when making the highest quality hardware products.  
We are actively expanding our AI capabilities to drive daily efficiencies, pushing to develop cutting\-edge solutions that leverage MCP and agentic technologies to revolutionize supply chain management for Apple. This role demands a deep understanding of AI principles, practical experience in building and deploying AI\-powered applications, and a passion for pushing the boundaries of what's possible. You will be instrumental in driving the next generation of AI  
**Preferred Qualifications**  
Experience building AI\-powered products, including the use of MCP and agent\-based systems, and familiarity with large language model frameworks for evaluating and fine\-tuning models  
Good understanding of building enterprise\-grade ML pipelines (data prep, distributed training, optimization, monitoring) in cloud environments  
Product\-first mindset with a demonstrated ability to define, build, and scale intentional product processes shared cross\-functionally  
Proven ability to shape, articulate, and communicate a compelling product vision, strategy, and iterative roadmap that balances user needs, business goals, stakeholder priorities, and team capacity, and to inspire teams to execute against it  
Deep customer empathy, with experience building delightful user experiences by understanding and solving real user needs and pain points.  
Data\-driven decision\-making skills, with experience in user research, usability studies, analytics, and business data to prioritize work and drive impactful outcomes.  
Demonstrated leadership and influence across product teams, stakeholders, and senior leadership through clear communication of product decisions, roadmaps, and long\-term goals.  
Strong collaboration skills, including the ability to work closely with engineers and designers, and effectively prioritize among competing needs.  
Experience with supply chain processes and consumer product design is not required, but you must have an interest in learning about these areas and becoming deeply familiar with this domain  
**Minimum Qualifications**  
BA/BS in Computer Science or a technical degree  
8\+ years experience working with software product teams, either in a product role, or design or engineering  
5\+ years of product management experience building complex tools and systems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0">
      <c r="A20" t="inlineStr">
        <is>
          <t>in-1023bc5bb4ea3733</t>
        </is>
      </c>
      <c r="B20" t="inlineStr">
        <is>
          <t>Sr. Software Engineer (ML), AGI Foundations</t>
        </is>
      </c>
      <c r="C20" t="inlineStr">
        <is>
          <t>Amazon.com</t>
        </is>
      </c>
      <c r="D20" t="inlineStr">
        <is>
          <t>indeed</t>
        </is>
      </c>
      <c r="E20" t="inlineStr"/>
      <c r="F20" t="inlineStr"/>
      <c r="G20" t="inlineStr">
        <is>
          <t>Sunnyvale, CA, US</t>
        </is>
      </c>
      <c r="H20" s="2" t="n">
        <v>45803</v>
      </c>
      <c r="I20"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1">
      <c r="A21" t="inlineStr">
        <is>
          <t>in-f1ba432e43b35557</t>
        </is>
      </c>
      <c r="B21" t="inlineStr">
        <is>
          <t>Sr. Software Engineer (ML), AGI Foundations</t>
        </is>
      </c>
      <c r="C21" t="inlineStr">
        <is>
          <t>Amazon.com</t>
        </is>
      </c>
      <c r="D21" t="inlineStr">
        <is>
          <t>indeed</t>
        </is>
      </c>
      <c r="E21" t="inlineStr"/>
      <c r="F21" t="inlineStr"/>
      <c r="G21" t="inlineStr">
        <is>
          <t>Bellevue, WA, US</t>
        </is>
      </c>
      <c r="H21" s="2" t="n">
        <v>45803</v>
      </c>
      <c r="I21"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2">
      <c r="A22" t="inlineStr">
        <is>
          <t>in-e672e4f69d48a177</t>
        </is>
      </c>
      <c r="B22" t="inlineStr">
        <is>
          <t>Software Engineer- AI/ML, AWS Neuron Distributed Training</t>
        </is>
      </c>
      <c r="C22" t="inlineStr">
        <is>
          <t>Amazon Web Services</t>
        </is>
      </c>
      <c r="D22" t="inlineStr">
        <is>
          <t>indeed</t>
        </is>
      </c>
      <c r="E22" t="inlineStr"/>
      <c r="F22" t="inlineStr"/>
      <c r="G22" t="inlineStr">
        <is>
          <t>Seattle, WA, US</t>
        </is>
      </c>
      <c r="H22" s="2" t="n">
        <v>45727</v>
      </c>
      <c r="I2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in-9b0e52e5879de7de</t>
        </is>
      </c>
      <c r="B23" t="inlineStr">
        <is>
          <t>Software Engineer- AI/ML, AWS Neuron Distributed Training</t>
        </is>
      </c>
      <c r="C23" t="inlineStr">
        <is>
          <t>Amazon Web Services</t>
        </is>
      </c>
      <c r="D23" t="inlineStr">
        <is>
          <t>indeed</t>
        </is>
      </c>
      <c r="E23" t="inlineStr"/>
      <c r="F23" t="inlineStr"/>
      <c r="G23" t="inlineStr">
        <is>
          <t>Cupertino, CA, US</t>
        </is>
      </c>
      <c r="H23" s="2" t="n">
        <v>45727</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in-552d9d90ce9545bb</t>
        </is>
      </c>
      <c r="B24" t="inlineStr">
        <is>
          <t>Sr. Software Engineer- AI/ML, AWS Neuron Distributed Training</t>
        </is>
      </c>
      <c r="C24" t="inlineStr">
        <is>
          <t>Amazon Web Services</t>
        </is>
      </c>
      <c r="D24" t="inlineStr">
        <is>
          <t>indeed</t>
        </is>
      </c>
      <c r="E24" t="inlineStr"/>
      <c r="F24" t="inlineStr"/>
      <c r="G24" t="inlineStr">
        <is>
          <t>Cupertino, CA, US</t>
        </is>
      </c>
      <c r="H24" s="2" t="n">
        <v>45713</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in-bae3ffe9018ee1e0</t>
        </is>
      </c>
      <c r="B25" t="inlineStr">
        <is>
          <t>Sr. Software Engineer- AI/ML, AWS Neuron Distributed Training</t>
        </is>
      </c>
      <c r="C25" t="inlineStr">
        <is>
          <t>Amazon Web Services</t>
        </is>
      </c>
      <c r="D25" t="inlineStr">
        <is>
          <t>indeed</t>
        </is>
      </c>
      <c r="E25" t="inlineStr"/>
      <c r="F25" t="inlineStr"/>
      <c r="G25" t="inlineStr">
        <is>
          <t>Seattle, WA, US</t>
        </is>
      </c>
      <c r="H25" s="2" t="n">
        <v>45713</v>
      </c>
      <c r="I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in-81b3b5d812ce6b5b</t>
        </is>
      </c>
      <c r="B26" t="inlineStr">
        <is>
          <t>Junior Typescript Software Developer</t>
        </is>
      </c>
      <c r="C26" t="inlineStr">
        <is>
          <t>Excalibur Security</t>
        </is>
      </c>
      <c r="D26" t="inlineStr">
        <is>
          <t>indeed</t>
        </is>
      </c>
      <c r="E26" t="inlineStr"/>
      <c r="F26" t="inlineStr"/>
      <c r="G26" t="inlineStr">
        <is>
          <t>Los Angeles, CA, US</t>
        </is>
      </c>
      <c r="H26" s="2" t="n">
        <v>46047</v>
      </c>
      <c r="I26" t="inlineStr">
        <is>
          <t>\*PLEASE ANSWER ALL SCREENING QUESTIONS EVEN IF INDEED SAYS IT'S 'OPTIONAL.'
We are a security guard company seeking a full or part time Junior Software Developer familiar with typescript, node JS, React, and competent backend development skills. Great opportunity for talented computer science student of recent grad interested in both software development and business. Because we are a security guard business we seek someone who is willing to work at a quiet client location in a guard shack, helping out now and then with some very basic security tasks like locking a gate and making sure only authorized persons are on property. With that said, the security work is minimal and the majority of the time will be devoted to coding, assisting in the creation and launch of our new application that will allow HR Departments to check in with their employees, ensuring there are no major work\-related problems such as:
\*all previous pay was complete and accurate
\*meal and rest breaks were taken consistent with law
\*no harassment, discrimination, off\-the\-clock\-work, injury
Our guard company already uses an Excel\-based Messaging system and, because of it's success, we want to create a legacy, commercial\-grade version of it, use it for our guard company and also sell it on the open market along a time\-and \-attendance and scheduling solution.
This is NOT a remote position. Again, please answer all screening question
Job Types: Full\-time, Part\-time
Pay: From $20\.00 per hour
Application Question(s):
* What part of the city do you live?
* how do you feel about coding in typescript while also helping out in a quiet guard position or reception capacity?
* please rank yourself on a scale of 1 to 10 (ten being expert) a) node js b) react c) typescript
* what about this position appeals to you ?
Work Location: In person</t>
        </is>
      </c>
    </row>
    <row r="27">
      <c r="A27" t="inlineStr">
        <is>
          <t>in-83ba4b05dbe11a10</t>
        </is>
      </c>
      <c r="B27" t="inlineStr">
        <is>
          <t>AI/ML Full Stack Engineer</t>
        </is>
      </c>
      <c r="C27" t="inlineStr">
        <is>
          <t>Dhara Consulting Group</t>
        </is>
      </c>
      <c r="D27" t="inlineStr">
        <is>
          <t>indeed</t>
        </is>
      </c>
      <c r="E27" t="inlineStr"/>
      <c r="F27" t="inlineStr"/>
      <c r="G27" t="inlineStr">
        <is>
          <t>Charleston, SC, US</t>
        </is>
      </c>
      <c r="H27" s="2" t="n">
        <v>46046</v>
      </c>
      <c r="I27" t="inlineStr">
        <is>
          <t>Posted today
Unspecified
Mid Level Career (5\+ yrs experience)
Unspecified
IT \- Software
Charleston, SC (On\-Site/Office)
Position Title: AI/ML Full Stack Engineer  
Status: Permanent/Full\-Time  
Location: Charleston, SC  
Modus21 is a Charleston, South Carolina based business and technology consulting firm specializing in solving complex business problems for global business and government clients. Our philosophy is simple – provide value to our clients through the ability to streamline, measure, and improve their business processes via business intelligence and business architecture. Our expertise has proven highly successful in helping organizations recognize greater value by aligning their strategy and objectives to technology and execution.
Scope of Work: We are seeking a talented Full Stack Developer with a passion for AI/ML technologies to build innovative user\-facing applications and prototypes. This role combines front\-end and back\-end development with AI model integration, demonstration creation, and DevOps practices to bring cutting\-edge AI solutions to life.  
Position Description:  
* Design and develop full stack prototype applications that showcase AI capabilities
* Iterate on designs based on user testing and business requirements
* Build responsive, intuitive user interfaces that enable seamless interaction with AI models
* Create robust back\-end services and APIs to support AI\-powered features
* Ensure applications are scalable, maintainable, and follow best practices
* Guide the implementation and communicate the technical implications of product decisions and prioritization
* Understanding of cloud architecture
* Deliver user stories and associated tests and assists with story estimation in the Iteration Planning Meeting
* Ability to correlate requirements to specific tasking
* Familiarity with JIRA, User Stories and updating Jira tickets with appropriate levels of content
* Actively participate in all agile team ceremonies
Requirements/Experience:  
* BS/MS in computer science, software engineering, IT, Data Science, Artificial Intelligence or Machine Learning
* Strong interest and experience in AI/ML technologies and capabilities a must
* Contributions to open\-source projects or personal AI projects
* Completed online courses/certifications in AI/ML (Coursera, fast.ai, etc.)
* Hackathon participation or side projects demonstrating AI integration
* Understanding of AI ethics and responsible AI principles
* 1\+ years of experience building web applications
* Experience working in an Agile Development environment a plus
* Proficiency in modern JavaScript frameworks (React, Vue, Angular, or similar)
* Strong experience with server\-side languages (Python, Node.js, Java, or similar)
* Experience designing and implementing RESTful APIs
* Working knowledge of SQL and NoSQL databases
* Familiarity with CI/CD tools, containerization (Docker), and cloud platforms (AWS, Azure, GCP)
* Proficient with Git and collaborative development workflows
* Self\-motivated with ability to work independently on prototypes
* Adaptability and willingness to learn new technologies quickly
* Must be a US citizen and hold or be able to obtain a Department of Defense (DoD) Secret Security Clearance
**GROUP ID:** RTX166ecb</t>
        </is>
      </c>
    </row>
    <row r="28">
      <c r="A28" t="inlineStr">
        <is>
          <t>in-62d6c074fc7670aa</t>
        </is>
      </c>
      <c r="B28" t="inlineStr">
        <is>
          <t>Software Engineer</t>
        </is>
      </c>
      <c r="C28" t="inlineStr">
        <is>
          <t>Faro Health Inc.</t>
        </is>
      </c>
      <c r="D28" t="inlineStr">
        <is>
          <t>indeed</t>
        </is>
      </c>
      <c r="E28" t="inlineStr"/>
      <c r="F28" t="inlineStr"/>
      <c r="G28" t="inlineStr">
        <is>
          <t>San Diego, CA, US</t>
        </is>
      </c>
      <c r="H28" s="2" t="n">
        <v>46046</v>
      </c>
      <c r="I28" t="inlineStr">
        <is>
          <t>Faro Health aims to improve lives by helping life sciences companies design optimal clinical trials. Our AI powered software platform optimizes and orchestrates complex clinical development by providing powerful insights about trial design and outcomes. Faro empowers researchers to design more intelligent trials, reducing development costs and reaching milestones faster with better patient experiences.
Faro is a mission driven company seeking world class people who share our passion for improving drug availability and patient outcomes through better clinical trial design. We pride ourselves on our vibrant, inclusive, and growth mindset oriented culture. Faro offers competitive compensation and benefits, generous vacation and parental leave, and flexible working hours.
We are a hybrid workplace where San Diego employees work from their homes as well as in our stunning main headquarters enjoying a gym with classes and spa services, outdoor lawn work area, and steeply discounted food hall. Remote employees work from home and visit the main office for group events and in\-person collaboration.
In this role, you’ll have the opportunity to work as a part of a dynamic and fast\-paced team of software professionals. If you are passionate about solving complex problems, join us in shaping the future of clinical trial development.
\*\*Note: Candidates and Recruiting Agencies, please do not contact our employees regarding the position or your application status. Doing so will automatically disqualify you from the position or working with us. Only applications submitted through the designated link will be considered. **Please DO NOT SPAM our employees regarding the role or your application status.**
**Responsibilities:**
* Actively contribute to building highly interactive, scalable single\-page React applications.
* Design, develop, and test modular software components that seamlessly integrate into the larger system.
* Use your problem\-solving skills to independently identify and resolve issues during design, testing, and maintenance.
* Collaborate effectively by communicating complex ideas clearly with both technical teams and non\-technical stakeholders.
* Deliver exceptional user experiences by deeply understanding and empathizing with customer needs.
**Requirements**
**Skills and Competencies**
* 5\-6 years of experience in contributing to highly scalable, distributed software products with SaaS architectures and multi\-tenancy
* Understanding of microservice architecture, RESTful Services, and CQRS services
* Hands\-on experience in: React, TypeScript, Node.js, Python. Redis Cache, Postgres, Docker
* Experience designing relational schemas on relational data stores like PostgreSQL, MySQL
* Experience with cloud\-service providers like Azure, AWS and/or Google Cloud
* Self\-motivated and able to work independently and in a team environment
* Excellent written and verbal communication skills, interpersonal skills
* You have experience in a fast moving, growth\-minded startup, and are comfortable with being flexible and adaptable as requirements change.
* Willingness and ability to learn new technologies and take on different assignments
* Bachelor’s degree in Computer Science or a related discipline or an equivalent training experience
**Benefits**
Salary
* Salary range for this position is $138,000 to $165,000
* Salary listed reflects the base salary only and does not include other elements of total compensation
* Individual pay is determined by work location and additional factors, including job\-related skills, experience, and relevant education or training
Equity
In addition to this position's salary (listed above), equity will be a major component of the total compensation for this position. We aim to offer higher\-than\-average equity compensation for a company of our size, and communicate equity amounts at the time of offer issuance.
Benefits
* Health Care Plan (Medical, Dental \&amp; Vision)
* Retirement Plan (401k)
* Stock Option Plan
* Life Insurance (Basic)
* Short Term and Long Term Disability
* Paid Time Off (Flexible Vacation Policy, Sick \&amp; Public Holidays)
* Training \&amp; Development Reimbursement
* Hybrid Work Environment</t>
        </is>
      </c>
    </row>
    <row r="29">
      <c r="A29" t="inlineStr">
        <is>
          <t>in-d6dab3917909bf42</t>
        </is>
      </c>
      <c r="B29" t="inlineStr">
        <is>
          <t>Software Engineer I</t>
        </is>
      </c>
      <c r="C29" t="inlineStr">
        <is>
          <t>Estes Express Lines</t>
        </is>
      </c>
      <c r="D29" t="inlineStr">
        <is>
          <t>indeed</t>
        </is>
      </c>
      <c r="E29" t="inlineStr"/>
      <c r="F29" t="inlineStr"/>
      <c r="G29" t="inlineStr">
        <is>
          <t>Richmond, VA, US</t>
        </is>
      </c>
      <c r="H29" s="2" t="n">
        <v>46046</v>
      </c>
      <c r="I29" t="inlineStr">
        <is>
          <t>**Job Summary:**The Software Engineer I role reports into the various IT Delivery Hubs at Estes. They will work to solve business problems through innovative and modern frameworks and technologies with guidance from mid\-level and senior Software Engineers. They will demonstrate a growth mindset through continuous learning of modern development frameworks and demonstrate that learning through working with teammates to build solutions that drive business value. They will also collaborate across business units, technical teams, and the internal and external engineering community to grow themselves through guidance and mentorship from senior Software Engineers.
* Work within and across Agile teams to design, develop, test, implement, and maintain applications and interfaces across a full stack of technologies, working at the direction of senior Software Engineers to execute the delivery of availability, resilience, and scalability within solutions
* Collaborate with senior Software Engineers, business partners, architecture, infrastructure, and development teams to deliver solutions that drive value
* Demonstrate a growth mindset to continuously learn latest technologies, tools, and techniques, as directed by senior Software engineers, and participate in internal and external technology communities to continue knowledge growth
* Utilize programming languages and technologies like Javascript, Java, Angular, HTML/CSS, TypeScript, and Python, SQL and NoSQL databases, and Container Orchestration services like Kubernetes
* Occasional travel may be required based on Business needs
* Regular attendance is required.
* This is not an all\-inclusive list of job requirements and/or duties and may not contain all mental and physical capabilities necessary to perform the job at all times due to circumstances. Operational, safety and other needs may require the employee to perform any and all other duties as assigned. Employees are expected, and must be able to perform all such duties and tasks.
**Qualifications:*** Required experience:
* Bachelor's degree in computer science or related field, or equivalent training and experience
* 1\+ year of experience (professional and/or academic) in software engineering
* 6\+ months of experience (professional and/or academic) with at least one of the following: JavaScript, Java, API’s, Angular, TypeScript, HTML/CSS, .NET, Python
* Preferred Experience:
* 2\+ years of experience with at least one of the following: JavaScript, Java, Angular, TypeScript, HTML/CSS, XML, JSON, .NET, Python
* 1\+ year of experience in open\-source frameworks (i.e. Spring Boot, Bootstrap, Angular, React, Node.js)
* 1\+ year of experience in Rest API development and technologies (i.e. Confluent Kafka, KSQL, Kong, JSON, Swagger)
* 1\+ year of experience in Relational and NoSQL databases (i.e. SQL Server, Mongo)
* Experience with Cloud Platforms such as AWS, Google Cloud, or Azure preferred
* Must be able to comply with all company policies, rules, procedures and Code of Conduct
* Must be able to interact well with others
* Must be able to work independently, or in a team setting
* Must be capable of working under tight time constraints in a high volume environment with multiple priorities
* Responds well to questions; Ability to read, interpret and comply with written information and documents such as safety rules, operations / procedure manuals and maintenance instructions with a high comprehension and concentration level to include the ability to meet deadlines
* Must pass a pre\-employment drug screen, random drug and/or alcohol tests, and will be subject to a criminal history background check
* Must be authorized to work in the United States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Specific vision abilities required by this job include close vision, distance vision, peripheral vision, depth perception and ability to adjust focus. The employee is frequently required to sit and use hands to finger, handle, or feel or operate computers and other standard office equipment. The employee is occasionally required to stand, walk, lift, twist, turn and reach with hands and arms. The employee must be capable of lifting a minimum of 20 lbs., or more if required by the essential functions of the job.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quiet to loud as required by the essential functions of the job.</t>
        </is>
      </c>
    </row>
    <row r="30">
      <c r="A30" t="inlineStr">
        <is>
          <t>in-9281ff8a73d71e99</t>
        </is>
      </c>
      <c r="B30" t="inlineStr">
        <is>
          <t>Software Engineer</t>
        </is>
      </c>
      <c r="C30" t="inlineStr">
        <is>
          <t>Amazon.com</t>
        </is>
      </c>
      <c r="D30" t="inlineStr">
        <is>
          <t>indeed</t>
        </is>
      </c>
      <c r="E30" t="inlineStr"/>
      <c r="F30" t="inlineStr"/>
      <c r="G30" t="inlineStr">
        <is>
          <t>San Francisco, CA, US</t>
        </is>
      </c>
      <c r="H30" s="2" t="n">
        <v>46008</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in-60051b3b5dcf5dde</t>
        </is>
      </c>
      <c r="B31" t="inlineStr">
        <is>
          <t>Software Engineer</t>
        </is>
      </c>
      <c r="C31" t="inlineStr">
        <is>
          <t>Amazon.com</t>
        </is>
      </c>
      <c r="D31" t="inlineStr">
        <is>
          <t>indeed</t>
        </is>
      </c>
      <c r="E31" t="inlineStr"/>
      <c r="F31" t="inlineStr"/>
      <c r="G31" t="inlineStr">
        <is>
          <t>Seattle, WA, US</t>
        </is>
      </c>
      <c r="H31" s="2" t="n">
        <v>46008</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in-3d4b64536a205ac6</t>
        </is>
      </c>
      <c r="B32" t="inlineStr">
        <is>
          <t>Software Engineer I</t>
        </is>
      </c>
      <c r="C32" t="inlineStr">
        <is>
          <t>Amazon.com</t>
        </is>
      </c>
      <c r="D32" t="inlineStr">
        <is>
          <t>indeed</t>
        </is>
      </c>
      <c r="E32" t="inlineStr"/>
      <c r="F32" t="inlineStr"/>
      <c r="G32" t="inlineStr">
        <is>
          <t>Irvine, CA, US</t>
        </is>
      </c>
      <c r="H32" s="2" t="n">
        <v>46006</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in-0c8624e3bc3e01ca</t>
        </is>
      </c>
      <c r="B33" t="inlineStr">
        <is>
          <t>Software Engineer I</t>
        </is>
      </c>
      <c r="C33" t="inlineStr">
        <is>
          <t>Amazon.com</t>
        </is>
      </c>
      <c r="D33" t="inlineStr">
        <is>
          <t>indeed</t>
        </is>
      </c>
      <c r="E33" t="inlineStr"/>
      <c r="F33" t="inlineStr"/>
      <c r="G33" t="inlineStr">
        <is>
          <t>Seattle, WA, US</t>
        </is>
      </c>
      <c r="H33" s="2" t="n">
        <v>46006</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in-b7329a9140498869</t>
        </is>
      </c>
      <c r="B34" t="inlineStr">
        <is>
          <t>Software Engineer I</t>
        </is>
      </c>
      <c r="C34" t="inlineStr">
        <is>
          <t>Amazon.com</t>
        </is>
      </c>
      <c r="D34" t="inlineStr">
        <is>
          <t>indeed</t>
        </is>
      </c>
      <c r="E34" t="inlineStr"/>
      <c r="F34" t="inlineStr"/>
      <c r="G34" t="inlineStr">
        <is>
          <t>San Francisco, CA, US</t>
        </is>
      </c>
      <c r="H34" s="2" t="n">
        <v>46006</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in-625fc8b25cd25667</t>
        </is>
      </c>
      <c r="B35" t="inlineStr">
        <is>
          <t>Sr. Software Engineer, Manager</t>
        </is>
      </c>
      <c r="C35" t="inlineStr">
        <is>
          <t>Amazon.com</t>
        </is>
      </c>
      <c r="D35" t="inlineStr">
        <is>
          <t>indeed</t>
        </is>
      </c>
      <c r="E35" t="inlineStr"/>
      <c r="F35" t="inlineStr"/>
      <c r="G35" t="inlineStr">
        <is>
          <t>San Francisco, CA, US</t>
        </is>
      </c>
      <c r="H35" s="2" t="n">
        <v>46006</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6">
      <c r="A36" t="inlineStr">
        <is>
          <t>in-2876e0ed73831ac2</t>
        </is>
      </c>
      <c r="B36" t="inlineStr">
        <is>
          <t>Sr. Software Engineer, Manager</t>
        </is>
      </c>
      <c r="C36" t="inlineStr">
        <is>
          <t>Amazon.com</t>
        </is>
      </c>
      <c r="D36" t="inlineStr">
        <is>
          <t>indeed</t>
        </is>
      </c>
      <c r="E36" t="inlineStr"/>
      <c r="F36" t="inlineStr"/>
      <c r="G36" t="inlineStr">
        <is>
          <t>Irvine, CA, US</t>
        </is>
      </c>
      <c r="H36" s="2" t="n">
        <v>46006</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7">
      <c r="A37" t="inlineStr">
        <is>
          <t>in-dd7ab7346cbbff0e</t>
        </is>
      </c>
      <c r="B37" t="inlineStr">
        <is>
          <t>Sr. Software Engineer, Manager</t>
        </is>
      </c>
      <c r="C37" t="inlineStr">
        <is>
          <t>Amazon.com</t>
        </is>
      </c>
      <c r="D37" t="inlineStr">
        <is>
          <t>indeed</t>
        </is>
      </c>
      <c r="E37" t="inlineStr"/>
      <c r="F37" t="inlineStr"/>
      <c r="G37" t="inlineStr">
        <is>
          <t>Culver City, CA, US</t>
        </is>
      </c>
      <c r="H37" s="2" t="n">
        <v>46006</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8">
      <c r="A38" t="inlineStr">
        <is>
          <t>in-878f1d3031530a37</t>
        </is>
      </c>
      <c r="B38" t="inlineStr">
        <is>
          <t>Sr. Software Engineer, Manager</t>
        </is>
      </c>
      <c r="C38" t="inlineStr">
        <is>
          <t>Amazon.com</t>
        </is>
      </c>
      <c r="D38" t="inlineStr">
        <is>
          <t>indeed</t>
        </is>
      </c>
      <c r="E38" t="inlineStr"/>
      <c r="F38" t="inlineStr"/>
      <c r="G38" t="inlineStr">
        <is>
          <t>New York, NY, US</t>
        </is>
      </c>
      <c r="H38" s="2" t="n">
        <v>46006</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9">
      <c r="A39" t="inlineStr">
        <is>
          <t>in-81d57821c774013f</t>
        </is>
      </c>
      <c r="B39" t="inlineStr">
        <is>
          <t>Sr. Software Engineer, Manager</t>
        </is>
      </c>
      <c r="C39" t="inlineStr">
        <is>
          <t>Amazon.com</t>
        </is>
      </c>
      <c r="D39" t="inlineStr">
        <is>
          <t>indeed</t>
        </is>
      </c>
      <c r="E39" t="inlineStr"/>
      <c r="F39" t="inlineStr"/>
      <c r="G39" t="inlineStr">
        <is>
          <t>Seattle, WA, US</t>
        </is>
      </c>
      <c r="H39" s="2" t="n">
        <v>46006</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40">
      <c r="A40" t="inlineStr">
        <is>
          <t>in-d4d343ea004641fe</t>
        </is>
      </c>
      <c r="B40" t="inlineStr">
        <is>
          <t>Sr Software Engineer, Amazon Ads Exchange</t>
        </is>
      </c>
      <c r="C40" t="inlineStr">
        <is>
          <t>Amazon.com</t>
        </is>
      </c>
      <c r="D40" t="inlineStr">
        <is>
          <t>indeed</t>
        </is>
      </c>
      <c r="E40" t="inlineStr"/>
      <c r="F40" t="inlineStr"/>
      <c r="G40" t="inlineStr">
        <is>
          <t>San Francisco, CA, US</t>
        </is>
      </c>
      <c r="H40" s="2" t="n">
        <v>46002</v>
      </c>
      <c r="I4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in-2f5ad7e14eb70e85</t>
        </is>
      </c>
      <c r="B41" t="inlineStr">
        <is>
          <t>Sr Software Engineer, Amazon Ads Exchange</t>
        </is>
      </c>
      <c r="C41" t="inlineStr">
        <is>
          <t>Amazon.com</t>
        </is>
      </c>
      <c r="D41" t="inlineStr">
        <is>
          <t>indeed</t>
        </is>
      </c>
      <c r="E41" t="inlineStr"/>
      <c r="F41" t="inlineStr"/>
      <c r="G41" t="inlineStr">
        <is>
          <t>Palo Alto, CA, US</t>
        </is>
      </c>
      <c r="H41" s="2" t="n">
        <v>46002</v>
      </c>
      <c r="I4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in-82a6cfa2d64f0162</t>
        </is>
      </c>
      <c r="B42" t="inlineStr">
        <is>
          <t>Sr Software Engineer, Amazon Ads Exchange</t>
        </is>
      </c>
      <c r="C42" t="inlineStr">
        <is>
          <t>Amazon.com</t>
        </is>
      </c>
      <c r="D42" t="inlineStr">
        <is>
          <t>indeed</t>
        </is>
      </c>
      <c r="E42" t="inlineStr"/>
      <c r="F42" t="inlineStr"/>
      <c r="G42" t="inlineStr">
        <is>
          <t>Arlington, VA, US</t>
        </is>
      </c>
      <c r="H42" s="2" t="n">
        <v>46002</v>
      </c>
      <c r="I4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in-240594130a70b742</t>
        </is>
      </c>
      <c r="B43" t="inlineStr">
        <is>
          <t>Software Engineer I</t>
        </is>
      </c>
      <c r="C43" t="inlineStr">
        <is>
          <t>Amazon.com</t>
        </is>
      </c>
      <c r="D43" t="inlineStr">
        <is>
          <t>indeed</t>
        </is>
      </c>
      <c r="E43" t="inlineStr"/>
      <c r="F43" t="inlineStr"/>
      <c r="G43" t="inlineStr">
        <is>
          <t>San Francisco, CA, US</t>
        </is>
      </c>
      <c r="H43" s="2" t="n">
        <v>46001</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in-5e9aadc724be0af8</t>
        </is>
      </c>
      <c r="B44" t="inlineStr">
        <is>
          <t>Software Engineer I</t>
        </is>
      </c>
      <c r="C44" t="inlineStr">
        <is>
          <t>Amazon.com</t>
        </is>
      </c>
      <c r="D44" t="inlineStr">
        <is>
          <t>indeed</t>
        </is>
      </c>
      <c r="E44" t="inlineStr"/>
      <c r="F44" t="inlineStr"/>
      <c r="G44" t="inlineStr">
        <is>
          <t>Seattle, WA, US</t>
        </is>
      </c>
      <c r="H44" s="2" t="n">
        <v>46001</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in-b9cb44226a0ba233</t>
        </is>
      </c>
      <c r="B45" t="inlineStr">
        <is>
          <t>Software Engineer II, Twitch</t>
        </is>
      </c>
      <c r="C45" t="inlineStr">
        <is>
          <t>Amazon.com</t>
        </is>
      </c>
      <c r="D45" t="inlineStr">
        <is>
          <t>indeed</t>
        </is>
      </c>
      <c r="E45" t="inlineStr"/>
      <c r="F45" t="inlineStr"/>
      <c r="G45" t="inlineStr">
        <is>
          <t>San Francisco, CA, US</t>
        </is>
      </c>
      <c r="H45" s="2" t="n">
        <v>45995</v>
      </c>
      <c r="I4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in-275a9ce41a5158d8</t>
        </is>
      </c>
      <c r="B46" t="inlineStr">
        <is>
          <t>Software Engineer II, Twitch</t>
        </is>
      </c>
      <c r="C46" t="inlineStr">
        <is>
          <t>Amazon.com</t>
        </is>
      </c>
      <c r="D46" t="inlineStr">
        <is>
          <t>indeed</t>
        </is>
      </c>
      <c r="E46" t="inlineStr"/>
      <c r="F46" t="inlineStr"/>
      <c r="G46" t="inlineStr">
        <is>
          <t>Seattle, WA, US</t>
        </is>
      </c>
      <c r="H46" s="2" t="n">
        <v>45995</v>
      </c>
      <c r="I4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in-769e07163b38bed8</t>
        </is>
      </c>
      <c r="B47" t="inlineStr">
        <is>
          <t>Software Engineer II, Android</t>
        </is>
      </c>
      <c r="C47" t="inlineStr">
        <is>
          <t>Amazon.com</t>
        </is>
      </c>
      <c r="D47" t="inlineStr">
        <is>
          <t>indeed</t>
        </is>
      </c>
      <c r="E47" t="inlineStr"/>
      <c r="F47" t="inlineStr"/>
      <c r="G47" t="inlineStr">
        <is>
          <t>San Francisco, CA, US</t>
        </is>
      </c>
      <c r="H47" s="2" t="n">
        <v>45995</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in-c91c4b26e99e0b49</t>
        </is>
      </c>
      <c r="B48" t="inlineStr">
        <is>
          <t>Software Engineer II, Android</t>
        </is>
      </c>
      <c r="C48" t="inlineStr">
        <is>
          <t>Amazon.com</t>
        </is>
      </c>
      <c r="D48" t="inlineStr">
        <is>
          <t>indeed</t>
        </is>
      </c>
      <c r="E48" t="inlineStr"/>
      <c r="F48" t="inlineStr"/>
      <c r="G48" t="inlineStr">
        <is>
          <t>Seattle, WA, US</t>
        </is>
      </c>
      <c r="H48" s="2" t="n">
        <v>45995</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in-2ac4569996b72c20</t>
        </is>
      </c>
      <c r="B49" t="inlineStr">
        <is>
          <t>Software Engineer II, Android</t>
        </is>
      </c>
      <c r="C49" t="inlineStr">
        <is>
          <t>Amazon.com</t>
        </is>
      </c>
      <c r="D49" t="inlineStr">
        <is>
          <t>indeed</t>
        </is>
      </c>
      <c r="E49" t="inlineStr"/>
      <c r="F49" t="inlineStr"/>
      <c r="G49" t="inlineStr">
        <is>
          <t>Irvine, CA, US</t>
        </is>
      </c>
      <c r="H49" s="2" t="n">
        <v>45995</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in-5d2f1b2d89172a36</t>
        </is>
      </c>
      <c r="B50" t="inlineStr">
        <is>
          <t>Embedded Software Engineer, Merlin Manager</t>
        </is>
      </c>
      <c r="C50" t="inlineStr">
        <is>
          <t>Amazon.com</t>
        </is>
      </c>
      <c r="D50" t="inlineStr">
        <is>
          <t>indeed</t>
        </is>
      </c>
      <c r="E50" t="inlineStr"/>
      <c r="F50" t="inlineStr"/>
      <c r="G50" t="inlineStr">
        <is>
          <t>Sunnyvale, CA, US</t>
        </is>
      </c>
      <c r="H50" s="2" t="n">
        <v>45981</v>
      </c>
      <c r="I5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in-4629540fada7b2e9</t>
        </is>
      </c>
      <c r="B51" t="inlineStr">
        <is>
          <t>Embedded Software Engineer, Merlin Manager</t>
        </is>
      </c>
      <c r="C51" t="inlineStr">
        <is>
          <t>Amazon.com</t>
        </is>
      </c>
      <c r="D51" t="inlineStr">
        <is>
          <t>indeed</t>
        </is>
      </c>
      <c r="E51" t="inlineStr"/>
      <c r="F51" t="inlineStr"/>
      <c r="G51" t="inlineStr">
        <is>
          <t>Redmond, WA, US</t>
        </is>
      </c>
      <c r="H51" s="2" t="n">
        <v>45981</v>
      </c>
      <c r="I5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in-f42aa39662204bf6</t>
        </is>
      </c>
      <c r="B52" t="inlineStr">
        <is>
          <t>Senior Software Engineer - Query Optimization, Aurora DSQL</t>
        </is>
      </c>
      <c r="C52" t="inlineStr">
        <is>
          <t>Amazon Web Services</t>
        </is>
      </c>
      <c r="D52" t="inlineStr">
        <is>
          <t>indeed</t>
        </is>
      </c>
      <c r="E52" t="inlineStr"/>
      <c r="F52" t="inlineStr"/>
      <c r="G52" t="inlineStr">
        <is>
          <t>East Palo Alto, CA, US</t>
        </is>
      </c>
      <c r="H52" s="2" t="n">
        <v>45931</v>
      </c>
      <c r="I5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53">
      <c r="A53" t="inlineStr">
        <is>
          <t>in-85777bb6f4182cb3</t>
        </is>
      </c>
      <c r="B53" t="inlineStr">
        <is>
          <t>Senior Software Engineer - Query Optimization, Aurora DSQL</t>
        </is>
      </c>
      <c r="C53" t="inlineStr">
        <is>
          <t>Amazon Web Services</t>
        </is>
      </c>
      <c r="D53" t="inlineStr">
        <is>
          <t>indeed</t>
        </is>
      </c>
      <c r="E53" t="inlineStr"/>
      <c r="F53" t="inlineStr"/>
      <c r="G53" t="inlineStr">
        <is>
          <t>Seattle, WA, US</t>
        </is>
      </c>
      <c r="H53" s="2" t="n">
        <v>45931</v>
      </c>
      <c r="I5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54">
      <c r="A54" t="inlineStr">
        <is>
          <t>in-a96532c9ba738dd1</t>
        </is>
      </c>
      <c r="B54" t="inlineStr">
        <is>
          <t>Senior Software Engineer, Machine Learning Accelerator Technology</t>
        </is>
      </c>
      <c r="C54" t="inlineStr">
        <is>
          <t>Amazon Web Services</t>
        </is>
      </c>
      <c r="D54" t="inlineStr">
        <is>
          <t>indeed</t>
        </is>
      </c>
      <c r="E54" t="inlineStr"/>
      <c r="F54" t="inlineStr"/>
      <c r="G54" t="inlineStr">
        <is>
          <t>Cupertino, CA, US</t>
        </is>
      </c>
      <c r="H54" s="2" t="n">
        <v>45930</v>
      </c>
      <c r="I54" t="inlineStr">
        <is>
          <t>**DESCRIPTION**
---------------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Annapurna Labs (our organization within AWS UC)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The MLA Technology team is looking for candidates interested in diving deep into the different hardware technologies that power our Machine Learning servers and view the software to drive these technologies as the deliverable.  
Do you like hacking memory using PCIe expansion cards? Great! Do you read data sheets like others read the news? Great! Done some embedded programming? Great! Messed with FPGAs? Great! Hacked your autonomous vacuum cleaner? Great! Let the magic smoke out once or twice? Didn't we all ... Did this make you smile? Awesome.
Our team writes software focused on hardware for the most advanced servers in the world. If that interests you, come join our team!  
Key job responsibilities  
* Members of the team are responsible for software related to machine learning hardware at all points in the hardware life cycle.
* Working with silicon design and hardware design teams across EC2
* Developing software which can be maintained, improved upon, documented, tested, and reused.
A day in the life  
The MLA Technology team was formed to focus on server software primarily for debug, testing, qualification, and manufacturing. No software is too low level for us. No software is too high level for us. At a high\-level our goal is to find ways to help the organization scale though the use of software and automation as it relates to specific hardware technologies.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 Experience writing low level drivers, or experience with general troubleshooting/debugging of hardware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in-fba91a3ec7ae429b</t>
        </is>
      </c>
      <c r="B55" t="inlineStr">
        <is>
          <t>Senior Software Engineer, Machine Learning Accelerator Technology</t>
        </is>
      </c>
      <c r="C55" t="inlineStr">
        <is>
          <t>Amazon Web Services</t>
        </is>
      </c>
      <c r="D55" t="inlineStr">
        <is>
          <t>indeed</t>
        </is>
      </c>
      <c r="E55" t="inlineStr"/>
      <c r="F55" t="inlineStr"/>
      <c r="G55" t="inlineStr">
        <is>
          <t>Austin, TX, US</t>
        </is>
      </c>
      <c r="H55" s="2" t="n">
        <v>45930</v>
      </c>
      <c r="I55" t="inlineStr">
        <is>
          <t>**DESCRIPTION**
---------------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Annapurna Labs (our organization within AWS UC)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The MLA Technology team is looking for candidates interested in diving deep into the different hardware technologies that power our Machine Learning servers and view the software to drive these technologies as the deliverable.  
Do you like hacking memory using PCIe expansion cards? Great! Do you read data sheets like others read the news? Great! Done some embedded programming? Great! Messed with FPGAs? Great! Hacked your autonomous vacuum cleaner? Great! Let the magic smoke out once or twice? Didn't we all ... Did this make you smile? Awesome.
Our team writes software focused on hardware for the most advanced servers in the world. If that interests you, come join our team!  
Key job responsibilities  
* Members of the team are responsible for software related to machine learning hardware at all points in the hardware life cycle.
* Working with silicon design and hardware design teams across EC2
* Developing software which can be maintained, improved upon, documented, tested, and reused.
A day in the life  
The MLA Technology team was formed to focus on server software primarily for debug, testing, qualification, and manufacturing. No software is too low level for us. No software is too high level for us. At a high\-level our goal is to find ways to help the organization scale though the use of software and automation as it relates to specific hardware technologies.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 Experience writing low level drivers, or experience with general troubleshooting/debugging of hardware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in-da2da09720924bb4</t>
        </is>
      </c>
      <c r="B56" t="inlineStr">
        <is>
          <t>Sr. Device Software Engineer, Amazon Leo Government</t>
        </is>
      </c>
      <c r="C56" t="inlineStr">
        <is>
          <t>Amazon.com</t>
        </is>
      </c>
      <c r="D56" t="inlineStr">
        <is>
          <t>indeed</t>
        </is>
      </c>
      <c r="E56" t="inlineStr"/>
      <c r="F56" t="inlineStr"/>
      <c r="G56" t="inlineStr">
        <is>
          <t>Northridge, CA, US</t>
        </is>
      </c>
      <c r="H56" s="2" t="n">
        <v>45911</v>
      </c>
      <c r="I5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in-b39fa5c4a213f5c1</t>
        </is>
      </c>
      <c r="B57" t="inlineStr">
        <is>
          <t>Sr. Device Software Engineer, Amazon Leo Government</t>
        </is>
      </c>
      <c r="C57" t="inlineStr">
        <is>
          <t>Amazon.com</t>
        </is>
      </c>
      <c r="D57" t="inlineStr">
        <is>
          <t>indeed</t>
        </is>
      </c>
      <c r="E57" t="inlineStr"/>
      <c r="F57" t="inlineStr"/>
      <c r="G57" t="inlineStr">
        <is>
          <t>El Segundo, CA, US</t>
        </is>
      </c>
      <c r="H57" s="2" t="n">
        <v>45911</v>
      </c>
      <c r="I5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in-1d8c2fd501a318d7</t>
        </is>
      </c>
      <c r="B58" t="inlineStr">
        <is>
          <t>Sr. Device Software Engineer, Amazon Leo Government</t>
        </is>
      </c>
      <c r="C58" t="inlineStr">
        <is>
          <t>Amazon.com</t>
        </is>
      </c>
      <c r="D58" t="inlineStr">
        <is>
          <t>indeed</t>
        </is>
      </c>
      <c r="E58" t="inlineStr"/>
      <c r="F58" t="inlineStr"/>
      <c r="G58" t="inlineStr">
        <is>
          <t>Redmond, WA, US</t>
        </is>
      </c>
      <c r="H58" s="2" t="n">
        <v>45911</v>
      </c>
      <c r="I5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in-dffa5ec07b9c6231</t>
        </is>
      </c>
      <c r="B59" t="inlineStr">
        <is>
          <t>Sr. Device Software Engineer, Amazon Leo Government</t>
        </is>
      </c>
      <c r="C59" t="inlineStr">
        <is>
          <t>Amazon.com</t>
        </is>
      </c>
      <c r="D59" t="inlineStr">
        <is>
          <t>indeed</t>
        </is>
      </c>
      <c r="E59" t="inlineStr"/>
      <c r="F59" t="inlineStr"/>
      <c r="G59" t="inlineStr">
        <is>
          <t>Arlington, VA, US</t>
        </is>
      </c>
      <c r="H59" s="2" t="n">
        <v>45911</v>
      </c>
      <c r="I5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in-cd0a0f5d4b711809</t>
        </is>
      </c>
      <c r="B60" t="inlineStr">
        <is>
          <t>Device Software Engineer, Amazon Leo Government</t>
        </is>
      </c>
      <c r="C60" t="inlineStr">
        <is>
          <t>Amazon.com</t>
        </is>
      </c>
      <c r="D60" t="inlineStr">
        <is>
          <t>indeed</t>
        </is>
      </c>
      <c r="E60" t="inlineStr"/>
      <c r="F60" t="inlineStr"/>
      <c r="G60" t="inlineStr">
        <is>
          <t>Northridge, CA, US</t>
        </is>
      </c>
      <c r="H60" s="2" t="n">
        <v>45910</v>
      </c>
      <c r="I6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in-e09c6666aae34ceb</t>
        </is>
      </c>
      <c r="B61" t="inlineStr">
        <is>
          <t>Device Software Engineer, Amazon Leo Government</t>
        </is>
      </c>
      <c r="C61" t="inlineStr">
        <is>
          <t>Amazon.com</t>
        </is>
      </c>
      <c r="D61" t="inlineStr">
        <is>
          <t>indeed</t>
        </is>
      </c>
      <c r="E61" t="inlineStr"/>
      <c r="F61" t="inlineStr"/>
      <c r="G61" t="inlineStr">
        <is>
          <t>Redmond, WA, US</t>
        </is>
      </c>
      <c r="H61" s="2" t="n">
        <v>45910</v>
      </c>
      <c r="I6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in-5834ac5b9ef4bb03</t>
        </is>
      </c>
      <c r="B62" t="inlineStr">
        <is>
          <t>Device Software Engineer, Amazon Leo Government</t>
        </is>
      </c>
      <c r="C62" t="inlineStr">
        <is>
          <t>Amazon.com</t>
        </is>
      </c>
      <c r="D62" t="inlineStr">
        <is>
          <t>indeed</t>
        </is>
      </c>
      <c r="E62" t="inlineStr"/>
      <c r="F62" t="inlineStr"/>
      <c r="G62" t="inlineStr">
        <is>
          <t>Arlington, VA, US</t>
        </is>
      </c>
      <c r="H62" s="2" t="n">
        <v>45910</v>
      </c>
      <c r="I6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in-01a451cd0ed27a01</t>
        </is>
      </c>
      <c r="B63" t="inlineStr">
        <is>
          <t>Device Software Engineer, Amazon Leo Government</t>
        </is>
      </c>
      <c r="C63" t="inlineStr">
        <is>
          <t>Amazon.com</t>
        </is>
      </c>
      <c r="D63" t="inlineStr">
        <is>
          <t>indeed</t>
        </is>
      </c>
      <c r="E63" t="inlineStr"/>
      <c r="F63" t="inlineStr"/>
      <c r="G63" t="inlineStr">
        <is>
          <t>El Segundo, CA, US</t>
        </is>
      </c>
      <c r="H63" s="2" t="n">
        <v>45910</v>
      </c>
      <c r="I6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in-57ecbc65158a5e70</t>
        </is>
      </c>
      <c r="B64" t="inlineStr">
        <is>
          <t>Software Developer Engineer - iOS, Ring</t>
        </is>
      </c>
      <c r="C64" t="inlineStr">
        <is>
          <t>Amazon.com</t>
        </is>
      </c>
      <c r="D64" t="inlineStr">
        <is>
          <t>indeed</t>
        </is>
      </c>
      <c r="E64" t="inlineStr"/>
      <c r="F64" t="inlineStr"/>
      <c r="G64" t="inlineStr">
        <is>
          <t>Irvine, CA, US</t>
        </is>
      </c>
      <c r="H64" s="2" t="n">
        <v>45812</v>
      </c>
      <c r="I6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in-e7a2fe542dc68ced</t>
        </is>
      </c>
      <c r="B65" t="inlineStr">
        <is>
          <t>Software Developer Engineer - iOS, Ring</t>
        </is>
      </c>
      <c r="C65" t="inlineStr">
        <is>
          <t>Amazon.com</t>
        </is>
      </c>
      <c r="D65" t="inlineStr">
        <is>
          <t>indeed</t>
        </is>
      </c>
      <c r="E65" t="inlineStr"/>
      <c r="F65" t="inlineStr"/>
      <c r="G65" t="inlineStr">
        <is>
          <t>Hawthorne, CA, US</t>
        </is>
      </c>
      <c r="H65" s="2" t="n">
        <v>45812</v>
      </c>
      <c r="I6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in-e443c7be619c287b</t>
        </is>
      </c>
      <c r="B66" t="inlineStr">
        <is>
          <t>Software Developer Engineer - iOS, Ring</t>
        </is>
      </c>
      <c r="C66" t="inlineStr">
        <is>
          <t>Amazon.com</t>
        </is>
      </c>
      <c r="D66" t="inlineStr">
        <is>
          <t>indeed</t>
        </is>
      </c>
      <c r="E66" t="inlineStr"/>
      <c r="F66" t="inlineStr"/>
      <c r="G66" t="inlineStr">
        <is>
          <t>Austin, TX, US</t>
        </is>
      </c>
      <c r="H66" s="2" t="n">
        <v>45812</v>
      </c>
      <c r="I6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in-4ed6348d9792b8a9</t>
        </is>
      </c>
      <c r="B67" t="inlineStr">
        <is>
          <t>Senior Software Engineer - Query Processing, Aurora DSQL</t>
        </is>
      </c>
      <c r="C67" t="inlineStr">
        <is>
          <t>Amazon Web Services</t>
        </is>
      </c>
      <c r="D67" t="inlineStr">
        <is>
          <t>indeed</t>
        </is>
      </c>
      <c r="E67" t="inlineStr"/>
      <c r="F67" t="inlineStr"/>
      <c r="G67" t="inlineStr">
        <is>
          <t>East Palo Alto, CA, US</t>
        </is>
      </c>
      <c r="H67" s="2" t="n">
        <v>45796</v>
      </c>
      <c r="I6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in-4a4924e5ace45fdb</t>
        </is>
      </c>
      <c r="B68" t="inlineStr">
        <is>
          <t>Senior Software Engineer - Query Processing, Aurora DSQL</t>
        </is>
      </c>
      <c r="C68" t="inlineStr">
        <is>
          <t>Amazon Web Services</t>
        </is>
      </c>
      <c r="D68" t="inlineStr">
        <is>
          <t>indeed</t>
        </is>
      </c>
      <c r="E68" t="inlineStr"/>
      <c r="F68" t="inlineStr"/>
      <c r="G68" t="inlineStr">
        <is>
          <t>Seattle, WA, US</t>
        </is>
      </c>
      <c r="H68" s="2" t="n">
        <v>45796</v>
      </c>
      <c r="I6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in-bfd1053ebad02c0e</t>
        </is>
      </c>
      <c r="B69" t="inlineStr">
        <is>
          <t>Embedded C++ Software Engineer, Machine Learning Acceleration</t>
        </is>
      </c>
      <c r="C69" t="inlineStr">
        <is>
          <t>Amazon Web Services</t>
        </is>
      </c>
      <c r="D69" t="inlineStr">
        <is>
          <t>indeed</t>
        </is>
      </c>
      <c r="E69" t="inlineStr"/>
      <c r="F69" t="inlineStr"/>
      <c r="G69" t="inlineStr">
        <is>
          <t>Austin, TX, US</t>
        </is>
      </c>
      <c r="H69" s="2" t="n">
        <v>45691</v>
      </c>
      <c r="I69"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in-e9b85e0ce73176cb</t>
        </is>
      </c>
      <c r="B70" t="inlineStr">
        <is>
          <t>Embedded C++ Software Engineer, Machine Learning Acceleration</t>
        </is>
      </c>
      <c r="C70" t="inlineStr">
        <is>
          <t>Amazon Web Services</t>
        </is>
      </c>
      <c r="D70" t="inlineStr">
        <is>
          <t>indeed</t>
        </is>
      </c>
      <c r="E70" t="inlineStr"/>
      <c r="F70" t="inlineStr"/>
      <c r="G70" t="inlineStr">
        <is>
          <t>Cupertino, CA, US</t>
        </is>
      </c>
      <c r="H70" s="2" t="n">
        <v>45691</v>
      </c>
      <c r="I70"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in-7946da71989be8cb</t>
        </is>
      </c>
      <c r="B71" t="inlineStr">
        <is>
          <t>Staff Software Engineer - Governance</t>
        </is>
      </c>
      <c r="C71" t="inlineStr">
        <is>
          <t>GEICO</t>
        </is>
      </c>
      <c r="D71" t="inlineStr">
        <is>
          <t>indeed</t>
        </is>
      </c>
      <c r="E71">
        <f>HYPERLINK("https://www.indeed.com/viewjob?jk=7946da71989be8cb", "https://www.indeed.com/viewjob?jk=7946da71989be8cb")</f>
        <v/>
      </c>
      <c r="F71">
        <f>HYPERLINK("https://click.appcast.io/t/MjrWaxsAvu7_7UQ5ss2eGgNuQ4EQnJ2oID7aV4deu_w=", "https://click.appcast.io/t/MjrWaxsAvu7_7UQ5ss2eGgNuQ4EQnJ2oID7aV4deu_w=")</f>
        <v/>
      </c>
      <c r="G71" t="inlineStr">
        <is>
          <t>Palo Alto, CA, US</t>
        </is>
      </c>
      <c r="H71" s="3" t="n">
        <v>46046</v>
      </c>
      <c r="I7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Staff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Staff Engineer works with our Distinguished Engineer and Sr. Engineers to innovate and build new systems, improve, and enhance existing systems and identify new opportunities to apply your knowledge to solve critical problems. You will lead Strategy and Execution of a technical roadmap that will increase the velocity of delivering products and unlock new engineering capabilities.
 **Position Responsibilities**  
As a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the Platform Engineering domain
* Accountable for the quality, usability, and performance of the solutions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demonstrate adaptability and sponsor continuous learning
* Willing to take on\-call and operation support
 **Qualifications**
* Deep hands\-on experience in complex system design and data pipeline and architectures, scale and performance, tuning, with good knowledge on Docker and Kubernetes
* Experience with open\-source software is a plus
* Experience with governance and policy engines such as Cloud Custodian, Open Policy Agent (OPA).
* Advance knowledge of at least one OOP languages such as Go or Python
* Understand open\-source databases like MySQL, PostgreSQL, etc., familiar with No\-SQL databases like Cassandra, MongoDB, Elasticsearch, etc.
* Strong understanding of web service integration (REST/SOAP) and enterprise middleware integration tiers
* Excellent communication skills – needs to be able to lead projects from the front and interact with clients and sponsors on a regular basis
* Experience partnering with engineering teams and transferring research to production
* Experience with continuous delivery (CI/CD) and Infrastructure as Code
* Willing to work on both fast development and operation environment
* Knowledge of developer tooling across the software development life cycle (task management, source code, building, deployment, test automation and related tools, operations, real\-time communication)
* Knowledge in big data, streaming data and ETL pipeline architecture
* Experience solving analytical problems with quantitative approaches
* Knowledge in ML and AI technologies
* Knowledge on Open\-source monitoring software like Grafana and Prometheus
**Experience**
* 6\+ years of professional experience in software development, platform architecture, administration, governance, infrastructure management, installation, and maintenance of the hardware, software, and network systems
* 4\+ years of experience in open\-source frameworks
* 3\+ years of experience with architecture and design
* 3\+ years of experience with AWS, GCP, Azure, or hybrid data center
**Education**
* Bachelor's degree in computer science, Information Systems, or equivalent education or work experience
 **Annual Salary**
$100,000\.00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2">
      <c r="A72" t="inlineStr">
        <is>
          <t>in-939b13d60675bacd</t>
        </is>
      </c>
      <c r="B72" t="inlineStr">
        <is>
          <t>Staff Software Engineer - Governance</t>
        </is>
      </c>
      <c r="C72" t="inlineStr">
        <is>
          <t>GEICO</t>
        </is>
      </c>
      <c r="D72" t="inlineStr">
        <is>
          <t>indeed</t>
        </is>
      </c>
      <c r="E72">
        <f>HYPERLINK("https://www.indeed.com/viewjob?jk=939b13d60675bacd", "https://www.indeed.com/viewjob?jk=939b13d60675bacd")</f>
        <v/>
      </c>
      <c r="F72">
        <f>HYPERLINK("https://click.appcast.io/t/is4e05EVi6pEA1uHpGU7KmYxi1N0GsmJktHm1RnXzMo=", "https://click.appcast.io/t/is4e05EVi6pEA1uHpGU7KmYxi1N0GsmJktHm1RnXzMo=")</f>
        <v/>
      </c>
      <c r="G72" t="inlineStr">
        <is>
          <t>Dallas, TX, US</t>
        </is>
      </c>
      <c r="H72" s="3" t="n">
        <v>46046</v>
      </c>
      <c r="I7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Staff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Staff Engineer works with our Distinguished Engineer and Sr. Engineers to innovate and build new systems, improve, and enhance existing systems and identify new opportunities to apply your knowledge to solve critical problems. You will lead Strategy and Execution of a technical roadmap that will increase the velocity of delivering products and unlock new engineering capabilities.
 **Position Responsibilities**  
As a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the Platform Engineering domain
* Accountable for the quality, usability, and performance of the solutions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demonstrate adaptability and sponsor continuous learning
* Willing to take on\-call and operation support
 **Qualifications**
* Deep hands\-on experience in complex system design and data pipeline and architectures, scale and performance, tuning, with good knowledge on Docker and Kubernetes
* Experience with open\-source software is a plus
* Experience with governance and policy engines such as Cloud Custodian, Open Policy Agent (OPA).
* Advance knowledge of at least one OOP languages such as Go or Python
* Understand open\-source databases like MySQL, PostgreSQL, etc., familiar with No\-SQL databases like Cassandra, MongoDB, Elasticsearch, etc.
* Strong understanding of web service integration (REST/SOAP) and enterprise middleware integration tiers
* Excellent communication skills – needs to be able to lead projects from the front and interact with clients and sponsors on a regular basis
* Experience partnering with engineering teams and transferring research to production
* Experience with continuous delivery (CI/CD) and Infrastructure as Code
* Willing to work on both fast development and operation environment
* Knowledge of developer tooling across the software development life cycle (task management, source code, building, deployment, test automation and related tools, operations, real\-time communication)
* Knowledge in big data, streaming data and ETL pipeline architecture
* Experience solving analytical problems with quantitative approaches
* Knowledge in ML and AI technologies
* Knowledge on Open\-source monitoring software like Grafana and Prometheus
**Experience**
* 6\+ years of professional experience in software development, platform architecture, administration, governance, infrastructure management, installation, and maintenance of the hardware, software, and network systems
* 4\+ years of experience in open\-source frameworks
* 3\+ years of experience with architecture and design
* 3\+ years of experience with AWS, GCP, Azure, or hybrid data center
**Education**
* Bachelor's degree in computer science, Information Systems, or equivalent education or work experience
 **Annual Salary**
$100,000\.00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3">
      <c r="A73" t="inlineStr">
        <is>
          <t>in-e33245dd70cffbc2</t>
        </is>
      </c>
      <c r="B73" t="inlineStr">
        <is>
          <t>Senior Staff Engineer, Software Engineering</t>
        </is>
      </c>
      <c r="C73" t="inlineStr">
        <is>
          <t>GEICO</t>
        </is>
      </c>
      <c r="D73" t="inlineStr">
        <is>
          <t>indeed</t>
        </is>
      </c>
      <c r="E73">
        <f>HYPERLINK("https://www.indeed.com/viewjob?jk=e33245dd70cffbc2", "https://www.indeed.com/viewjob?jk=e33245dd70cffbc2")</f>
        <v/>
      </c>
      <c r="F73">
        <f>HYPERLINK("https://click.appcast.io/t/w47Z4s67GRYLiADxAGPoNTsNDT7OO8S56nwW-hszK3s=", "https://click.appcast.io/t/w47Z4s67GRYLiADxAGPoNTsNDT7OO8S56nwW-hszK3s=")</f>
        <v/>
      </c>
      <c r="G73" t="inlineStr">
        <is>
          <t>Austin, TX, US</t>
        </is>
      </c>
      <c r="H73" s="3" t="n">
        <v>46046</v>
      </c>
      <c r="I7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Engineer, Software Engineering (SRE Availability, Incident \&amp; Change Management)**
**Position Description**
Our Senior Staff Engineer works with our Staff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has deep technical expertise in their domain.
**Position Responsibilities**
As a Senior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a variety of domains
* Accountable for the quality, usability, and performance of the solutions
* Utilize programming languages like Python, C\# or other object\-oriented languages, SQL, and NoSQL databases, Container Orchestration services including Docker and Kubernetes, and a variety of Azure tools and services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and demonstrate adaptability and sponsoring continuous learning
**Qualifications**
* Exemplary ability to design, perform experiments, and influence engineering direction and product roadmap
* Experience partnering with engineering teams and transferring research to production
* Track\-record of publications history in credible conferences and journals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at least two modern languages such as Go, Java, C\+\+, Python or C\# including object\-oriented design
* Experience with Microservices oriented architecture and extensible REST APIs
* Experience building the architecture and design (architecture, design patterns, reliability, and scaling) of new and current systems
* Fluency in DevOps Concepts, Cloud Architecture, and Azure DevOps Operational Framework
* Experience in leveraging PowerShell scripting
* Experience in existing Operational Portals such as Azure Portal
* Experience with application monitoring tools and performance assessments
* In depth knowledge of Datacenter structure, capabilities, and offerings, including the Azure platform, and its native services including the Azure platform and its native services
* Experience in security protocols and products: Understanding of Active Directory, Windows Authentication, SAML, OAuth
* Experience in Azure Network (Subscription, Security zoning, etc.)
* Able to design and develop ALM features
* Experience with development and management of EAP
**Experience (UPDATED)**
* 10\+ years of professional software development experience (focus on SRE and Incident/Change Management)
* 8\+ years of experience with architecture and design
* 6\+ years of experience in open\-source frameworks
* 4\+ years of experience with AWS, GCP, Azure, or another cloud service
* 5\+ years of development in a large\-scale, mission\-critical environment preferred
* 2\+ years' experience with automated testing including Unit, Integration, and End\-to\-End functional testing preferred
**Education**
* Bachelor’s degree in Computer Science, Information Systems, or equivalent education or work experience
 **Annual Salary**
$110,000\.00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4">
      <c r="A74" t="inlineStr">
        <is>
          <t>in-868c1e0bca8e6d83</t>
        </is>
      </c>
      <c r="B74" t="inlineStr">
        <is>
          <t>Senior Staff Engineer, Software Engineering</t>
        </is>
      </c>
      <c r="C74" t="inlineStr">
        <is>
          <t>GEICO</t>
        </is>
      </c>
      <c r="D74" t="inlineStr">
        <is>
          <t>indeed</t>
        </is>
      </c>
      <c r="E74">
        <f>HYPERLINK("https://www.indeed.com/viewjob?jk=868c1e0bca8e6d83", "https://www.indeed.com/viewjob?jk=868c1e0bca8e6d83")</f>
        <v/>
      </c>
      <c r="F74">
        <f>HYPERLINK("https://click.appcast.io/t/pWnDmTUV8B-TKKVR6OzCcEncR4d8wO05Rvr7UXM0cgA=", "https://click.appcast.io/t/pWnDmTUV8B-TKKVR6OzCcEncR4d8wO05Rvr7UXM0cgA=")</f>
        <v/>
      </c>
      <c r="G74" t="inlineStr">
        <is>
          <t>Chicago, IL, US</t>
        </is>
      </c>
      <c r="H74" s="3" t="n">
        <v>46046</v>
      </c>
      <c r="I7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Engineer, Software Engineering (SRE Availability, Incident \&amp; Change Management)**
**Position Description**
Our Senior Staff Engineer works with our Staff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has deep technical expertise in their domain.
**Position Responsibilities**
As a Senior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a variety of domains
* Accountable for the quality, usability, and performance of the solutions
* Utilize programming languages like Python, C\# or other object\-oriented languages, SQL, and NoSQL databases, Container Orchestration services including Docker and Kubernetes, and a variety of Azure tools and services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and demonstrate adaptability and sponsoring continuous learning
**Qualifications**
* Exemplary ability to design, perform experiments, and influence engineering direction and product roadmap
* Experience partnering with engineering teams and transferring research to production
* Track\-record of publications history in credible conferences and journals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at least two modern languages such as Go, Java, C\+\+, Python or C\# including object\-oriented design
* Experience with Microservices oriented architecture and extensible REST APIs
* Experience building the architecture and design (architecture, design patterns, reliability, and scaling) of new and current systems
* Fluency in DevOps Concepts, Cloud Architecture, and Azure DevOps Operational Framework
* Experience in leveraging PowerShell scripting
* Experience in existing Operational Portals such as Azure Portal
* Experience with application monitoring tools and performance assessments
* In depth knowledge of Datacenter structure, capabilities, and offerings, including the Azure platform, and its native services including the Azure platform and its native services
* Experience in security protocols and products: Understanding of Active Directory, Windows Authentication, SAML, OAuth
* Experience in Azure Network (Subscription, Security zoning, etc.)
* Able to design and develop ALM features
* Experience with development and management of EAP
**Experience (UPDATED)**
* 10\+ years of professional software development experience (focus on SRE and Incident/Change Management)
* 8\+ years of experience with architecture and design
* 6\+ years of experience in open\-source frameworks
* 4\+ years of experience with AWS, GCP, Azure, or another cloud service
* 5\+ years of development in a large\-scale, mission\-critical environment preferred
* 2\+ years' experience with automated testing including Unit, Integration, and End\-to\-End functional testing preferred
**Education**
* Bachelor’s degree in Computer Science, Information Systems, or equivalent education or work experience
 **Annual Salary**
$110,000\.00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5">
      <c r="A75" t="inlineStr">
        <is>
          <t>in-dfd269b13ec08f6f</t>
        </is>
      </c>
      <c r="B75" t="inlineStr">
        <is>
          <t>Staff Software Engineer - Governance</t>
        </is>
      </c>
      <c r="C75" t="inlineStr">
        <is>
          <t>GEICO</t>
        </is>
      </c>
      <c r="D75" t="inlineStr">
        <is>
          <t>indeed</t>
        </is>
      </c>
      <c r="E75">
        <f>HYPERLINK("https://www.indeed.com/viewjob?jk=dfd269b13ec08f6f", "https://www.indeed.com/viewjob?jk=dfd269b13ec08f6f")</f>
        <v/>
      </c>
      <c r="F75">
        <f>HYPERLINK("https://click.appcast.io/t/r-8uZuRGYAhqcN_R92HUF7OW-9VNagOUSkHj-PxFx5M=", "https://click.appcast.io/t/r-8uZuRGYAhqcN_R92HUF7OW-9VNagOUSkHj-PxFx5M=")</f>
        <v/>
      </c>
      <c r="G75" t="inlineStr">
        <is>
          <t>Seattle, WA, US</t>
        </is>
      </c>
      <c r="H75" s="3" t="n">
        <v>46046</v>
      </c>
      <c r="I7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Staff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Staff Engineer works with our Distinguished Engineer and Sr. Engineers to innovate and build new systems, improve, and enhance existing systems and identify new opportunities to apply your knowledge to solve critical problems. You will lead Strategy and Execution of a technical roadmap that will increase the velocity of delivering products and unlock new engineering capabilities.
 **Position Responsibilities**  
As a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the Platform Engineering domain
* Accountable for the quality, usability, and performance of the solutions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demonstrate adaptability and sponsor continuous learning
* Willing to take on\-call and operation support
 **Qualifications**
* Deep hands\-on experience in complex system design and data pipeline and architectures, scale and performance, tuning, with good knowledge on Docker and Kubernetes
* Experience with open\-source software is a plus
* Experience with governance and policy engines such as Cloud Custodian, Open Policy Agent (OPA).
* Advance knowledge of at least one OOP languages such as Go or Python
* Understand open\-source databases like MySQL, PostgreSQL, etc., familiar with No\-SQL databases like Cassandra, MongoDB, Elasticsearch, etc.
* Strong understanding of web service integration (REST/SOAP) and enterprise middleware integration tiers
* Excellent communication skills – needs to be able to lead projects from the front and interact with clients and sponsors on a regular basis
* Experience partnering with engineering teams and transferring research to production
* Experience with continuous delivery (CI/CD) and Infrastructure as Code
* Willing to work on both fast development and operation environment
* Knowledge of developer tooling across the software development life cycle (task management, source code, building, deployment, test automation and related tools, operations, real\-time communication)
* Knowledge in big data, streaming data and ETL pipeline architecture
* Experience solving analytical problems with quantitative approaches
* Knowledge in ML and AI technologies
* Knowledge on Open\-source monitoring software like Grafana and Prometheus
**Experience**
* 6\+ years of professional experience in software development, platform architecture, administration, governance, infrastructure management, installation, and maintenance of the hardware, software, and network systems
* 4\+ years of experience in open\-source frameworks
* 3\+ years of experience with architecture and design
* 3\+ years of experience with AWS, GCP, Azure, or hybrid data center
**Education**
* Bachelor's degree in computer science, Information Systems, or equivalent education or work experience
 **Annual Salary**
$100,000\.00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6">
      <c r="A76" t="inlineStr">
        <is>
          <t>in-2d1c965cc5be97a9</t>
        </is>
      </c>
      <c r="B76" t="inlineStr">
        <is>
          <t>Senior Staff Software Engineer – IaaS (Platform and Tools - VMs)</t>
        </is>
      </c>
      <c r="C76" t="inlineStr">
        <is>
          <t>GEICO</t>
        </is>
      </c>
      <c r="D76" t="inlineStr">
        <is>
          <t>indeed</t>
        </is>
      </c>
      <c r="E76">
        <f>HYPERLINK("https://www.indeed.com/viewjob?jk=2d1c965cc5be97a9", "https://www.indeed.com/viewjob?jk=2d1c965cc5be97a9")</f>
        <v/>
      </c>
      <c r="F76">
        <f>HYPERLINK("https://click.appcast.io/t/5cQtHjDt9-Ue5-z_Xzp7n4TY5YZyFKuyHRJsSS2AXGE=", "https://click.appcast.io/t/5cQtHjDt9-Ue5-z_Xzp7n4TY5YZyFKuyHRJsSS2AXGE=")</f>
        <v/>
      </c>
      <c r="G76" t="inlineStr">
        <is>
          <t>Austin, TX, US</t>
        </is>
      </c>
      <c r="H76" s="3" t="n">
        <v>46046</v>
      </c>
      <c r="I7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Staff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Staff Engineers work with our Distinguished Engineers, Sr.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and Azure IaaS platforms/APIs.**
**Position Responsibilities**
As a Senior Staff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with a proactive approach to risk mitigation.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8\+ years of PaaS and IaaS software development experience.
* 8\+ years of professional software best in class customer facing experiences using React or other UI frameworks.
* 5\+ years specializing in system design and implementation.
* 5\+ years of hands\-on experience with AWS, GCP, Azure, or other cloud services.
* 4\+ years working with open\-source frameworks.
* 1\+ years of leadership experience leading cross functional technical team.
**Education**
* Bachelor’s degree in Computer Science, Information Systems, or equivalent education or work experience.
\#LI\-RP2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7">
      <c r="A77" t="inlineStr">
        <is>
          <t>in-c4c7b415bbfbbefa</t>
        </is>
      </c>
      <c r="B77" t="inlineStr">
        <is>
          <t>Senior Staff Software Engineer – IaaS (Platform and Tools - VMs)</t>
        </is>
      </c>
      <c r="C77" t="inlineStr">
        <is>
          <t>GEICO</t>
        </is>
      </c>
      <c r="D77" t="inlineStr">
        <is>
          <t>indeed</t>
        </is>
      </c>
      <c r="E77">
        <f>HYPERLINK("https://www.indeed.com/viewjob?jk=c4c7b415bbfbbefa", "https://www.indeed.com/viewjob?jk=c4c7b415bbfbbefa")</f>
        <v/>
      </c>
      <c r="F77">
        <f>HYPERLINK("https://click.appcast.io/t/kE5o1eA_rxLHCuWBb4TfZiL-4BYjwkzkkVDDu_ut9oI=", "https://click.appcast.io/t/kE5o1eA_rxLHCuWBb4TfZiL-4BYjwkzkkVDDu_ut9oI=")</f>
        <v/>
      </c>
      <c r="G77" t="inlineStr">
        <is>
          <t>Chicago, IL, US</t>
        </is>
      </c>
      <c r="H77" s="3" t="n">
        <v>46046</v>
      </c>
      <c r="I7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Staff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Staff Engineers work with our Distinguished Engineers, Sr.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and Azure IaaS platforms/APIs.**
**Position Responsibilities**
As a Senior Staff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with a proactive approach to risk mitigation.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8\+ years of PaaS and IaaS software development experience.
* 8\+ years of professional software best in class customer facing experiences using React or other UI frameworks.
* 5\+ years specializing in system design and implementation.
* 5\+ years of hands\-on experience with AWS, GCP, Azure, or other cloud services.
* 4\+ years working with open\-source frameworks.
* 1\+ years of leadership experience leading cross functional technical team.
**Education**
* Bachelor’s degree in Computer Science, Information Systems, or equivalent education or work experience.
\#LI\-RP2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8">
      <c r="A78" t="inlineStr">
        <is>
          <t>in-102ffe5eb8db2ee6</t>
        </is>
      </c>
      <c r="B78" t="inlineStr">
        <is>
          <t>Senior Software Engineer- CRM, Artificial Intelligence</t>
        </is>
      </c>
      <c r="C78" t="inlineStr">
        <is>
          <t>GEICO</t>
        </is>
      </c>
      <c r="D78" t="inlineStr">
        <is>
          <t>indeed</t>
        </is>
      </c>
      <c r="E78">
        <f>HYPERLINK("https://www.indeed.com/viewjob?jk=102ffe5eb8db2ee6", "https://www.indeed.com/viewjob?jk=102ffe5eb8db2ee6")</f>
        <v/>
      </c>
      <c r="F78">
        <f>HYPERLINK("https://click.appcast.io/t/fbnyK7ilK2FQ2Df3M9X1xuMpfcxhZgNRkhCN0eFVKHc=", "https://click.appcast.io/t/fbnyK7ilK2FQ2Df3M9X1xuMpfcxhZgNRkhCN0eFVKHc=")</f>
        <v/>
      </c>
      <c r="G78" t="inlineStr">
        <is>
          <t>Chicago, IL, US</t>
        </is>
      </c>
      <c r="H78" s="3" t="n">
        <v>46046</v>
      </c>
      <c r="I7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low\-latency platforms, and applications. You will help drive our insurance business transformation and platform engineering domain modernization as we redefine experience for our customers.
 **Position Description**  
We are seeking a Senior Full Stack Developer with deep expertise in Microsoft Dynamics365 and the Microsoft Power Platform to help lead the transformation of our legacy CRM into a modern, scalable solution. This new system will empower our GEICO agents to better support customers and deliver a seamless, connected experience across our enterprise via Chat, SMS, email.
**Position Responsibilities**  
As a Senior Software Engineer, you will:
* Collaborate with product managers, team members, customers, and other engineering teams to solve our toughest problems
* Develop and execute technical software development strategy for the organization including self\-service, business continuity, backup/restores, incident response and paging platforms
* Accountable for the quality, usability, and performance of the solutions
* Lead projects from the front and interact with clients and sponsors on a regular basis
* Consistently share best practices and improve processes within and across teams
* Take on\-call and operational support
 **Qualifications**
* Advance knowledge of at least one modern OOP language such as Java or Python or Go (preferred)
* Deep understanding of Dynamics 365 including customer service and power platform.
* Design, develop, and integrate Artificial Intelligence (AI) solutions into software applications, leveraging machine learning, natural language processing.
* Hands\-on experience with AI\-driven software development
* Experience working with services like logic apps, functions, API management, storage and monitoring.
* Deep hands\-on experience in complex system design and data pipeline and architectures, scale and performance, tuning, with good knowledge on Docker and Kubernetes.
* Experience with Azure Services, Full Stack Development, API Gateway and API management.
* Understanding of both front\-end and back\-end concepts with ability to integrate different technologies.
* Integrate front\-end and back\-end components ensuring smooth communication and data flow between them.
* In\-depth knowledge of CS data structures and algorithms
* Understand open\-source databases like MySQL, PostgreSQL, etc.
* Experience in architecting, designing, building automation, workflows, and distributed applications
* Strong understanding of service integrations / communication standards (e.g., GRPC / REST)
* Experience partnering with engineering teams and transferring research to production
* Experience with various integration patterns and technologies used to connect Dynamics 365 with other systems.
* Excellent communication skills
* Hands on experience working in an agile Scrum environment.
 **Experience:**
* 4\+ years of professional experience in software development, platform architecture, administration and maintenance of software, and its ecosystem
* 3\+ years of experience with architecture and design
* 3\+ years of experience with AWS, GCP, Azure, or hybrid data center
* 2\+ years of experience in open\-source frameworks
 **Education:**
* Bachelor's degree in computer science, Information Systems, or equivalent education or work experience
IVRPOLYX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9">
      <c r="A79" t="inlineStr">
        <is>
          <t>in-d2e5d3247dc41b0b</t>
        </is>
      </c>
      <c r="B79" t="inlineStr">
        <is>
          <t>Senior Staff Engineer, Software Engineering (CICD, DevOps &amp; Change Management) [Hybrid]</t>
        </is>
      </c>
      <c r="C79" t="inlineStr">
        <is>
          <t>GEICO</t>
        </is>
      </c>
      <c r="D79" t="inlineStr">
        <is>
          <t>indeed</t>
        </is>
      </c>
      <c r="E79">
        <f>HYPERLINK("https://www.indeed.com/viewjob?jk=d2e5d3247dc41b0b", "https://www.indeed.com/viewjob?jk=d2e5d3247dc41b0b")</f>
        <v/>
      </c>
      <c r="F79">
        <f>HYPERLINK("https://click.appcast.io/t/WfOgnO2z_Ec7jWHSbLsyOxau9c8YdHyi1k42P91nCsw=", "https://click.appcast.io/t/WfOgnO2z_Ec7jWHSbLsyOxau9c8YdHyi1k42P91nCsw=")</f>
        <v/>
      </c>
      <c r="G79" t="inlineStr">
        <is>
          <t>Palo Alto, CA, US</t>
        </is>
      </c>
      <c r="H79" s="3" t="n">
        <v>46046</v>
      </c>
      <c r="I7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Engineer, Software Engineering (SRE Availability, Incident \&amp; Change Management)**
**Position Description**
Our Senior Staff Engineer works with our Staff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has deep technical expertise in their domain.
**Position Responsibilities**
As a Senior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a variety of domains
* Accountable for the quality, usability, and performance of the solutions
* Utilize programming languages like Python, C\# or other object\-oriented languages, SQL, and NoSQL databases, Container Orchestration services including Docker and Kubernetes, and a variety of Azure tools and services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and demonstrate adaptability and sponsoring continuous learning
Qualifications
* Exemplary ability to design, perform experiments, and influence engineering direction and product roadmap
* Experience partnering with engineering teams and transferring research to production
* Track\-record of publications history in credible conferences and journals
* Significant experience in designing and maintaining CICDCT systems and applying infrastructure as code, documentation as code, x as code concepts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Proficiency in Python, as well as fluency and specialization with at least 1 other modern languages such as Go, Java, C\+\+ or C\# including object\-oriented design
* Experience with Microservices oriented architecture, including extensible REST APIs, GraphQL APIs, and SOAP APIs
* Experience building the architecture and design (architecture, design patterns, reliability, and scaling) of new and current systems
* Fluency in Domain Driven Design
* Fluency in DevOps Concepts, Cloud Architecture, and Azure DevOps Operational Framework
* Experience in leveraging PowerShell scripting
* Experience in existing Operational Portals such as Azure Portal
* Experience with application monitoring tools and performance assessments
* In depth knowledge of Datacenter structure, capabilities and offerings, including the Azure platform, and its native services including the Azure platform and its native services
* Experience in security protocols and products: Understanding of Active Directory, Windows Authentication, SAML, OAuth
* Experience in Azure Network (Subscription, Security zoning, etc.)
* Able to design and develop ALM features
* Experience with development and management of EAP
**Experience**
* 10\+ years of professional DevOps experience
* 5\+ years of leading a CICDCT and IaC initiatives
* 8\+ years of experience with architecture and design
* 6\+ years of experience in open\-source frameworks
* 4\+ years of experience with AWS, GCP, Azure, or another cloud service
* 8\+ years of experience in leadership position
* 6\+ years coding experience
* 5\+ years of development in a large\-scale, mission\-critical environment
* 5\+ years of hands\-on work experience coaching and mentor personnel in a technical environment
* 5\+ years of experience with one of the public cloud \- AWS, GCP, Azure, or another cloud service
* 5\+ years' experience with automated testing including Unit, Integration, and End\-to\-End functional testing
**Education**
* Bachelor’s degree in Computer Science, Information Systems, or equivalent education or work experience
\#LI\-JK1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0">
      <c r="A80" t="inlineStr">
        <is>
          <t>in-0833913cf1d3d043</t>
        </is>
      </c>
      <c r="B80" t="inlineStr">
        <is>
          <t>Senior Staff Software Engineer – IaaS (Platform and Tools - VMs)</t>
        </is>
      </c>
      <c r="C80" t="inlineStr">
        <is>
          <t>GEICO</t>
        </is>
      </c>
      <c r="D80" t="inlineStr">
        <is>
          <t>indeed</t>
        </is>
      </c>
      <c r="E80">
        <f>HYPERLINK("https://www.indeed.com/viewjob?jk=0833913cf1d3d043", "https://www.indeed.com/viewjob?jk=0833913cf1d3d043")</f>
        <v/>
      </c>
      <c r="F80">
        <f>HYPERLINK("https://click.appcast.io/t/nWoHzxxROpD_SVb25RK32cIuH07PmxfyIYrexxeEBWc=", "https://click.appcast.io/t/nWoHzxxROpD_SVb25RK32cIuH07PmxfyIYrexxeEBWc=")</f>
        <v/>
      </c>
      <c r="G80" t="inlineStr">
        <is>
          <t>Richardson, TX, US</t>
        </is>
      </c>
      <c r="H80" s="3" t="n">
        <v>46046</v>
      </c>
      <c r="I8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Staff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Staff Engineers work with our Distinguished Engineers, Sr.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and Azure IaaS platforms/APIs.**
**Position Responsibilities**
As a Senior Staff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with a proactive approach to risk mitigation.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8\+ years of PaaS and IaaS software development experience.
* 8\+ years of professional software best in class customer facing experiences using React or other UI frameworks.
* 5\+ years specializing in system design and implementation.
* 5\+ years of hands\-on experience with AWS, GCP, Azure, or other cloud services.
* 4\+ years working with open\-source frameworks.
* 1\+ years of leadership experience leading cross functional technical team.
**Education**
* Bachelor’s degree in Computer Science, Information Systems, or equivalent education or work experience.
\#LI\-RP2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1">
      <c r="A81" t="inlineStr">
        <is>
          <t>in-a0801ad917ea516f</t>
        </is>
      </c>
      <c r="B81" t="inlineStr">
        <is>
          <t>Senior Staff Engineer, Software Engineering</t>
        </is>
      </c>
      <c r="C81" t="inlineStr">
        <is>
          <t>GEICO</t>
        </is>
      </c>
      <c r="D81" t="inlineStr">
        <is>
          <t>indeed</t>
        </is>
      </c>
      <c r="E81">
        <f>HYPERLINK("https://www.indeed.com/viewjob?jk=a0801ad917ea516f", "https://www.indeed.com/viewjob?jk=a0801ad917ea516f")</f>
        <v/>
      </c>
      <c r="F81">
        <f>HYPERLINK("https://click.appcast.io/t/h8Lb2wk3v-FyeKf0DyjCeIG4BUkGEejpfvrR-l_ukLQ=", "https://click.appcast.io/t/h8Lb2wk3v-FyeKf0DyjCeIG4BUkGEejpfvrR-l_ukLQ=")</f>
        <v/>
      </c>
      <c r="G81" t="inlineStr">
        <is>
          <t>Palo Alto, CA, US</t>
        </is>
      </c>
      <c r="H81" s="3" t="n">
        <v>46046</v>
      </c>
      <c r="I8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Engineer, Software Engineering (SRE Availability, Incident \&amp; Change Management)**
**Position Description**
Our Senior Staff Engineer works with our Staff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has deep technical expertise in their domain.
**Position Responsibilities**
As a Senior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a variety of domains
* Accountable for the quality, usability, and performance of the solutions
* Utilize programming languages like Python, C\# or other object\-oriented languages, SQL, and NoSQL databases, Container Orchestration services including Docker and Kubernetes, and a variety of Azure tools and services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and demonstrate adaptability and sponsoring continuous learning
**Qualifications**
* Exemplary ability to design, perform experiments, and influence engineering direction and product roadmap
* Experience partnering with engineering teams and transferring research to production
* Track\-record of publications history in credible conferences and journals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at least two modern languages such as Go, Java, C\+\+, Python or C\# including object\-oriented design
* Experience with Microservices oriented architecture and extensible REST APIs
* Experience building the architecture and design (architecture, design patterns, reliability, and scaling) of new and current systems
* Fluency in DevOps Concepts, Cloud Architecture, and Azure DevOps Operational Framework
* Experience in leveraging PowerShell scripting
* Experience in existing Operational Portals such as Azure Portal
* Experience with application monitoring tools and performance assessments
* In depth knowledge of Datacenter structure, capabilities, and offerings, including the Azure platform, and its native services including the Azure platform and its native services
* Experience in security protocols and products: Understanding of Active Directory, Windows Authentication, SAML, OAuth
* Experience in Azure Network (Subscription, Security zoning, etc.)
* Able to design and develop ALM features
* Experience with development and management of EAP
**Experience (UPDATED)**
* 10\+ years of professional software development experience (focus on SRE and Incident/Change Management)
* 8\+ years of experience with architecture and design
* 6\+ years of experience in open\-source frameworks
* 4\+ years of experience with AWS, GCP, Azure, or another cloud service
* 5\+ years of development in a large\-scale, mission\-critical environment preferred
* 2\+ years' experience with automated testing including Unit, Integration, and End\-to\-End functional testing preferred
**Education**
* Bachelor’s degree in Computer Science, Information Systems, or equivalent education or work experience
 **Annual Salary**
$110,000\.00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2">
      <c r="A82" t="inlineStr">
        <is>
          <t>in-deb24b8a03dba9f0</t>
        </is>
      </c>
      <c r="B82" t="inlineStr">
        <is>
          <t>Senior Software Engineer- CRM, Artificial Intelligence</t>
        </is>
      </c>
      <c r="C82" t="inlineStr">
        <is>
          <t>GEICO</t>
        </is>
      </c>
      <c r="D82" t="inlineStr">
        <is>
          <t>indeed</t>
        </is>
      </c>
      <c r="E82">
        <f>HYPERLINK("https://www.indeed.com/viewjob?jk=deb24b8a03dba9f0", "https://www.indeed.com/viewjob?jk=deb24b8a03dba9f0")</f>
        <v/>
      </c>
      <c r="F82">
        <f>HYPERLINK("https://click.appcast.io/t/4iXvosD6EPyAfYs6TQZPd4NNZk0Ujd2kQ7aDwF6dBw4=", "https://click.appcast.io/t/4iXvosD6EPyAfYs6TQZPd4NNZk0Ujd2kQ7aDwF6dBw4=")</f>
        <v/>
      </c>
      <c r="G82" t="inlineStr">
        <is>
          <t>Seattle, WA, US</t>
        </is>
      </c>
      <c r="H82" s="3" t="n">
        <v>46046</v>
      </c>
      <c r="I8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low\-latency platforms, and applications. You will help drive our insurance business transformation and platform engineering domain modernization as we redefine experience for our customers.
 **Position Description**  
We are seeking a Senior Full Stack Developer with deep expertise in Microsoft Dynamics365 and the Microsoft Power Platform to help lead the transformation of our legacy CRM into a modern, scalable solution. This new system will empower our GEICO agents to better support customers and deliver a seamless, connected experience across our enterprise via Chat, SMS, email.
**Position Responsibilities**  
As a Senior Software Engineer, you will:
* Collaborate with product managers, team members, customers, and other engineering teams to solve our toughest problems
* Develop and execute technical software development strategy for the organization including self\-service, business continuity, backup/restores, incident response and paging platforms
* Accountable for the quality, usability, and performance of the solutions
* Lead projects from the front and interact with clients and sponsors on a regular basis
* Consistently share best practices and improve processes within and across teams
* Take on\-call and operational support
 **Qualifications**
* Advance knowledge of at least one modern OOP language such as Java or Python or Go (preferred)
* Deep understanding of Dynamics 365 including customer service and power platform.
* Design, develop, and integrate Artificial Intelligence (AI) solutions into software applications, leveraging machine learning, natural language processing.
* Hands\-on experience with AI\-driven software development
* Experience working with services like logic apps, functions, API management, storage and monitoring.
* Deep hands\-on experience in complex system design and data pipeline and architectures, scale and performance, tuning, with good knowledge on Docker and Kubernetes.
* Experience with Azure Services, Full Stack Development, API Gateway and API management.
* Understanding of both front\-end and back\-end concepts with ability to integrate different technologies.
* Integrate front\-end and back\-end components ensuring smooth communication and data flow between them.
* In\-depth knowledge of CS data structures and algorithms
* Understand open\-source databases like MySQL, PostgreSQL, etc.
* Experience in architecting, designing, building automation, workflows, and distributed applications
* Strong understanding of service integrations / communication standards (e.g., GRPC / REST)
* Experience partnering with engineering teams and transferring research to production
* Experience with various integration patterns and technologies used to connect Dynamics 365 with other systems.
* Excellent communication skills
* Hands on experience working in an agile Scrum environment.
 **Experience:**
* 4\+ years of professional experience in software development, platform architecture, administration and maintenance of software, and its ecosystem
* 3\+ years of experience with architecture and design
* 3\+ years of experience with AWS, GCP, Azure, or hybrid data center
* 2\+ years of experience in open\-source frameworks
 **Education:**
* Bachelor's degree in computer science, Information Systems, or equivalent education or work experience
IVRPOLYX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3">
      <c r="A83" t="inlineStr">
        <is>
          <t>in-1ad25ddce4adf22a</t>
        </is>
      </c>
      <c r="B83" t="inlineStr">
        <is>
          <t>Senior Staff Engineer, Software Engineering</t>
        </is>
      </c>
      <c r="C83" t="inlineStr">
        <is>
          <t>GEICO</t>
        </is>
      </c>
      <c r="D83" t="inlineStr">
        <is>
          <t>indeed</t>
        </is>
      </c>
      <c r="E83">
        <f>HYPERLINK("https://www.indeed.com/viewjob?jk=1ad25ddce4adf22a", "https://www.indeed.com/viewjob?jk=1ad25ddce4adf22a")</f>
        <v/>
      </c>
      <c r="F83">
        <f>HYPERLINK("https://click.appcast.io/t/C8BBbJOA_tbvt8akkIzsafxW7a1AfYzM7tHGCXjrsZQ=", "https://click.appcast.io/t/C8BBbJOA_tbvt8akkIzsafxW7a1AfYzM7tHGCXjrsZQ=")</f>
        <v/>
      </c>
      <c r="G83" t="inlineStr">
        <is>
          <t>Dallas, TX, US</t>
        </is>
      </c>
      <c r="H83" s="3" t="n">
        <v>46046</v>
      </c>
      <c r="I8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Engineer, Software Engineering (SRE Availability, Incident \&amp; Change Management)**
**Position Description**
Our Senior Staff Engineer works with our Staff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has deep technical expertise in their domain.
**Position Responsibilities**
As a Senior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a variety of domains
* Accountable for the quality, usability, and performance of the solutions
* Utilize programming languages like Python, C\# or other object\-oriented languages, SQL, and NoSQL databases, Container Orchestration services including Docker and Kubernetes, and a variety of Azure tools and services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and demonstrate adaptability and sponsoring continuous learning
**Qualifications**
* Exemplary ability to design, perform experiments, and influence engineering direction and product roadmap
* Experience partnering with engineering teams and transferring research to production
* Track\-record of publications history in credible conferences and journals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at least two modern languages such as Go, Java, C\+\+, Python or C\# including object\-oriented design
* Experience with Microservices oriented architecture and extensible REST APIs
* Experience building the architecture and design (architecture, design patterns, reliability, and scaling) of new and current systems
* Fluency in DevOps Concepts, Cloud Architecture, and Azure DevOps Operational Framework
* Experience in leveraging PowerShell scripting
* Experience in existing Operational Portals such as Azure Portal
* Experience with application monitoring tools and performance assessments
* In depth knowledge of Datacenter structure, capabilities, and offerings, including the Azure platform, and its native services including the Azure platform and its native services
* Experience in security protocols and products: Understanding of Active Directory, Windows Authentication, SAML, OAuth
* Experience in Azure Network (Subscription, Security zoning, etc.)
* Able to design and develop ALM features
* Experience with development and management of EAP
**Experience (UPDATED)**
* 10\+ years of professional software development experience (focus on SRE and Incident/Change Management)
* 8\+ years of experience with architecture and design
* 6\+ years of experience in open\-source frameworks
* 4\+ years of experience with AWS, GCP, Azure, or another cloud service
* 5\+ years of development in a large\-scale, mission\-critical environment preferred
* 2\+ years' experience with automated testing including Unit, Integration, and End\-to\-End functional testing preferred
**Education**
* Bachelor’s degree in Computer Science, Information Systems, or equivalent education or work experience
 **Annual Salary**
$110,000\.00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4">
      <c r="A84" t="inlineStr">
        <is>
          <t>in-c81d29f480065585</t>
        </is>
      </c>
      <c r="B84" t="inlineStr">
        <is>
          <t>Senior Staff Software Engineer – IaaS (Platform and Tools - VMs)</t>
        </is>
      </c>
      <c r="C84" t="inlineStr">
        <is>
          <t>GEICO</t>
        </is>
      </c>
      <c r="D84" t="inlineStr">
        <is>
          <t>indeed</t>
        </is>
      </c>
      <c r="E84">
        <f>HYPERLINK("https://www.indeed.com/viewjob?jk=c81d29f480065585", "https://www.indeed.com/viewjob?jk=c81d29f480065585")</f>
        <v/>
      </c>
      <c r="F84">
        <f>HYPERLINK("https://click.appcast.io/t/pes54GoKbAn2n08gD8FdYC9DyG_DvDBzpV64MN5YmQ8=", "https://click.appcast.io/t/pes54GoKbAn2n08gD8FdYC9DyG_DvDBzpV64MN5YmQ8=")</f>
        <v/>
      </c>
      <c r="G84" t="inlineStr">
        <is>
          <t>Seattle, WA, US</t>
        </is>
      </c>
      <c r="H84" s="3" t="n">
        <v>46046</v>
      </c>
      <c r="I8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Staff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Staff Engineers work with our Distinguished Engineers, Sr.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and Azure IaaS platforms/APIs.**
**Position Responsibilities**
As a Senior Staff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with a proactive approach to risk mitigation.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8\+ years of PaaS and IaaS software development experience.
* 8\+ years of professional software best in class customer facing experiences using React or other UI frameworks.
* 5\+ years specializing in system design and implementation.
* 5\+ years of hands\-on experience with AWS, GCP, Azure, or other cloud services.
* 4\+ years working with open\-source frameworks.
* 1\+ years of leadership experience leading cross functional technical team.
**Education**
* Bachelor’s degree in Computer Science, Information Systems, or equivalent education or work experience.
\#LI\-RP2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5">
      <c r="A85" t="inlineStr">
        <is>
          <t>in-3ddb32e8a38bab28</t>
        </is>
      </c>
      <c r="B85" t="inlineStr">
        <is>
          <t>Senior Staff Software Engineer – IaaS (Platform and Tools - VMs)</t>
        </is>
      </c>
      <c r="C85" t="inlineStr">
        <is>
          <t>GEICO</t>
        </is>
      </c>
      <c r="D85" t="inlineStr">
        <is>
          <t>indeed</t>
        </is>
      </c>
      <c r="E85">
        <f>HYPERLINK("https://www.indeed.com/viewjob?jk=3ddb32e8a38bab28", "https://www.indeed.com/viewjob?jk=3ddb32e8a38bab28")</f>
        <v/>
      </c>
      <c r="F85">
        <f>HYPERLINK("https://click.appcast.io/t/M_lSALGDAsRAjKysaxwK0D9Awd2LSVIOwBvJpaIlj9o=", "https://click.appcast.io/t/M_lSALGDAsRAjKysaxwK0D9Awd2LSVIOwBvJpaIlj9o=")</f>
        <v/>
      </c>
      <c r="G85" t="inlineStr">
        <is>
          <t>New York, NY, US</t>
        </is>
      </c>
      <c r="H85" s="3" t="n">
        <v>46046</v>
      </c>
      <c r="I8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Staff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Staff Engineers work with our Distinguished Engineers, Sr.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and Azure IaaS platforms/APIs.**
**Position Responsibilities**
As a Senior Staff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with a proactive approach to risk mitigation.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8\+ years of PaaS and IaaS software development experience.
* 8\+ years of professional software best in class customer facing experiences using React or other UI frameworks.
* 5\+ years specializing in system design and implementation.
* 5\+ years of hands\-on experience with AWS, GCP, Azure, or other cloud services.
* 4\+ years working with open\-source frameworks.
* 1\+ years of leadership experience leading cross functional technical team.
**Education**
* Bachelor’s degree in Computer Science, Information Systems, or equivalent education or work experience.
\#LI\-RP2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6">
      <c r="A86" t="inlineStr">
        <is>
          <t>in-b398f03ef8befb9e</t>
        </is>
      </c>
      <c r="B86" t="inlineStr">
        <is>
          <t>Senior Software Engineer- CRM, Artificial Intelligence</t>
        </is>
      </c>
      <c r="C86" t="inlineStr">
        <is>
          <t>GEICO</t>
        </is>
      </c>
      <c r="D86" t="inlineStr">
        <is>
          <t>indeed</t>
        </is>
      </c>
      <c r="E86">
        <f>HYPERLINK("https://www.indeed.com/viewjob?jk=b398f03ef8befb9e", "https://www.indeed.com/viewjob?jk=b398f03ef8befb9e")</f>
        <v/>
      </c>
      <c r="F86">
        <f>HYPERLINK("https://click.appcast.io/t/z0jpuwYwSPblJJ1Hype0ng_Ee0p2Qdu53Rb4ewrP_NA=", "https://click.appcast.io/t/z0jpuwYwSPblJJ1Hype0ng_Ee0p2Qdu53Rb4ewrP_NA=")</f>
        <v/>
      </c>
      <c r="G86" t="inlineStr">
        <is>
          <t>Chevy Chase, MD, US</t>
        </is>
      </c>
      <c r="H86" s="3" t="n">
        <v>46046</v>
      </c>
      <c r="I8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low\-latency platforms, and applications. You will help drive our insurance business transformation and platform engineering domain modernization as we redefine experience for our customers.
 **Position Description**  
We are seeking a Senior Full Stack Developer with deep expertise in Microsoft Dynamics365 and the Microsoft Power Platform to help lead the transformation of our legacy CRM into a modern, scalable solution. This new system will empower our GEICO agents to better support customers and deliver a seamless, connected experience across our enterprise via Chat, SMS, email.
**Position Responsibilities**  
As a Senior Software Engineer, you will:
* Collaborate with product managers, team members, customers, and other engineering teams to solve our toughest problems
* Develop and execute technical software development strategy for the organization including self\-service, business continuity, backup/restores, incident response and paging platforms
* Accountable for the quality, usability, and performance of the solutions
* Lead projects from the front and interact with clients and sponsors on a regular basis
* Consistently share best practices and improve processes within and across teams
* Take on\-call and operational support
 **Qualifications**
* Advance knowledge of at least one modern OOP language such as Java or Python or Go (preferred)
* Deep understanding of Dynamics 365 including customer service and power platform.
* Design, develop, and integrate Artificial Intelligence (AI) solutions into software applications, leveraging machine learning, natural language processing.
* Hands\-on experience with AI\-driven software development
* Experience working with services like logic apps, functions, API management, storage and monitoring.
* Deep hands\-on experience in complex system design and data pipeline and architectures, scale and performance, tuning, with good knowledge on Docker and Kubernetes.
* Experience with Azure Services, Full Stack Development, API Gateway and API management.
* Understanding of both front\-end and back\-end concepts with ability to integrate different technologies.
* Integrate front\-end and back\-end components ensuring smooth communication and data flow between them.
* In\-depth knowledge of CS data structures and algorithms
* Understand open\-source databases like MySQL, PostgreSQL, etc.
* Experience in architecting, designing, building automation, workflows, and distributed applications
* Strong understanding of service integrations / communication standards (e.g., GRPC / REST)
* Experience partnering with engineering teams and transferring research to production
* Experience with various integration patterns and technologies used to connect Dynamics 365 with other systems.
* Excellent communication skills
* Hands on experience working in an agile Scrum environment.
 **Experience:**
* 4\+ years of professional experience in software development, platform architecture, administration and maintenance of software, and its ecosystem
* 3\+ years of experience with architecture and design
* 3\+ years of experience with AWS, GCP, Azure, or hybrid data center
* 2\+ years of experience in open\-source frameworks
 **Education:**
* Bachelor's degree in computer science, Information Systems, or equivalent education or work experience
IVRPOLYX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7">
      <c r="A87" t="inlineStr">
        <is>
          <t>in-57d41336163e8cc6</t>
        </is>
      </c>
      <c r="B87" t="inlineStr">
        <is>
          <t>Senior Staff Engineer, Software Engineering</t>
        </is>
      </c>
      <c r="C87" t="inlineStr">
        <is>
          <t>GEICO</t>
        </is>
      </c>
      <c r="D87" t="inlineStr">
        <is>
          <t>indeed</t>
        </is>
      </c>
      <c r="E87">
        <f>HYPERLINK("https://www.indeed.com/viewjob?jk=57d41336163e8cc6", "https://www.indeed.com/viewjob?jk=57d41336163e8cc6")</f>
        <v/>
      </c>
      <c r="F87">
        <f>HYPERLINK("https://click.appcast.io/t/Xz4NOEgmPum2uNiTAvHOOZDDO0HhWKeRaWYrbDweo7E=", "https://click.appcast.io/t/Xz4NOEgmPum2uNiTAvHOOZDDO0HhWKeRaWYrbDweo7E=")</f>
        <v/>
      </c>
      <c r="G87" t="inlineStr">
        <is>
          <t>Richardson, TX, US</t>
        </is>
      </c>
      <c r="H87" s="3" t="n">
        <v>46046</v>
      </c>
      <c r="I8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Engineer, Software Engineering (SRE Availability, Incident \&amp; Change Management)**
**Position Description**
Our Senior Staff Engineer works with our Staff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has deep technical expertise in their domain.
**Position Responsibilities**
As a Senior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a variety of domains
* Accountable for the quality, usability, and performance of the solutions
* Utilize programming languages like Python, C\# or other object\-oriented languages, SQL, and NoSQL databases, Container Orchestration services including Docker and Kubernetes, and a variety of Azure tools and services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and demonstrate adaptability and sponsoring continuous learning
**Qualifications**
* Exemplary ability to design, perform experiments, and influence engineering direction and product roadmap
* Experience partnering with engineering teams and transferring research to production
* Track\-record of publications history in credible conferences and journals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at least two modern languages such as Go, Java, C\+\+, Python or C\# including object\-oriented design
* Experience with Microservices oriented architecture and extensible REST APIs
* Experience building the architecture and design (architecture, design patterns, reliability, and scaling) of new and current systems
* Fluency in DevOps Concepts, Cloud Architecture, and Azure DevOps Operational Framework
* Experience in leveraging PowerShell scripting
* Experience in existing Operational Portals such as Azure Portal
* Experience with application monitoring tools and performance assessments
* In depth knowledge of Datacenter structure, capabilities, and offerings, including the Azure platform, and its native services including the Azure platform and its native services
* Experience in security protocols and products: Understanding of Active Directory, Windows Authentication, SAML, OAuth
* Experience in Azure Network (Subscription, Security zoning, etc.)
* Able to design and develop ALM features
* Experience with development and management of EAP
**Experience (UPDATED)**
* 10\+ years of professional software development experience (focus on SRE and Incident/Change Management)
* 8\+ years of experience with architecture and design
* 6\+ years of experience in open\-source frameworks
* 4\+ years of experience with AWS, GCP, Azure, or another cloud service
* 5\+ years of development in a large\-scale, mission\-critical environment preferred
* 2\+ years' experience with automated testing including Unit, Integration, and End\-to\-End functional testing preferred
**Education**
* Bachelor’s degree in Computer Science, Information Systems, or equivalent education or work experience
 **Annual Salary**
$110,000\.00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8">
      <c r="A88" t="inlineStr">
        <is>
          <t>in-63d77ce6b37731af</t>
        </is>
      </c>
      <c r="B88" t="inlineStr">
        <is>
          <t>Senior Staff Engineer, Software Engineering</t>
        </is>
      </c>
      <c r="C88" t="inlineStr">
        <is>
          <t>GEICO</t>
        </is>
      </c>
      <c r="D88" t="inlineStr">
        <is>
          <t>indeed</t>
        </is>
      </c>
      <c r="E88">
        <f>HYPERLINK("https://www.indeed.com/viewjob?jk=63d77ce6b37731af", "https://www.indeed.com/viewjob?jk=63d77ce6b37731af")</f>
        <v/>
      </c>
      <c r="F88">
        <f>HYPERLINK("https://click.appcast.io/t/QToCl7x6QUDan20GJKCRxp12WT5nE7ySNAatNMid80w=", "https://click.appcast.io/t/QToCl7x6QUDan20GJKCRxp12WT5nE7ySNAatNMid80w=")</f>
        <v/>
      </c>
      <c r="G88" t="inlineStr">
        <is>
          <t>Seattle, WA, US</t>
        </is>
      </c>
      <c r="H88" s="3" t="n">
        <v>46046</v>
      </c>
      <c r="I8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Engineer, Software Engineering (SRE Availability, Incident \&amp; Change Management)**
**Position Description**
Our Senior Staff Engineer works with our Staff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has deep technical expertise in their domain.
**Position Responsibilities**
As a Senior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a variety of domains
* Accountable for the quality, usability, and performance of the solutions
* Utilize programming languages like Python, C\# or other object\-oriented languages, SQL, and NoSQL databases, Container Orchestration services including Docker and Kubernetes, and a variety of Azure tools and services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and demonstrate adaptability and sponsoring continuous learning
**Qualifications**
* Exemplary ability to design, perform experiments, and influence engineering direction and product roadmap
* Experience partnering with engineering teams and transferring research to production
* Track\-record of publications history in credible conferences and journals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at least two modern languages such as Go, Java, C\+\+, Python or C\# including object\-oriented design
* Experience with Microservices oriented architecture and extensible REST APIs
* Experience building the architecture and design (architecture, design patterns, reliability, and scaling) of new and current systems
* Fluency in DevOps Concepts, Cloud Architecture, and Azure DevOps Operational Framework
* Experience in leveraging PowerShell scripting
* Experience in existing Operational Portals such as Azure Portal
* Experience with application monitoring tools and performance assessments
* In depth knowledge of Datacenter structure, capabilities, and offerings, including the Azure platform, and its native services including the Azure platform and its native services
* Experience in security protocols and products: Understanding of Active Directory, Windows Authentication, SAML, OAuth
* Experience in Azure Network (Subscription, Security zoning, etc.)
* Able to design and develop ALM features
* Experience with development and management of EAP
**Experience (UPDATED)**
* 10\+ years of professional software development experience (focus on SRE and Incident/Change Management)
* 8\+ years of experience with architecture and design
* 6\+ years of experience in open\-source frameworks
* 4\+ years of experience with AWS, GCP, Azure, or another cloud service
* 5\+ years of development in a large\-scale, mission\-critical environment preferred
* 2\+ years' experience with automated testing including Unit, Integration, and End\-to\-End functional testing preferred
**Education**
* Bachelor’s degree in Computer Science, Information Systems, or equivalent education or work experience
 **Annual Salary**
$110,000\.00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9">
      <c r="A89" t="inlineStr">
        <is>
          <t>in-37cef7b9099d8e65</t>
        </is>
      </c>
      <c r="B89" t="inlineStr">
        <is>
          <t>Senior Staff Engineer, Software Engineering (CICD, DevOps &amp; Change Management) [Hybrid]</t>
        </is>
      </c>
      <c r="C89" t="inlineStr">
        <is>
          <t>GEICO</t>
        </is>
      </c>
      <c r="D89" t="inlineStr">
        <is>
          <t>indeed</t>
        </is>
      </c>
      <c r="E89">
        <f>HYPERLINK("https://www.indeed.com/viewjob?jk=37cef7b9099d8e65", "https://www.indeed.com/viewjob?jk=37cef7b9099d8e65")</f>
        <v/>
      </c>
      <c r="F89">
        <f>HYPERLINK("https://click.appcast.io/t/XS_S8y1O4AWvHBM2X5qTNyahoLXgF8KdIaDlmwnTCJE=", "https://click.appcast.io/t/XS_S8y1O4AWvHBM2X5qTNyahoLXgF8KdIaDlmwnTCJE=")</f>
        <v/>
      </c>
      <c r="G89" t="inlineStr">
        <is>
          <t>Seattle, WA, US</t>
        </is>
      </c>
      <c r="H89" s="3" t="n">
        <v>46046</v>
      </c>
      <c r="I8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Engineer, Software Engineering (SRE Availability, Incident \&amp; Change Management)**
**Position Description**
Our Senior Staff Engineer works with our Staff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has deep technical expertise in their domain.
**Position Responsibilities**
As a Senior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a variety of domains
* Accountable for the quality, usability, and performance of the solutions
* Utilize programming languages like Python, C\# or other object\-oriented languages, SQL, and NoSQL databases, Container Orchestration services including Docker and Kubernetes, and a variety of Azure tools and services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and demonstrate adaptability and sponsoring continuous learning
Qualifications
* Exemplary ability to design, perform experiments, and influence engineering direction and product roadmap
* Experience partnering with engineering teams and transferring research to production
* Track\-record of publications history in credible conferences and journals
* Significant experience in designing and maintaining CICDCT systems and applying infrastructure as code, documentation as code, x as code concepts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Proficiency in Python, as well as fluency and specialization with at least 1 other modern languages such as Go, Java, C\+\+ or C\# including object\-oriented design
* Experience with Microservices oriented architecture, including extensible REST APIs, GraphQL APIs, and SOAP APIs
* Experience building the architecture and design (architecture, design patterns, reliability, and scaling) of new and current systems
* Fluency in Domain Driven Design
* Fluency in DevOps Concepts, Cloud Architecture, and Azure DevOps Operational Framework
* Experience in leveraging PowerShell scripting
* Experience in existing Operational Portals such as Azure Portal
* Experience with application monitoring tools and performance assessments
* In depth knowledge of Datacenter structure, capabilities and offerings, including the Azure platform, and its native services including the Azure platform and its native services
* Experience in security protocols and products: Understanding of Active Directory, Windows Authentication, SAML, OAuth
* Experience in Azure Network (Subscription, Security zoning, etc.)
* Able to design and develop ALM features
* Experience with development and management of EAP
**Experience**
* 10\+ years of professional DevOps experience
* 5\+ years of leading a CICDCT and IaC initiatives
* 8\+ years of experience with architecture and design
* 6\+ years of experience in open\-source frameworks
* 4\+ years of experience with AWS, GCP, Azure, or another cloud service
* 8\+ years of experience in leadership position
* 6\+ years coding experience
* 5\+ years of development in a large\-scale, mission\-critical environment
* 5\+ years of hands\-on work experience coaching and mentor personnel in a technical environment
* 5\+ years of experience with one of the public cloud \- AWS, GCP, Azure, or another cloud service
* 5\+ years' experience with automated testing including Unit, Integration, and End\-to\-End functional testing
**Education**
* Bachelor’s degree in Computer Science, Information Systems, or equivalent education or work experience
\#LI\-JK1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0">
      <c r="A90" t="inlineStr">
        <is>
          <t>in-dc87bd2282fb911d</t>
        </is>
      </c>
      <c r="B90" t="inlineStr">
        <is>
          <t>Senior Staff Software Engineer – IaaS (Platform and Tools - VMs)</t>
        </is>
      </c>
      <c r="C90" t="inlineStr">
        <is>
          <t>GEICO</t>
        </is>
      </c>
      <c r="D90" t="inlineStr">
        <is>
          <t>indeed</t>
        </is>
      </c>
      <c r="E90">
        <f>HYPERLINK("https://www.indeed.com/viewjob?jk=dc87bd2282fb911d", "https://www.indeed.com/viewjob?jk=dc87bd2282fb911d")</f>
        <v/>
      </c>
      <c r="F90">
        <f>HYPERLINK("https://click.appcast.io/t/Fc7Ql69i6ufOnoN7jZL9c7NHN5tsC17E2s-hE8RGR28=", "https://click.appcast.io/t/Fc7Ql69i6ufOnoN7jZL9c7NHN5tsC17E2s-hE8RGR28=")</f>
        <v/>
      </c>
      <c r="G90" t="inlineStr">
        <is>
          <t>San Jose, CA, US</t>
        </is>
      </c>
      <c r="H90" s="3" t="n">
        <v>46046</v>
      </c>
      <c r="I9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Staff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Staff Engineers work with our Distinguished Engineers, Sr.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and Azure IaaS platforms/APIs.**
**Position Responsibilities**
As a Senior Staff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with a proactive approach to risk mitigation.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8\+ years of PaaS and IaaS software development experience.
* 8\+ years of professional software best in class customer facing experiences using React or other UI frameworks.
* 5\+ years specializing in system design and implementation.
* 5\+ years of hands\-on experience with AWS, GCP, Azure, or other cloud services.
* 4\+ years working with open\-source frameworks.
* 1\+ years of leadership experience leading cross functional technical team.
**Education**
* Bachelor’s degree in Computer Science, Information Systems, or equivalent education or work experience.
\#LI\-RP2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1">
      <c r="A91" t="inlineStr">
        <is>
          <t>in-5f1b6fd77bbe167f</t>
        </is>
      </c>
      <c r="B91" t="inlineStr">
        <is>
          <t>Senior Software Engineer- CRM, Artificial Intelligence</t>
        </is>
      </c>
      <c r="C91" t="inlineStr">
        <is>
          <t>GEICO</t>
        </is>
      </c>
      <c r="D91" t="inlineStr">
        <is>
          <t>indeed</t>
        </is>
      </c>
      <c r="E91">
        <f>HYPERLINK("https://www.indeed.com/viewjob?jk=5f1b6fd77bbe167f", "https://www.indeed.com/viewjob?jk=5f1b6fd77bbe167f")</f>
        <v/>
      </c>
      <c r="F91">
        <f>HYPERLINK("https://click.appcast.io/t/Mml4FEVepk1bV-5K4IQHSfu_EkOjhy3Xdo3z8bG6fz8=", "https://click.appcast.io/t/Mml4FEVepk1bV-5K4IQHSfu_EkOjhy3Xdo3z8bG6fz8=")</f>
        <v/>
      </c>
      <c r="G91" t="inlineStr">
        <is>
          <t>New York, NY, US</t>
        </is>
      </c>
      <c r="H91" s="3" t="n">
        <v>46046</v>
      </c>
      <c r="I9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low\-latency platforms, and applications. You will help drive our insurance business transformation and platform engineering domain modernization as we redefine experience for our customers.
 **Position Description**  
We are seeking a Senior Full Stack Developer with deep expertise in Microsoft Dynamics365 and the Microsoft Power Platform to help lead the transformation of our legacy CRM into a modern, scalable solution. This new system will empower our GEICO agents to better support customers and deliver a seamless, connected experience across our enterprise via Chat, SMS, email.
**Position Responsibilities**  
As a Senior Software Engineer, you will:
* Collaborate with product managers, team members, customers, and other engineering teams to solve our toughest problems
* Develop and execute technical software development strategy for the organization including self\-service, business continuity, backup/restores, incident response and paging platforms
* Accountable for the quality, usability, and performance of the solutions
* Lead projects from the front and interact with clients and sponsors on a regular basis
* Consistently share best practices and improve processes within and across teams
* Take on\-call and operational support
 **Qualifications**
* Advance knowledge of at least one modern OOP language such as Java or Python or Go (preferred)
* Deep understanding of Dynamics 365 including customer service and power platform.
* Design, develop, and integrate Artificial Intelligence (AI) solutions into software applications, leveraging machine learning, natural language processing.
* Hands\-on experience with AI\-driven software development
* Experience working with services like logic apps, functions, API management, storage and monitoring.
* Deep hands\-on experience in complex system design and data pipeline and architectures, scale and performance, tuning, with good knowledge on Docker and Kubernetes.
* Experience with Azure Services, Full Stack Development, API Gateway and API management.
* Understanding of both front\-end and back\-end concepts with ability to integrate different technologies.
* Integrate front\-end and back\-end components ensuring smooth communication and data flow between them.
* In\-depth knowledge of CS data structures and algorithms
* Understand open\-source databases like MySQL, PostgreSQL, etc.
* Experience in architecting, designing, building automation, workflows, and distributed applications
* Strong understanding of service integrations / communication standards (e.g., GRPC / REST)
* Experience partnering with engineering teams and transferring research to production
* Experience with various integration patterns and technologies used to connect Dynamics 365 with other systems.
* Excellent communication skills
* Hands on experience working in an agile Scrum environment.
 **Experience:**
* 4\+ years of professional experience in software development, platform architecture, administration and maintenance of software, and its ecosystem
* 3\+ years of experience with architecture and design
* 3\+ years of experience with AWS, GCP, Azure, or hybrid data center
* 2\+ years of experience in open\-source frameworks
 **Education:**
* Bachelor's degree in computer science, Information Systems, or equivalent education or work experience
IVRPOLYX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2">
      <c r="A92" t="inlineStr">
        <is>
          <t>in-2b10bbbe5a8e9b07</t>
        </is>
      </c>
      <c r="B92" t="inlineStr">
        <is>
          <t>Senior Manager, Staff Software Engineering</t>
        </is>
      </c>
      <c r="C92" t="inlineStr">
        <is>
          <t>GEICO</t>
        </is>
      </c>
      <c r="D92" t="inlineStr">
        <is>
          <t>indeed</t>
        </is>
      </c>
      <c r="E92">
        <f>HYPERLINK("https://www.indeed.com/viewjob?jk=2b10bbbe5a8e9b07", "https://www.indeed.com/viewjob?jk=2b10bbbe5a8e9b07")</f>
        <v/>
      </c>
      <c r="F92">
        <f>HYPERLINK("https://click.appcast.io/t/qH8eYv5c61OfBunAtEAamk_p6pCM6PLN4NwEhiLDPgQ=", "https://click.appcast.io/t/qH8eYv5c61OfBunAtEAamk_p6pCM6PLN4NwEhiLDPgQ=")</f>
        <v/>
      </c>
      <c r="G92" t="inlineStr">
        <is>
          <t>Chevy Chase, MD, US</t>
        </is>
      </c>
      <c r="H92" s="3" t="n">
        <v>46046</v>
      </c>
      <c r="I9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Senior Manager with a passion for building high performance, low\-latency platforms, and applications. You will build and manage a team of engineers with a deep focus on delivering enterprise\-wide solutions to operate in a highly performant and efficient way. You will help drive our insurance business transformation as we redefine experiences for our customers.  
Our Senior Manager is an engineering leader who works with the engineering staff to innovate and build new engineering solutions, improve and enhance existing solutions as well as leverage engineering solutions to solve critical operational problems. A Senior Manager will lead the strategy and execution of a technical roadmap that will increase the speed of delivering products and unlock new engineering capabilities. The ideal candidate has deep technical expertise to improve application performance, capacity benchmarking, improve availability and reliability, design and evolve cloud infrastructure and architecture.
**Position Description**
At Rating Scoring and Data Services in Geico Sales Tech our goal is to build a new generation of platforms and capabilities to support our insurance business. And do this in a generic way that can be easily configured to enable any line of business – such as auto, commercial, moat etc. We leverage modern architecture patterns like event\-sourcing and microservices and embraced open source as a recent member of the Linux Foundation. And we’re just getting started!!
Our Senior Manager is an engineering leader who works with the engineering staff to innovate and build new engineering solutions, improve and enhance existing solutions as well as leverage engineering solutions to solve critical operational problems. A Senior Manager will lead the strategy and execution of a technical roadmap that will increase the speed of delivering products and unlock new engineering capabilities. The ideal candidate has deep technical expertise to improve application performance, capacity benchmarking, improve availability and reliability, design and evolve cloud infrastructure and architecture.
**Position Responsibilities**
As a Senior Manager, you will:
* Work with your Director to address project dependencies, negotiate and estimate incremental delivery dates for milestones with the stakeholder community, and deliver projects on time
* Identify and raise appropriate project risks, in addition to presenting detailed and implementable solutions or alternatives
* Understand how requirements and design choices may impact systems across multiple areas
* Report on your team’s progress for project and other key metrics, in addition to presenting detailed and implementable ideas for areas to further improve or influence product or project delivery
* Initiate and support performance evaluation of team members
* Cultivate a culture that motivates all levels of performers to higher levels of achievement
* Build and maintain relationships with your team members to support an environment of trust
* Foster a culture of growth mindset that acknowledges and expects individuals to grow and be accountable. Influence those you motivate and coach to be receptive to feedback.
* Identify where technical or analytical skill gaps put future team deliverables at risk and craft a plan to remediate, consistently challenge team members to share knowledge and learn new technologies
* Proficiently execute difficult conversations on development and performance
* Craft and deliver strategic and well\-structured persuasive arguments to drive projects that drive process improvement, enhance cost leadership, and/or customer experience
* Manage up to leadership as well as give feedback when appropriate
* Administer coaching plan(s) and Performance Improvement Plan(s)
* Craft fully compliant quality documentation
* Compliant negotiation and execution of warning administration and/or involuntary termination
* Develop the team budget and be accountable for reporting on results achieved at regular intervals
* Significantly contribute to the team planning process to include surfacing associate level proposals
* Collaborate with the product teams to understand their pain points around performance, resiliency and formulate strategies to address recurring issues in a sustainable way
* Influence and build vision with product owners to ship quality products in a faster pace
* Develop and motivate teams to solve complex problems and be a strong advocate for open\-source technologies and solutions
* Drive the team towards building solutions towards the long\-term goals while ensuring that high priority tech debts are solved in an efficient way
* Consistently share best practices and improve processes within and across teams
**Qualifications**
* Strong foundation in algorithms, data structures, and core computer science concepts
* Basic UI/UX, API and prototype design knowledge and experience
* Proven experience in digital experimentation to optimize the online customer experience
* Knowledge of DTM tagging, including implementation solution design and processing rule set
* Hands on experience with Metadata management tools (Microsoft Purview, Collibra, Alation, Informatica, etc.)
* Knowledge of cloud computing technologies and concepts (SaaS, PaaS, IaaS, etc)
* Working knowledge of object\-oriented development, Gang of Four (GOF) Design Patterns, Microservices, Dependency Injection with IOC containers, and both frontend and backend unit testing
* Proven ability to concentrate and demonstrate a capacity for learning technical concepts and adapting to new technologies quickly
* Strong Cloud (AWS, GCP, Azure etc.) platform knowledge
* In\-depth knowledge of MS Office tools such as PowerPoint, Outlook, Word, and WebEx for effective communication
* Proficiency in Project Management and work item management tools such as Jira, Azure DevOps and Portfolio
* Proficiency in Program Management tools such as MS Project, Visio, and Excel
* Experience in existing Operational Portals such as Azure Portal
* Fluency with Java, Go, .NET, HTML\-5, JavaScript/TypeScript, XML, JSON, and RESTful Web Services
* Experience with application monitoring tools and performance assessments
* Experience in PowerShell Scripting
* Constructing, interpreting, and applying metrics to your work and decision making, able to use those metrics to identify correlation between drivers and results, and using that information to drive prioritization and action
* Strong understanding of Site Reliability Engineering and DevOps principles
* Strong technical acumen in Cloud Architecture, Performance Benchmarking, and Capacity planning
* Expert in Container orchestration (e.g., Kubernetes), container runtimes and optimization
* Experience with driving cultural change in technical excellence, quality, and efficiency
* Experience managing and growing technical leaders and teams
* In\-depth knowledge of CS data structures and algorithms
**Experience**
* 8\+ years of experience in leadership position
* 6\+ years coding experience
* 5\+ years of development in a large\-scale, mission\-critical environment
* 5\+ years of hands\-on work experience supervising personnel in a technical environment
* 5\+ years of experience with one of the public cloud \- AWS, GCP, Azure, or another cloud service
* 2\+ years' experience with automated testing including Unit, Integration, and End\-to\-End functional testing
**Education**
* Bachelor’s degree in Information Technology or related field, or equivalent experience
 **Annual Salary**
$130,000\.00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3">
      <c r="A93" t="inlineStr">
        <is>
          <t>in-8da8bf7883f21bd2</t>
        </is>
      </c>
      <c r="B93" t="inlineStr">
        <is>
          <t>Staff Software Engineer - *HYBRID*-(Go, Java, React, Microservices, Kubernetes)</t>
        </is>
      </c>
      <c r="C93" t="inlineStr">
        <is>
          <t>GEICO</t>
        </is>
      </c>
      <c r="D93" t="inlineStr">
        <is>
          <t>indeed</t>
        </is>
      </c>
      <c r="E93">
        <f>HYPERLINK("https://www.indeed.com/viewjob?jk=8da8bf7883f21bd2", "https://www.indeed.com/viewjob?jk=8da8bf7883f21bd2")</f>
        <v/>
      </c>
      <c r="F93">
        <f>HYPERLINK("https://click.appcast.io/t/9Fpa5oWBIpuqccRH5AK6BsyZfDy6avFVWp9AT8F38Rs=", "https://click.appcast.io/t/9Fpa5oWBIpuqccRH5AK6BsyZfDy6avFVWp9AT8F38Rs=")</f>
        <v/>
      </c>
      <c r="G93" t="inlineStr">
        <is>
          <t>Chevy Chase, MD, US</t>
        </is>
      </c>
      <c r="H93" s="3" t="n">
        <v>46046</v>
      </c>
      <c r="I9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**Staff Engineer** to join our team that brings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In this role you will collaborate with the Distinguished Engineer and Senior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**As a Staff Engineer, you will:**
* Focus on multiple areas and provide technical thought leadership to the enterprise
* Collaborate with product managers, team members, customers, and other engineering teams to solve our toughest problems
* Develop and execute technical software development strategy for the Platform Engineering domain
* Be accountable for the quality, usability, and performance of the solutions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demonstrate adaptability and sponsor continuous learning
* Take on\-call and operation support
**Qualifications:**
* Deep hands\-on experience in complex system design, data pipeline and architectures, scalable distributed systems
* Fluent in at least one OOP languages such as Java, Go, Python, C\+\+, etc.
* Exemplary ability to design, perform experiments, and influence engineering direction and product roadmap
* Experience partnering with engineering teams and transferring research to production
* Experience with continuous delivery and infrastructure as code
* In\-depth knowledge of CS data structures and algorithms
* Experience solving analytical problems with quantitative approaches
* Knowledge of developer tooling across the software development life cycle (task management, source code, building, deployment, test automation and related tools, operations, real\-time communication)
* Experience with open\-source messaging and event streaming platforms with emphasis on building enterprise scale platforms
* Experience in CI/CD pipeline and related open\-source tools like GIT/Jenkin/CircleCI/SonarQube and knowledge in Terraform/Ansible will be a plus
* Knowledge on Open\-source monitoring software like Grafana and Prometheus will be a plus
* Familiarity with other messaging and event solutions like Azure Service Bus and Azure Event Hub will be a plus
**Experience:**
* 6\+ years of professional experience.
* 4\+ years of experience in open\-source frameworks
* 3\+ years of experience with architecture and design
* 3\+ years of experience with AWS, GCP, Azure or similar cloud service preferred
**Education:**
* Bachelor’s degree in Computer Science, Information Systems, or equivalent education or work experience
\#LI\-FA1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4">
      <c r="A94" t="inlineStr">
        <is>
          <t>in-2114e348e07cb132</t>
        </is>
      </c>
      <c r="B94" t="inlineStr">
        <is>
          <t>Senior Staff Engineer, Software Engineering</t>
        </is>
      </c>
      <c r="C94" t="inlineStr">
        <is>
          <t>GEICO</t>
        </is>
      </c>
      <c r="D94" t="inlineStr">
        <is>
          <t>indeed</t>
        </is>
      </c>
      <c r="E94">
        <f>HYPERLINK("https://www.indeed.com/viewjob?jk=2114e348e07cb132", "https://www.indeed.com/viewjob?jk=2114e348e07cb132")</f>
        <v/>
      </c>
      <c r="F94">
        <f>HYPERLINK("https://click.appcast.io/t/G6BSCrDZa2EXXe2JD0oDGqdysMZpGhG1Y2ag_tXtl3A=", "https://click.appcast.io/t/G6BSCrDZa2EXXe2JD0oDGqdysMZpGhG1Y2ag_tXtl3A=")</f>
        <v/>
      </c>
      <c r="G94" t="inlineStr">
        <is>
          <t>Chevy Chase, MD, US</t>
        </is>
      </c>
      <c r="H94" s="3" t="n">
        <v>46046</v>
      </c>
      <c r="I9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Engineer, Software Engineering (SRE Availability, Incident \&amp; Change Management)**
**Position Description**
Our Senior Staff Engineer works with our Staff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has deep technical expertise in their domain.
**Position Responsibilities**
As a Senior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a variety of domains
* Accountable for the quality, usability, and performance of the solutions
* Utilize programming languages like Python, C\# or other object\-oriented languages, SQL, and NoSQL databases, Container Orchestration services including Docker and Kubernetes, and a variety of Azure tools and services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and demonstrate adaptability and sponsoring continuous learning
**Qualifications**
* Exemplary ability to design, perform experiments, and influence engineering direction and product roadmap
* Experience partnering with engineering teams and transferring research to production
* Track\-record of publications history in credible conferences and journals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at least two modern languages such as Go, Java, C\+\+, Python or C\# including object\-oriented design
* Experience with Microservices oriented architecture and extensible REST APIs
* Experience building the architecture and design (architecture, design patterns, reliability, and scaling) of new and current systems
* Fluency in DevOps Concepts, Cloud Architecture, and Azure DevOps Operational Framework
* Experience in leveraging PowerShell scripting
* Experience in existing Operational Portals such as Azure Portal
* Experience with application monitoring tools and performance assessments
* In depth knowledge of Datacenter structure, capabilities, and offerings, including the Azure platform, and its native services including the Azure platform and its native services
* Experience in security protocols and products: Understanding of Active Directory, Windows Authentication, SAML, OAuth
* Experience in Azure Network (Subscription, Security zoning, etc.)
* Able to design and develop ALM features
* Experience with development and management of EAP
**Experience (UPDATED)**
* 10\+ years of professional software development experience (focus on SRE and Incident/Change Management)
* 8\+ years of experience with architecture and design
* 6\+ years of experience in open\-source frameworks
* 4\+ years of experience with AWS, GCP, Azure, or another cloud service
* 5\+ years of development in a large\-scale, mission\-critical environment preferred
* 2\+ years' experience with automated testing including Unit, Integration, and End\-to\-End functional testing preferred
**Education**
* Bachelor’s degree in Computer Science, Information Systems, or equivalent education or work experience
 **Annual Salary**
$110,000\.00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5">
      <c r="A95" t="inlineStr">
        <is>
          <t>in-997b94f11142c981</t>
        </is>
      </c>
      <c r="B95" t="inlineStr">
        <is>
          <t>Senior Staff Engineer, Software Engineering (CICD, DevOps &amp; Change Management) [Hybrid]</t>
        </is>
      </c>
      <c r="C95" t="inlineStr">
        <is>
          <t>GEICO</t>
        </is>
      </c>
      <c r="D95" t="inlineStr">
        <is>
          <t>indeed</t>
        </is>
      </c>
      <c r="E95">
        <f>HYPERLINK("https://www.indeed.com/viewjob?jk=997b94f11142c981", "https://www.indeed.com/viewjob?jk=997b94f11142c981")</f>
        <v/>
      </c>
      <c r="F95">
        <f>HYPERLINK("https://click.appcast.io/t/iDD4BaM4JX9JVZoHMXgtelZy6v0sPKaMakuiSjbS4ZQ=", "https://click.appcast.io/t/iDD4BaM4JX9JVZoHMXgtelZy6v0sPKaMakuiSjbS4ZQ=")</f>
        <v/>
      </c>
      <c r="G95" t="inlineStr">
        <is>
          <t>Chevy Chase, MD, US</t>
        </is>
      </c>
      <c r="H95" s="3" t="n">
        <v>46046</v>
      </c>
      <c r="I9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Engineer, Software Engineering (SRE Availability, Incident \&amp; Change Management)**
**Position Description**
Our Senior Staff Engineer works with our Staff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has deep technical expertise in their domain.
**Position Responsibilities**
As a Senior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a variety of domains
* Accountable for the quality, usability, and performance of the solutions
* Utilize programming languages like Python, C\# or other object\-oriented languages, SQL, and NoSQL databases, Container Orchestration services including Docker and Kubernetes, and a variety of Azure tools and services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and demonstrate adaptability and sponsoring continuous learning
Qualifications
* Exemplary ability to design, perform experiments, and influence engineering direction and product roadmap
* Experience partnering with engineering teams and transferring research to production
* Track\-record of publications history in credible conferences and journals
* Significant experience in designing and maintaining CICDCT systems and applying infrastructure as code, documentation as code, x as code concepts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Proficiency in Python, as well as fluency and specialization with at least 1 other modern languages such as Go, Java, C\+\+ or C\# including object\-oriented design
* Experience with Microservices oriented architecture, including extensible REST APIs, GraphQL APIs, and SOAP APIs
* Experience building the architecture and design (architecture, design patterns, reliability, and scaling) of new and current systems
* Fluency in Domain Driven Design
* Fluency in DevOps Concepts, Cloud Architecture, and Azure DevOps Operational Framework
* Experience in leveraging PowerShell scripting
* Experience in existing Operational Portals such as Azure Portal
* Experience with application monitoring tools and performance assessments
* In depth knowledge of Datacenter structure, capabilities and offerings, including the Azure platform, and its native services including the Azure platform and its native services
* Experience in security protocols and products: Understanding of Active Directory, Windows Authentication, SAML, OAuth
* Experience in Azure Network (Subscription, Security zoning, etc.)
* Able to design and develop ALM features
* Experience with development and management of EAP
**Experience**
* 10\+ years of professional DevOps experience
* 5\+ years of leading a CICDCT and IaC initiatives
* 8\+ years of experience with architecture and design
* 6\+ years of experience in open\-source frameworks
* 4\+ years of experience with AWS, GCP, Azure, or another cloud service
* 8\+ years of experience in leadership position
* 6\+ years coding experience
* 5\+ years of development in a large\-scale, mission\-critical environment
* 5\+ years of hands\-on work experience coaching and mentor personnel in a technical environment
* 5\+ years of experience with one of the public cloud \- AWS, GCP, Azure, or another cloud service
* 5\+ years' experience with automated testing including Unit, Integration, and End\-to\-End functional testing
**Education**
* Bachelor’s degree in Computer Science, Information Systems, or equivalent education or work experience
\#LI\-JK1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6">
      <c r="A96" t="inlineStr">
        <is>
          <t>in-9ce1d896d01f753c</t>
        </is>
      </c>
      <c r="B96" t="inlineStr">
        <is>
          <t>Sr. Software Engineer</t>
        </is>
      </c>
      <c r="C96" t="inlineStr">
        <is>
          <t>GEICO</t>
        </is>
      </c>
      <c r="D96" t="inlineStr">
        <is>
          <t>indeed</t>
        </is>
      </c>
      <c r="E96">
        <f>HYPERLINK("https://www.indeed.com/viewjob?jk=9ce1d896d01f753c", "https://www.indeed.com/viewjob?jk=9ce1d896d01f753c")</f>
        <v/>
      </c>
      <c r="F96">
        <f>HYPERLINK("https://click.appcast.io/t/VXY86b9VI07PQEjPkNbYWX9Dpu6jWscID6rzmChMkxs=", "https://click.appcast.io/t/VXY86b9VI07PQEjPkNbYWX9Dpu6jWscID6rzmChMkxs=")</f>
        <v/>
      </c>
      <c r="G96" t="inlineStr">
        <is>
          <t>Chevy Chase, MD, US</t>
        </is>
      </c>
      <c r="H96" s="3" t="n">
        <v>46046</v>
      </c>
      <c r="I9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works with our Sr Staff Engineer and other Sr. Engineers to innovate and build new systems, improve, and enhance existing systems as well as identify new opportunities to apply your knowledge to solve critical problems. You will lead Project and Execution of a technical roadmap that will increase the velocity of delivering products and unlock new engineering capabilities. The ideal candidate has deep technical expertise in the Open\-Source Observability, Data platform domain.
 **Position Responsibilities**  
As a Senior Engineer, you will:
* Focus on Single or multiple areas and provide technical and thought leadership to the enterprise
* Collaborate with product managers, team members, customers, and other engineering teams to solve our toughest problems
* Develop and execute technical software development strategy for the Observability Engineering domain
* Accountable for the quality, usability, and performance of the solutions
* Be a executor as well as an active learner, helping to coach TDPs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demonstrate adaptability and sponsor continuous learning
* Willing to take on\-call and operation support
 **Qualifications**
* Good hands\-on experience in building complex distributed system to process large scale telemetry and architectures to support the scale and performance, with great knowledge on Docker and Kubernetes
* Advanceed knowledge of at least one OOP language such as Java, Go, Python, etc.
* Great understanding of open\-source databases like MySQL, PostgreSQL, etc. And strong foundation with No\-SQL databases like Clickhouse, Cassandra. Apache Trino etc. Knowledge or Big data formats such as Parquet or Avro etc.
* Experience in architecting, designing, building Observability platform solutions, Advanced data analytics using Open\-Source technologies are a big plus.
* Experience building distributed systems
* Excellent communication skills – needs to be able to lead projects from the front and interact with clients and sponsors on a regular basis
* Experience partnering with engineering teams and transferring research to production
* Experience with continuous delivery (CI/CD) and Infrastructure as Code
* In\-depth knowledge of CS data structures and algorithms
* Experience solving analytical problems with quantitative approaches
* Experience with Windows Server Administration and Windows Event Log
* Ability to excel in a fast\-paced, startup\-like environment
* Willing to work on both fast development and operation environment
* Knowledge of developer tooling across the software development life cycle (task management, source code, building, deployment, test automation and related tools, operations, real\-time communication)
* Knowledge in big data and streaming data pipeline architecture (Lambda/Kappa) and K8 cluster
* Experience in open\-source tools like GIT/Jenkin/CircleCI, and knowledge in Terraform/Ansible is a plus
* Experience solving analytical problems with quantitative approaches
* Knowledge of developer tooling across the software development life cycle (task management, source code, building, deployment, test automation and related tools, operations, real\-time communication)
* Knowledge in ML and AI technologies
* Knowledge on Open\-source monitoring software like Grafana and Prometheus
**Experience**
* 4\+ years of professional experience in software development, platform architecture, administration, governance, infrastructure management, installation, and maintenance of the hardware, software, and network systems
* 4\+ years of experience in open\-source frameworks
* 3\+ years of experience with design
* 3\+ years of experience with AWS, GCP, Azure, or hybrid data center
**Education**
* Bachelor's degree in computer science, Information Systems, or equivalent education or work experience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7">
      <c r="A97" t="inlineStr">
        <is>
          <t>in-a643c8046f509955</t>
        </is>
      </c>
      <c r="B97" t="inlineStr">
        <is>
          <t>Senior Software Engineer –(Java/Golang/Microservices/Kubernetes) *HYBRID*</t>
        </is>
      </c>
      <c r="C97" t="inlineStr">
        <is>
          <t>GEICO</t>
        </is>
      </c>
      <c r="D97" t="inlineStr">
        <is>
          <t>indeed</t>
        </is>
      </c>
      <c r="E97">
        <f>HYPERLINK("https://www.indeed.com/viewjob?jk=a643c8046f509955", "https://www.indeed.com/viewjob?jk=a643c8046f509955")</f>
        <v/>
      </c>
      <c r="F97">
        <f>HYPERLINK("https://click.appcast.io/t/80i6UiU7kaEjWe1FUbiXct3lw0MNqDutUzVNLC04NU0=", "https://click.appcast.io/t/80i6UiU7kaEjWe1FUbiXct3lw0MNqDutUzVNLC04NU0=")</f>
        <v/>
      </c>
      <c r="G97" t="inlineStr">
        <is>
          <t>Seattle, WA, US</t>
        </is>
      </c>
      <c r="H97" s="3" t="n">
        <v>46046</v>
      </c>
      <c r="I9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External Job Posting Description
GEICO is seeking an experienced **Senior Engineer** with a passion for building high performance, low\-latency platforms, and applications. You will help drive our insurance business transformation and platform engineering domain modernization as we redefine experiences for our customers. You will be instrumental in driving the adoption and expansion of our **Object Storage**, ensuring its stability, security, and performance across our hybrid cloud environment for DataLakes/AI/ML Workloads.
**Position Description**
The Senior Engineer works with our Distinguished Engineer and Staff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ideal candidate has deep technical expertise in Go development, Kubernetes, Object Storage Services (AWS S3 or Azure Storage), Open\-Source Object Storage (CEPH, MinIO)*  
**Position Responsibilities**  
As a Senior Engineer, you will:
* Collaborate with product managers, team members, customers, and other engineering teams to solve our toughest problems
* Develop and execute technical software development strategy for the Platform Engineering domain
* Own accountability for the quality, usability \&amp; performance of the solutions
* Deep hands\-on experience in complex system design and storage and data pipeline and architectures, scale and performance, tuning, with good knowledge on Docker and Kubernetes
* Consistently share best practices and improve processes within and across teams
* Take on\-call and operational support
**Qualifications**
* Fluent in at least two programming languages such as Go (preferred) or C\+\+, C\#, Java, etc.
* Understanding of open\-source object storage such as CEPH, MinIO
* Experience in using object storage services like AWS S3 or Azure Storage
* Experience on open\-source database platforms with emphasis on building enterprise scale RDMS and NoSQL platforms
* Knowledge in big data and streaming data \&amp; storage pipeline architecture (Lambda/Kappa) and K8 cluster
* Experience in open\-source tools like GIT/Jenkin/CircleCI, and knowledge in Terraform/Ansible will be a big plus
* Knowledge of developer tooling across the software development life cycle (task management, source code, building, deployment, test automation and related tools, operations, real\-time communication)
* Experience partnering with engineering teams and transferring research to production
* Experience with continuous delivery (CI/CD) and infrastructure as code
* In\-depth knowledge of CS data structures and algorithms
* Experience solving analytical problems with quantitative approaches
* Ability to excel in a fast\-paced, startup\-like environment
* Willing to work on both fast development and operation environment
 **Experience:**
* 5\+ years of software design and development experience
* 2\+ years of experience in open\-source frameworks
* Professional PaaS and IaaS experience (optional)
* Experience with AWS, GCP, Azure, or another cloud service (optional)
**Education**
* Bachelor’s degree in Computer Science, Information Systems, or equivalent education or work experience
\#LI\-FA1
 **Annual Salary**
$80,000\.00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8">
      <c r="A98" t="inlineStr">
        <is>
          <t>in-f3748ddbe46c908c</t>
        </is>
      </c>
      <c r="B98" t="inlineStr">
        <is>
          <t>Staff Software Engineer - Governance</t>
        </is>
      </c>
      <c r="C98" t="inlineStr">
        <is>
          <t>GEICO</t>
        </is>
      </c>
      <c r="D98" t="inlineStr">
        <is>
          <t>indeed</t>
        </is>
      </c>
      <c r="E98">
        <f>HYPERLINK("https://www.indeed.com/viewjob?jk=f3748ddbe46c908c", "https://www.indeed.com/viewjob?jk=f3748ddbe46c908c")</f>
        <v/>
      </c>
      <c r="F98">
        <f>HYPERLINK("https://click.appcast.io/t/_hpizg-SrUrXMoxXcjuAS5vgNRnhB16P2NAX-QPLMGo=", "https://click.appcast.io/t/_hpizg-SrUrXMoxXcjuAS5vgNRnhB16P2NAX-QPLMGo=")</f>
        <v/>
      </c>
      <c r="G98" t="inlineStr">
        <is>
          <t>Chevy Chase, MD, US</t>
        </is>
      </c>
      <c r="H98" s="3" t="n">
        <v>46046</v>
      </c>
      <c r="I9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Staff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Staff Engineer works with our Distinguished Engineer and Sr. Engineers to innovate and build new systems, improve, and enhance existing systems and identify new opportunities to apply your knowledge to solve critical problems. You will lead Strategy and Execution of a technical roadmap that will increase the velocity of delivering products and unlock new engineering capabilities.
 **Position Responsibilities**  
As a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the Platform Engineering domain
* Accountable for the quality, usability, and performance of the solutions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demonstrate adaptability and sponsor continuous learning
* Willing to take on\-call and operation support
 **Qualifications**
* Deep hands\-on experience in complex system design and data pipeline and architectures, scale and performance, tuning, with good knowledge on Docker and Kubernetes
* Experience with open\-source software is a plus
* Experience with governance and policy engines such as Cloud Custodian, Open Policy Agent (OPA).
* Advance knowledge of at least one OOP languages such as Go or Python
* Understand open\-source databases like MySQL, PostgreSQL, etc., familiar with No\-SQL databases like Cassandra, MongoDB, Elasticsearch, etc.
* Strong understanding of web service integration (REST/SOAP) and enterprise middleware integration tiers
* Excellent communication skills – needs to be able to lead projects from the front and interact with clients and sponsors on a regular basis
* Experience partnering with engineering teams and transferring research to production
* Experience with continuous delivery (CI/CD) and Infrastructure as Code
* Willing to work on both fast development and operation environment
* Knowledge of developer tooling across the software development life cycle (task management, source code, building, deployment, test automation and related tools, operations, real\-time communication)
* Knowledge in big data, streaming data and ETL pipeline architecture
* Experience solving analytical problems with quantitative approaches
* Knowledge in ML and AI technologies
* Knowledge on Open\-source monitoring software like Grafana and Prometheus
**Experience**
* 6\+ years of professional experience in software development, platform architecture, administration, governance, infrastructure management, installation, and maintenance of the hardware, software, and network systems
* 4\+ years of experience in open\-source frameworks
* 3\+ years of experience with architecture and design
* 3\+ years of experience with AWS, GCP, Azure, or hybrid data center
**Education**
* Bachelor's degree in computer science, Information Systems, or equivalent education or work experience
 **Annual Salary**
$100,000\.00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9">
      <c r="A99" t="inlineStr">
        <is>
          <t>in-00a73049be5a1f14</t>
        </is>
      </c>
      <c r="B99" t="inlineStr">
        <is>
          <t>Senior Software Engineer- CRM, Artificial Intelligence</t>
        </is>
      </c>
      <c r="C99" t="inlineStr">
        <is>
          <t>GEICO</t>
        </is>
      </c>
      <c r="D99" t="inlineStr">
        <is>
          <t>indeed</t>
        </is>
      </c>
      <c r="E99">
        <f>HYPERLINK("https://www.indeed.com/viewjob?jk=00a73049be5a1f14", "https://www.indeed.com/viewjob?jk=00a73049be5a1f14")</f>
        <v/>
      </c>
      <c r="F99">
        <f>HYPERLINK("https://click.appcast.io/t/BBgXTG_ohvA4AoA-SDs1vZ6f96z4_uGhcAptmsus-_s=", "https://click.appcast.io/t/BBgXTG_ohvA4AoA-SDs1vZ6f96z4_uGhcAptmsus-_s=")</f>
        <v/>
      </c>
      <c r="G99" t="inlineStr">
        <is>
          <t>Palo Alto, CA, US</t>
        </is>
      </c>
      <c r="H99" s="3" t="n">
        <v>46046</v>
      </c>
      <c r="I9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low\-latency platforms, and applications. You will help drive our insurance business transformation and platform engineering domain modernization as we redefine experience for our customers.
 **Position Description**  
We are seeking a Senior Full Stack Developer with deep expertise in Microsoft Dynamics365 and the Microsoft Power Platform to help lead the transformation of our legacy CRM into a modern, scalable solution. This new system will empower our GEICO agents to better support customers and deliver a seamless, connected experience across our enterprise via Chat, SMS, email.
**Position Responsibilities**  
As a Senior Software Engineer, you will:
* Collaborate with product managers, team members, customers, and other engineering teams to solve our toughest problems
* Develop and execute technical software development strategy for the organization including self\-service, business continuity, backup/restores, incident response and paging platforms
* Accountable for the quality, usability, and performance of the solutions
* Lead projects from the front and interact with clients and sponsors on a regular basis
* Consistently share best practices and improve processes within and across teams
* Take on\-call and operational support
 **Qualifications**
* Advance knowledge of at least one modern OOP language such as Java or Python or Go (preferred)
* Deep understanding of Dynamics 365 including customer service and power platform.
* Design, develop, and integrate Artificial Intelligence (AI) solutions into software applications, leveraging machine learning, natural language processing.
* Hands\-on experience with AI\-driven software development
* Experience working with services like logic apps, functions, API management, storage and monitoring.
* Deep hands\-on experience in complex system design and data pipeline and architectures, scale and performance, tuning, with good knowledge on Docker and Kubernetes.
* Experience with Azure Services, Full Stack Development, API Gateway and API management.
* Understanding of both front\-end and back\-end concepts with ability to integrate different technologies.
* Integrate front\-end and back\-end components ensuring smooth communication and data flow between them.
* In\-depth knowledge of CS data structures and algorithms
* Understand open\-source databases like MySQL, PostgreSQL, etc.
* Experience in architecting, designing, building automation, workflows, and distributed applications
* Strong understanding of service integrations / communication standards (e.g., GRPC / REST)
* Experience partnering with engineering teams and transferring research to production
* Experience with various integration patterns and technologies used to connect Dynamics 365 with other systems.
* Excellent communication skills
* Hands on experience working in an agile Scrum environment.
 **Experience:**
* 4\+ years of professional experience in software development, platform architecture, administration and maintenance of software, and its ecosystem
* 3\+ years of experience with architecture and design
* 3\+ years of experience with AWS, GCP, Azure, or hybrid data center
* 2\+ years of experience in open\-source frameworks
 **Education:**
* Bachelor's degree in computer science, Information Systems, or equivalent education or work experience
IVRPOLYX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0">
      <c r="A100" t="inlineStr">
        <is>
          <t>in-516dcaee4848463e</t>
        </is>
      </c>
      <c r="B100" t="inlineStr">
        <is>
          <t>Senior Staff Software Engineer – IaaS (Platform and Tools - VMs)</t>
        </is>
      </c>
      <c r="C100" t="inlineStr">
        <is>
          <t>GEICO</t>
        </is>
      </c>
      <c r="D100" t="inlineStr">
        <is>
          <t>indeed</t>
        </is>
      </c>
      <c r="E100">
        <f>HYPERLINK("https://www.indeed.com/viewjob?jk=516dcaee4848463e", "https://www.indeed.com/viewjob?jk=516dcaee4848463e")</f>
        <v/>
      </c>
      <c r="F100">
        <f>HYPERLINK("https://click.appcast.io/t/Bl2C9kUomnyqdpmu9umO7_AJS2DtGN9_1mKmBMZopHQ=", "https://click.appcast.io/t/Bl2C9kUomnyqdpmu9umO7_AJS2DtGN9_1mKmBMZopHQ=")</f>
        <v/>
      </c>
      <c r="G100" t="inlineStr">
        <is>
          <t>Chevy Chase, MD, US</t>
        </is>
      </c>
      <c r="H100" s="3" t="n">
        <v>46046</v>
      </c>
      <c r="I10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Staff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Staff Engineers work with our Distinguished Engineers, Sr.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and Azure IaaS platforms/APIs.**
**Position Responsibilities**
As a Senior Staff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with a proactive approach to risk mitigation.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8\+ years of PaaS and IaaS software development experience.
* 8\+ years of professional software best in class customer facing experiences using React or other UI frameworks.
* 5\+ years specializing in system design and implementation.
* 5\+ years of hands\-on experience with AWS, GCP, Azure, or other cloud services.
* 4\+ years working with open\-source frameworks.
* 1\+ years of leadership experience leading cross functional technical team.
**Education**
* Bachelor’s degree in Computer Science, Information Systems, or equivalent education or work experience.
\#LI\-RP2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1">
      <c r="A101" t="inlineStr">
        <is>
          <t>in-1f61e06f3730de75</t>
        </is>
      </c>
      <c r="B101" t="inlineStr">
        <is>
          <t>Software Engineer II</t>
        </is>
      </c>
      <c r="C101" t="inlineStr">
        <is>
          <t>PlayStation</t>
        </is>
      </c>
      <c r="D101" t="inlineStr">
        <is>
          <t>indeed</t>
        </is>
      </c>
      <c r="E101">
        <f>HYPERLINK("https://www.indeed.com/viewjob?jk=1f61e06f3730de75", "https://www.indeed.com/viewjob?jk=1f61e06f3730de75")</f>
        <v/>
      </c>
      <c r="F101">
        <f>HYPERLINK("https://careers.playstation.com/software-engineer-ii/job/5710429004", "https://careers.playstation.com/software-engineer-ii/job/5710429004")</f>
        <v/>
      </c>
      <c r="G101" t="inlineStr">
        <is>
          <t>San Mateo, CA, US</t>
        </is>
      </c>
      <c r="H101" s="3" t="n">
        <v>46046</v>
      </c>
      <c r="I101" t="inlineStr">
        <is>
          <t>Position Type:
Location(s):
United States, San Mateo, CA
Date Posted:
Job ID:
R\-122154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 owned subsidiary of Sony Corporation.
### **The Opportunity**
As a **Software Engineer II** on the **Client Platform team**, you’ll play a key role in building the next generation of PlayStation experiences. You’ll collaborate with talented engineers and designers to craft intuitive, performant, and beautiful cross\-platform applications that reach millions of players around the world. This team builds the **core application framework, shared libraries, and foundational components** that other product and feature teams rely on to deliver PlayStation experiences to millions of users worldwide. You’ll work with senior engineers to design and maintain the underlying systems that make PlayStation applications fast, scalable, and consistent across environments — giving other teams the tools and flexibility to innovate. This is your chance to help shape how players connect, discover, and engage across the PlayStation ecosystem — from concept to launch and beyond.
### **Responsibilities**
* Design, develop, test, and document **React\-based cross\-platform applications** that deliver seamless and consistent user experiences.
* Collaborate with Product Owners and Product Managers to translate feature requirements into scalable, maintainable solutions.
* Partner with cross\-functional teams to define architecture and ensure best practices for performance, accessibility, and reliability.
* Write **comprehensive unit and component tests** to maintain product quality and prevent regressions.
* Participate in peer reviews and provide constructive feedback on design and implementation.
* Continuously improve development workflows and contribute to evolving engineering standards.
* Explore innovative ideas and emerging technologies through Hackathons and Café Days to help drive future PlayStation experiences.
### **Required Qualifications**
* Bachelor’s degree in Computer Science or a related field, or equivalent professional experience.
* **2\+ years of development experience** building user\-facing applications or systems using JavaScript/TypeScript.
* Strong proficiency in **React** and related tools and libraries.
* Demonstrated experience creating and maintaining **cross\-platform applications**.
* Strong problem\-solving skills and attention to quality.
* Excellent communication and collaboration skills in a distributed team environment.
### **Preferred Qualifications**
* Hands\-on experience with modern build and testing tools such as Webpack, Babel, Jest, or similar.
* Familiarity with **GraphQL**, **RESTful APIs**, and **containerization** (e.g., Docker).
* Experience with **CI/CD pipelines** and automated testing frameworks.
* Understanding of performance optimization, accessibility, and responsive design principles.
* **Interest or experience in applying AI/ML concepts** to enhance user experiences — such as intelligent UI behaviors, personalization, recommendation systems, or automated testing tools.
* Experience integrating or experimenting with **AI\-powered development tools**, frameworks, or APIs (e.g., code assistants, generative models, or LLM\-based automation).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The estimated base pay range for this role is listed below.
$163,700—$245,500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02">
      <c r="A102" t="inlineStr">
        <is>
          <t>in-f47afa684bf547ba</t>
        </is>
      </c>
      <c r="B102" t="inlineStr">
        <is>
          <t>Staff Frontend Software Engineer</t>
        </is>
      </c>
      <c r="C102" t="inlineStr">
        <is>
          <t>Sirona Medical</t>
        </is>
      </c>
      <c r="D102" t="inlineStr">
        <is>
          <t>indeed</t>
        </is>
      </c>
      <c r="E102">
        <f>HYPERLINK("https://www.indeed.com/viewjob?jk=f47afa684bf547ba", "https://www.indeed.com/viewjob?jk=f47afa684bf547ba")</f>
        <v/>
      </c>
      <c r="F102">
        <f>HYPERLINK("https://grnh.se/l5w57voq5us", "https://grnh.se/l5w57voq5us")</f>
        <v/>
      </c>
      <c r="G102" t="inlineStr">
        <is>
          <t>Remote, US</t>
        </is>
      </c>
      <c r="H102" s="3" t="n">
        <v>46046</v>
      </c>
      <c r="I102" t="inlineStr">
        <is>
          <t>**About Sirona Medical**
------------------------
At **Sirona Medical**, we're building software that enables physicians to work as fast as they can think.
Each year in the U.S., **billions of patient images** are captured—and nearly all of them are reviewed and diagnosed by radiologists. These specialists are the central hub of diagnostic medicine: **over 80% of all healthcare data flows through radiology IT systems**. Yet despite their pivotal role, radiologists are overburdened by outdated, fragmented software which limits their efficiency and ultimately the quality and efficiency of care that health systems can provide patients. That's where Sirona comes in.
We're a **San Francisco\-based, cloud\-native software company** with employees around the world. Our deep understanding of both the **practice and business of radiology** has allowed us to build **RadOS**—a unified, AI\-powered operating system powering the entire radiology workflows.
### **How Sirona Solves the Problem**
Sirona is **uniquely positioned to transform the way radiology is practiced**. We're delivering the organizational shift that both individual radiologists and entire practices urgently need:
* A **unified**, intuitive, and **platform\-agnostic** solution
* A streamlined workspace that makes **every part of the radiologist's workflow faster and easier**
* The freedom to **read from anywhere, for anyone**
By cutting clicks, optimizing diagnostic time, and unlocking efficiencies that extend **far beyond the reading room into all care settings**, Sirona empowers radiologists—and in doing so, we help the entire healthcare system move faster, smarter, and with greater impact on patient outcomes.
For more information, please visit https://sironamedical.com/join/.
Software Engineers (Frontend) at Sirona are responsible for the user\-facing applications and services we develop for reimagining the way doctors engage with medical images in the era of Computer Vision, NLP and Machine Learning. Software Engineers work in collaboration with our Product Designers, Product Managers and researchers/scientists to solve problems and further the application of technology in the radiology space. Their goal is to help doctors deliver the highest quality of care with the use of technology.
This job is remote working from the United States but may require the employee to travel to our headquarters in San Francisco 2\-3 days per quarter for strategic working meetings. The first week of employment would include onsite onboarding in our San Francisco office.
**Key Responsibilities:**
* You'll own technical vision and strategy for building and scaling our highly interactive and rich web applications
* You'll lead across teams to solve large and open ended problems, devising reusable components and frameworks to power world class doctor experience
* Create trustworthy doctor experiences by building interfaces that are simple, easy to comprehend, performant and reliable using modern tools
* Collaborate with backend and quality engineers to spec, write, test, and deploy code
* Brainstorm features with product managers, designers, scientists and GTM team
* Turn our vision into a tangible roadmap every quarter by working with engineers, product managers and senior leadership
* Mentor and train other team members on design techniques and coding standards to raise the bar for the team
* Gather problem requirements from Product and customize feedback and create innovative solutions
* Review, plan and architect end\-to\-end solutions
* Focus on company goals and trade off solutions based on cost and value
* Run code reviews and pair programming with other engineers in the organization
* Contribute to strong testing practices to avoid regressions in the solutions provided
**Key Requirements:**
* 10\+ years Javascript experience
* 5\+ years React experience
* 2\+ years experience with JS type systems such as TypeScript
* 1\+ year GraphQL and/or VTK production experience
* Experience with Recoil, Redux or MobX
* WebGl, D3, Three.js knowledge nice to have
**Benefits:**
* Stock Options
* Medical, dental, vision insurance
* Life insurance
* Maternity and Paternity Leave
* Flexible time off
* 401K matching
* MacBook Pro
* Sponsorship for conferences, continuing education, etc.
The annual US base salary range for this full\-time position is $175,000 \- $200,000 \+ equity \+ benefits. Pay scale is flexible depending on experience. Within the range, individual pay is determined by work location and additional factors, including job\-related skills, competencies, experience, relevant education and training. Your recruiter can share more about the specific salary range for your preferred location during the hiring process.</t>
        </is>
      </c>
    </row>
    <row r="103">
      <c r="A103" t="inlineStr">
        <is>
          <t>in-7da91587b65a4269</t>
        </is>
      </c>
      <c r="B103" t="inlineStr">
        <is>
          <t>Staff Backend Software Engineer</t>
        </is>
      </c>
      <c r="C103" t="inlineStr">
        <is>
          <t>Sirona Medical</t>
        </is>
      </c>
      <c r="D103" t="inlineStr">
        <is>
          <t>indeed</t>
        </is>
      </c>
      <c r="E103">
        <f>HYPERLINK("https://www.indeed.com/viewjob?jk=7da91587b65a4269", "https://www.indeed.com/viewjob?jk=7da91587b65a4269")</f>
        <v/>
      </c>
      <c r="F103">
        <f>HYPERLINK("https://grnh.se/37xuhwkg5us", "https://grnh.se/37xuhwkg5us")</f>
        <v/>
      </c>
      <c r="G103" t="inlineStr">
        <is>
          <t>Remote, US</t>
        </is>
      </c>
      <c r="H103" s="3" t="n">
        <v>46046</v>
      </c>
      <c r="I103" t="inlineStr">
        <is>
          <t>**About Sirona Medical**
------------------------
At **Sirona Medical**, we're building software that enables physicians to work as fast as they can think.
Each year in the U.S., **billions of patient images** are captured—and nearly all of them are reviewed and diagnosed by radiologists. These specialists are the central hub of diagnostic medicine: **over 80% of all healthcare data flows through radiology IT systems**. Yet despite their pivotal role, radiologists are overburdened by outdated, fragmented software which limits their efficiency and ultimately the quality and efficiency of care that health systems can provide patients. That's where Sirona comes in.
We're a **San Francisco\-based, cloud\-native software company** with employees around the world. Our deep understanding of both the **practice and business of radiology** has allowed us to build **RadOS**—a unified, AI\-powered operating system powering the entire radiology workflows.
### **How Sirona Solves the Problem**
Sirona is **uniquely positioned to transform the way radiology is practiced**. We're delivering the organizational shift that both individual radiologists and entire practices urgently need:
* A **unified**, intuitive, and **platform\-agnostic** solution
* A streamlined workspace that makes **every part of the radiologist's workflow faster and easier**
* The freedom to **read from anywhere, for anyone**
By cutting clicks, optimizing diagnostic time, and unlocking efficiencies that extend **far beyond the reading room into all care settings**, Sirona empowers radiologists—and in doing so, we help the entire healthcare system move faster, smarter, and with greater impact on patient outcomes.
For more information, please visit https://sironamedical.com/join/.
**Staff Backend Software Engineers** at Sirona are responsible for the data\-intensive applications and services we develop for reimagining the way doctors engage with medical images in the era of Computer Vision, NLP and Machine Learning. Software Engineers work in collaboration with our product designers, product managers and researchers/scientists to solve problems and further the application of technology in the radiology space. Their goal is to help doctors deliver the highest quality of care with the use of technology.
This job is remote working from the United States but may require the employee to travel to our headquarters in San Francisco 2\-3 days per quarter for strategic working meetings. The first week of employment would include onsite onboarding in our San Francisco office.
**Key Responsibilities:**
* Create API solutions for internal and external web services for storing and exposing all data ingested or generated by radiologists, using test\-driven development to write well\-tested code
* Build performant and reliable services and solutions to manage and transfer the large amount of data to clients
* Collaborate with frontend and quality engineers to spec, write, test, and deploy code
* Brainstorm features with product managers, designers, scientists and GTM team
* Turn our vision into a tangible roadmap every quarter by working with engineers, product managers and senior leadership
* Mentor and train other team members on design techniques and coding standards to raise the bar for the team
* Gather problem requirements from Product and customize feedback and create innovative solutions
* Review, plan and architect end\-to\-end solutions
* Focus on company goals and trade off solutions based on cost and value
* Run code reviews and pair programming with other engineers in the organization
* Contribute to strong testing practices to avoid regressions in the solutions provided
**Key Requirements:**
* 10\+ years of professional experience with Python or similar object oriented language (Python3 preferred)
* 8\+ years API design experience
* 10\+ years Database experience (SQL or NOSQL)
* Experience with performance and optimization problems, particularly at large scale, and a demonstrated ability to both diagnose and prevent these problems
* Strong written and verbal communication skills, including writing Docs and RFCs
* Ability to determine the trade offs of multiple solutions and choose the appropriate one given the business needs
* Bonus points: Amazon AWS, Django, Docker, Kubernetes and general full\-stack experience
**Benefits:**
* Stock Options
* Medical, dental, vision insurance
* Life insurance
* Maternity and Paternity Leave
* Flexible time off
* 401K matching
* MacBook Pro
* Sponsorship for conferences, continuing education, etc.
The annual US base salary range for this full\-time position is $175,000 \- $200,000 \+ equity \+ benefits. Pay scale is flexible depending on experience. Within the range, individual pay is determined by work location and additional factors, including job\-related skills, competencies, experience, relevant education and training. Your recruiter can share more about the specific salary range for your preferred location during the hiring process.</t>
        </is>
      </c>
    </row>
    <row r="104">
      <c r="A104" t="inlineStr">
        <is>
          <t>in-e7949c7f2e9f591c</t>
        </is>
      </c>
      <c r="B104" t="inlineStr">
        <is>
          <t>Senior Software Engineer - AI/ML Infra</t>
        </is>
      </c>
      <c r="C104" t="inlineStr">
        <is>
          <t>GEICO</t>
        </is>
      </c>
      <c r="D104" t="inlineStr">
        <is>
          <t>indeed</t>
        </is>
      </c>
      <c r="E104">
        <f>HYPERLINK("https://www.indeed.com/viewjob?jk=e7949c7f2e9f591c", "https://www.indeed.com/viewjob?jk=e7949c7f2e9f591c")</f>
        <v/>
      </c>
      <c r="F104">
        <f>HYPERLINK("https://click.appcast.io/t/5-WG8PYBGcoi3rz1qmoZWMn0fV0SX_YABORvq9jI_44=", "https://click.appcast.io/t/5-WG8PYBGcoi3rz1qmoZWMn0fV0SX_YABORvq9jI_44=")</f>
        <v/>
      </c>
      <c r="G104" t="inlineStr">
        <is>
          <t>Palo Alto, CA, US</t>
        </is>
      </c>
      <c r="H104" s="3" t="n">
        <v>46046</v>
      </c>
      <c r="I10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5\+ years of software engineering experience with focus on infrastructure, platform engineering, or MLOps
* 2\+ years of hands\-on experience with machine learning infrastructure and deployment at scale
* 1\+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6\+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5">
      <c r="A105" t="inlineStr">
        <is>
          <t>in-d032e68c86ee6ab9</t>
        </is>
      </c>
      <c r="B105" t="inlineStr">
        <is>
          <t>Senior Software Engineer - AI/ML Infra</t>
        </is>
      </c>
      <c r="C105" t="inlineStr">
        <is>
          <t>GEICO</t>
        </is>
      </c>
      <c r="D105" t="inlineStr">
        <is>
          <t>indeed</t>
        </is>
      </c>
      <c r="E105">
        <f>HYPERLINK("https://www.indeed.com/viewjob?jk=d032e68c86ee6ab9", "https://www.indeed.com/viewjob?jk=d032e68c86ee6ab9")</f>
        <v/>
      </c>
      <c r="F105">
        <f>HYPERLINK("https://click.appcast.io/t/STSYqSZ6CMYIzlk21_7hNiHOWz59lu0ycGOie8GX4f4=", "https://click.appcast.io/t/STSYqSZ6CMYIzlk21_7hNiHOWz59lu0ycGOie8GX4f4=")</f>
        <v/>
      </c>
      <c r="G105" t="inlineStr">
        <is>
          <t>New York, NY, US</t>
        </is>
      </c>
      <c r="H105" s="3" t="n">
        <v>46046</v>
      </c>
      <c r="I10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5\+ years of software engineering experience with focus on infrastructure, platform engineering, or MLOps
* 2\+ years of hands\-on experience with machine learning infrastructure and deployment at scale
* 1\+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6\+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6">
      <c r="A106" t="inlineStr">
        <is>
          <t>in-7006f5b7a66e691a</t>
        </is>
      </c>
      <c r="B106" t="inlineStr">
        <is>
          <t>Senior Software Engineer - AI/ML Infra</t>
        </is>
      </c>
      <c r="C106" t="inlineStr">
        <is>
          <t>GEICO</t>
        </is>
      </c>
      <c r="D106" t="inlineStr">
        <is>
          <t>indeed</t>
        </is>
      </c>
      <c r="E106">
        <f>HYPERLINK("https://www.indeed.com/viewjob?jk=7006f5b7a66e691a", "https://www.indeed.com/viewjob?jk=7006f5b7a66e691a")</f>
        <v/>
      </c>
      <c r="F106">
        <f>HYPERLINK("https://click.appcast.io/t/u_17SD3dXponEF2udqIeatxgaM50kmnApVNFTAudNSQ=", "https://click.appcast.io/t/u_17SD3dXponEF2udqIeatxgaM50kmnApVNFTAudNSQ=")</f>
        <v/>
      </c>
      <c r="G106" t="inlineStr">
        <is>
          <t>Chevy Chase, MD, US</t>
        </is>
      </c>
      <c r="H106" s="3" t="n">
        <v>46046</v>
      </c>
      <c r="I10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5\+ years of software engineering experience with focus on infrastructure, platform engineering, or MLOps
* 2\+ years of hands\-on experience with machine learning infrastructure and deployment at scale
* 1\+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6\+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7">
      <c r="A107" t="inlineStr">
        <is>
          <t>in-a61767b142a2b927</t>
        </is>
      </c>
      <c r="B107" t="inlineStr">
        <is>
          <t>Staff Software Engineer</t>
        </is>
      </c>
      <c r="C107" t="inlineStr">
        <is>
          <t>Moody's</t>
        </is>
      </c>
      <c r="D107" t="inlineStr">
        <is>
          <t>indeed</t>
        </is>
      </c>
      <c r="E107">
        <f>HYPERLINK("https://www.indeed.com/viewjob?jk=a61767b142a2b927", "https://www.indeed.com/viewjob?jk=a61767b142a2b927")</f>
        <v/>
      </c>
      <c r="F107">
        <f>HYPERLINK("https://careers.moodys.com/staff-software-engineer/job/12125?utm_source=indeed&amp;jobPipeline=indeed", "https://careers.moodys.com/staff-software-engineer/job/12125?utm_source=indeed&amp;jobPipeline=indeed")</f>
        <v/>
      </c>
      <c r="G107" t="inlineStr">
        <is>
          <t>US</t>
        </is>
      </c>
      <c r="H107" s="3" t="n">
        <v>46047</v>
      </c>
      <c r="I107" t="inlineStr">
        <is>
          <t>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Moody’s is transforming how the world sees risk. As a global leader in ratings and integrated risk assessment, we’re advancing AI to move from insight to action—enabling intelligence that not only understands complexity but responds to it. We decode risk to unlock opportunity, helping our clients navigate uncertainty with clarity, speed, and confidence.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**Employer:** Moody's Investors Service, Inc.
**Title:** Staff Software Engineer
**Location:** 7 World Trade Center, 250 Greenwich Street, New York, NY 10007 (Principal place of business – telecommuting permitted)
**Duties:** Provide technical leadership to architects, developers, engineers, and operators in geographically dispersed location. Innovate and develop tools and technologies for enhanced developer experience and productivity. Oversee implementation of complex engineering solutions across the enterprise Design, develop and demonstrate use of fit for purpose open\-source technologies. Develop product roadmap, architecture artifacts and delivery strategy for engineering solutions. Establish and maintain development standards and prescriptions. Participate in code reviews, providing constructive feedback to team members and ensuring adherence to coding best practices. Develop long term technical roadmap and continual revenue/cost optimization. Ensure deliverables across engineering teams are high quality and sustainable. Manage and appropriately escalate delivery impediments, risks, issues, and changes tied to the engineering initiatives to the stakeholders. Telecommuting Permitted (100% telecommuting position. Will consider applicants resident in the continental U.S.).
**Requirements:** Requires a Bachelor’s degree or foreign equivalent in Computer Science, Engineering a closely related field plus five (5\) years of progressively responsible experience as a Software Developer, Application Developer, Technical Manager, or in a related technical position performing software design and development. Must have experience with the following: developing RESTful APIs using Spring Boot and Spring Framework, ensuring enterprise grade scalable and maintainable solutions; build tools including Gradle for automating the build, testing and deployment process, enhancing continuous integration and delivery workflows; relational databases including PostgreSQL and NoSQL; databases including MongoDB; design patterns such as SAGA, OOAD, Sidecar, Pub\-Sub; Kubernetes and Docker; OpenTelemetry for application observability including understanding of distributed tracing, metrics and logs; and working in a Agile environment using JIRA. Telecommuting Permitted (100% telecommuting position. Will consider applicants resident in the continental U.S.).
**For US\-based roles only:** the anticipated hiring base salary range for this position is $189,592 to $203,350/yr, depending on factors such as experience, education, level, skills, and location. This range is based on a full\-time position. In addition to base salary, this role is eligible for incentive compensation. Moody’s also offers a competitive benefits package, including not but limited to medical, dental, vision, parental leave, paid time off, a 401(k) plan with employee and company contribution opportunities, life, disability, and accident insurance, a discounted employee stock purchase plan, and tuition reimbursement.
To apply, please submit resume through careers.moodys.com or via e\-mail at hrbox28@moodys.com. Please refer to Job Ref. 12125\.
**For US\-based roles only:** the anticipated hiring base salary range for this position is $140,200\.00 \- $203,350\.00, depending on factors such as experience, education, level, skills, and location. This range is based on a full\-time position. In addition to base salary, this role is eligible for incentive compensation. Moody’s also offers a competitive benefits package, including not but limited to medical, dental, vision, parental leave, paid time off, a 401(k) plan with employee and company contribution opportunities, life, disability, and accident insurance, a discounted employee stock purchase plan, and tuition reimbursement.
Moody’s is an equal opportunity employer. All qualified applicants will receive consideration for employment without regard to race, color, sex, gender, age, religion or creed, national origin, ancestry, citizenship, marital or familial status, sexual orientation, gender identity, gender expression, genetic information, physical or mental disability, military or veteran status, or any other characteristic protected by law. Moody’s also provides reasonable accommodation to qualified individuals with disabilities or based on a sincerely held religious belief in accordance with applicable laws. If you need to inquire about a reasonable accommodation, or need assistance with completing the application process, please email accommodations@moodys.com. This contact information is for accommodation requests only, and cannot be used to inquire about the status of applications
For San Francisco positions, qualified applicants with criminal histories will be considered for employment consistent with the requirements of the San Francisco Fair Chance Ordinance.
This position may be considered a promotional opportunity, pursuant to the Colorado Equal Pay for Equal Work Act.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t>
        </is>
      </c>
    </row>
    <row r="108">
      <c r="A108" t="inlineStr">
        <is>
          <t>in-471a2781310bbaa5</t>
        </is>
      </c>
      <c r="B108" t="inlineStr">
        <is>
          <t>Lead Software Engineer (AWS) - NodeJS/Python</t>
        </is>
      </c>
      <c r="C108" t="inlineStr">
        <is>
          <t>Magellan Health</t>
        </is>
      </c>
      <c r="D108" t="inlineStr">
        <is>
          <t>indeed</t>
        </is>
      </c>
      <c r="E108">
        <f>HYPERLINK("https://www.indeed.com/viewjob?jk=471a2781310bbaa5", "https://www.indeed.com/viewjob?jk=471a2781310bbaa5")</f>
        <v/>
      </c>
      <c r="F108">
        <f>HYPERLINK("https://careers.magellanhealth.com/us/en/job/MAGAUSR00000068566EXTERNALENUS/Lead-Software-Engineer-AWS-NodeJS-Python?utm_source=indeed&amp;utm_medium=phenom-feeds", "https://careers.magellanhealth.com/us/en/job/MAGAUSR00000068566EXTERNALENUS/Lead-Software-Engineer-AWS-NodeJS-Python?utm_source=indeed&amp;utm_medium=phenom-feeds")</f>
        <v/>
      </c>
      <c r="G108" t="inlineStr">
        <is>
          <t>UM, US</t>
        </is>
      </c>
      <c r="H108" s="3" t="n">
        <v>46047</v>
      </c>
      <c r="I108" t="inlineStr">
        <is>
          <t>Experience with NodeJS and Python preferred.
This position services as an expert technical and industry resource to management, clients and development staff in new uses of information technology in all phases of major system and subsystem development. Provides consultation on internal and industry IT technical and business domain process capabilities including leadership in the identification and recommendation of new IT opportunities and business operations as it relates to application development. Formulates, contributes to, and directs task identification, work effort estimates, and work schedules for research, prototype, and proof\-of\-concept IT activities. Directs and participates in all aspects of development tasks including data management, application architecture and business architecture. Provides guidance to staff on complex assignments and mentors on new technologies.* Works with to break down a complex system into smaller components and coach/lead a team of software engineers to design and develop these components.
* Functions as primary practitioner coach on the team to grow the capabilities of other engineers on the team.
* Integrates systems to databases and other applications using middleware such as SnapLogic, REST based services, etc.
* Understands the relationship between applications and infrastructure.
* Acts as a leader in the developer community within Magellan and performs demo, knowledge sharing sessions.
* Writes technical blogs and be active in Open Source Community.
Agile, DevOPS and Cloud:
* Acts as expert for automated testing strategies, including TDD and ATDD.
* Works on Agile software development projects.
* Understands advanced concepts of Containers, Micro\-Services, Continuous Integration
* Develops highly scalable applications in AWS cloud using tools like Cloud Formation Templates, EC2, SWF, ELB, Lambda, S3, RDS/Dynamo DB and others.
* Identifies track key metrics produced by the application.
* Performs load and performance testing on the applications and have advanced troubleshooting ability to tune the application to scale.
The job duties listed above are representative and not intended to be all\-inclusive of what may be expected of an employee assigned to this job. A leader may assign additional or other duties which would align with the intent of this job, without revision to the job description.**Other Job Requirements**
**Responsibilities**
4\+ years related experience including a minimum of 2\+ years designing, building and deploying software in IT.  
Critical thinker.  
Demonstrated problem solving techniques.  
Strong verbal and written communication skills.**General Job Information**
**Title**
Lead Software Engineer (AWS) \- NodeJS/Python**Grade**
29**Work Experience \- Required**
IT**Work Experience \- Preferred**
**Education \- Required**
A Combination of Education and Work Experience May Be Considered., Bachelor's, Bachelor's \- Computer and Information Science**Education \- Preferred**
**License and Certifications \- Required**
**License and Certifications \- Preferred**
**Salary Range**
Salary Minimum:
$93,955
Salary Maximum:
$159,725*This information reflects the anticipated base salary range for this position based on current national data. Minimums and maximums may vary based on location. Actual pay will be adjusted based on an individual's skills, experience, education, and other job\-related factors permitted by law.*
*This position may be eligible for short\-term incentives as well as a comprehensive benefits package. Magellan offers a broad range of health, life, voluntary and other benefits and perks that enhance your physical, mental, emotional and financial wellbeing.*
Magellan Health, Inc. is proud to be an Equal Opportunity Employer and a Tobacco\-free workplace. EOE/M/F/Vet/Disabled.  
Every employee must understand, comply with and attest to the security responsibilities and security controls unique to their position; and comply with all applicable legal, regulatory, and contractual requirements and internal policies and procedures.</t>
        </is>
      </c>
    </row>
    <row r="109">
      <c r="A109" t="inlineStr">
        <is>
          <t>in-4827172a637601d4</t>
        </is>
      </c>
      <c r="B109" t="inlineStr">
        <is>
          <t>Senior Software Developer (Application Modernization/Cloud Migration)</t>
        </is>
      </c>
      <c r="C109" t="inlineStr">
        <is>
          <t>Elite Talent Hub</t>
        </is>
      </c>
      <c r="D109" t="inlineStr">
        <is>
          <t>indeed</t>
        </is>
      </c>
      <c r="E109">
        <f>HYPERLINK("https://www.indeed.com/viewjob?jk=4827172a637601d4", "https://www.indeed.com/viewjob?jk=4827172a637601d4")</f>
        <v/>
      </c>
      <c r="F109">
        <f>HYPERLINK("http://www.indeed.com/job/senior-software-developer-application-modernizationcloud-migration-4827172a637601d4", "http://www.indeed.com/job/senior-software-developer-application-modernizationcloud-migration-4827172a637601d4")</f>
        <v/>
      </c>
      <c r="G109" t="inlineStr">
        <is>
          <t>Bethesda, MD, US</t>
        </is>
      </c>
      <c r="H109" s="3" t="n">
        <v>46047</v>
      </c>
      <c r="I109" t="inlineStr">
        <is>
          <t>Overview
We are seeking an experienced **Senior Software Developer** with strong expertise in **Java/J2EE application modernization and AWS cloud migration**. In this role, you will take ownership of transforming legacy, on\-prem Java/J2EE applications into **scalable, cloud\-native solutions on AWS**, improving performance, resiliency, and maintainability while minimizing disruption to existing systems.
This is a **hands\-on technical role** ideal for engineers who have led or contributed directly to enterprise\-scale cloud migration initiatives.
Key Responsibilities
**Cloud Migration \&amp; Modernization**
* Lead and execute components of enterprise Java/J2EE migration efforts from on\-prem environments to AWS
* Define and implement migration strategies, including **re\-platforming** and **refactoring** for cloud\-native architectures
* Modernize monolithic applications into modular services or microservices as needed
**Hands\-On Development \&amp; Architecture**
* Design and build reusable migration patterns, accelerators, and reference implementations
* Actively contribute through **hands\-on coding**, solution prototyping, and performance optimization
* Refactor and optimize Java/J2EE codebases to integrate with AWS services
**AWS \&amp; Cloud Services Integration**
* Implement AWS services including **EC2, ECS/EKS, S3, RDS, API Gateway, and Lambda**
* Apply AWS best practices for scalability, security, availability, and disaster recovery
**Containerization \&amp; DevOps**
* Containerize applications using **Docker** and deploy via **ECS or EKS**
* Use **Infrastructure as Code (IaC)** tools such as **CloudFormation, SAM, or Terraform**
* Support CI/CD pipelines and automated deployments
**Standards, Governance \&amp; Collaboration**
* Follow established cloud architecture standards and coding best practices
* Provide recommendations with cost optimization and operational efficiency in mind
* Collaborate with technical leads, Scrum teams, and stakeholders to meet delivery milestones
Required Qualifications
* Bachelor’s degree in Computer Science, Engineering, or equivalent practical experience
* **5\+ years of hands\-on experience migrating applications to AWS**
* Proven experience migrating **on\-prem Java/J2EE applications to AWS**
* Strong Java/J2EE expertise (Spring, Hibernate, JSF, etc.)
* Solid understanding of AWS architecture and cloud\-native design principles
* Experience with **Docker and Kubernetes**
* Familiarity with **IaC tools** (CloudFormation, Terraform, or similar)
* Knowledge of database migration strategies and relational databases
* Experience with CI/CD and DevOps best practices
* Strong troubleshooting, problem\-solving, and communication skills
Job Types: Full\-time, Contract
Pay: $65\.00 \- $70\.00 per hour
Expected hours: 40 per week
Work Location: In person</t>
        </is>
      </c>
    </row>
    <row r="110">
      <c r="A110" t="inlineStr">
        <is>
          <t>in-82abe311af9628f8</t>
        </is>
      </c>
      <c r="B110" t="inlineStr">
        <is>
          <t>Senior Software Engineer</t>
        </is>
      </c>
      <c r="C110" t="inlineStr">
        <is>
          <t>Faro Health Inc.</t>
        </is>
      </c>
      <c r="D110" t="inlineStr">
        <is>
          <t>indeed</t>
        </is>
      </c>
      <c r="E110">
        <f>HYPERLINK("https://www.indeed.com/viewjob?jk=82abe311af9628f8", "https://www.indeed.com/viewjob?jk=82abe311af9628f8")</f>
        <v/>
      </c>
      <c r="F110">
        <f>HYPERLINK("https://apply.workable.com/j/EFC26686FE", "https://apply.workable.com/j/EFC26686FE")</f>
        <v/>
      </c>
      <c r="G110" t="inlineStr">
        <is>
          <t>San Diego, CA, US</t>
        </is>
      </c>
      <c r="H110" s="3" t="n">
        <v>46047</v>
      </c>
      <c r="I110" t="inlineStr">
        <is>
          <t>Faro Health aims to improve lives by helping life sciences companies design optimal clinical trials. Our AI powered software platform optimizes and orchestrates complex clinical development by providing powerful insights about trial design and outcomes. Faro empowers researchers to design more intelligent trials, reducing development costs and reaching milestones faster with better patient experiences.
Faro is a mission driven company seeking world class people who share our passion for improving drug availability and patient outcomes through better clinical trial design. We pride ourselves on our vibrant, inclusive, and growth mindset oriented culture. Faro offers competitive compensation and benefits, generous vacation and parental leave, and flexible working hours.
We are a hybrid workplace where San Diego employees work from their homes as well as in our stunning main headquarters enjoying a gym with classes and (early next year) spa services, outdoor lawn work area, and steeply discounted food hall. Remote employees work from home and visit the main office for group events and in\-person collaboration.
In this role, you’ll have the opportunity to work with a dynamic and fast\-paced team of software professionals. If you are passionate about solving complex problems, join us in shaping the future of clinical trial development.
\*\*Note: Candidates and Recruiting Agencies, please do not contact our employees regarding the position or your application status. Doing so will automatically disqualify you from the position or working with us. Only applications submitted through the designated link will be considered. **Please DO NOT SPAM our employees regarding the role or your application status.**
**Responsibilities**:
* Own Feature Delivery: Lead the development of new features from ideation to release, ensuring business requirements are met with excellence.
* Hands\-On Innovation: Contribute directly to the architecture and development of high\-complexity features and tackling challenging problems.
* Champion Best Practices: Be a driving force in establishing and promoting engineering best practices, ensuring quality, performance, and scalability across the team.
* Explore New Technologies: Stay ahead of the curve by integrating cutting\-edge technology and innovations to continuously improve our platform’s functionality.
* Mentor \&amp; Lead: Serve as a mentor and catalyst for your peers, helping to accelerate the realization of our product roadmap while fostering a collaborative learning environment.
* Customer\-Centric Mindset: Deliver an exceptional user experience by empathizing with our customers and deeply understanding their needs, ensuring every feature enhances their journey.
**Requirements**
**Skills and Competencies**
* 7\+ years of experience in delivering highly scalable, distributed software products with SaaS architectures and multi\-tenancy
* Strong understanding of microservice architecture and RESTful Services
* Strong skills in: TypeScript or Python, React, HTML, CSS, Node.js, Docker
* Preferably having experience with UV, Vite, Redis Cache, Postgres, Express, Inversify, Agno
* Experience in developing real\-time data or event systems
* Experience designing relational schemas on relational data stores like PostgreSQL, MySQL
* Experience with cloud\-service providers like Azure, AWS and/or Google Cloud
* Self\-motivated and able to work independently and in a team environment
* Willingness to lead and mentor other software engineers
* Excellent written and verbal communication skills, interpersonal skills
* You have experience in a fast moving, growth\-minded startup, and are comfortable with being flexible and adaptable as requirements change.
* Willingness and ability to learn new technologies and take on different assignments
* Bachelor’s degree in Computer Science or a related discipline or an equivalent training experience
**Benefits**
Salary
* Salary range for this position is $153,000 to $180,000
* Salary listed reflects the base salary only and does not include other elements of total compensation
* Individual pay is determined by work location and additional factors, including job\-related skills, experience, and relevant education or training
Equity
In addition to this position's salary (listed above), equity will be a major component of the total compensation for this position. We aim to offer higher\-than\-average equity compensation for a company of our size, and communicate equity amounts at the time of offer issuance.
Benefits
* Health Care Plan (Medical, Dental \&amp; Vision)
* Retirement Plan (401k)
* Stock Option Plan
* Life Insurance (Basic)
* Short Term and Long Term Disability
* Paid Time Off (Flexible Vacation Policy, Sick \&amp; Public Holidays)
* Training \&amp; Development
* Work from Home, Office or Hybrid</t>
        </is>
      </c>
    </row>
    <row r="111">
      <c r="A111" t="inlineStr">
        <is>
          <t>in-dce47869ff8068fb</t>
        </is>
      </c>
      <c r="B111" t="inlineStr">
        <is>
          <t>Software Engineer</t>
        </is>
      </c>
      <c r="C111" t="inlineStr">
        <is>
          <t>Cara</t>
        </is>
      </c>
      <c r="D111" t="inlineStr">
        <is>
          <t>indeed</t>
        </is>
      </c>
      <c r="E111">
        <f>HYPERLINK("https://www.indeed.com/viewjob?jk=dce47869ff8068fb", "https://www.indeed.com/viewjob?jk=dce47869ff8068fb")</f>
        <v/>
      </c>
      <c r="F111">
        <f>HYPERLINK("https://jobs.ashbyhq.com/cara-ai/d3adeda3-2c1e-486b-a317-0d3ece6b02b4?utm_source=E30RA5D2kK", "https://jobs.ashbyhq.com/cara-ai/d3adeda3-2c1e-486b-a317-0d3ece6b02b4?utm_source=E30RA5D2kK")</f>
        <v/>
      </c>
      <c r="G111" t="inlineStr">
        <is>
          <t>San Francisco, CA, US</t>
        </is>
      </c>
      <c r="H111" s="3" t="n">
        <v>46046</v>
      </c>
      <c r="I111" t="inlineStr">
        <is>
          <t>**About Cara**
--------------
Cara is a domain\-specific AI platform purpose\-built for insurance—a modular system that enables agencies, brokerages, and MGAs to automate servicing, accelerate sales, and scale operations with a 24/7 digital workforce.
We’re one of the fastest\-growing AI companies in the insurance industry, attracting agencies and brokerages of all sizes with an expanding customer base. We’re a team of experts in engineering and insurance from Stripe, Blend, Strategy\&amp;, and Travelers, with backing from top\-tier VCs, and are scaling our product and team quickly to meet market demand.
**About the Role**
------------------
As a Software Engineer at Cara, you’ll work across the stack to design and build the systems that power our AI platform—from intuitive user interfaces to backend services and AI infrastructure. You’ll develop product features, build tailored solutions for mid\-market and enterprise clients, and strengthen our platform to ensure performance, reliability, and security. This is a hands\-on role with broad ownership, where you’ll collaborate closely with product, AI, and go\-to\-market teams to turn complex insurance workflows into simple, automated experiences. You’ll be working directly with the founders and customers to shape the roadmap, product, and technology.
**What You’ll Do**
------------------
* **AI Agents \&amp; Workflows**: Develop and refine autonomous digital workers that automate insurance workflows end\-to\-end.
* **Full\-Stack Product Engineering**: Ideate, design, implement, and ship new features across the stack—from frontend user interfaces, to backend APIs and services, to critical infrastructure.
* **Enterprise Solutions**: Collaborate directly with customers to design and deliver solutions tailored to their business processes while integrating those features seamlessly into the broader platform.
* **Platform Development**: Strengthen our core systems, including AI and compute infrastructure, asynchronous processing, observability, and operations.
* **Performance**: Measure, optimize, and reinvent production systems to deliver best\-in\-class speed and performance for AI workflows.
* **Cross\-Functional Collaboration**: Research cutting technologies and partner with the go\-to\-market team to break down customer requirements, prioritize and build product roadmaps, and deliver impactful solutions.
**What You Have**
-----------------
* 3\+ years of full\-stack software engineering experience—designing and shipping features through the complete product lifecycle.
* Proficiency in Golang, Typescript, and React with a strong foundation in computer science and software development.
* Proficiency in AI concepts, APIs, workflows, and tools.
* Proven ability to learn, adapt, and ship impactful features in a fast\-paced environment.
* Thrives in ambiguous environments to deliver robust, thoughtful solutions.</t>
        </is>
      </c>
    </row>
    <row r="112">
      <c r="A112" t="inlineStr">
        <is>
          <t>in-2ec46e543f2ba6fb</t>
        </is>
      </c>
      <c r="B112" t="inlineStr">
        <is>
          <t>Backend Software Engineer</t>
        </is>
      </c>
      <c r="C112" t="inlineStr">
        <is>
          <t>Tessera Labs</t>
        </is>
      </c>
      <c r="D112" t="inlineStr">
        <is>
          <t>indeed</t>
        </is>
      </c>
      <c r="E112">
        <f>HYPERLINK("https://www.indeed.com/viewjob?jk=2ec46e543f2ba6fb", "https://www.indeed.com/viewjob?jk=2ec46e543f2ba6fb")</f>
        <v/>
      </c>
      <c r="F112">
        <f>HYPERLINK("https://jobs.ashbyhq.com/tessera-labs/1fff7515-d5ae-4e89-9cf3-75c8e542f751?utm_source=BDexdV58pY", "https://jobs.ashbyhq.com/tessera-labs/1fff7515-d5ae-4e89-9cf3-75c8e542f751?utm_source=BDexdV58pY")</f>
        <v/>
      </c>
      <c r="G112" t="inlineStr">
        <is>
          <t>Seattle, WA, US</t>
        </is>
      </c>
      <c r="H112" s="3" t="n">
        <v>46046</v>
      </c>
      <c r="I112" t="inlineStr">
        <is>
          <t>At Tessera Labs, we’re revolutionizing business process automation with cutting\-edge AI technology. Backed by Foundation Capital and led by a world\-class founding team, we’re building a high\-impact engineering group to bring AI\-powered automation to the enterprise world.
Our multi\-agent AI systems transform complex business workflows—eliminating inefficiencies, optimizing operations, and enabling seamless integrations across platforms like SAP, Salesforce, and Workday. We move fast, solve hard problems, and build at the bleeding edge of AI.
### **About the Role**
We’re looking for a Backend Engineer (Mid\-Level) who thrives in a fast\-paced, high\-ownership startup environment. You’ll help design, build, and maintain the backend systems that power Tessera’s AI automation platform — including scalable APIs, data pipelines, and integrations with enterprise systems.
This role is hands\-on and ideal for someone who enjoys building distributed systems, solving challenging backend problems, and contributing to architectural discussions in a collaborative, fast\-moving team.
### **Key Responsibilities**
Core Development
* Design, develop, and maintain RESTful APIs and backend services using Python (FastAPI, SQLAlchemy).
* Build reliable microservices that support data processing, automation, and AI system integrations.
* Implement and optimize database schemas, queries, and caching for performance and scalability.
* Contribute to data pipelines and synchronization services across enterprise integrations.
AI \&amp; Systems Integration
* Connect backend services with AI model servers, vector databases, and automation workflows.
* Enable smooth data exchange between AI agents and enterprise systems like Salesforce, SAP, and Workday.
Scalability \&amp; Reliability
* Identify and fix performance bottlenecks in backend code and databases.
* Implement caching, monitoring, and logging to ensure system reliability and observability.
* Collaborate with DevOps to deploy and maintain cloud\-based services on AWS or GCP.
Security \&amp; Quality
* Implement secure authentication and authorization (OAuth2, RBAC, SSO).
* Follow best practices in code quality, testing, and documentation.
* Participate in code reviews and contribute to improving backend architecture.
Collaboration \&amp; Ownership
* Work closely with frontend, AI, and product teams to deliver new features.
* Take initiative in identifying improvements and building practical, scalable solutions.
* Balance speed and long\-term scalability in a fast\-moving environment.
### **Qualifications**
* 3–5 years of backend development experience with a focus on APIs, distributed systems, or cloud infrastructure.
* Proficient in Python, with experience using FastAPI, SQLAlchemy, or similar frameworks.
* Experience with PostgreSQL/MySQL and data modeling best practices.
* Familiarity with Redis, message queues (Kafka, RabbitMQ, Pub/Sub), and asynchronous processing.
* Experience with cloud storage solutions such as AWS S3, Google Cloud Storage, or Azure Blob Storage.
* Understanding of API authentication, security, and scalability principles.
* Strong debugging, testing, and performance optimization skills.
### **Bonus Points**
* Experience integrating AI/ML models into backend systems.
* Familiarity with event\-driven architectures or workflow automation systems.
* Prior experience in startups or high\-growth tech companies.
Compensation Range: $200K \- $250K</t>
        </is>
      </c>
    </row>
    <row r="113">
      <c r="A113" t="inlineStr">
        <is>
          <t>in-40de8fa1d1201ed7</t>
        </is>
      </c>
      <c r="B113" t="inlineStr">
        <is>
          <t>2026 Full-Time – Software Engineer 1 – Onsite (CA)</t>
        </is>
      </c>
      <c r="C113" t="inlineStr">
        <is>
          <t>Raytheon</t>
        </is>
      </c>
      <c r="D113" t="inlineStr">
        <is>
          <t>indeed</t>
        </is>
      </c>
      <c r="E113">
        <f>HYPERLINK("https://www.indeed.com/viewjob?jk=40de8fa1d1201ed7", "https://www.indeed.com/viewjob?jk=40de8fa1d1201ed7")</f>
        <v/>
      </c>
      <c r="F113">
        <f>HYPERLINK("https://jsv3.recruitics.com/redirect?rx_cid=3426&amp;rx_jobId=01819153&amp;rx_url=https%3A%2F%2Fcareers.rtx.com%2Fglobal%2Fen%2Fjob%2F01819153%3Frx_a%3D0%26rx_c%3D%26rx_ch%3Djobp4p%26rx_group%3D122223%26rx_id%3D748acafa-fa3c-11f0-a51f-179760b35be6%26rx_job%3D01819153%26rx_medium%3Dcpc%26rx_r%3Dnone%26rx_source%3Dindeed%26rx_ts%3D20260126T040453Z%26rx_vp%3Dcpc", "https://jsv3.recruitics.com/redirect?rx_cid=3426&amp;rx_jobId=01819153&amp;rx_url=https%3A%2F%2Fcareers.rtx.com%2Fglobal%2Fen%2Fjob%2F01819153%3Frx_a%3D0%26rx_c%3D%26rx_ch%3Djobp4p%26rx_group%3D122223%26rx_id%3D748acafa-fa3c-11f0-a51f-179760b35be6%26rx_job%3D01819153%26rx_medium%3Dcpc%26rx_r%3Dnone%26rx_source%3Dindeed%26rx_ts%3D20260126T040453Z%26rx_vp%3Dcpc")</f>
        <v/>
      </c>
      <c r="G113" t="inlineStr">
        <is>
          <t>El Segundo, CA, US</t>
        </is>
      </c>
      <c r="H113" s="3" t="n">
        <v>46046</v>
      </c>
      <c r="I113" t="inlineStr">
        <is>
          <t>**Date Posted:**
**Country:**
United States of America**Location:**
US\-CA\-EL SEGUNDO\-E04 \~ 2006 E El Segundo Blvd \~ BLDG E04**Position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Next Generation RF Sensors Management Software Department mission is to provide world class Software for our customers’ wide array of RF/EOIR and high\-energy laser sensor products for airborne and space applications. Our software capabilities include software requirement development, design, modeling/simulation, real\-time embedded, signal processing and data processing, infrastructure software, software testing, integration, and verification. Next Gen RF Sensors SW team in El Segundo CA is looking to add a Software Engineer to their development team.
We align to multiple SW development methodologies including the core Agile and DevSecOps principles of collaborative operation across the entire value stream, delivering high\-frequency, high\-quality deployments to our customers.
**What You Will Do**
Design, develop, and test software based on software trouble reports in an agile, collaborative environment, delivering builds
Demonstrate critical thinking skills, the ability to thrive in small, empowered teams, and an intense desire to directly enable our customer’s success
Troubleshoot, debug, and optimize existing code for performance and efficiency in complex environments
Write and maintain comprehensive documentation for software applications, including system architecture and design specifications
Participate in agile execution and continuous improvement
Work collaboratively with multiple engineering disciplines to analyze, implement, and test system modification requests to the existing system baseline
**Qualifications You Must Have**
Bachelor’s degree in Science, Technology, Engineering or Mathematics (STEM)
This position requires 12 months or less of relevant professional work experience (excluding internships)
Experience with software development, test, and/or integration using C, C\+\+, or Java, or similar high\-level programming languages
Experience with Scripting languages
The ability to obtain and maintain a US security clearance. U.S. citizenship is required as only U.S. citizens are eligible for a security clearance
**Qualifications We Prefer**
Clearly communicate plans, status, and issues to teammates and program leadership
Ensure the successful integration of software components into delivered products
Experience in Object Oriented and scripting languages
Ability to work in a fast paced, dynamic environment with time\-critical requirements
Experience contributing to a team environment for the purpose of developing creative solutions to difficult technical problems
Experience working in a Continuous Integration/Continuous Development environment; experience with CI/CD pipelines
Experience with developing, testing, and integrating software using Java/C / C\+\+ or modern software development language
Experience with data structures, algorithms, and software design principles
Software development lifecycle experience
Well developed communications skills and team collaboration skills
Self\-motivated
Proven ability and desire to facilitate career growth and knowledge transfer
Proven ability to develop technical solutions to complex issues
Experience working in Agile environments such as scrum, scrum at scale, and DevSecOps
Familiarity with MS Office or similar productivity applications
**What We Offer**
Our values drive our actions, behaviors, and performance with a vision for a safer, more connected world. At RTX we value: Trust, Respect, Accountability, Collaboration, Innovation, and Safety.
**Learn More \&amp; Apply Now!**
Please consider the following role type definition as you apply for this role.
Employees who are working in Onsite roles will work primarily onsite. This includes all production employees, as they are essential to the development of our products. This position involves direct support of manufacturing activities and requires spending significant amounts of time in and around factory areas.
Additional Details:
Please upload a copy of your most recent resume when applying to this requisition. Include your cumulative GPA and projected graduation date on your resume.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62,900 USD \- 119,700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4">
      <c r="A114" t="inlineStr">
        <is>
          <t>in-a02e723e8fb0d1fd</t>
        </is>
      </c>
      <c r="B114" t="inlineStr">
        <is>
          <t>Staff Software Engineer - Automation Tools</t>
        </is>
      </c>
      <c r="C114" t="inlineStr">
        <is>
          <t>General Motors (GM)</t>
        </is>
      </c>
      <c r="D114" t="inlineStr">
        <is>
          <t>indeed</t>
        </is>
      </c>
      <c r="E114">
        <f>HYPERLINK("https://www.indeed.com/viewjob?jk=a02e723e8fb0d1fd", "https://www.indeed.com/viewjob?jk=a02e723e8fb0d1fd")</f>
        <v/>
      </c>
      <c r="F114">
        <f>HYPERLINK("https://generalmotors.wd5.myworkdayjobs.com/en-US/Careers_GM/job/Austin-Texas-United-States-of-America/Staff-Software-Engineer---Automation-Tools_JR-202524697", "https://generalmotors.wd5.myworkdayjobs.com/en-US/Careers_GM/job/Austin-Texas-United-States-of-America/Staff-Software-Engineer---Automation-Tools_JR-202524697")</f>
        <v/>
      </c>
      <c r="G114" t="inlineStr">
        <is>
          <t>Austin, TX, US</t>
        </is>
      </c>
      <c r="H114" s="3" t="n">
        <v>46046</v>
      </c>
      <c r="I114" t="inlineStr">
        <is>
          <t>**Job Description**
**Work Arrangement:**  
This role is categorized as hybrid. This means the successful candidate is expected to report to Austin, TX three times per week, at minimum or other frequency dictated by the business.
**The Role**
GM is looking to hire a skilled and motivated Automation Tools Engineer to join our team and help shape the future of digital vehicle experiences. In this role, the engineer will play a critical part in designing and developing robust automation tools and platforms that empower our quality engineering and development teams to deliver high\-performance, reliable, and innovative automotive software.
As an Automation Tools Engineer, you will be responsible for translating complex technical and user requirements into scalable software solutions . The engineer's work will span software architecture, development, and validation —including unit testing, integration testing, and automation framework implementation. This engineer will collaborate closely with cross\-functional teams to enhance testing capabilities, streamline workflows, and drive the adoption of automation across the organization.  
**What You'll Do**
* Design, develop, and maintain automation tools and frameworks to support continuous integration, testing, and deployment of applications and security components.
* Implement scalable automation solutions to streamline software development, security testing, and infrastructure operations.
* Collaborate with cross\-functional teams to gather automation requirements and integrate tools into development and SDLC workflows.
* Build custom scripts and tools for security validation, compliance checks, and vulnerability scanning within automated pipelines.
* Monitor and optimize automation performance, identify bottlenecks, and enhance reliability and maintainability of automation systems.
* Contribute to toolchain selection and integration, evaluating open\-source and commercial tools for suitability and scalability.
* Maintain detailed documentation of tools, automation workflows, and technical standards to ensure maintainability and team knowledge sharing.
* Support the onboarding and mentoring of engineers in using automation tools effectively, and advocate for best practices in automation engineering
* Work as technical mentor to deliver the training and guidance required to develop a highly capable tools team
* Provide technical representation for the tools organization in cross\-functional project teams
* Support program and project management activities including estimation, planning, tracking, performance metric development and status reporting.
* Own and drive key initiatives across team and organization
**Your Skills \&amp; Abilities (Required Qualifications)**
* Bachelor’s or master's degree in computer science , Engineering, or a related field, or equivalent practical experience.
* 8\+ years of progressive experience in software engineering , with a strong emphasis on building and scaling automation tools and frameworks.
* Minimum 7 years of experience in an automotive or consumer electronics embedded product development organization
* Proven expertise in designing, developing, and maintaining complex automation systems and infrastructure across large\-scale, distributed environments.
* Deep understanding of coding standards, software architecture principles, and secure development practices .
* Hands\-on experience with API design and development , including RESTful and event\-driven architectures.
* Proficient in object\-oriented programming (OOP) using languages such as Python, Java, and JavaScript , with full\-stack development experience across frontend and backend systems.
* Strong working knowledge of CI/CD pipelines and automation tooling (e.g., Jenkins, GitLab CI, CircleCI ), with the ability to design and optimize end\-to\-end delivery workflows.
* Deep expertise in static code analysis and linting tools such as Pylint , PEP8, and Ruff, with a strong focus on enforcing coding standards, identifying potential bugs, and improving code quality and maintainability across large codebases.
* Experience with containerization and orchestration technologies such as Docker and Kubernetes; familiarity with deploying and managing workloads in cloud\-native environments is a plus.
* Demonstrated ability to solve complex, ambiguous problems through analytical thinking and strong system design skills.
* Excellent verbal and written communication skills; able to collaborate effectively across engineering, product, and operations teams , and influence technical direction across teams.
* Experience with software\-to\-device communication protocols (e.g., MQTT, BLE, USB, serial) and integration with embedded or edge systems is highly desirable.
* Track record of mentoring engineers , leading technical initiatives, and driving cross\-team alignment on automation and tooling strategies.
**What Will Give You a Competitive Edge (Preferred Qualifications)**
* 10\+ years of experience in Quality Engineering , with a strong emphasis on building scalable automation solutions.
* In\-depth knowledge of Linux operating systems , including proficiency with command\-line tools and shell scripting for system\-level tasks and automation.
* Extensive hands\-on experience with automation testing tools, frameworks, and methodologies , with a focus on improving test coverage, reliability, and execution speed.
* Proficient in scripting and programming languages such as Python, Bash, or similar, used for automation, tool development, and integration.
* Strong understanding of CI/CD practices and tooling (e.g., Jenkins, GitLab CI), with the ability to integrate test automation into modern DevOps workflows.
* Familiarity with containerization and orchestration technologies , including Docker and Kubernetes, and their application in automated test environments and deployments.
* Exceptional analytical and problem\-solving abilities , with a track record of diagnosing complex issues in distributed systems or test environments.
* Excellent communication and collaboration skills , with the ability to work effectively across engineering, QA, and DevOps teams.
* Demonstrated success in leading technical initiatives and delivering robust software projects using a wide range of tools, languages, and frameworks across the software development lifecycle.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DO NOT APPLY FOR THIS ROLE IF YOU WILL NEED GM IMMIGRATION SPONSORSHIP (e.g., H\-1B, TN, STEM OPT, etc.) NOW OR IN THE FUTURE.
This job is not eligible for relocation benefits. Any relocation costs would be the responsibility of the selected candidate.
\#LI\-SA2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15">
      <c r="A115" t="inlineStr">
        <is>
          <t>in-9e950a2af6d32101</t>
        </is>
      </c>
      <c r="B115" t="inlineStr">
        <is>
          <t>Software Engineer, Automation Tools</t>
        </is>
      </c>
      <c r="C115" t="inlineStr">
        <is>
          <t>General Motors (GM)</t>
        </is>
      </c>
      <c r="D115" t="inlineStr">
        <is>
          <t>indeed</t>
        </is>
      </c>
      <c r="E115">
        <f>HYPERLINK("https://www.indeed.com/viewjob?jk=9e950a2af6d32101", "https://www.indeed.com/viewjob?jk=9e950a2af6d32101")</f>
        <v/>
      </c>
      <c r="F115">
        <f>HYPERLINK("https://generalmotors.wd5.myworkdayjobs.com/en-US/Careers_GM/job/Austin-Texas-United-States-of-America/Software-Engineer--Automation-Tools_JR-202524698", "https://generalmotors.wd5.myworkdayjobs.com/en-US/Careers_GM/job/Austin-Texas-United-States-of-America/Software-Engineer--Automation-Tools_JR-202524698")</f>
        <v/>
      </c>
      <c r="G115" t="inlineStr">
        <is>
          <t>Austin, TX, US</t>
        </is>
      </c>
      <c r="H115" s="3" t="n">
        <v>46046</v>
      </c>
      <c r="I115" t="inlineStr">
        <is>
          <t>**Job Description**
**Work Arrangement**  
This role is categorized as hybrid. This means the successful candidate is expected to report to Austin, TX three times per week, at minimum or other frequency dictated by the business.
**The Role**
GM is looking for a skilled and motivated Automation Tools Engineer to join our team and help shape the future of digital vehicle experiences. In this role, you will play a critical part in designing and developing robust automation tools and platforms that empower our quality engineering and development teams to deliver high\-performance, reliable, and innovative automotive software.
As a S oftware engineer, Automation Tools, the engineer will b e respon sible for translating complex technical and user requirements into scalable software solutions . Your work will span software architecture, development, and validation —including unit testing, integration testing, and automation framework implementation. The engineer will collaborate closely with cross\-functional teams to enhance testing capabilities, streamline workflows, and drive the adoption of automation across the organization.  
**What You'll Do**
* Design, develop, and maintain automation tools and frameworks to support continuous integration, testing, and deployment of applications and security components.
* Implement scalable automation solutions to streamline software development, security testing, and infrastructure operations.
* Collaborate with cross\-functional teams to gather automation requirements and integrate tools into development and SDLC workflows.
* Build custom scripts and tools for security validation, compliance checks, and vulnerability scanning within automated pipelines.
* Monitor and optimize automation performance, identify bottlenecks, and enhance reliability and maintainability of automation systems.
* Maintain detailed documentation of tools, automation workflows, and technical standards to ensure maintainability and team knowledge sharing.
* Support the onboarding and mentoring of engineers in using automation tools effectively, and advocate for best practices in automation engineering
* Support program and project management activities including estimation, planning, tracking, performance metric development, and status reporting.
* Own and drive key initiatives across team and organization
**Your Skills \&amp; Abilities (Required Qualifications)**
* Bachelor’s or master's degree in computer science , Engineering, or a related field, or equivalent practical experience.
* 3\+ years of progressive experience in software engineering , with a strong emphasis on building and scaling automation tools and frameworks.
* Minimum 3 years of experience in an automotive or consumer electronics embedded product development organization
* Proven expertise in designing, developing, and maintaining complex automation systems and infrastructure across large\-scale, distributed environments.
* Deep understanding of coding standards, software architecture principles, and secure development practices .
* Hands\-on experience with API design and development , including RESTful and event\-driven architectures.
* Proficient in object\-oriented programming (OOP) using languages such as Python, Java, and JavaScript , with full\-stack development experience across frontend and backend systems.
* Strong working knowledge of CI/CD pipelines and automation tooling (e.g., Jenkins, GitLab CI, CircleCI ), with the ability to design and optimize end\-to\-end delivery workflows.
* Deep expertise in static code analysis and linting tools such as Pylint , PEP8, and Ruff, with a strong focus on enforcing coding standards, identifying potential bugs, and improving code quality and maintainability across large codebases.
* Experience with containerization and orchestration technologies such as Docker and Kubernetes; familiarity with deploying and managing workloads in cloud\-native environments is a plus.
* Demonstrated ability to solve complex, ambiguous problems through analytical thinking and strong system design skills.
* Excellent verbal and written communication skills; able to collaborate effectively across engineering, product, and operations teams , and influence technical direction across teams.
* Experience with software\-to\-device communication protocols (e.g., MQTT, BLE, USB, serial) and integration with embedded or edge systems is highly desirable.
**What Will Give You a Competitive Edge (Preferred Qualifications)**
* Experience in Quality Engineering , with a strong emphasis on building scalable automation solutions.
* In\-depth knowledge of Linux operating systems , including proficiency with command\-line tools and shell scripting for system\-level tasks and automation.
* Extensive hands\-on experience with automation testing tools, frameworks, and methodologies , with a focus on improving test coverage, reliability, and execution speed.
* Proficient in scripting and programming languages such as Python, Bash, or similar, used for automation, tool development, and integration.
* Strong understanding of CI/CD practices and tooling (e.g., Jenkins, GitLab CI), with the ability to integrate test automation into modern DevOps workflows. Familiarity with containerization and orchestration technologies , including Docker and Kubernetes, and their application in automated test environments and deployments.
* Exceptional analytical and problem\-solving abilities , with a track record of diagnosing complex issues in distributed systems or test environments.
* Excellent communication and collaboration skills , with the ability to work effectively across engineering, QA, and DevOps teams.
* Demonstrated success in leading technical initiatives and delivering robust software projects using a wide range of tools, languages, and frameworks across the software development lifecycle.
GM DOES NOT PROVIDE IMMIGRATION\-RELATED SPONSORSHIP FOR THIS ROLE. DO NOT APPLY FOR THIS ROLE IF YOU WILL NEED GM IMMIGRATION SPONSORSHIP (e.g., H\-1B, TN, STEM OPT, etc.) NOW OR IN THE FUTURE.
This job is not eligible for relocation benefits. Any relocation costs would be the responsibility of the selected candidate.
\#LI\-SA2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16">
      <c r="A116" t="inlineStr">
        <is>
          <t>in-2f87abf0f56fd6a8</t>
        </is>
      </c>
      <c r="B116" t="inlineStr">
        <is>
          <t>Senior Full Stack Engineer - (Java, React, Microservices) - *HYBRID*</t>
        </is>
      </c>
      <c r="C116" t="inlineStr">
        <is>
          <t>GEICO</t>
        </is>
      </c>
      <c r="D116" t="inlineStr">
        <is>
          <t>indeed</t>
        </is>
      </c>
      <c r="E116">
        <f>HYPERLINK("https://www.indeed.com/viewjob?jk=2f87abf0f56fd6a8", "https://www.indeed.com/viewjob?jk=2f87abf0f56fd6a8")</f>
        <v/>
      </c>
      <c r="F116">
        <f>HYPERLINK("https://click.appcast.io/t/wIsp49BFaluOe0j-mwIfof1fu9dYZIXSA-OuUPupm4U=", "https://click.appcast.io/t/wIsp49BFaluOe0j-mwIfof1fu9dYZIXSA-OuUPupm4U=")</f>
        <v/>
      </c>
      <c r="G116" t="inlineStr">
        <is>
          <t>Dallas, TX, US</t>
        </is>
      </c>
      <c r="H116" s="3" t="n">
        <v>46046</v>
      </c>
      <c r="I11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Java, Golang,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 at least one modern language such as Java, C\#, Golang, or other object\-oriented languages and preferably in Full Stack with React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4\+ years of professional software development experience
* 3\+ years of experience with architecture and design
* 3\+ years of experience with AWS, GCP, Azure, or another cloud service
* 2\+ years of experience in open\-source frameworks
Education
* Bachelor’s degree in Computer Science, Information Systems, or equivalent education or work experience
\#LI\-FA1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7">
      <c r="A117" t="inlineStr">
        <is>
          <t>in-d94ca2327ad70a82</t>
        </is>
      </c>
      <c r="B117" t="inlineStr">
        <is>
          <t>Staff Software Engineer (Backend) - Billing Platform *HYBRID*</t>
        </is>
      </c>
      <c r="C117" t="inlineStr">
        <is>
          <t>GEICO</t>
        </is>
      </c>
      <c r="D117" t="inlineStr">
        <is>
          <t>indeed</t>
        </is>
      </c>
      <c r="E117">
        <f>HYPERLINK("https://www.indeed.com/viewjob?jk=d94ca2327ad70a82", "https://www.indeed.com/viewjob?jk=d94ca2327ad70a82")</f>
        <v/>
      </c>
      <c r="F117">
        <f>HYPERLINK("https://click.appcast.io/t/-lxIGw6kvtKS82SvDv_5dXUnLjSGerK0BU7VCJ2wrrw=", "https://click.appcast.io/t/-lxIGw6kvtKS82SvDv_5dXUnLjSGerK0BU7VCJ2wrrw=")</f>
        <v/>
      </c>
      <c r="G117" t="inlineStr">
        <is>
          <t>Frisco, TX, US</t>
        </is>
      </c>
      <c r="H117" s="3" t="n">
        <v>46046</v>
      </c>
      <c r="I11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lead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 **This is a HYBRID role working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8">
      <c r="A118" t="inlineStr">
        <is>
          <t>in-14c717122bdd2ec1</t>
        </is>
      </c>
      <c r="B118" t="inlineStr">
        <is>
          <t>Staff Software Engineer (Backend) - Billing Platform *HYBRID*</t>
        </is>
      </c>
      <c r="C118" t="inlineStr">
        <is>
          <t>GEICO</t>
        </is>
      </c>
      <c r="D118" t="inlineStr">
        <is>
          <t>indeed</t>
        </is>
      </c>
      <c r="E118">
        <f>HYPERLINK("https://www.indeed.com/viewjob?jk=14c717122bdd2ec1", "https://www.indeed.com/viewjob?jk=14c717122bdd2ec1")</f>
        <v/>
      </c>
      <c r="F118">
        <f>HYPERLINK("https://click.appcast.io/t/jSSS7AeCXEtyN9uMHA_wl3cpPaXSQbjTSzb7Am7PbZE=", "https://click.appcast.io/t/jSSS7AeCXEtyN9uMHA_wl3cpPaXSQbjTSzb7Am7PbZE=")</f>
        <v/>
      </c>
      <c r="G118" t="inlineStr">
        <is>
          <t>Fort Worth, TX, US</t>
        </is>
      </c>
      <c r="H118" s="3" t="n">
        <v>46046</v>
      </c>
      <c r="I11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lead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 **This is a HYBRID role working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9">
      <c r="A119" t="inlineStr">
        <is>
          <t>in-fe94f72debbfbdd0</t>
        </is>
      </c>
      <c r="B119" t="inlineStr">
        <is>
          <t>Staff Software Engineer (Backend) - Billing Platform *HYBRID*</t>
        </is>
      </c>
      <c r="C119" t="inlineStr">
        <is>
          <t>GEICO</t>
        </is>
      </c>
      <c r="D119" t="inlineStr">
        <is>
          <t>indeed</t>
        </is>
      </c>
      <c r="E119">
        <f>HYPERLINK("https://www.indeed.com/viewjob?jk=fe94f72debbfbdd0", "https://www.indeed.com/viewjob?jk=fe94f72debbfbdd0")</f>
        <v/>
      </c>
      <c r="F119">
        <f>HYPERLINK("https://click.appcast.io/t/D0muiWHdFNxJwjSLTaZFIJMggW63daRLi8WdauDBoz8=", "https://click.appcast.io/t/D0muiWHdFNxJwjSLTaZFIJMggW63daRLi8WdauDBoz8=")</f>
        <v/>
      </c>
      <c r="G119" t="inlineStr">
        <is>
          <t>Falls Church, VA, US</t>
        </is>
      </c>
      <c r="H119" s="3" t="n">
        <v>46046</v>
      </c>
      <c r="I11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lead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 **This is a HYBRID role working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0">
      <c r="A120" t="inlineStr">
        <is>
          <t>in-4190f4f5e0108853</t>
        </is>
      </c>
      <c r="B120" t="inlineStr">
        <is>
          <t>Senior Full Stack Engineer - (Java, React, Microservices) - *HYBRID*</t>
        </is>
      </c>
      <c r="C120" t="inlineStr">
        <is>
          <t>GEICO</t>
        </is>
      </c>
      <c r="D120" t="inlineStr">
        <is>
          <t>indeed</t>
        </is>
      </c>
      <c r="E120">
        <f>HYPERLINK("https://www.indeed.com/viewjob?jk=4190f4f5e0108853", "https://www.indeed.com/viewjob?jk=4190f4f5e0108853")</f>
        <v/>
      </c>
      <c r="F120">
        <f>HYPERLINK("https://click.appcast.io/t/xydBENFaChed8YiFMxOkfB8AnzAlLj8k5dHG-OKwvTM=", "https://click.appcast.io/t/xydBENFaChed8YiFMxOkfB8AnzAlLj8k5dHG-OKwvTM=")</f>
        <v/>
      </c>
      <c r="G120" t="inlineStr">
        <is>
          <t>Chevy Chase, MD, US</t>
        </is>
      </c>
      <c r="H120" s="3" t="n">
        <v>46046</v>
      </c>
      <c r="I12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Java, Golang,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 at least one modern language such as Java, C\#, Golang, or other object\-oriented languages and preferably in Full Stack with React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4\+ years of professional software development experience
* 3\+ years of experience with architecture and design
* 3\+ years of experience with AWS, GCP, Azure, or another cloud service
* 2\+ years of experience in open\-source frameworks
Education
* Bachelor’s degree in Computer Science, Information Systems, or equivalent education or work experience
\#LI\-FA1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1">
      <c r="A121" t="inlineStr">
        <is>
          <t>in-e9e68f8ab7c8134e</t>
        </is>
      </c>
      <c r="B121" t="inlineStr">
        <is>
          <t>Staff Software Engineer (Backend) - Billing Platform *HYBRID*</t>
        </is>
      </c>
      <c r="C121" t="inlineStr">
        <is>
          <t>GEICO</t>
        </is>
      </c>
      <c r="D121" t="inlineStr">
        <is>
          <t>indeed</t>
        </is>
      </c>
      <c r="E121">
        <f>HYPERLINK("https://www.indeed.com/viewjob?jk=e9e68f8ab7c8134e", "https://www.indeed.com/viewjob?jk=e9e68f8ab7c8134e")</f>
        <v/>
      </c>
      <c r="F121">
        <f>HYPERLINK("https://click.appcast.io/t/SI3kHq4SHfk6md5Dt7pUF4bZfyUTBCsDA4M7UDtoMt0=", "https://click.appcast.io/t/SI3kHq4SHfk6md5Dt7pUF4bZfyUTBCsDA4M7UDtoMt0=")</f>
        <v/>
      </c>
      <c r="G121" t="inlineStr">
        <is>
          <t>Dallas, TX, US</t>
        </is>
      </c>
      <c r="H121" s="3" t="n">
        <v>46046</v>
      </c>
      <c r="I12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lead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 **This is a HYBRID role working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2">
      <c r="A122" t="inlineStr">
        <is>
          <t>in-fcb688976a6c658b</t>
        </is>
      </c>
      <c r="B122" t="inlineStr">
        <is>
          <t>Staff Software Engineer (Backend) - Billing Platform *HYBRID*</t>
        </is>
      </c>
      <c r="C122" t="inlineStr">
        <is>
          <t>GEICO</t>
        </is>
      </c>
      <c r="D122" t="inlineStr">
        <is>
          <t>indeed</t>
        </is>
      </c>
      <c r="E122">
        <f>HYPERLINK("https://www.indeed.com/viewjob?jk=fcb688976a6c658b", "https://www.indeed.com/viewjob?jk=fcb688976a6c658b")</f>
        <v/>
      </c>
      <c r="F122">
        <f>HYPERLINK("https://click.appcast.io/t/1suHgZmFURE1R2OoAq3MHoARliJBLp_CyeuUYyy3JV4=", "https://click.appcast.io/t/1suHgZmFURE1R2OoAq3MHoARliJBLp_CyeuUYyy3JV4=")</f>
        <v/>
      </c>
      <c r="G122" t="inlineStr">
        <is>
          <t>Washington, DC, US</t>
        </is>
      </c>
      <c r="H122" s="3" t="n">
        <v>46046</v>
      </c>
      <c r="I12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lead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 **This is a HYBRID role working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3">
      <c r="A123" t="inlineStr">
        <is>
          <t>in-036a28ee4f310154</t>
        </is>
      </c>
      <c r="B123" t="inlineStr">
        <is>
          <t>Staff Software Engineer (Backend) - Billing Platform *HYBRID*</t>
        </is>
      </c>
      <c r="C123" t="inlineStr">
        <is>
          <t>GEICO</t>
        </is>
      </c>
      <c r="D123" t="inlineStr">
        <is>
          <t>indeed</t>
        </is>
      </c>
      <c r="E123">
        <f>HYPERLINK("https://www.indeed.com/viewjob?jk=036a28ee4f310154", "https://www.indeed.com/viewjob?jk=036a28ee4f310154")</f>
        <v/>
      </c>
      <c r="F123">
        <f>HYPERLINK("https://click.appcast.io/t/KxaohOIOt2RhgAfLSUUfQqb_-PKDvY2K5l1BtJWU6Hs=", "https://click.appcast.io/t/KxaohOIOt2RhgAfLSUUfQqb_-PKDvY2K5l1BtJWU6Hs=")</f>
        <v/>
      </c>
      <c r="G123" t="inlineStr">
        <is>
          <t>Chevy Chase, MD, US</t>
        </is>
      </c>
      <c r="H123" s="3" t="n">
        <v>46046</v>
      </c>
      <c r="I12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lead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 **This is a HYBRID role working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4">
      <c r="A124" t="inlineStr">
        <is>
          <t>in-e6041a228a511181</t>
        </is>
      </c>
      <c r="B124" t="inlineStr">
        <is>
          <t>Staff Software Engineer (Backend) - Billing Platform *HYBRID*</t>
        </is>
      </c>
      <c r="C124" t="inlineStr">
        <is>
          <t>GEICO</t>
        </is>
      </c>
      <c r="D124" t="inlineStr">
        <is>
          <t>indeed</t>
        </is>
      </c>
      <c r="E124">
        <f>HYPERLINK("https://www.indeed.com/viewjob?jk=e6041a228a511181", "https://www.indeed.com/viewjob?jk=e6041a228a511181")</f>
        <v/>
      </c>
      <c r="F124">
        <f>HYPERLINK("https://click.appcast.io/t/v6CrBBmCn1JZdvycwmBSsNbzURu583hjcp1hZz7F6jk=", "https://click.appcast.io/t/v6CrBBmCn1JZdvycwmBSsNbzURu583hjcp1hZz7F6jk=")</f>
        <v/>
      </c>
      <c r="G124" t="inlineStr">
        <is>
          <t>Baltimore, MD, US</t>
        </is>
      </c>
      <c r="H124" s="3" t="n">
        <v>46046</v>
      </c>
      <c r="I12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lead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 **This is a HYBRID role working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5">
      <c r="A125" t="inlineStr">
        <is>
          <t>in-07b798f4ef121954</t>
        </is>
      </c>
      <c r="B125" t="inlineStr">
        <is>
          <t>Staff Software Engineer - Testing Architect</t>
        </is>
      </c>
      <c r="C125" t="inlineStr">
        <is>
          <t>GEICO</t>
        </is>
      </c>
      <c r="D125" t="inlineStr">
        <is>
          <t>indeed</t>
        </is>
      </c>
      <c r="E125">
        <f>HYPERLINK("https://www.indeed.com/viewjob?jk=07b798f4ef121954", "https://www.indeed.com/viewjob?jk=07b798f4ef121954")</f>
        <v/>
      </c>
      <c r="F125">
        <f>HYPERLINK("https://click.appcast.io/t/j8DyEGRsxWiFEEacZ0lSNUBKvtYABb0R3Oc-fdE14Go=", "https://click.appcast.io/t/j8DyEGRsxWiFEEacZ0lSNUBKvtYABb0R3Oc-fdE14Go=")</f>
        <v/>
      </c>
      <c r="G125" t="inlineStr">
        <is>
          <t>Palo Alto, CA, US</t>
        </is>
      </c>
      <c r="H125" s="3" t="n">
        <v>46046</v>
      </c>
      <c r="I12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*Legal Job Description*
*Under general* *supervision* *research and apply AI technology to**enterprise software testing across multiple tech stacks with a focus on user experience and efficacy.*
 *Essential Functions:*
**ENGAGES** **with software engineering teams to gather use cases** **to understand user needs.**
**B****UILDS****widely** **applicable** **test** **tools and practices to serve Enterprise users.**
**RESEARCHES** **current best practices in AI for software testing**
**APPLIES AI and machine learning techniques to enhance test coverage, defect prediction, and intelligent test case generation.**
**BALANCES delivery of multiple projects/initiatives simultaneously, MENTORS and SUPPORTS engineers at all junior levels, SHARES best practices and IMPROVES testing processes within and across teams.**
**ADHERES to the Code of Conduct, company policies, and operating principles.**
**MEETS attendance** **standard** **at business** **location** **to perform necessary job functions and** **facilitate** **interaction with management and co\-workers.**
**MEETS** **the requirements specified below.**
 *Requirements:*
* Must be able to, with or without accommodation, perform the essential functions which include, but are not limited to seeing, hearing, typing, and speaking.
* Must be able to concentrate and demonstrate a capacity for learning technical concepts and adapting to new technologies quickly.
* Strong conceptualization abilities, detail\-oriented, critical/analytical thinking \&amp; troubleshooting skills with ability to work independently and deliver consistent results to difficult problems.
* Needs to be self\-motivated and results\-driven individual. Be able to quickly adjust to changing priorities.
* Independent and strong team player with a desire to learn by collaborating with peers and Application teams.
* Must be able to use a PC.
* Must be able to follow complex instructions, resolve conflicts or facilitate conflict resolution, and have strong organization/priority setting skills.
* Must be able to multi\-task and perform under pressure and stressful situations.
* Must be able to learn and apply large amounts of technical and procedural information and follow published processes.
* Must be able to provide system training to team members as needed.
* Must be able to communicate in a clear, concise, professional oral or written manner, to be understood by customers, clients, co\-workers, and other employees of the organization.
 *Experience:*
* Bachelor’s degree in Computer Science, Software Engineering, or related field.
* 3\+ years of experience in enterprise software testing, including test automation, test strategy, and quality assurance.
* 2\+ years of experience with cloud platforms (Azure, AWS, GCP) and cloud\-native testing practices.
* 2\+ years of experience with CI/CD tools (Azure DevOps, GitHub Actions, Jenkins).
* 2\+ years of experience with Infrastructure as Code technologies (Terraform, ARM templates, CloudFormation).
* 2\+ years of experience with scripting languages (Python, PowerShell, Bash) for test automation.
* 1\+ years of experience applying AI/ML techniques to software testing (e.g., defect prediction, intelligent test case generation, test data synthesis).
* Experience with monitoring tools (Grafana, Application Insights) for test analytics and observability.
* Experience with containerized environments (Kubernetes, Docker) and automated testing in microservices architectures.
* Experience with production support, incident triaging, and root cause analysis for test failures.
 **Annual Salary**
$100,000\.00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6">
      <c r="A126" t="inlineStr">
        <is>
          <t>in-49e0254d1aba5e36</t>
        </is>
      </c>
      <c r="B126" t="inlineStr">
        <is>
          <t>Staff Software Engineer - Financial Data Integrity (Hybrid)</t>
        </is>
      </c>
      <c r="C126" t="inlineStr">
        <is>
          <t>GEICO</t>
        </is>
      </c>
      <c r="D126" t="inlineStr">
        <is>
          <t>indeed</t>
        </is>
      </c>
      <c r="E126">
        <f>HYPERLINK("https://www.indeed.com/viewjob?jk=49e0254d1aba5e36", "https://www.indeed.com/viewjob?jk=49e0254d1aba5e36")</f>
        <v/>
      </c>
      <c r="F126">
        <f>HYPERLINK("https://click.appcast.io/t/nLDi1bk6LLVO8IAsP4NIOlJ1L4bAg4dVwrzmJdJkqG0=", "https://click.appcast.io/t/nLDi1bk6LLVO8IAsP4NIOlJ1L4bAg4dVwrzmJdJkqG0=")</f>
        <v/>
      </c>
      <c r="G126" t="inlineStr">
        <is>
          <t>Chicago, IL, US</t>
        </is>
      </c>
      <c r="H126" s="3" t="n">
        <v>46046</v>
      </c>
      <c r="I12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Engineer** within our **Financial Data Integrity Substantiation Platform**, you will play an important role in developing and optimizing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8\+ years of experience in Software Engineering
* Experience in one or more relevant programming languages, such as C\#, Java and/or Python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\*This is a Hybrid position working out of any of the below offices\*
Chicago, IL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7">
      <c r="A127" t="inlineStr">
        <is>
          <t>in-024eafbaecc66d66</t>
        </is>
      </c>
      <c r="B127" t="inlineStr">
        <is>
          <t>Staff Software Engineer - Financial Data Integrity (Hybrid)</t>
        </is>
      </c>
      <c r="C127" t="inlineStr">
        <is>
          <t>GEICO</t>
        </is>
      </c>
      <c r="D127" t="inlineStr">
        <is>
          <t>indeed</t>
        </is>
      </c>
      <c r="E127">
        <f>HYPERLINK("https://www.indeed.com/viewjob?jk=024eafbaecc66d66", "https://www.indeed.com/viewjob?jk=024eafbaecc66d66")</f>
        <v/>
      </c>
      <c r="F127">
        <f>HYPERLINK("https://click.appcast.io/t/0H0AUBZuSOjJq1fgZ-P6DU3eF4AjJ85pgSIxdYzNo7c=", "https://click.appcast.io/t/0H0AUBZuSOjJq1fgZ-P6DU3eF4AjJ85pgSIxdYzNo7c=")</f>
        <v/>
      </c>
      <c r="G127" t="inlineStr">
        <is>
          <t>Falls Church, VA, US</t>
        </is>
      </c>
      <c r="H127" s="3" t="n">
        <v>46046</v>
      </c>
      <c r="I12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Engineer** within our **Financial Data Integrity Substantiation Platform**, you will play an important role in developing and optimizing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8\+ years of experience in Software Engineering
* Experience in one or more relevant programming languages, such as C\#, Java and/or Python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\*This is a Hybrid position working out of any of the below offices\*
Chicago, IL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8">
      <c r="A128" t="inlineStr">
        <is>
          <t>in-578ab0e159f89990</t>
        </is>
      </c>
      <c r="B128" t="inlineStr">
        <is>
          <t>Staff Software Engineer - Financial Data Integrity (Hybrid)</t>
        </is>
      </c>
      <c r="C128" t="inlineStr">
        <is>
          <t>GEICO</t>
        </is>
      </c>
      <c r="D128" t="inlineStr">
        <is>
          <t>indeed</t>
        </is>
      </c>
      <c r="E128">
        <f>HYPERLINK("https://www.indeed.com/viewjob?jk=578ab0e159f89990", "https://www.indeed.com/viewjob?jk=578ab0e159f89990")</f>
        <v/>
      </c>
      <c r="F128">
        <f>HYPERLINK("https://click.appcast.io/t/K6hARkKgUyYt4JIsZUdGYJG3Wj4GxTqc1Cnktgb8SGk=", "https://click.appcast.io/t/K6hARkKgUyYt4JIsZUdGYJG3Wj4GxTqc1Cnktgb8SGk=")</f>
        <v/>
      </c>
      <c r="G128" t="inlineStr">
        <is>
          <t>Dallas, TX, US</t>
        </is>
      </c>
      <c r="H128" s="3" t="n">
        <v>46046</v>
      </c>
      <c r="I12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Engineer** within our **Financial Data Integrity Substantiation Platform**, you will play an important role in developing and optimizing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8\+ years of experience in Software Engineering
* Experience in one or more relevant programming languages, such as C\#, Java and/or Python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\*This is a Hybrid position working out of any of the below offices\*
Chicago, IL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9">
      <c r="A129" t="inlineStr">
        <is>
          <t>in-120c81c30993250f</t>
        </is>
      </c>
      <c r="B129" t="inlineStr">
        <is>
          <t>Staff Software Engineer - (Java, Golang, Microservices) - *HYBRID*</t>
        </is>
      </c>
      <c r="C129" t="inlineStr">
        <is>
          <t>GEICO</t>
        </is>
      </c>
      <c r="D129" t="inlineStr">
        <is>
          <t>indeed</t>
        </is>
      </c>
      <c r="E129">
        <f>HYPERLINK("https://www.indeed.com/viewjob?jk=120c81c30993250f", "https://www.indeed.com/viewjob?jk=120c81c30993250f")</f>
        <v/>
      </c>
      <c r="F129">
        <f>HYPERLINK("https://click.appcast.io/t/YzYkXWTX3w48sxgL3CBM90Nn83lCvnJNgo8X291SIw4=", "https://click.appcast.io/t/YzYkXWTX3w48sxgL3CBM90Nn83lCvnJNgo8X291SIw4=")</f>
        <v/>
      </c>
      <c r="G129" t="inlineStr">
        <is>
          <t>Seattle, WA, US</t>
        </is>
      </c>
      <c r="H129" s="3" t="n">
        <v>46046</v>
      </c>
      <c r="I12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Staff Engineer is a key member of the engineering staff working across the organization to provide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Staff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 high performance full distributed systems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6\+ years of professional software development experience with modern programming like C\+\+, Java, Golang, etc
* 4\+ years of experience with architecture and design
* 4\+ years of experience with AWS, GCP, Azure, or another cloud service
* 2\+ years of experience in open\-source frameworks
Education
* Bachelor's degree in computer science, Information Systems, or equivalent education or work experience
\#LI\-FA1
 **Annual Salary**
$105,000\.00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0">
      <c r="A130" t="inlineStr">
        <is>
          <t>in-ee5472ba6d7d4af8</t>
        </is>
      </c>
      <c r="B130" t="inlineStr">
        <is>
          <t>Staff Software Engineer - Testing Architect</t>
        </is>
      </c>
      <c r="C130" t="inlineStr">
        <is>
          <t>GEICO</t>
        </is>
      </c>
      <c r="D130" t="inlineStr">
        <is>
          <t>indeed</t>
        </is>
      </c>
      <c r="E130">
        <f>HYPERLINK("https://www.indeed.com/viewjob?jk=ee5472ba6d7d4af8", "https://www.indeed.com/viewjob?jk=ee5472ba6d7d4af8")</f>
        <v/>
      </c>
      <c r="F130">
        <f>HYPERLINK("https://click.appcast.io/t/QxWqP7K7e6Y9doT7G9oiTpJgNbKwUpJ8soYC7FhqUQg=", "https://click.appcast.io/t/QxWqP7K7e6Y9doT7G9oiTpJgNbKwUpJ8soYC7FhqUQg=")</f>
        <v/>
      </c>
      <c r="G130" t="inlineStr">
        <is>
          <t>Seattle, WA, US</t>
        </is>
      </c>
      <c r="H130" s="3" t="n">
        <v>46046</v>
      </c>
      <c r="I13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*Legal Job Description*
*Under general* *supervision* *research and apply AI technology to**enterprise software testing across multiple tech stacks with a focus on user experience and efficacy.*
 *Essential Functions:*
**ENGAGES** **with software engineering teams to gather use cases** **to understand user needs.**
**B****UILDS****widely** **applicable** **test** **tools and practices to serve Enterprise users.**
**RESEARCHES** **current best practices in AI for software testing**
**APPLIES AI and machine learning techniques to enhance test coverage, defect prediction, and intelligent test case generation.**
**BALANCES delivery of multiple projects/initiatives simultaneously, MENTORS and SUPPORTS engineers at all junior levels, SHARES best practices and IMPROVES testing processes within and across teams.**
**ADHERES to the Code of Conduct, company policies, and operating principles.**
**MEETS attendance** **standard** **at business** **location** **to perform necessary job functions and** **facilitate** **interaction with management and co\-workers.**
**MEETS** **the requirements specified below.**
 *Requirements:*
* Must be able to, with or without accommodation, perform the essential functions which include, but are not limited to seeing, hearing, typing, and speaking.
* Must be able to concentrate and demonstrate a capacity for learning technical concepts and adapting to new technologies quickly.
* Strong conceptualization abilities, detail\-oriented, critical/analytical thinking \&amp; troubleshooting skills with ability to work independently and deliver consistent results to difficult problems.
* Needs to be self\-motivated and results\-driven individual. Be able to quickly adjust to changing priorities.
* Independent and strong team player with a desire to learn by collaborating with peers and Application teams.
* Must be able to use a PC.
* Must be able to follow complex instructions, resolve conflicts or facilitate conflict resolution, and have strong organization/priority setting skills.
* Must be able to multi\-task and perform under pressure and stressful situations.
* Must be able to learn and apply large amounts of technical and procedural information and follow published processes.
* Must be able to provide system training to team members as needed.
* Must be able to communicate in a clear, concise, professional oral or written manner, to be understood by customers, clients, co\-workers, and other employees of the organization.
 *Experience:*
* Bachelor’s degree in Computer Science, Software Engineering, or related field.
* 3\+ years of experience in enterprise software testing, including test automation, test strategy, and quality assurance.
* 2\+ years of experience with cloud platforms (Azure, AWS, GCP) and cloud\-native testing practices.
* 2\+ years of experience with CI/CD tools (Azure DevOps, GitHub Actions, Jenkins).
* 2\+ years of experience with Infrastructure as Code technologies (Terraform, ARM templates, CloudFormation).
* 2\+ years of experience with scripting languages (Python, PowerShell, Bash) for test automation.
* 1\+ years of experience applying AI/ML techniques to software testing (e.g., defect prediction, intelligent test case generation, test data synthesis).
* Experience with monitoring tools (Grafana, Application Insights) for test analytics and observability.
* Experience with containerized environments (Kubernetes, Docker) and automated testing in microservices architectures.
* Experience with production support, incident triaging, and root cause analysis for test failures.
 **Annual Salary**
$100,000\.00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1">
      <c r="A131" t="inlineStr">
        <is>
          <t>in-141727e1c20c9c03</t>
        </is>
      </c>
      <c r="B131" t="inlineStr">
        <is>
          <t>Senior Software Engineer</t>
        </is>
      </c>
      <c r="C131" t="inlineStr">
        <is>
          <t>GEICO</t>
        </is>
      </c>
      <c r="D131" t="inlineStr">
        <is>
          <t>indeed</t>
        </is>
      </c>
      <c r="E131">
        <f>HYPERLINK("https://www.indeed.com/viewjob?jk=141727e1c20c9c03", "https://www.indeed.com/viewjob?jk=141727e1c20c9c03")</f>
        <v/>
      </c>
      <c r="F131">
        <f>HYPERLINK("https://click.appcast.io/t/wwJcRQLYzKMkNrLbtbX4__3GBnnMyNN8YhS5fbqk95Q=", "https://click.appcast.io/t/wwJcRQLYzKMkNrLbtbX4__3GBnnMyNN8YhS5fbqk95Q=")</f>
        <v/>
      </c>
      <c r="G131" t="inlineStr">
        <is>
          <t>Chevy Chase, MD, US</t>
        </is>
      </c>
      <c r="H131" s="3" t="n">
        <v>46046</v>
      </c>
      <c r="I13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Design, Develop and implement enterprise data governance solutions.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Mentor other engineers
* Consistently share best practices and improve processes within and across teams
Qualifications
* Experience contributing to the architecture and design (architecture, design patterns, reliability, and scaling) of new and current systems
* Expertise in Python and Typescript/JavaScript. Experience with other programming languages like Java/ Kotlin or Golang, React (Clean Architecture) or Angular and GIT
* Experience in backend development: Develop backend micro\-services using RESTful APIs, Graph QL, BFF (Backend for Frontend), ORMs, orchestration frameworks like Airflow, Fast API, Spring Boot framework and/or other Spring technologies
* Experience developing and scaling open\-source applications such as Datahub, Soda, DBT, etc.
* Experience with modern software development tools including VS code, GitHub Copilot, Cursor and Claude to enhance coding efficiency
* Experience with Open\-Source Data Governance solutions like Datahub a plus
* Experience in the complete software development life cycle and knowledge of developer tooling across the software development life cycle (task management, source code, building, deployment, operations, real\-time communication)
* Experience with container orchestration services including Docker and Kubernetes, and various Azure tools and services
* Experience with relational and non\-relational database technologies (SQL, Snowflake, Oracle, Cosmos DB, Postgres, NoSQL etc.)
* Experience with Load test tooling (Gatling or equivalent)
* Experience with monitoring Data Observability tools such as Splunk, Grafana, Loki, Prometheus or equivalents
* Advanced understanding of DevOps concepts including Azure DevOps framework, CI/CD tooling such as Jenkins, Gradle, Artifactory, Microsoft Azure DevOps
* Experience working on different operating systems like Linux (Alpine, Ubuntu, Red Hat) \&amp; Windows
* Experience with continuous delivery and infrastructure as code
* Advanced shell scripting skills
* Advanced understanding of monitoring concepts and tooling
* Strong problem\-solving ability
* Ability to excel in a fast\-paced environment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2">
      <c r="A132" t="inlineStr">
        <is>
          <t>in-3e8c40684bf094f0</t>
        </is>
      </c>
      <c r="B132" t="inlineStr">
        <is>
          <t>Staff Software Engineer - Financial Data Integrity (Hybrid)</t>
        </is>
      </c>
      <c r="C132" t="inlineStr">
        <is>
          <t>GEICO</t>
        </is>
      </c>
      <c r="D132" t="inlineStr">
        <is>
          <t>indeed</t>
        </is>
      </c>
      <c r="E132">
        <f>HYPERLINK("https://www.indeed.com/viewjob?jk=3e8c40684bf094f0", "https://www.indeed.com/viewjob?jk=3e8c40684bf094f0")</f>
        <v/>
      </c>
      <c r="F132">
        <f>HYPERLINK("https://click.appcast.io/t/345pcB40v194de0CB0vJEVevdcDdmXmqirZsdXB3iEc=", "https://click.appcast.io/t/345pcB40v194de0CB0vJEVevdcDdmXmqirZsdXB3iEc=")</f>
        <v/>
      </c>
      <c r="G132" t="inlineStr">
        <is>
          <t>Baltimore, MD, US</t>
        </is>
      </c>
      <c r="H132" s="3" t="n">
        <v>46046</v>
      </c>
      <c r="I13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Engineer** within our **Financial Data Integrity Substantiation Platform**, you will play an important role in developing and optimizing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8\+ years of experience in Software Engineering
* Experience in one or more relevant programming languages, such as C\#, Java and/or Python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\*This is a Hybrid position working out of any of the below offices\*
Chicago, IL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3">
      <c r="A133" t="inlineStr">
        <is>
          <t>in-fc684fcfa64386b9</t>
        </is>
      </c>
      <c r="B133" t="inlineStr">
        <is>
          <t>Staff Software Engineer - Financial Data Integrity (Hybrid)</t>
        </is>
      </c>
      <c r="C133" t="inlineStr">
        <is>
          <t>GEICO</t>
        </is>
      </c>
      <c r="D133" t="inlineStr">
        <is>
          <t>indeed</t>
        </is>
      </c>
      <c r="E133">
        <f>HYPERLINK("https://www.indeed.com/viewjob?jk=fc684fcfa64386b9", "https://www.indeed.com/viewjob?jk=fc684fcfa64386b9")</f>
        <v/>
      </c>
      <c r="F133">
        <f>HYPERLINK("https://click.appcast.io/t/CnFrtq9ktysdP6toP2fxYCByjLNZYV6T7EqRN79MeAE=", "https://click.appcast.io/t/CnFrtq9ktysdP6toP2fxYCByjLNZYV6T7EqRN79MeAE=")</f>
        <v/>
      </c>
      <c r="G133" t="inlineStr">
        <is>
          <t>Washington, DC, US</t>
        </is>
      </c>
      <c r="H133" s="3" t="n">
        <v>46046</v>
      </c>
      <c r="I13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Engineer** within our **Financial Data Integrity Substantiation Platform**, you will play an important role in developing and optimizing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8\+ years of experience in Software Engineering
* Experience in one or more relevant programming languages, such as C\#, Java and/or Python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\*This is a Hybrid position working out of any of the below offices\*
Chicago, IL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4">
      <c r="A134" t="inlineStr">
        <is>
          <t>in-1abfd81208531e8c</t>
        </is>
      </c>
      <c r="B134" t="inlineStr">
        <is>
          <t>Senior Software Engineer</t>
        </is>
      </c>
      <c r="C134" t="inlineStr">
        <is>
          <t>GEICO</t>
        </is>
      </c>
      <c r="D134" t="inlineStr">
        <is>
          <t>indeed</t>
        </is>
      </c>
      <c r="E134">
        <f>HYPERLINK("https://www.indeed.com/viewjob?jk=1abfd81208531e8c", "https://www.indeed.com/viewjob?jk=1abfd81208531e8c")</f>
        <v/>
      </c>
      <c r="F134">
        <f>HYPERLINK("https://click.appcast.io/t/uuvAozxRykEY_RLKhaMPCQSo9z8OmE0JzYs87Hfc2DU=", "https://click.appcast.io/t/uuvAozxRykEY_RLKhaMPCQSo9z8OmE0JzYs87Hfc2DU=")</f>
        <v/>
      </c>
      <c r="G134" t="inlineStr">
        <is>
          <t>Seattle, WA, US</t>
        </is>
      </c>
      <c r="H134" s="3" t="n">
        <v>46046</v>
      </c>
      <c r="I13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Design, Develop and implement enterprise data governance solutions.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Mentor other engineers
* Consistently share best practices and improve processes within and across teams
Qualifications
* Experience contributing to the architecture and design (architecture, design patterns, reliability, and scaling) of new and current systems
* Expertise in Python and Typescript/JavaScript. Experience with other programming languages like Java/ Kotlin or Golang, React (Clean Architecture) or Angular and GIT
* Experience in backend development: Develop backend micro\-services using RESTful APIs, Graph QL, BFF (Backend for Frontend), ORMs, orchestration frameworks like Airflow, Fast API, Spring Boot framework and/or other Spring technologies
* Experience developing and scaling open\-source applications such as Datahub, Soda, DBT, etc.
* Experience with modern software development tools including VS code, GitHub Copilot, Cursor and Claude to enhance coding efficiency
* Experience with Open\-Source Data Governance solutions like Datahub a plus
* Experience in the complete software development life cycle and knowledge of developer tooling across the software development life cycle (task management, source code, building, deployment, operations, real\-time communication)
* Experience with container orchestration services including Docker and Kubernetes, and various Azure tools and services
* Experience with relational and non\-relational database technologies (SQL, Snowflake, Oracle, Cosmos DB, Postgres, NoSQL etc.)
* Experience with Load test tooling (Gatling or equivalent)
* Experience with monitoring Data Observability tools such as Splunk, Grafana, Loki, Prometheus or equivalents
* Advanced understanding of DevOps concepts including Azure DevOps framework, CI/CD tooling such as Jenkins, Gradle, Artifactory, Microsoft Azure DevOps
* Experience working on different operating systems like Linux (Alpine, Ubuntu, Red Hat) \&amp; Windows
* Experience with continuous delivery and infrastructure as code
* Advanced shell scripting skills
* Advanced understanding of monitoring concepts and tooling
* Strong problem\-solving ability
* Ability to excel in a fast\-paced environment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5">
      <c r="A135" t="inlineStr">
        <is>
          <t>in-7ba174db4f5f9fb0</t>
        </is>
      </c>
      <c r="B135" t="inlineStr">
        <is>
          <t>Senior Software Engineer - (C#/Microservices/Azure)</t>
        </is>
      </c>
      <c r="C135" t="inlineStr">
        <is>
          <t>GEICO</t>
        </is>
      </c>
      <c r="D135" t="inlineStr">
        <is>
          <t>indeed</t>
        </is>
      </c>
      <c r="E135">
        <f>HYPERLINK("https://www.indeed.com/viewjob?jk=7ba174db4f5f9fb0", "https://www.indeed.com/viewjob?jk=7ba174db4f5f9fb0")</f>
        <v/>
      </c>
      <c r="F135">
        <f>HYPERLINK("https://click.appcast.io/t/o9TxPn_oh-mutgt65fC7nYj267-vC9mcTS6PqF1ixAs=", "https://click.appcast.io/t/o9TxPn_oh-mutgt65fC7nYj267-vC9mcTS6PqF1ixAs=")</f>
        <v/>
      </c>
      <c r="G135" t="inlineStr">
        <is>
          <t>Chevy Chase, MD, US</t>
        </is>
      </c>
      <c r="H135" s="3" t="n">
        <v>46046</v>
      </c>
      <c r="I13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**Qualifications**
### **Position Summary**
###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 **Qualifications**
* Advanced programming experience within the .NET framework. Including C\#, Visual Studio, SQL Server, ASP.NET, MVC, Web API, and REST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 **Experience**
* 4\+ years of professional software development experience within the .NET framework (C\# including object\-oriented design)
* 3\+ years of experience with architecture and design
* 3\+ years of experience with AWS, GCP, Azure, or another cloud service
* 2\+ years of experience in open\-source frameworks
### **Education**
* Bachelor’s degree in Computer Science, Information Systems, or equivalent education or work experience
 **Annual Salary**
$90,000\.00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6">
      <c r="A136" t="inlineStr">
        <is>
          <t>in-b23e74ae7c99676d</t>
        </is>
      </c>
      <c r="B136" t="inlineStr">
        <is>
          <t>Staff Software Engineer - Testing Architect</t>
        </is>
      </c>
      <c r="C136" t="inlineStr">
        <is>
          <t>GEICO</t>
        </is>
      </c>
      <c r="D136" t="inlineStr">
        <is>
          <t>indeed</t>
        </is>
      </c>
      <c r="E136">
        <f>HYPERLINK("https://www.indeed.com/viewjob?jk=b23e74ae7c99676d", "https://www.indeed.com/viewjob?jk=b23e74ae7c99676d")</f>
        <v/>
      </c>
      <c r="F136">
        <f>HYPERLINK("https://click.appcast.io/t/yIcnrYEe6QvcUiZeIsYcQZ9iDJGdKPnBzKFH7SlXUvk=", "https://click.appcast.io/t/yIcnrYEe6QvcUiZeIsYcQZ9iDJGdKPnBzKFH7SlXUvk=")</f>
        <v/>
      </c>
      <c r="G136" t="inlineStr">
        <is>
          <t>Chevy Chase, MD, US</t>
        </is>
      </c>
      <c r="H136" s="3" t="n">
        <v>46046</v>
      </c>
      <c r="I13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*Legal Job Description*
*Under general* *supervision* *research and apply AI technology to**enterprise software testing across multiple tech stacks with a focus on user experience and efficacy.*
 *Essential Functions:*
**ENGAGES** **with software engineering teams to gather use cases** **to understand user needs.**
**B****UILDS****widely** **applicable** **test** **tools and practices to serve Enterprise users.**
**RESEARCHES** **current best practices in AI for software testing**
**APPLIES AI and machine learning techniques to enhance test coverage, defect prediction, and intelligent test case generation.**
**BALANCES delivery of multiple projects/initiatives simultaneously, MENTORS and SUPPORTS engineers at all junior levels, SHARES best practices and IMPROVES testing processes within and across teams.**
**ADHERES to the Code of Conduct, company policies, and operating principles.**
**MEETS attendance** **standard** **at business** **location** **to perform necessary job functions and** **facilitate** **interaction with management and co\-workers.**
**MEETS** **the requirements specified below.**
 *Requirements:*
* Must be able to, with or without accommodation, perform the essential functions which include, but are not limited to seeing, hearing, typing, and speaking.
* Must be able to concentrate and demonstrate a capacity for learning technical concepts and adapting to new technologies quickly.
* Strong conceptualization abilities, detail\-oriented, critical/analytical thinking \&amp; troubleshooting skills with ability to work independently and deliver consistent results to difficult problems.
* Needs to be self\-motivated and results\-driven individual. Be able to quickly adjust to changing priorities.
* Independent and strong team player with a desire to learn by collaborating with peers and Application teams.
* Must be able to use a PC.
* Must be able to follow complex instructions, resolve conflicts or facilitate conflict resolution, and have strong organization/priority setting skills.
* Must be able to multi\-task and perform under pressure and stressful situations.
* Must be able to learn and apply large amounts of technical and procedural information and follow published processes.
* Must be able to provide system training to team members as needed.
* Must be able to communicate in a clear, concise, professional oral or written manner, to be understood by customers, clients, co\-workers, and other employees of the organization.
 *Experience:*
* Bachelor’s degree in Computer Science, Software Engineering, or related field.
* 3\+ years of experience in enterprise software testing, including test automation, test strategy, and quality assurance.
* 2\+ years of experience with cloud platforms (Azure, AWS, GCP) and cloud\-native testing practices.
* 2\+ years of experience with CI/CD tools (Azure DevOps, GitHub Actions, Jenkins).
* 2\+ years of experience with Infrastructure as Code technologies (Terraform, ARM templates, CloudFormation).
* 2\+ years of experience with scripting languages (Python, PowerShell, Bash) for test automation.
* 1\+ years of experience applying AI/ML techniques to software testing (e.g., defect prediction, intelligent test case generation, test data synthesis).
* Experience with monitoring tools (Grafana, Application Insights) for test analytics and observability.
* Experience with containerized environments (Kubernetes, Docker) and automated testing in microservices architectures.
* Experience with production support, incident triaging, and root cause analysis for test failures.
 **Annual Salary**
$100,000\.00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7">
      <c r="A137" t="inlineStr">
        <is>
          <t>in-d4b081b2838a572f</t>
        </is>
      </c>
      <c r="B137" t="inlineStr">
        <is>
          <t>Senior Full Stack Engineer - (Java, React, Microservices) - *HYBRID*</t>
        </is>
      </c>
      <c r="C137" t="inlineStr">
        <is>
          <t>GEICO</t>
        </is>
      </c>
      <c r="D137" t="inlineStr">
        <is>
          <t>indeed</t>
        </is>
      </c>
      <c r="E137">
        <f>HYPERLINK("https://www.indeed.com/viewjob?jk=d4b081b2838a572f", "https://www.indeed.com/viewjob?jk=d4b081b2838a572f")</f>
        <v/>
      </c>
      <c r="F137">
        <f>HYPERLINK("https://click.appcast.io/t/2Nyfzb865PeUJuyYTdzpBfWlyjKEnHS6pflMoQm7goU=", "https://click.appcast.io/t/2Nyfzb865PeUJuyYTdzpBfWlyjKEnHS6pflMoQm7goU=")</f>
        <v/>
      </c>
      <c r="G137" t="inlineStr">
        <is>
          <t>New York, NY, US</t>
        </is>
      </c>
      <c r="H137" s="3" t="n">
        <v>46046</v>
      </c>
      <c r="I13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Java, Golang,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 at least one modern language such as Java, C\#, Golang, or other object\-oriented languages and preferably in Full Stack with React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4\+ years of professional software development experience
* 3\+ years of experience with architecture and design
* 3\+ years of experience with AWS, GCP, Azure, or another cloud service
* 2\+ years of experience in open\-source frameworks
Education
* Bachelor’s degree in Computer Science, Information Systems, or equivalent education or work experience
\#LI\-FA1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8">
      <c r="A138" t="inlineStr">
        <is>
          <t>in-2fb3404c860c55b8</t>
        </is>
      </c>
      <c r="B138" t="inlineStr">
        <is>
          <t>Staff Software Engineer - Financial Data Integrity (Hybrid)</t>
        </is>
      </c>
      <c r="C138" t="inlineStr">
        <is>
          <t>GEICO</t>
        </is>
      </c>
      <c r="D138" t="inlineStr">
        <is>
          <t>indeed</t>
        </is>
      </c>
      <c r="E138">
        <f>HYPERLINK("https://www.indeed.com/viewjob?jk=2fb3404c860c55b8", "https://www.indeed.com/viewjob?jk=2fb3404c860c55b8")</f>
        <v/>
      </c>
      <c r="F138">
        <f>HYPERLINK("https://click.appcast.io/t/nOs3ailOsXgaA0jrFnCIssnMZ-uqBPrPHgxxCtS6O_w=", "https://click.appcast.io/t/nOs3ailOsXgaA0jrFnCIssnMZ-uqBPrPHgxxCtS6O_w=")</f>
        <v/>
      </c>
      <c r="G138" t="inlineStr">
        <is>
          <t>Frisco, TX, US</t>
        </is>
      </c>
      <c r="H138" s="3" t="n">
        <v>46046</v>
      </c>
      <c r="I13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Engineer** within our **Financial Data Integrity Substantiation Platform**, you will play an important role in developing and optimizing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8\+ years of experience in Software Engineering
* Experience in one or more relevant programming languages, such as C\#, Java and/or Python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\*This is a Hybrid position working out of any of the below offices\*
Chicago, IL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9">
      <c r="A139" t="inlineStr">
        <is>
          <t>in-384e0b765c4b35dc</t>
        </is>
      </c>
      <c r="B139" t="inlineStr">
        <is>
          <t>Staff Software Engineer - (Java, Golang, Microservices) - *HYBRID*</t>
        </is>
      </c>
      <c r="C139" t="inlineStr">
        <is>
          <t>GEICO</t>
        </is>
      </c>
      <c r="D139" t="inlineStr">
        <is>
          <t>indeed</t>
        </is>
      </c>
      <c r="E139">
        <f>HYPERLINK("https://www.indeed.com/viewjob?jk=384e0b765c4b35dc", "https://www.indeed.com/viewjob?jk=384e0b765c4b35dc")</f>
        <v/>
      </c>
      <c r="F139">
        <f>HYPERLINK("https://click.appcast.io/t/jV-ikmKvsFjjYHKB2ebTkvZ2INAnWBm3z6yfobhxcpI=", "https://click.appcast.io/t/jV-ikmKvsFjjYHKB2ebTkvZ2INAnWBm3z6yfobhxcpI=")</f>
        <v/>
      </c>
      <c r="G139" t="inlineStr">
        <is>
          <t>Palo Alto, CA, US</t>
        </is>
      </c>
      <c r="H139" s="3" t="n">
        <v>46046</v>
      </c>
      <c r="I13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Staff Engineer is a key member of the engineering staff working across the organization to provide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Staff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 high performance full distributed systems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6\+ years of professional software development experience with modern programming like C\+\+, Java, Golang, etc
* 4\+ years of experience with architecture and design
* 4\+ years of experience with AWS, GCP, Azure, or another cloud service
* 2\+ years of experience in open\-source frameworks
Education
* Bachelor's degree in computer science, Information Systems, or equivalent education or work experience
\#LI\-FA1
 **Annual Salary**
$105,000\.00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0">
      <c r="A140" t="inlineStr">
        <is>
          <t>in-585a39c6cc070853</t>
        </is>
      </c>
      <c r="B140" t="inlineStr">
        <is>
          <t>Senior Software Engineer (Hybrid Role)</t>
        </is>
      </c>
      <c r="C140" t="inlineStr">
        <is>
          <t>GEICO</t>
        </is>
      </c>
      <c r="D140" t="inlineStr">
        <is>
          <t>indeed</t>
        </is>
      </c>
      <c r="E140">
        <f>HYPERLINK("https://www.indeed.com/viewjob?jk=585a39c6cc070853", "https://www.indeed.com/viewjob?jk=585a39c6cc070853")</f>
        <v/>
      </c>
      <c r="F140">
        <f>HYPERLINK("https://click.appcast.io/t/DW63JgTUyJYOFoiUAWy_RH3BG7ETHsFdhAALY5Xctmg=", "https://click.appcast.io/t/DW63JgTUyJYOFoiUAWy_RH3BG7ETHsFdhAALY5Xctmg=")</f>
        <v/>
      </c>
      <c r="G140" t="inlineStr">
        <is>
          <t>Chevy Chase, MD, US</t>
        </is>
      </c>
      <c r="H140" s="3" t="n">
        <v>46046</v>
      </c>
      <c r="I14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Our Senior Engineer is a key member of the engineering staff working on our Payments Platform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developer tooling and a variety of Azure tools and services across the software development life cycle (task management, source code, building, deployment, operations, real\-time communication) to perform advanced\-level application design, implementation, and maintenance activities under minimal direction
* Mentor other engineers
* Consistently share best practices and improve processes within and across teams
Qualifications
* Advanced programming experience with at least two modern languages such as Golang, Java, C\+\+, Python or C\# including object\-oriented design
* Proven understanding of micro\-services oriented architecture and extensible REST APIs
* Experience building the architecture and design (architecture, design patterns, reliability, and scaling) of new and current systems
* Advanced understanding of DevOps Concepts and Cloud Architecture
* Experience with continuous delivery and infrastructure as code
* Strong problem\-solving ability
* Ability to excel in a fast\-paced, startup\-like environment
* Knowledge of developer tooling across the software development life cycle (task management, source code, building, deployment, operations, real\-time communication)
* In\-depth knowledge of CS data structures and algorithms
* Advanced PowerShell scripting skills
* Advanced understanding of monitoring concepts and tooling
* Advanced understanding of security protocols and products
 Experience
* 4\+ years of Software Development within a Java framework (J2EE, web containers and Java)
* 3\+ years of experience with architecture and design
* 3\+ years of experience with AWS, GCP, Azure, or another cloud service
* 2\+ years of experience in open\-source frameworks
Education
* Bachelor’s degree in Computer Science, Information Systems, or equivalent education or work experience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1">
      <c r="A141" t="inlineStr">
        <is>
          <t>in-217da159c3cd0b14</t>
        </is>
      </c>
      <c r="B141" t="inlineStr">
        <is>
          <t>Staff Software Engineer - Testing Architect</t>
        </is>
      </c>
      <c r="C141" t="inlineStr">
        <is>
          <t>GEICO</t>
        </is>
      </c>
      <c r="D141" t="inlineStr">
        <is>
          <t>indeed</t>
        </is>
      </c>
      <c r="E141">
        <f>HYPERLINK("https://www.indeed.com/viewjob?jk=217da159c3cd0b14", "https://www.indeed.com/viewjob?jk=217da159c3cd0b14")</f>
        <v/>
      </c>
      <c r="F141">
        <f>HYPERLINK("https://click.appcast.io/t/jNR_0CW6mU0kv7e7j-1thMTccLvsZ18WZAXfHjM7t8o=", "https://click.appcast.io/t/jNR_0CW6mU0kv7e7j-1thMTccLvsZ18WZAXfHjM7t8o=")</f>
        <v/>
      </c>
      <c r="G141" t="inlineStr">
        <is>
          <t>Dallas, TX, US</t>
        </is>
      </c>
      <c r="H141" s="3" t="n">
        <v>46046</v>
      </c>
      <c r="I14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*Legal Job Description*
*Under general* *supervision* *research and apply AI technology to**enterprise software testing across multiple tech stacks with a focus on user experience and efficacy.*
 *Essential Functions:*
**ENGAGES** **with software engineering teams to gather use cases** **to understand user needs.**
**B****UILDS****widely** **applicable** **test** **tools and practices to serve Enterprise users.**
**RESEARCHES** **current best practices in AI for software testing**
**APPLIES AI and machine learning techniques to enhance test coverage, defect prediction, and intelligent test case generation.**
**BALANCES delivery of multiple projects/initiatives simultaneously, MENTORS and SUPPORTS engineers at all junior levels, SHARES best practices and IMPROVES testing processes within and across teams.**
**ADHERES to the Code of Conduct, company policies, and operating principles.**
**MEETS attendance** **standard** **at business** **location** **to perform necessary job functions and** **facilitate** **interaction with management and co\-workers.**
**MEETS** **the requirements specified below.**
 *Requirements:*
* Must be able to, with or without accommodation, perform the essential functions which include, but are not limited to seeing, hearing, typing, and speaking.
* Must be able to concentrate and demonstrate a capacity for learning technical concepts and adapting to new technologies quickly.
* Strong conceptualization abilities, detail\-oriented, critical/analytical thinking \&amp; troubleshooting skills with ability to work independently and deliver consistent results to difficult problems.
* Needs to be self\-motivated and results\-driven individual. Be able to quickly adjust to changing priorities.
* Independent and strong team player with a desire to learn by collaborating with peers and Application teams.
* Must be able to use a PC.
* Must be able to follow complex instructions, resolve conflicts or facilitate conflict resolution, and have strong organization/priority setting skills.
* Must be able to multi\-task and perform under pressure and stressful situations.
* Must be able to learn and apply large amounts of technical and procedural information and follow published processes.
* Must be able to provide system training to team members as needed.
* Must be able to communicate in a clear, concise, professional oral or written manner, to be understood by customers, clients, co\-workers, and other employees of the organization.
 *Experience:*
* Bachelor’s degree in Computer Science, Software Engineering, or related field.
* 3\+ years of experience in enterprise software testing, including test automation, test strategy, and quality assurance.
* 2\+ years of experience with cloud platforms (Azure, AWS, GCP) and cloud\-native testing practices.
* 2\+ years of experience with CI/CD tools (Azure DevOps, GitHub Actions, Jenkins).
* 2\+ years of experience with Infrastructure as Code technologies (Terraform, ARM templates, CloudFormation).
* 2\+ years of experience with scripting languages (Python, PowerShell, Bash) for test automation.
* 1\+ years of experience applying AI/ML techniques to software testing (e.g., defect prediction, intelligent test case generation, test data synthesis).
* Experience with monitoring tools (Grafana, Application Insights) for test analytics and observability.
* Experience with containerized environments (Kubernetes, Docker) and automated testing in microservices architectures.
* Experience with production support, incident triaging, and root cause analysis for test failures.
 **Annual Salary**
$100,000\.00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2">
      <c r="A142" t="inlineStr">
        <is>
          <t>in-59ab40d30b2c2692</t>
        </is>
      </c>
      <c r="B142" t="inlineStr">
        <is>
          <t>Senior Software Engineer - (.Net/C#/Go/Microservices) - *HYBRID*</t>
        </is>
      </c>
      <c r="C142" t="inlineStr">
        <is>
          <t>GEICO</t>
        </is>
      </c>
      <c r="D142" t="inlineStr">
        <is>
          <t>indeed</t>
        </is>
      </c>
      <c r="E142">
        <f>HYPERLINK("https://www.indeed.com/viewjob?jk=59ab40d30b2c2692", "https://www.indeed.com/viewjob?jk=59ab40d30b2c2692")</f>
        <v/>
      </c>
      <c r="F142">
        <f>HYPERLINK("https://click.appcast.io/t/GNlN-6NEmdWRqPClqqDqmvriEyQU5tZCevD_5xeH-j4=", "https://click.appcast.io/t/GNlN-6NEmdWRqPClqqDqmvriEyQU5tZCevD_5xeH-j4=")</f>
        <v/>
      </c>
      <c r="G142" t="inlineStr">
        <is>
          <t>Chevy Chase, MD, US</t>
        </is>
      </c>
      <c r="H142" s="3" t="n">
        <v>46046</v>
      </c>
      <c r="I14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Our Senior Engineer is a key member of the Customer Correspondence Tech / engineering staff working across the Tech and Product organization to assist with building modern cutting\-edge solutions and services to deliver digital correspondence platform across all communication channels to GEICO customers and business partners. Our team thrives and succeeds in delivering high quality technology products and services in a fast\-paced environment supporting aggressive business goals and priorities for GEICO Insurance products. The ideal candidate has broad and deep technical knowledge, primarily focusing on building back\-end enterprise systems and solutions that are highly secured, scalable and reliable catering Customer facing applications with 24/7 availability.
 **Responsibilities:**
As a Senior Engineer you will:
Scope, design, and build scalable, resilient distributed systems  
Build product definition and leverage your technical skills to drive towards the right solution  
Engage in cross\-functional collaboration throughout the entire software lifecycle  
Lead in design sessions and code reviews with peers to elevate the quality of engineering across the organization  
Define, create, and support reusable application components/patterns from a business and technology perspective  
Utilize programming languages like Python, C\# or other object\-oriented languages, SQL, and NoSQL databases, Container Orchestration services including Docker and Kubernetes, and a variety of Azure tools and services  
Mentor other engineers  
Consistently share best practices and improve processes within and across teams
 **Qualifications**  
Advanced programming experience within the .NET framework. Including C\#, Visual Studio, SQL Server, ASP.NET, MVC, Web API, and REST  
Proven understanding of microservices oriented architecture and extensible REST APIs  
Experience architecting and designing new and current systems  
Advanced understanding of DevOps concepts including Azure DevOps framework and tools  
Advanced PowerShell scripting skills  
Advanced understanding of monitoring concepts and tooling  
Advanced understanding of security protocols and products  
Experience with continuous delivery and infrastructure as code  
In\-depth knowledge of CS data structures and algorithms  
Strong problem\-solving ability  
Ability to excel in a fast\-paced environment  
Knowledge of developer tooling across the software development life cycle (task management, source code, building, deployment, operations, real\-time communication)  
Architecture assessment and proposals
Nice to have:  
Object oriented programming skills and awareness SOLID design patterns a strong plus.  
Understanding of microservices  
Understanding of Azure Ecosystem (Azure Cloud services, Kubernetes services, Service Bus, Azure Storage, Cosmos DB, Azure DevOps)  
Hands\-on experience using and integrating AI coding assistants (e.g., GitHub Copilot, Cursor etc) into a development workflow.
 **Experience**
* 4\+ years of professional software development experience
* 3\+ years of experience with architecture and design
* 3\+ years of experience with AWS, GCP, Azure, or another cloud service
* 2\+ years of experience in open\-source frameworks
**Education**
* Bachelor’s degree in Computer Science, Information Systems, or equivalent education or work experience
\#LI\-FA1
 **Annual Salary**
$80,000\.00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3">
      <c r="A143" t="inlineStr">
        <is>
          <t>in-0fcd367a0d829917</t>
        </is>
      </c>
      <c r="B143" t="inlineStr">
        <is>
          <t>Sr Software Engineer - *HYBRID* - (Go, Java, Microservices, Kubernetes)</t>
        </is>
      </c>
      <c r="C143" t="inlineStr">
        <is>
          <t>GEICO</t>
        </is>
      </c>
      <c r="D143" t="inlineStr">
        <is>
          <t>indeed</t>
        </is>
      </c>
      <c r="E143">
        <f>HYPERLINK("https://www.indeed.com/viewjob?jk=0fcd367a0d829917", "https://www.indeed.com/viewjob?jk=0fcd367a0d829917")</f>
        <v/>
      </c>
      <c r="F143">
        <f>HYPERLINK("https://click.appcast.io/t/R3IXrEDKcBiCx7PnF-c0VtudWznl5EkWrQ9ZSioFdpo=", "https://click.appcast.io/t/R3IXrEDKcBiCx7PnF-c0VtudWznl5EkWrQ9ZSioFdpo=")</f>
        <v/>
      </c>
      <c r="G143" t="inlineStr">
        <is>
          <t>Chevy Chase, MD, US</t>
        </is>
      </c>
      <c r="H143" s="3" t="n">
        <v>46046</v>
      </c>
      <c r="I14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Java, Golang,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 at least one modern language such as Java, C\#, Golang, or other object\-oriented languages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4\+ years of professional software development experience
* 3\+ years of experience with architecture and design
* 3\+ years of experience with AWS, GCP, Azure, or another cloud service
* 2\+ years of experience in open\-source frameworks
Education
* Bachelor’s degree in Computer Science, Information Systems, or equivalent education or work experience
\#LI\-FA1
 **Annual Salary**
$80,000\.00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4">
      <c r="A144" t="inlineStr">
        <is>
          <t>in-1039c25b858c730b</t>
        </is>
      </c>
      <c r="B144" t="inlineStr">
        <is>
          <t>Staff Software Engineer (Backend) - Billing Platform *HYBRID*</t>
        </is>
      </c>
      <c r="C144" t="inlineStr">
        <is>
          <t>GEICO</t>
        </is>
      </c>
      <c r="D144" t="inlineStr">
        <is>
          <t>indeed</t>
        </is>
      </c>
      <c r="E144">
        <f>HYPERLINK("https://www.indeed.com/viewjob?jk=1039c25b858c730b", "https://www.indeed.com/viewjob?jk=1039c25b858c730b")</f>
        <v/>
      </c>
      <c r="F144">
        <f>HYPERLINK("https://click.appcast.io/t/OxpDu0mhP_SYDAbyAjNexXWe0UTXRSsTFPTHpCi3ak0=", "https://click.appcast.io/t/OxpDu0mhP_SYDAbyAjNexXWe0UTXRSsTFPTHpCi3ak0=")</f>
        <v/>
      </c>
      <c r="G144" t="inlineStr">
        <is>
          <t>Palo Alto, CA, US</t>
        </is>
      </c>
      <c r="H144" s="3" t="n">
        <v>46046</v>
      </c>
      <c r="I14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lead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 **This is a HYBRID role working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5">
      <c r="A145" t="inlineStr">
        <is>
          <t>in-12098f0fa9de411d</t>
        </is>
      </c>
      <c r="B145" t="inlineStr">
        <is>
          <t>Senior Staff Software Engineer- GIA Platform</t>
        </is>
      </c>
      <c r="C145" t="inlineStr">
        <is>
          <t>GEICO</t>
        </is>
      </c>
      <c r="D145" t="inlineStr">
        <is>
          <t>indeed</t>
        </is>
      </c>
      <c r="E145">
        <f>HYPERLINK("https://www.indeed.com/viewjob?jk=12098f0fa9de411d", "https://www.indeed.com/viewjob?jk=12098f0fa9de411d")</f>
        <v/>
      </c>
      <c r="F145">
        <f>HYPERLINK("https://click.appcast.io/t/CtliAT8bv1klRMwHr8ai5m-wQn847thEkvZD1XNF24w=", "https://click.appcast.io/t/CtliAT8bv1klRMwHr8ai5m-wQn847thEkvZD1XNF24w=")</f>
        <v/>
      </c>
      <c r="G145" t="inlineStr">
        <is>
          <t>Palo Alto, CA, US</t>
        </is>
      </c>
      <c r="H145" s="3" t="n">
        <v>46046</v>
      </c>
      <c r="I14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software engineer with a passion for building high\-performance, low maintenance, zero\-downtime platforms, and applications. You will help drive our insurance business transformation and platform engineering domain modernization as we redefine experience for our customers.
**Position Description**
Our Senior Staff Software Engineer works with our Manager, Distinguished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has a deep understanding of technology, risk management, engineering best practices and strategic planning to design and implement highly scalable, available, and reliable systems with effective observability.
**Position Responsibilities**
As a Senior Staff Software Engineer, you will:
* Develop and drive the overall technical roadmap for the GIA Platform organization, aligning it with the organization's business goals and objectives.
* Work closely with executive leadership, tech teams, and other cross\-discipline stakeholders to build optimal strategy for delivering platform services.
* Leverage technical and domain expertise to influence partners and leadership to create a force multiplier in achieving milestones in the team’s technical roadmap.
* Provide thought leadership in GIA Platform, staying ahead of industry trends and emerging technologies to create effective strategy that minimizes business disruption while balancing the modernization of legacy platform components.
* Lead the design and architecture of resilient and scalable platform services, considering both on\-premises and cloud\-based solutions.
* Champion software development best practices and safe deployment processes to enable continuous, incremental delivery of business values.
* Contribute directly to and leading by example in day\-to\-day engineering activities (writing feature code and automated tests, raising PRs and reviewing peers’ PRs, developing and managing CI/CD pipelines, production support, among others)
* Develop and maintain comprehensive incident response plans to address various disaster scenarios across multiple partner integration points.
* Spearhead collaboration with various stakeholders in production readiness assessment and operational excellence.
* Hands\-on software engineering and SDLC best practices (Technical Review Documents, Architecture, Software Development, Code Reviews, Testing, Production Readiness Reviews, among others)
* Evaluate, select, and implement modern technologies and tools to enhance our integration with various partners including but not limited to processes, compliance, and visibility.
* Stay current with industry best practices and emerging technologies to continuously improve our partner integration platform capabilities.
* Act as a trusted advisor to technical and non\-technical stakeholders.
* Be a role model and mentor, helping to coach and strengthen the technical expertise and know\-how of our engineering and product community.
* Analyze cost and forecast, incorporating them into business plans
* Determine and support resource requirements, evaluate operational processes, measure outcomes to ensure desired results, and demonstrate adaptability and sponsoring continuous learning
**Qualifications**
* Fluency in at least one modern language (Go is preferred, .Net is a plus)
* Proven track record of designing, implementing, and maintaining highly scalable, available and reliable system in production
* Understanding of security best practices and data encryption technology
* Understanding of SQL and NoSQL databases, including stateful services management and storage
* Understanding of networking, caches, key/value stores, load balancing, global load balancing, queues, DNS and CDN
* Deep knowledge of DevOps practices, methodologies, and principles, along with a solid understanding of on prem and public cloud\-based network, compute, and storage technologies
* In\-depth knowledge of hybrid cloud architecture, IaaS and PaaS technologies, container orchestration platforms (e.g., Kubernetes), cloud efficiency and observability etc.
* Strong background in incident management
* Ability to create incident response playbooks, runbooks, incident triaging strategies, and post\-incident analysis to drive continuous improvement in system reliability and availability
* Experience with open\-source management and monitoring tools
* Experience with infrastructure automation, tooling, and configuration management frameworks (e.g., Puppet, Chef, Ansible, Pulumi, Terraform, etc.)
* Familiarity with cloud security best practices and compliance standards
* Excellent leadership skills with a passion for mentoring and fostering professional growth
* Strong problem\-solving and analytical abilities, with a keen eye for detail and a passion for driving operational excellence
* Visionary thinker with the ability to anticipate future challenges and opportunities
* Exceptional leadership and communication skills
* Strong analytical and problem\-solving capabilities
* Proven track record of successfully leading and building software in large and complex organizations
**Experience**
* 10\+ years of professional experience in software development
* 8\+ years of experience with architecture and design
* 6\+ years of experience in open\-source frameworks
* 4\+ years of experience with AWS, GCP, Azure, or other cloud service providers
**Education**
Bachelor's degree in computer science, Information Systems, or equivalent education or work experience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6">
      <c r="A146" t="inlineStr">
        <is>
          <t>in-a510af9e62f32ab0</t>
        </is>
      </c>
      <c r="B146" t="inlineStr">
        <is>
          <t>Senior Software Engineer</t>
        </is>
      </c>
      <c r="C146" t="inlineStr">
        <is>
          <t>GEICO</t>
        </is>
      </c>
      <c r="D146" t="inlineStr">
        <is>
          <t>indeed</t>
        </is>
      </c>
      <c r="E146">
        <f>HYPERLINK("https://www.indeed.com/viewjob?jk=a510af9e62f32ab0", "https://www.indeed.com/viewjob?jk=a510af9e62f32ab0")</f>
        <v/>
      </c>
      <c r="F146">
        <f>HYPERLINK("https://click.appcast.io/t/o07GTbvVt3zXkp7tZUE1aocJpWradSdkrDEl4zeW4xk=", "https://click.appcast.io/t/o07GTbvVt3zXkp7tZUE1aocJpWradSdkrDEl4zeW4xk=")</f>
        <v/>
      </c>
      <c r="G146" t="inlineStr">
        <is>
          <t>Austin, TX, US</t>
        </is>
      </c>
      <c r="H146" s="3" t="n">
        <v>46046</v>
      </c>
      <c r="I14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Design, Develop and implement enterprise data governance solutions.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Mentor other engineers
* Consistently share best practices and improve processes within and across teams
Qualifications
* Experience contributing to the architecture and design (architecture, design patterns, reliability, and scaling) of new and current systems
* Expertise in Python and Typescript/JavaScript. Experience with other programming languages like Java/ Kotlin or Golang, React (Clean Architecture) or Angular and GIT
* Experience in backend development: Develop backend micro\-services using RESTful APIs, Graph QL, BFF (Backend for Frontend), ORMs, orchestration frameworks like Airflow, Fast API, Spring Boot framework and/or other Spring technologies
* Experience developing and scaling open\-source applications such as Datahub, Soda, DBT, etc.
* Experience with modern software development tools including VS code, GitHub Copilot, Cursor and Claude to enhance coding efficiency
* Experience with Open\-Source Data Governance solutions like Datahub a plus
* Experience in the complete software development life cycle and knowledge of developer tooling across the software development life cycle (task management, source code, building, deployment, operations, real\-time communication)
* Experience with container orchestration services including Docker and Kubernetes, and various Azure tools and services
* Experience with relational and non\-relational database technologies (SQL, Snowflake, Oracle, Cosmos DB, Postgres, NoSQL etc.)
* Experience with Load test tooling (Gatling or equivalent)
* Experience with monitoring Data Observability tools such as Splunk, Grafana, Loki, Prometheus or equivalents
* Advanced understanding of DevOps concepts including Azure DevOps framework, CI/CD tooling such as Jenkins, Gradle, Artifactory, Microsoft Azure DevOps
* Experience working on different operating systems like Linux (Alpine, Ubuntu, Red Hat) \&amp; Windows
* Experience with continuous delivery and infrastructure as code
* Advanced shell scripting skills
* Advanced understanding of monitoring concepts and tooling
* Strong problem\-solving ability
* Ability to excel in a fast\-paced environment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7">
      <c r="A147" t="inlineStr">
        <is>
          <t>in-aef3673208f17779</t>
        </is>
      </c>
      <c r="B147" t="inlineStr">
        <is>
          <t>Software Engineer – Artifact Management &amp; Continuous Integration</t>
        </is>
      </c>
      <c r="C147" t="inlineStr">
        <is>
          <t>GEICO</t>
        </is>
      </c>
      <c r="D147" t="inlineStr">
        <is>
          <t>indeed</t>
        </is>
      </c>
      <c r="E147">
        <f>HYPERLINK("https://www.indeed.com/viewjob?jk=aef3673208f17779", "https://www.indeed.com/viewjob?jk=aef3673208f17779")</f>
        <v/>
      </c>
      <c r="F147">
        <f>HYPERLINK("https://click.appcast.io/t/9T3ZWtMl02ktfgvDXqgmxsvWvhMDdNx4vxT2RG3iQyI=", "https://click.appcast.io/t/9T3ZWtMl02ktfgvDXqgmxsvWvhMDdNx4vxT2RG3iQyI=")</f>
        <v/>
      </c>
      <c r="G147" t="inlineStr">
        <is>
          <t>San Francisco, CA, US</t>
        </is>
      </c>
      <c r="H147" s="3" t="n">
        <v>46046</v>
      </c>
      <c r="I14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purpose.When you join our company, we want you to feel valued, supported and proud to work here. That’s why we offer The GEICO Pledge: Great Company, Great Culture, Great Rewards and Great Careers
Job Description
GEICO is seeking an experienced and highly skilled Staff Software Engineer to join our Build Tools and Continuous Integration team. You will be part of a team of engineers that will develop the discipline, frameworks, tooling, for building software in a highly secure, performant, auditable, and repeatable fashion.  
The ideal candidate has deep technical expertise in areas such as Github Actions, Gitlab Jenkins/TeamCity Pipelines, Build Tools like Bazel, Buck, Gradle, NX, Build caching, Docker, Artifact management, etc.  
Position Responsibilities
Design and implement scalable and efficient build tools and CI workflows for applications, operating systems, libraries, and a variety of other software components.  
Collaborate with development, security, runtime, and compliance teams to build paved paths CI pipelines for the entire organization  
Have strong opinions and strategic engagements to implement, rollout, and support a companywide CI discipline for 1000\+ engineers  
Design with observability and reliability core principles so that a small team can have an outsized impact. Continuous use of observability data to drive sustained efficiency.  
Advocate and trailblazer for incorporating opensource tooling and frameworks within Continuous Integration.  
Mentor and provide technical guidance to junior engineers, fostering a culture of continuous improvement and innovation.  
Qualifications  
Be an active listener, effective communicator, and team leader  
5\+ years of experience in software development, and deep familiarity with multi\-language CI pipelines for JAVA, .NET, GO using appropriate build tools like Bazel, NX, Gradle, CMake  
Proficient with modern CI systems like GitHub/Gitlab and managing Git\-based workflows.  
Proficiency in at least one programming language such as Go, Java, Python, or C\+\+.  
Strong proficiency in Linux system administration and shell scripting.  
(highly desirable) Experience with Kubernetes and container orchestration.  
Education  
Bachelor's degree or master's degree in information technology or related field, or equivalent experience
 **Annual Salary**
$95,000\.00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8">
      <c r="A148" t="inlineStr">
        <is>
          <t>in-f5b4b895ad7694be</t>
        </is>
      </c>
      <c r="B148" t="inlineStr">
        <is>
          <t>Staff Software Engineer</t>
        </is>
      </c>
      <c r="C148" t="inlineStr">
        <is>
          <t>GEICO</t>
        </is>
      </c>
      <c r="D148" t="inlineStr">
        <is>
          <t>indeed</t>
        </is>
      </c>
      <c r="E148">
        <f>HYPERLINK("https://www.indeed.com/viewjob?jk=f5b4b895ad7694be", "https://www.indeed.com/viewjob?jk=f5b4b895ad7694be")</f>
        <v/>
      </c>
      <c r="F148">
        <f>HYPERLINK("https://click.appcast.io/t/4Nxahe3LkKYj38vmc_tdh_VrJfuePzdabbp71RkZMQU=", "https://click.appcast.io/t/4Nxahe3LkKYj38vmc_tdh_VrJfuePzdabbp71RkZMQU=")</f>
        <v/>
      </c>
      <c r="G148" t="inlineStr">
        <is>
          <t>San Francisco, CA, US</t>
        </is>
      </c>
      <c r="H148" s="3" t="n">
        <v>46046</v>
      </c>
      <c r="I14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**Staff – Software Engineer**
Position Summary GEICO is seeking an experienced software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Staff Software Engineer works with the team and the broader org to innovate and build new systems, improve, and enhance existing systems and identify new opportunities to apply your knowledge to solve critical problems. You will lead and own the strategy and execution of a technical roadmap that will increase the velocity of delivering products and unlock new engineering capabilities. The ideal candidate has a deep understanding of technology, risk management, site reliability engineering principles, and strategic planning to design and implement resilient systems that safeguard our business from potential threats.
 **Position Responsibilities**
As a Staff Software Engineer, you will:
* Develop and drive the overall strategy for the Data Safeguard organization, aligning it with the organization's business goals and objectives.
* Provide thought leadership in Data Safeguard, staying ahead of industry trends and emerging technologies to enhance our backup/restore posture.
* Conduct comprehensive risk assessments to identify potential threats and vulnerabilities
* Design and implement robust strategies to ensure data safety, integrity and correctness
* Lead the design and architecture of resilient and scalable systems, considering both on\-premises and cloud\-based solutions.
* Collaborate with cross\-functional teams to integrate data safeguard best practices into the development and deployment processes.
* Develop and maintain comprehensive incident response plans to address various disaster scenarios on our backup/restore systems.
* Conduct regular simulations and drills to ensure the readiness of the organization in the event
* of a disaster.
* Hands\-on software engineering and SDLC best practices (Technical Review Documents, Architecture, Software Development, Software Reviews, Testing, Production Readiness Reviews, among others)
* Evaluate, select, and implement cutting\-edge technologies and tools to enhance our data safeguard capabilities including but not limited to processes, compliance, and visibility.
* Stay current with industry best practices and emerging technologies to continuously improve our data safeguard capabilities.
* Work closely with executive leadership, tech teams, and other stakeholders to communicate the importance of data safeguarding and foster a culture of resilience.
* Act as a trusted advisor, providing guidance on backups/restores and security of data, matters to technical and non\-technical stakeholders.
* Be a role model and mentor, helping to coach and strengthen the technical expertise and know\-how of our engineering and product community. Influence and educate executives
* Analyze cost and forecast, incorporating them into business plans
* Determine and support resource requirements, evaluate operational processes, measure outcomes to ensure desired results, and demonstrate adaptability and sponsoring continuous learning
 **Qualifications**
* Fluency in at least one modern language (Go/Python preferred)
* Understanding compression algorithms, deduplication, encryption, and error correction.
* Understanding of SQL and NoSQL databases, including stateful services management and storage
* Understanding of networking, caches, key/value stores, load balancing, global load balancing, queues, DNS and CDN
* Deep knowledge of SRE practices, methodologies, and principles, along with a solid understanding of on prem and public cloud\-based network, compute, and storage technologies
* In\-depth knowledge of hybrid cloud architecture, IaaS and PaaS technologies, container orchestration platforms (e.g., Kubernetes), cloud efficiency and observability, etc.
* Strong background in incident management
* Ability to create incident response playbooks, runbooks, incident triaging strategies, and post\-incident analysis to drive continuous improvement in system reliability and availability
* Experience with open\-source management and monitoring tools
* Experience with infrastructure automation, tooling, and configuration management frameworks (e.g., Puppet, Chef, Ansible, Pulumi, Terraform, etc.)
* Familiarity with cloud security best practices and compliance standards
* Excellent leadership skills with a passion for mentoring and fostering professional growth
* Strong problem\-solving and analytical abilities, with a keen eye for detail and a passion for driving operational excellence
* Visionary thinker with the ability to anticipate future challenges and opportunities
* Exceptional leadership and communication skills
* Strong analytical and problem\-solving capabilities
* Proven track record of successfully leading and building software in large and complex organizations
 **Experience**
* 8\+ years of professional experience in software development
* 6\+ years of experience with architecture and design and working on open\-source frameworks
* 4\+ years of experience with AWS, GCP, Azure, or another cloud service
 **Education**
* Bachelor's degree in computer science or related field, or equivalent experience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9">
      <c r="A149" t="inlineStr">
        <is>
          <t>in-0d16ca4f480be110</t>
        </is>
      </c>
      <c r="B149" t="inlineStr">
        <is>
          <t>Sr. Staff Software Engineer</t>
        </is>
      </c>
      <c r="C149" t="inlineStr">
        <is>
          <t>GEICO</t>
        </is>
      </c>
      <c r="D149" t="inlineStr">
        <is>
          <t>indeed</t>
        </is>
      </c>
      <c r="E149">
        <f>HYPERLINK("https://www.indeed.com/viewjob?jk=0d16ca4f480be110", "https://www.indeed.com/viewjob?jk=0d16ca4f480be110")</f>
        <v/>
      </c>
      <c r="F149">
        <f>HYPERLINK("https://click.appcast.io/t/bKZHYSliRhPtTOcHlgQarxMmKBVjuSnQWavBsZ1tny4=", "https://click.appcast.io/t/bKZHYSliRhPtTOcHlgQarxMmKBVjuSnQWavBsZ1tny4=")</f>
        <v/>
      </c>
      <c r="G149" t="inlineStr">
        <is>
          <t>Palo Alto, CA, US</t>
        </is>
      </c>
      <c r="H149" s="3" t="n">
        <v>46046</v>
      </c>
      <c r="I14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GEICO Policy** **Core** **Engineering**
===============================================
We're building the future of insurance technology—**API\-first, AI\-powered, and engineered for scale**.
At GEICO, the **Policy** **Core** **Engineering teams** are on a mission to redefine how insurance policies are built, managed, and evolved. We're designing **world\-class services** **and frameworks** that are modular, resilient, and ready to power intelligent automation across the enterprise.
**Position Description**
========================
Our Senior Staff Engineer leads the architecture and design of the systems that power our policy platform and works with our Staff and Sr. Engineers to innovate and build new systems, improve and enhance existing systems and identify new opportunities to apply your knowledge to solve critical problems.
You will lead the strategy and execution of a technical roadmap modernizing our servicing organization, including large scale modernization, working on system and data migration.
We’re looking for engineers with **deep technical breadth**—from distributed systems and cloud\-native architectures to data pipelines and service mesh patterns.
If you're passionate about working with top tier engineering teams and building systems that empower teams and delight customers, we’d love to talk.
**Position Responsibilities**
=============================
As a Sr. Staff Engineer, you will:
* Provide technical leadership to multiple areas and provide technical and thought leadership to the enterprise
* Collaborate across teams and the tech organization to solve our toughest problems
* Deliver high\-scale and high\-quality data architecture, especially legacy\-to\-modern platform transitions.
* Deliver High\-Quality services and software for a variety of domains
* Accountable for the quality, usability, and performance of the solutions
* Utilize your expertise in designing, developing, and deploying new and novel frameworks and services for internal distribution and consumption.
* Utilize your expertise in designing and developing API’s and microservices using graphQL, gRPC, and modern languages / tooling.
* Deploy applications in a hybrid cloud environment utilizing Kubernetes, various data stores, and a variety of cloud native tools and services
* Be a role model and mentor, helping to coach and strengthen the technical expertise and know\-how of our engineering and product community. Influence and educate executives
**Qualifications**
==================
* Ability to excel in a fast\-paced, startup\-like environment
* Exemplary ability to design, perform experiments, and influence engineering direction and product roadmap
* Experience leading and building the architecture and design (architecture, design patterns, reliability, and scaling) of new and current systems
* Proven expertise in designing and developing microservices using graphQL and/or gRPC, along with event streaming platforms such as Kafka
* Deep understanding of both API and event\-driven architectures.
* Strong understanding of programming language development and developer experience in relation to Domain Specific Languages (DSLs)
* Deep hands\-on experience in building complex SAAS systems in large scale business focused systems, with great knowledge on Docker and Kubernetes
* Fluency and Specialization with Java and/or Kotlin, along with at least one other modern typed language such as Rust, Golang, or C\#.
* You fearlessly refactor and iterate when presented with new and previously unknown information.
* Deep knowledge of ETL, SQL, bitemporal data modeling, and temporal databases.
* Extensive experience in leading and building full\-stack application and service development, with a strong focus on SAAS products / platforms.
* Strong understanding of data observability, traceability, and multi\-faceted testing
* Proven experience designing and delivering highly resilient event\-driven and messaging\-based solutions at scale with minimal latency.
**Experience**
==============
* 15\+ years of experience in full\-stack web development (C\#/Java/Golang), with expertise in client\-side and server\-side frameworks.
* 8\+ years of experience working with public cloud platforms (AWS, Azure, GCP) and private cloud technologies (OpenStack).
* 6\+ years of experience in open\-source frameworks
**Education**
=============
* BS in Computer Science or equivalent education or work experience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50">
      <c r="A150" t="inlineStr">
        <is>
          <t>in-5eea64be16ecf4f3</t>
        </is>
      </c>
      <c r="B150" t="inlineStr">
        <is>
          <t>Senior Software Engineer- Policy Configuration</t>
        </is>
      </c>
      <c r="C150" t="inlineStr">
        <is>
          <t>GEICO</t>
        </is>
      </c>
      <c r="D150" t="inlineStr">
        <is>
          <t>indeed</t>
        </is>
      </c>
      <c r="E150">
        <f>HYPERLINK("https://www.indeed.com/viewjob?jk=5eea64be16ecf4f3", "https://www.indeed.com/viewjob?jk=5eea64be16ecf4f3")</f>
        <v/>
      </c>
      <c r="F150">
        <f>HYPERLINK("https://click.appcast.io/t/Bu9NocOUAItp16oCl7roWc_hW5lzFOzNqgwz2lFE_Wg=", "https://click.appcast.io/t/Bu9NocOUAItp16oCl7roWc_hW5lzFOzNqgwz2lFE_Wg=")</f>
        <v/>
      </c>
      <c r="G150" t="inlineStr">
        <is>
          <t>Palo Alto, CA, US</t>
        </is>
      </c>
      <c r="H150" s="3" t="n">
        <v>46046</v>
      </c>
      <c r="I15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GEICO Policy Engineering
We're building the future of insurance technology—**API\-first, AI\-powered, and engineered for scale**.
At GEICO, the **Policy Engineering teams** are on a mission to redefine how insurance policies are built, managed, and evolved. We're designing **world\-class services** that are modular, resilient, and ready to power intelligent automation across the enterprise.
Position Description
As a Sr. Engineer on the Policy Configuration team, you’ll be responsible for helping to build complex platforms and tools to enable the business and product teams to design complex insurance products (schema, workflow, rules) powered by a complex configuration\-driven architecture. You’ll be helping to pave the way for an AI\-first future where increasing levels of automation play a key role in our business systems.
We’re looking for engineers with **deep technical breadth**—from distributed systems and cloud\-native architectures to data pipelines and service mesh patterns.
If you're passionate about working with top tier engineering teams and building systems that empower teams and delight customers, we’d love to talk.
Position Responsibilities
As a Sr. Engineer you will:
* Independently deliver complex solutions and provide mentorship and leadership to other members of your team
* Collaborate with product and business stakeholders to craft solutions to solve our toughest problems
* Deliver high\-scale and high\-quality data architecture, especially with an eye towards legacy\-to\-modern platform transitions.
* Accountable for the quality, usability, and performance of the solutions
* Utilize your expertise in designing and developing API’s and microservices using GraphQL, gRPC, Java, Kafka, with a deep understanding of API driven system migration
* Utilize programming languages like Java, C\#, or other object\-oriented languages, SQL, and NoSQL databases.
* Deploy applications in a hybrid cloud environment utilizing Kubernetes, various data stores, and a variety of cloud native tools and services
* Be a proactive member of the engineering community contributing to citizenship and collaboration across teams
Qualifications
* Experience building the architecture and design (architecture, design patterns, reliability, and scaling) of new and current systems
* Knowledge of ETL, SQL, bitemporal data modeling, and temporal databases.
* Experience with API\-based migration
* Strong understanding of data observability, traceability, and multi\-faceted testing
* Proven expertise in designing and developing microservices using graphQL, gRPC, Java, Kafka, with a deep understanding of both API and event\-driven architectures.
* Experience designing and delivering highly resilient event\-driven and messaging\-based solutions at scale with minimal latency.
* Experience building distributed systems using Docker and Kubernetes
* Proficiency with Java/Kotlin and at least one other modern language such as C\#, C\+\+, or Python including object\-oriented design
* Experience building full\-stack application and service development, with a strong focus on SAAS products / platforms.
* Great understanding of open\-source databases like MySQL, PostgreSQL, etc. And strong foundation with No\-SQL databases like Cosmos, Cassandra.
* Ability to excel in a fast\-paced, startup\-like environment
Experience
* 6\+ years of experience in systems development (C\#/Java/Rust/GO), with expertise in both client\-side and server\-side frameworks.
* 8\+ years of experience working with public cloud platforms (AWS, Azure, GCP) and/or private cloud technologies (OpenStack).
* 6\+ years of experience in open\-source frameworks.
Education
* BS in Computer Science or equivalent education or work experience
IVRPOLYX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51">
      <c r="A151" t="inlineStr">
        <is>
          <t>in-7f4649ec42d2341b</t>
        </is>
      </c>
      <c r="B151" t="inlineStr">
        <is>
          <t>Staff Software Engineer - Financial Data Integrity (Hybrid)</t>
        </is>
      </c>
      <c r="C151" t="inlineStr">
        <is>
          <t>GEICO</t>
        </is>
      </c>
      <c r="D151" t="inlineStr">
        <is>
          <t>indeed</t>
        </is>
      </c>
      <c r="E151">
        <f>HYPERLINK("https://www.indeed.com/viewjob?jk=7f4649ec42d2341b", "https://www.indeed.com/viewjob?jk=7f4649ec42d2341b")</f>
        <v/>
      </c>
      <c r="F151">
        <f>HYPERLINK("https://click.appcast.io/t/iGAX5JAFiOtt-Zxx0Q1z9qkAIP2OFYaX1eQvWvSDuXc=", "https://click.appcast.io/t/iGAX5JAFiOtt-Zxx0Q1z9qkAIP2OFYaX1eQvWvSDuXc=")</f>
        <v/>
      </c>
      <c r="G151" t="inlineStr">
        <is>
          <t>Chevy Chase, MD, US</t>
        </is>
      </c>
      <c r="H151" s="3" t="n">
        <v>46046</v>
      </c>
      <c r="I15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Engineer** within our **Financial Data Integrity Substantiation Platform**, you will play an important role in developing and optimizing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8\+ years of experience in Software Engineering
* Experience in one or more relevant programming languages, such as C\#, Java and/or Python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\*This is a Hybrid position working out of any of the below offices\*
Chicago, IL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52">
      <c r="A152" t="inlineStr">
        <is>
          <t>in-a33186c59d5f5c7d</t>
        </is>
      </c>
      <c r="B152" t="inlineStr">
        <is>
          <t>Software Engineer I</t>
        </is>
      </c>
      <c r="C152" t="inlineStr">
        <is>
          <t>PlayStation</t>
        </is>
      </c>
      <c r="D152" t="inlineStr">
        <is>
          <t>indeed</t>
        </is>
      </c>
      <c r="E152">
        <f>HYPERLINK("https://www.indeed.com/viewjob?jk=a33186c59d5f5c7d", "https://www.indeed.com/viewjob?jk=a33186c59d5f5c7d")</f>
        <v/>
      </c>
      <c r="F152">
        <f>HYPERLINK("https://careers.playstation.com/software-engineer-i/job/5727775004", "https://careers.playstation.com/software-engineer-i/job/5727775004")</f>
        <v/>
      </c>
      <c r="G152" t="inlineStr">
        <is>
          <t>San Mateo, CA, US</t>
        </is>
      </c>
      <c r="H152" s="3" t="n">
        <v>46046</v>
      </c>
      <c r="I152" t="inlineStr">
        <is>
          <t>Position Type:
Location(s):
United States, San Mateo, CA
Date Posted:
Job ID:
R\-122404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 owned subsidiary of Sony Corporation.
### **The Opportunity**
As a **Software Engineer I** on the **Client Platform team**, you’ll contribute to the foundation that powers PlayStation’s cross\-platform experiences. This team builds the **core application framework, shared libraries, and foundational components** that other product and feature teams rely on to deliver PlayStation experiences to millions of users worldwide. You’ll work with senior engineers to design and maintain the underlying systems that make PlayStation applications fast, scalable, and consistent across environments — giving other teams the tools and flexibility to innovate.
### **Responsibilities**
* Implement and test **React\-based core components** and platform modules used across multiple PlayStation applications.
* Collaborate with senior engineers to design APIs, services, and reusable libraries that enable feature teams to move faster and maintain consistency.
* Participate in code reviews, contribute to documentation, and help evolve the team’s development standards.
* Support build, packaging, and release processes to ensure smooth integration with downstream teams.
* Learn and apply system\-level thinking to balance reliability, scalability, and developer experience.
* Engage in team\-driven innovation efforts like Hackathons and Café Days to explore new tools and technologies.
### **Required Qualifications**
* Bachelor’s degree in Computer Science or a related field, or equivalent practical experience.
* 0–2 years of experience developing applications or systems using **JavaScript/TypeScript**.
* Understanding of **React** and component\-driven architecture.
* Interest in **cross\-platform development** and building frameworks that integrate with native system capabilities.
* Strong problem\-solving skills and eagerness to learn from experienced engineers.
* Excellent communication and teamwork abilities in a collaborative environment.
### **Preferred Qualifications**
* Familiarity with modern build and testing tools (e.g., Webpack, Babel, Jest).
* Understanding of **modular design patterns**, **API contracts**, and **dependency management**.
* Experience with **RESTful services**, **GraphQL**, or similar data layers.
* Exposure to **CI/CD pipelines** and automated testing frameworks.
* Curiosity about **AI\-assisted development**, intelligent tooling, or developer productivity technologies.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The estimated base pay range for this role is listed below.
$137,300—$205,900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53">
      <c r="A153" t="inlineStr">
        <is>
          <t>in-d85f5cefc953bbfd</t>
        </is>
      </c>
      <c r="B153" t="inlineStr">
        <is>
          <t>Technical Lead- Software Engineer (Backend, AI)</t>
        </is>
      </c>
      <c r="C153" t="inlineStr">
        <is>
          <t>Cisco</t>
        </is>
      </c>
      <c r="D153" t="inlineStr">
        <is>
          <t>indeed</t>
        </is>
      </c>
      <c r="E153">
        <f>HYPERLINK("https://www.indeed.com/viewjob?jk=d85f5cefc953bbfd", "https://www.indeed.com/viewjob?jk=d85f5cefc953bbfd")</f>
        <v/>
      </c>
      <c r="F153">
        <f>HYPERLINK("https://careers.cisco.com/global/en/job/2005093", "https://careers.cisco.com/global/en/job/2005093")</f>
        <v/>
      </c>
      <c r="G153" t="inlineStr">
        <is>
          <t>San Jose, CA, US</t>
        </is>
      </c>
      <c r="H153" s="3" t="n">
        <v>46046</v>
      </c>
      <c r="I153" t="inlineStr">
        <is>
          <t>**The application window is expected to close on:** 03/02/2026Job posting may be removed earlier if the position is filled or if a sufficient number of applications are received.
About the role
Join our team to architect, design and deliver the AI\-driven backbone of Cisco Cloud Control. You’ll work across multiple stacks and domains to build integrations, applications and features that power the next generation of Cisco’s global platform.
Your impact
**As a Tech Lead Engineer, you will:**  
* Participate in architectural and system design
* Design and deliver both functional and non\-functional backend features.
* Mentor and guide junior developers, promoting best practices.
* Drive sophisticated AI\-native solutions across Cisco’s portfolio.
* Collaborate with architecture team, other engineering team leads within AISPG as well as across different BUs, frontend and infrastructure teams to ensure seamless end\-to\-end delivery.
* Build and maintain scalable, reliable, and high\-performance services and applications that support global enterprise users.
Minimum Qualifications
* 10\+ years of hands\-on development experience, including knowledge around data pipelines, AI/ML pipelines, highly distributed SaaS ideally in Enterprise use cases
* Strong experience with AWS and monitoring/observability tools (ELK, Splunk, Datadog).
* Experience with CI/CD pipelines and DevOps practices.
* Proven track record of using AI assistants for coding\&amp; ability to champion for them
* Excellent communication\&amp; leadership skills, with the ability to influence cross\-functional stakeholders.
* A collaborative, solution\-oriented mindset and ability to thrive in a fast\-paced, dynamic environment.
Preferred Qualifications
* Building 3rd party integrations (e.g. Service Now)
* Experience with Go, Java, or Rust.
* Familiarity with frontend technologies (React, NodeJS, microfrontend architecture etc)
* Knowledge of AI tools, frameworks, or methodologies.
* The capacity to think critically and tackle complex, innovative problems in the field
* Passion for building scalable, reliable, and maintainable SaaS systems.
* Experience mentoring or coaching other developers.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$210,600\.00 to $305,100\.00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$210,600\.00 \- $350,800\.00
**Non\-Metro New York state\&amp; Washington state:**  
$189,300\.00 \- $312,200\.00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54">
      <c r="A154" t="inlineStr">
        <is>
          <t>in-58dd452a1e7afa7f</t>
        </is>
      </c>
      <c r="B154" t="inlineStr">
        <is>
          <t>SOFTWARE DEVELOPERS</t>
        </is>
      </c>
      <c r="C154" t="inlineStr">
        <is>
          <t>Stacklogy</t>
        </is>
      </c>
      <c r="D154" t="inlineStr">
        <is>
          <t>indeed</t>
        </is>
      </c>
      <c r="E154">
        <f>HYPERLINK("https://www.indeed.com/viewjob?jk=58dd452a1e7afa7f", "https://www.indeed.com/viewjob?jk=58dd452a1e7afa7f")</f>
        <v/>
      </c>
      <c r="F154">
        <f>HYPERLINK("https://stacklogy.com/career/", "https://stacklogy.com/career/")</f>
        <v/>
      </c>
      <c r="G154" t="inlineStr">
        <is>
          <t>Temple, TX, US</t>
        </is>
      </c>
      <c r="H154" s="3" t="n">
        <v>46046</v>
      </c>
      <c r="I154"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155">
      <c r="A155" t="inlineStr">
        <is>
          <t>in-5b19136038005133</t>
        </is>
      </c>
      <c r="B155" t="inlineStr">
        <is>
          <t>SOFTWARE ENGINEERS</t>
        </is>
      </c>
      <c r="C155" t="inlineStr">
        <is>
          <t>Stacklogy</t>
        </is>
      </c>
      <c r="D155" t="inlineStr">
        <is>
          <t>indeed</t>
        </is>
      </c>
      <c r="E155">
        <f>HYPERLINK("https://www.indeed.com/viewjob?jk=5b19136038005133", "https://www.indeed.com/viewjob?jk=5b19136038005133")</f>
        <v/>
      </c>
      <c r="F155">
        <f>HYPERLINK("https://stacklogy.com/career/", "https://stacklogy.com/career/")</f>
        <v/>
      </c>
      <c r="G155" t="inlineStr">
        <is>
          <t>Temple, TX, US</t>
        </is>
      </c>
      <c r="H155" s="3" t="n">
        <v>46046</v>
      </c>
      <c r="I155"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156">
      <c r="A156" t="inlineStr">
        <is>
          <t>in-b4c2b076a66822a7</t>
        </is>
      </c>
      <c r="B156" t="inlineStr">
        <is>
          <t>Embedded Software Engineer - Viasat Government</t>
        </is>
      </c>
      <c r="C156" t="inlineStr">
        <is>
          <t>Viasat</t>
        </is>
      </c>
      <c r="D156" t="inlineStr">
        <is>
          <t>indeed</t>
        </is>
      </c>
      <c r="E156">
        <f>HYPERLINK("https://www.indeed.com/viewjob?jk=b4c2b076a66822a7", "https://www.indeed.com/viewjob?jk=b4c2b076a66822a7")</f>
        <v/>
      </c>
      <c r="F156">
        <f>HYPERLINK("https://careers.viasat.com/jobs/5553?lang=en-us", "https://careers.viasat.com/jobs/5553?lang=en-us")</f>
        <v/>
      </c>
      <c r="G156" t="inlineStr">
        <is>
          <t>Carlsbad, CA, US</t>
        </is>
      </c>
      <c r="H156" s="3" t="n">
        <v>46046</v>
      </c>
      <c r="I156"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an Embedded Software Engineer within Viasat Government \- Secure Network Systems (SNS) experienced in the Rust programming language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 Design and implementation with embedded software in Rust and C/C\+\+
* Linux OS use, for an embedded environment
* TCP/IP and common network configuration
* Agile Scrum development
* Ability to plan, track and report on progress
* CI/CD software development
* Good oral and written communications skills
* Familiarity with bare metal embedded device drivers
* Microprocessors and embedded processors (NIOS, ARM, RISC\-V, etc.)
* Networking protocols (e.g. IPSec, MACsec, TLS, etc.)
* Participating in multi\-disciplinary teams
* This program is to develop, test and certify Next Generation Encryptor (NGE) encryptors to protect government networks.
* This is an **onsite** role in one of two locations: Carlsbad, CA, or Marlborough, MA.
**What you'll need**  
* Bachelor's Degree or higher in Computer Science, Computer Engineering or related field
* At least 2 years of Rust experience, ideally writing production code for embedded devices.
* Design and implementation experience with embedded software in C/C\+\+
* At least 1 year Linux OS use, ideally for an embedded environment
* Basic understanding of TCP/IP.
* Object\-oriented software development experience
* Ability to plan, track and report on progress
* Good oral and written communications skills
* US citizenship and an active SECRET or TOP SECRET security clearance is required
* Ability to travel up to 10%
**What will help you on the job**  
* Agile Scrum development experience
* Familiarity with Linux kernel driver development/modifications
* Familiarity with bare metal embedded device drivers
* Experience with microprocessors and embedded processors (NIOS, ARM, RISC\-V, etc.)
* Experience with RESTConf interface design and implementation
* Experience with Emulation Environments
* Experience with networking protocols (e.g. IPSec, MACsec, TLS, etc.)
* Experience with Python
* Familiarity with standalone embedded applications
* Experience participating in multi\-disciplinary teams
\#Li\-GS1  
**Salary range**  
$111,500\.00 \- $176,500\.00 / annually. For specific work locations within San Jose, the San Francisco Bay area and New York City metropolitan area, the base pay range for this role is $139,000\.00\- $208,000\.00/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57">
      <c r="A157" t="inlineStr">
        <is>
          <t>in-431d0d29b2ba1d84</t>
        </is>
      </c>
      <c r="B157" t="inlineStr">
        <is>
          <t>Junior Software Developer - Schriever SFB</t>
        </is>
      </c>
      <c r="C157" t="inlineStr">
        <is>
          <t>launchTECH</t>
        </is>
      </c>
      <c r="D157" t="inlineStr">
        <is>
          <t>indeed</t>
        </is>
      </c>
      <c r="E157">
        <f>HYPERLINK("https://www.indeed.com/viewjob?jk=431d0d29b2ba1d84", "https://www.indeed.com/viewjob?jk=431d0d29b2ba1d84")</f>
        <v/>
      </c>
      <c r="F157">
        <f>HYPERLINK("https://launchtech.applytojob.com/apply/IQiuxq7hrl/Junior-Software-Developer-Schriever-SFB?source=INDE&amp;~", "https://launchtech.applytojob.com/apply/IQiuxq7hrl/Junior-Software-Developer-Schriever-SFB?source=INDE&amp;~")</f>
        <v/>
      </c>
      <c r="G157" t="inlineStr">
        <is>
          <t>Colorado Springs, CO, US</t>
        </is>
      </c>
      <c r="H157" s="3" t="n">
        <v>46046</v>
      </c>
      <c r="I157" t="inlineStr">
        <is>
          <t>**Location:** Schriever Space Force Base, Colorado Springs, CO  
**Clearance Required:** Active DoD Secret Security Clearance  
**Travel Required:** Up to 10%
LaunchTech is a veteran\-owned company that prides itself on delivering service before self and excellence in all we do. We are seeking dynamic professionals who embody our core values of Integrity, Commitment, and Excellence to join our growing Crew in support of our customers across the federal, state, and commercial markets.
We are seeking a Junior Software Developer to join our team in support of the Missile Defense Agency (MDA), contributing to the development, sustainment, and modernization of mission\-critical software systems.
**What You’ll Be Doing**
* Perform application development supporting total lifecycle management and operations utilizing the Kinetic platform
* Plan, test, and implement major application upgrades
* Perform local customizations and system enhancements to meet business needs
* Work with a team of experienced software engineers to automate business processes and perform Operations and Maintenance (O\&amp;M) on existing applications
* Execute daily system checks, application configurations, vendor updates, and respond to customer requests
* Ensure security best practices and compliance with Information Assurance standards
* Interface with team members to ensure cross\-platform compatibility and standardization
* De\-conflict requests and requirements
**What You Bring**
**Basic Requirements:**
* Must have 6 months of directly related experience
* Must have knowledge of application technologies with a focus on web development, including React, Tomcat, HTML, JavaScript/JQuery, Ruby, Node.js, REST APIs, and PostgreSQL
* Must have knowledge of the Kinetic Platform
* Must have, or obtain, a current DoD 8570 Level II certification such as CompTIA Security\+ CE or higher
* Must have an active DoD Secret Security Clearance
**Why LaunchTech?**
LaunchTech is built on a single standard: Excellence, Period.  
You’ll work alongside mission\-focused professionals supporting software solutions critical to national defense operations.
We offer:
* Medical, Dental, and Vision coverage
* 401(k) with company match
* Paid Time Off (PTO)
* Mission\-driven work with opportunities to grow
* And more
**Ready to Join the LaunchTech Crew?**
LaunchTech is an Equal Opportunity Employer. We prohibit discrimination and harassment of any kind. All qualified applicants will receive consideration for employment without regard to race, protected veteran status, color, sex, religion, sexual orientation, national origin, disability, genetic information, age, pregnancy, or any other status protected under federal, state, or local law.
Visit www.welaunchtech.com to learn more about how we deliver Excellence, Period.
IQiuxq7hrl</t>
        </is>
      </c>
    </row>
    <row r="158">
      <c r="A158" t="inlineStr">
        <is>
          <t>in-50d6d1a912b2bf01</t>
        </is>
      </c>
      <c r="B158" t="inlineStr">
        <is>
          <t>Junior Software Developer - Redstone Arsenal</t>
        </is>
      </c>
      <c r="C158" t="inlineStr">
        <is>
          <t>launchTECH</t>
        </is>
      </c>
      <c r="D158" t="inlineStr">
        <is>
          <t>indeed</t>
        </is>
      </c>
      <c r="E158">
        <f>HYPERLINK("https://www.indeed.com/viewjob?jk=50d6d1a912b2bf01", "https://www.indeed.com/viewjob?jk=50d6d1a912b2bf01")</f>
        <v/>
      </c>
      <c r="F158">
        <f>HYPERLINK("https://launchtech.applytojob.com/apply/EVk3zjLqyS/Junior-Software-Developer-Redstone-Arsenal?source=INDE&amp;~", "https://launchtech.applytojob.com/apply/EVk3zjLqyS/Junior-Software-Developer-Redstone-Arsenal?source=INDE&amp;~")</f>
        <v/>
      </c>
      <c r="G158" t="inlineStr">
        <is>
          <t>Huntsville, AL, US</t>
        </is>
      </c>
      <c r="H158" s="3" t="n">
        <v>46046</v>
      </c>
      <c r="I158" t="inlineStr">
        <is>
          <t>**Location:** Redstone Arsenal, Huntsville, AL  
**Clearance Required:** Active DoD Secret Security Clearance  
**Travel Required:** Up to 10%
LaunchTech is a veteran\-owned company that prides itself on delivering service before self and excellence in all we do. We are seeking dynamic professionals who embody our core values of Integrity, Commitment, and Excellence to join our growing Crew in support of our customers across the federal, state, and commercial markets.
We are seeking a Junior Software Developer to join our team in support of the Missile Defense Agency (MDA), contributing to the development, sustainment, and modernization of mission\-critical software systems.
**What You’ll Be Doing**
* Perform application development supporting total lifecycle management and operations utilizing the Kinetic platform
* Plan, test, and implement major application upgrades
* Perform local customizations and system enhancements to meet business needs
* Work with a team of experienced software engineers to automate business processes and perform Operations and Maintenance (O\&amp;M) on existing applications
* Execute daily system checks, application configurations, vendor updates, and respond to customer requests
* Ensure security best practices and compliance with Information Assurance standards
* Interface with team members to ensure cross\-platform compatibility and standardization
* De\-conflict requests and requirements
**What You Bring**
**Basic Requirements:**
* Must have 6 months of directly related experience
* Must have knowledge of application technologies with a focus on web development, including React, Tomcat, HTML, JavaScript/JQuery, Ruby, Node.js, REST APIs, and PostgreSQL
* Must have knowledge of the Kinetic Platform
* Must have, or obtain, a current DoD 8570 Level II certification such as CompTIA Security\+ CE or higher
* Must have an active DoD Secret Security Clearance
**Why LaunchTech?**
LaunchTech is built on a single standard: Excellence, Period.  
You’ll work alongside mission\-focused professionals supporting software solutions critical to national defense operations.
We offer:
* Medical, Dental, and Vision coverage
* 401(k) with company match
* Paid Time Off (PTO)
* Mission\-driven work with opportunities to grow
* And more
**Ready to Join the LaunchTech Crew?**
LaunchTech is an Equal Opportunity Employer. We prohibit discrimination and harassment of any kind. All qualified applicants will receive consideration for employment without regard to race, protected veteran status, color, sex, religion, sexual orientation, national origin, disability, genetic information, age, pregnancy, or any other status protected under federal, state, or local law.
Visit www.welaunchtech.com to learn more about how we deliver Excellence, Period.
EVk3zjLqyS</t>
        </is>
      </c>
    </row>
    <row r="159">
      <c r="A159" t="inlineStr">
        <is>
          <t>in-8e314ea564b64022</t>
        </is>
      </c>
      <c r="B159" t="inlineStr">
        <is>
          <t>Software Engineer, Level 2 - Top Secret Clearance Required to Start</t>
        </is>
      </c>
      <c r="C159" t="inlineStr">
        <is>
          <t>Lockheed Martin</t>
        </is>
      </c>
      <c r="D159" t="inlineStr">
        <is>
          <t>indeed</t>
        </is>
      </c>
      <c r="E159">
        <f>HYPERLINK("https://www.indeed.com/viewjob?jk=8e314ea564b64022", "https://www.indeed.com/viewjob?jk=8e314ea564b64022")</f>
        <v/>
      </c>
      <c r="F159">
        <f>HYPERLINK("https://click.appcast.io/t/AA-6AvwwSX2-kwpf1JO5DKW4ancUciuUVCXUQkpSIfg=", "https://click.appcast.io/t/AA-6AvwwSX2-kwpf1JO5DKW4ancUciuUVCXUQkpSIfg=")</f>
        <v/>
      </c>
      <c r="G159" t="inlineStr">
        <is>
          <t>King of Prussia, PA, US</t>
        </is>
      </c>
      <c r="H159" s="3" t="n">
        <v>46012</v>
      </c>
      <c r="I159" t="inlineStr">
        <is>
          <t>**Job ID:** 713679BR
**Date posted:** Dec. 22,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 This position is contingent upon the program award expected in early 2026\.\*\*\*  
Within the Victor Portfolio of Space Security, we are seeking a highly skilled and motivated Software Engineer to join our dynamic team. This exciting position will fill a critical need in the new and emerging area of protecting space assets. As part of an Agile team, you will have the opportunity to work on a variety of tasks in various areas across the mission and collaborate with the development teams, contractors, customers, and subject matter experts.  
As a key member of the software development team, you will be part of the entire engineering life\-cycle, and apply your Software Engineering background to develop web applications in an open architecture infrastructure. If you are looking for a new position in a fast\-paced team environment, where every day brings a new challenge, and want to support a critical space security mission, then this is the place for you.  
In this position you will  
* Collaborate with an exceptional team of Software Engineers implementing solutions and developing new features for a command and control application.
* Serve as a software developer on an Agile team tasked with developing cutting edge web applications within multiple classification domains
* Participate in daily scrums, software sprint/release planning, demos, and retrospectives.
* Develop \&amp; demonstrate software capabilities to both internal and external partners.
Successful Applicants will demonstrate effective communication skills, desire challenges and be willing to engage in frequent internal interactions with peers, teammates, and customers.  
Selected applicants must meet eligibility requirements for access to classified information, and must maintain the required security throughout the course of employment.  
**Basic Qualifications:**  
* Experienced in software development using programming and scripting languages such as Java, JavaScript, C\#, Python, etc.
* Experience working in an Agile development environment, including tools such as Jira and Confluence
* US citizenship is required to obtain a government security clearance
* Ability to obtain and maintain a Top Secret and SCI clearance
**Desired Skills:**  
* Experience in application containerization (e.g. Docker, Kubernetes, Helm, etc.) in a cloud environment (AWS/Azure/Openstack/Openshift)
* Experience with frameworks such as .NET Core, Angular, etc.
* Experience with GitLab CI/CD \- Deployment pipelines, automated build, and/or configuration tools
* Experience with databases (PostgreSQL \&amp; Redis)
* Strong knowledge of modern technology frameworks, cloud platforms (AWS, Azure, GCP), microservices, APIs, DevOps, and data architecture.
* Experience with modern engineering practices such as Cross\-Functional Agile teams and Capability\-based planning
* Active TS/SCI security clearance
\#LMSpaceSoftwareEng  
\#SpaceSecurity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60">
      <c r="A160" t="inlineStr">
        <is>
          <t>in-40405271413c2b09</t>
        </is>
      </c>
      <c r="B160" t="inlineStr">
        <is>
          <t>Software Engineer - Senior Level</t>
        </is>
      </c>
      <c r="C160" t="inlineStr">
        <is>
          <t>Lockheed Martin</t>
        </is>
      </c>
      <c r="D160" t="inlineStr">
        <is>
          <t>indeed</t>
        </is>
      </c>
      <c r="E160">
        <f>HYPERLINK("https://www.indeed.com/viewjob?jk=40405271413c2b09", "https://www.indeed.com/viewjob?jk=40405271413c2b09")</f>
        <v/>
      </c>
      <c r="F160">
        <f>HYPERLINK("https://click.appcast.io/t/febtmzpM3aApV7RAvB6ky9fIgARNnxkTocyzeV4B5Is=", "https://click.appcast.io/t/febtmzpM3aApV7RAvB6ky9fIgARNnxkTocyzeV4B5Is=")</f>
        <v/>
      </c>
      <c r="G160" t="inlineStr">
        <is>
          <t>Annapolis Junction, MD, US</t>
        </is>
      </c>
      <c r="H160" s="3" t="n">
        <v>45978</v>
      </c>
      <c r="I160" t="inlineStr">
        <is>
          <t>**Job ID:** 711010BR
**Date posted:** Nov. 18, 2025  
**Description:****WHAT WE'RE DOING**  
Lockheed Martin, Rotary Mission Systems Cyber \&amp; Intelligence invites you to step up to one of today's most daunting challenges: the use of advanced electronics to undermine our way of life. As a cyber security professional at Lockheed Martin, you'll protect the networks that our citizens and the world depend upon each minute: Financial assets. Healthcare information. Critical infrastructure. Hazardous materials. The uninterrupted flow of energy that keeps modern life moving. Here, you'll work with cybersecurity experts on the forefront of threat protection and proactive prevention. In this fast\-paced, real\-world environment, you'll draw on all your education and experience as well as the resources of Lockheed Martin to keep the threats at bay.  
**THE WORK**  
As a Software Engineer \- Senior Level you will be responsible for:  
* Developing, maintaining, and enhancing complex and diverse software systems (e.g., processing\-intensive analytics, novel algorithm development, manipulation of extremely large data sets, real\-time systems, and business management information systems) based upon documented requirements
* Contributing to cutting edge development programs and designing new solutions
* Innovating RF signal processing applications
* Developing analytics, visualization and discovery tools
* Integrating new and legacy software across a variety of hardware form factors
* Reviewing and testing software components for adherence to the design requirements and documents test results.
* Resolves software problem reports.
* Providing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**WHO WE ARE**  
The program is on fire for cyber. In support of our customer, members of the team are responsible for providing full lifecycle support including analysis, design, development, integration, testing, procurement, deployment, security, training and sustainment for collection and antenna systems.  
**WHY JOIN US**  
Your Health, Your Wealth, Your Life
Our flexible schedules, competitive pay and comprehensive benefits enable you to live a healthy, fulfilling life at and outside of work.  
Learn more about Lockheed Martin's competitive and comprehensive benefits package.  
We support our employees, so they can support our mission.  
This position is participating in our **External Referral Program**. If you know somebody who may be a fit, click here to submit a referral. If your referral is hired, you'll receive a $3000 payment! Code extrefer.  
\#onelmjob  
\#RMSIL2025  
**Basic Qualifications:**  
* Bachelor of Science in Engineering, Computer Science, or related discipline. May substitute four years' experience in lieu of a Bachelor's Degree.
* Fourteen (14\) years' experience as a SWE in programs and contracts of similar scope, type, and complexity.
* Proficiency working in Linux development environments
* Proficiency coding in Python, C\+\+, Java, or JavaScript
* Experience with Jira/Confluence or similar project management tools
* Candidate must possess active security clearance with a polygraph
**Desired Skills:**  
* Experience with Software\-Defined Radio (SDR) programming
* Experience with geospatial processing
* Experience coding 2D and 3D image displays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$128,200 \- $225,975\.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Software Engineering  
**Type:** Task Order/IDIQ  
**Shift:** First</t>
        </is>
      </c>
    </row>
    <row r="161">
      <c r="A161" t="inlineStr">
        <is>
          <t>in-0d7f8e4609dbe390</t>
        </is>
      </c>
      <c r="B161" t="inlineStr">
        <is>
          <t>Software Engineer - Mid Level</t>
        </is>
      </c>
      <c r="C161" t="inlineStr">
        <is>
          <t>Lockheed Martin</t>
        </is>
      </c>
      <c r="D161" t="inlineStr">
        <is>
          <t>indeed</t>
        </is>
      </c>
      <c r="E161">
        <f>HYPERLINK("https://www.indeed.com/viewjob?jk=0d7f8e4609dbe390", "https://www.indeed.com/viewjob?jk=0d7f8e4609dbe390")</f>
        <v/>
      </c>
      <c r="F161">
        <f>HYPERLINK("https://click.appcast.io/t/giX_CIrI6TXpswnRjBhOUq-YhuWrMNKQyDUQ4DGCxPo=", "https://click.appcast.io/t/giX_CIrI6TXpswnRjBhOUq-YhuWrMNKQyDUQ4DGCxPo=")</f>
        <v/>
      </c>
      <c r="G161" t="inlineStr">
        <is>
          <t>Annapolis Junction, MD, US</t>
        </is>
      </c>
      <c r="H161" s="3" t="n">
        <v>45978</v>
      </c>
      <c r="I161" t="inlineStr">
        <is>
          <t>**Job ID:** 711009BR
**Date posted:** Nov. 18, 2025  
**Description:****WHAT WE'RE DOING**  
Lockheed Martin, Rotary Mission Systems Cyber \&amp; Intelligence invites you to step up to one of today's most daunting challenges: the use of advanced electronics to undermine our way of life. As a cyber security professional at Lockheed Martin, you'll protect the networks that our citizens and the world depend upon each minute: Financial assets. Healthcare information. Critical infrastructure. Hazardous materials. The uninterrupted flow of energy that keeps modern life moving. Here, you'll work with cybersecurity experts on the forefront of threat protection and proactive prevention. In this fast\-paced, real\-world environment, you'll draw on all your education and experience as well as the resources of Lockheed Martin to keep the threats at bay.  
**THE WORK**  
As a Software Engineer \- Mid Level you will be responsible for:  
* Developing, maintaining, and enhancing complex and diverse software systems (e.g., processing\-intensive analytics, novel algorithm development, manipulation of extremely large data sets, real\-time systems, and business management information systems) based upon documented requirements
* Contributing to cutting edge development programs and designing new solutions
* Innovating RF signal processing applications
* Developing analytics, visualization and discovery tools
* Integrating new and legacy software across a variety of hardware form factors
* Reviewing and testing software components for adherence to the design requirements and documents test results. Resolves software problem reports.
* Providing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**WHO WE ARE**  
The program is on fire for cyber. In support of our customer, members of the team are responsible for providing full lifecycle support including analysis, design, development, integration, testing, procurement, deployment, security, training and sustainment for collection and antenna systems.  
**WHY JOIN US**  
Your Health, Your Wealth, Your Life
Our flexible schedules, competitive pay and comprehensive benefits enable you to live a healthy, fulfilling life at and outside of work.  
Learn more about Lockheed Martin's competitive and comprehensive benefits package.  
We support our employees, so they can support our mission.  
This position is participating in our **External Referral Program**. If you know somebody who may be a fit, click here to submit a referral. If your referral is hired, you'll receive a $3000 payment! Code extrefer.  
\#onelmjob  
\#RMSIL2025  
**Basic Qualifications:**  
* Bachelor of Science in Engineering, Computer Science, or related discipline. May substitute four years' experience in lieu of a Bachelor's Degree.
* Seven (7\) years' experience as a SWE in programs and contracts of similar scope, type, and complexity.
* Proficiency working in Linux development environments
* Proficiency coding in Python, C\+\+, Java, or JavaScript
* Candidate must possess active security clearance with a polygraph
**Desired Skills:**  
* Experience with Software\-Defined Radio (SDR) programming
* Experience with geospatial processing
* Experience coding 2D and 3D image displays
* Experience with GitLab, GitHub, or similar version control tools
* Experience with Jira/Confluence or similar project management tools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$104,900 \- $184,920\.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Software Engineering  
**Type:** Task Order/IDIQ  
**Shift:**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li-4365777400</t>
        </is>
      </c>
      <c r="B2" t="inlineStr">
        <is>
          <t>Software Engineer</t>
        </is>
      </c>
      <c r="C2" t="inlineStr">
        <is>
          <t>Faro</t>
        </is>
      </c>
      <c r="D2" t="inlineStr">
        <is>
          <t>linkedin</t>
        </is>
      </c>
      <c r="E2" t="inlineStr"/>
      <c r="F2" t="inlineStr"/>
      <c r="G2" t="inlineStr">
        <is>
          <t>San Diego, CA</t>
        </is>
      </c>
      <c r="H2" t="inlineStr"/>
      <c r="I2" t="inlineStr">
        <is>
          <t>Faro Health aims to improve lives by helping life sciences companies design optimal clinical trials. Our AI powered software platform optimizes and orchestrates complex clinical development by providing powerful insights about trial design and outcomes. Faro empowers researchers to design more intelligent trials, reducing development costs and reaching milestones faster with better patient experiences.
 Faro is a mission driven company seeking world class people who share our passion for improving drug availability and patient outcomes through better clinical trial design. We pride ourselves on our vibrant, inclusive, and growth mindset oriented culture. Faro offers competitive compensation and benefits, generous vacation and parental leave, and flexible working hours.
 We are a hybrid workplace where San Diego employees work from their homes as well as in our stunning main headquarters enjoying a gym with classes and spa services, outdoor lawn work area, and steeply discounted food hall. Remote employees work from home and visit the main office for group events and in\-person collaboration.
 In this role, you'll have the opportunity to work as a part of a dynamic and fast\-paced team of software professionals. If you are passionate about solving complex problems, join us in shaping the future of clinical trial development.
* Note: Candidates and Recruiting Agencies, please do not contact our employees regarding the position or your application status. Doing so will automatically disqualify you from the position or working with us. Only applications submitted through the designated link will be considered. Please DO NOT SPAM our employees regarding the role or your application status
**Responsibilities:**
* Actively contribute to building highly interactive, scalable single\-page React applications
* Design, develop, and test modular software components that seamlessly integrate into the larger system
* Use your problem\-solving skills to independently identify and resolve issues during design, testing, and maintenance
* Collaborate effectively by communicating complex ideas clearly with both technical teams and non\-technical stakeholders
* Deliver exceptional user experiences by deeply understanding and empathizing with customer needs
****Requirements****
**Skills and Competencies**
* 5\-6 years of experience in contributing to highly scalable, distributed software products with SaaS architectures and multi\-tenancy
* Understanding of microservice architecture, RESTful Services, and CQRS services
* Hands\-on experience in: React, TypeScript, Node.js, Python. Redis Cache, Postgres, Docker
* Experience designing relational schemas on relational data stores like PostgreSQL, MySQL
* Experience with cloud\-service providers like Azure, AWS and/or Google Cloud
* Self\-motivated and able to work independently and in a team environment
* Excellent written and verbal communication skills, interpersonal skills
* You have experience in a fast moving, growth\-minded startup, and are comfortable with being flexible and adaptable as requirements change.
* Willingness and ability to learn new technologies and take on different assignments
* Bachelor's degree in Computer Science or a related discipline or an equivalent training experience
****Benefits****
 Salary
* Salary range for this position is $138,000 to $165,000
* Salary listed reflects the base salary only and does not include other elements of total compensation
* Individual pay is determined by work location and additional factors, including job\-related skills, experience, and relevant education or training
 Equity
 In addition to this position's salary (listed above), equity will be a major component of the total compensation for this position. We aim to offer higher\-than\-average equity compensation for a company of our size, and communicate equity amounts at the time of offer issuance.
**Benefits**
* Health Care Plan (Medical, Dental \&amp; Vision)
* Retirement Plan (401k)
* Stock Option Plan
* Life Insurance (Basic)
* Short Term and Long Term Disability
* Paid Time Off (Flexible Vacation Policy, Sick \&amp; Public Holidays)
* Training \&amp; Development Reimbursement
* Hybrid Work Environment</t>
        </is>
      </c>
    </row>
    <row r="3">
      <c r="A3" t="inlineStr">
        <is>
          <t>li-4365759851</t>
        </is>
      </c>
      <c r="B3" t="inlineStr">
        <is>
          <t>Software Engineer, Backend</t>
        </is>
      </c>
      <c r="C3" t="inlineStr">
        <is>
          <t>Cleerly</t>
        </is>
      </c>
      <c r="D3" t="inlineStr">
        <is>
          <t>linkedin</t>
        </is>
      </c>
      <c r="E3" t="inlineStr"/>
      <c r="F3" t="inlineStr"/>
      <c r="G3" t="inlineStr"/>
      <c r="H3" t="inlineStr"/>
      <c r="I3" t="inlineStr">
        <is>
          <t>**About The Company**
 We’re Cleerly – a healthcare company that’s revolutionizing how heart disease is diagnosed, treated, and tracked. Founded in 2017 by one of the world’s leading cardiologists, we have rapidly grown into a diverse team of top\-tier professionals across engineering, operations, medical affairs, marketing, and sales. Our innovative approach leverages AI\-driven, value\-based diagnostic solutions to improve patient outcomes. In 2022, we secured $223 million in Series C funding, supporting our mission to transform cardiovascular care, followed by an additional $106 million in Series C extension funding in December 2024\. While most of our teams operate remotely, we maintain offices in Denver, Colorado; New York, New York; Dallas, Texas; and Lisbon, Portugal, with some roles requiring on\-site presence.
**About The Role**
 We are seeking an experienced Platform Backend Lead Engineer to join our core technical team. This pivotal role involves leading the development and maintenance of our next\-generation enterprise imaging platform. The successful candidate will serve as the technical owner of the platform’s backend architecture, focusing on the orchestration layer and its integrations with third\-party AI engines and reporting systems. You will be responsible for designing, implementing, and optimizing core services that facilitate case and job management, routing policies, data ingestion, and results normalization. You will work closely with cross\-functional teams to ensure the platform is scalable, resilient, and secure, adhering to high standards of quality and performance. This role offers an exciting opportunity to influence the future of medical imaging technology and contribute to life\-saving innovations.
**Qualifications**
* 8–12\+ years of experience developing complex backend platforms, including microservices, APIs, and distributed systems
* Proficiency in API design (REST/gRPC), with a solid understanding of versioning and backward compatibility
* Expertise in event\-driven architectures, queues, streams, and workflow orchestration patterns
* Extensive data modeling experience with relational and document stores, emphasizing data integrity and auditability
* Hands\-on coding skills in production languages such as Java/Kotlin, Go, Python, or C\#
* Proven experience with reliability features like idempotency, retries, dead letter queues, and circuit breakers
* Strong knowledge of security fundamentals including authentication, authorization, mTLS, and least privilege principles
* Experience with cloud environments, especially AWS, including services like VPC, IAM, KMS, and CloudWatch
* Familiarity with container orchestration platforms such as EKS or ECS
* Leadership experience in guiding small teams and delivering projects within tight timelines
* Preferred: Experience in medical imaging, DICOM standards, PACS workflows, and healthcare data standards (FHIR/HL7\)
* Educational background with a Bachelor’s degree in Computer Science, Engineering, or related fields; advanced degrees preferred
**Responsibilities**
* Own and maintain the platform’s core orchestration and integration services, including case/job lifecycle management and third\-party endpoint integration
* Define and uphold architectural standards, service contracts, and error handling protocols to ensure platform resilience and observability
* Design, document, and demonstrate technical solutions using diagrams, flowcharts, and comprehensive code comments
* Participate actively in the full software development lifecycle, from requirements analysis to deployment and ongoing maintenance
* Perform rigorous code reviews, enforce high unit test coverage, and lead bug triage efforts
* Develop and maintain APIs, integrations, and supporting libraries essential for platform functionality
* Implement logging, metrics, and tracing tools to achieve and sustain platform observability goals
* Collaborate with cross\-functional teams to align technical solutions with product and business objectives
* Lead small teams, set technical standards, and ensure timely delivery of high\-quality features
* Stay updated on industry best practices and emerging technologies to continuously improve platform capabilities
**Benefits**
* Competitive salary aligned with experience and expertise
* Flexible remote work arrangements with optional on\-site collaboration
* Health, dental, and vision insurance plans
* Paid time off and holidays
* Professional development opportunities and continuous learning support
* Collaborative and innovative work environment
* Access to cutting\-edge healthcare technology and participation in impactful projects
 Equal Opportunity
 Our company is an equal opportunity employer. We do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We are committed to creating an inclusive environment where all individuals can thrive and contribute to our mission of transforming cardiovascular health.</t>
        </is>
      </c>
    </row>
    <row r="4">
      <c r="A4" t="inlineStr">
        <is>
          <t>li-4365749902</t>
        </is>
      </c>
      <c r="B4" t="inlineStr">
        <is>
          <t>Software Engineer (Python, SQL)</t>
        </is>
      </c>
      <c r="C4" t="inlineStr">
        <is>
          <t>Docker, Inc</t>
        </is>
      </c>
      <c r="D4" t="inlineStr">
        <is>
          <t>linkedin</t>
        </is>
      </c>
      <c r="E4" t="inlineStr"/>
      <c r="F4" t="inlineStr"/>
      <c r="G4" t="inlineStr"/>
      <c r="H4" t="inlineStr"/>
      <c r="I4" t="inlineStr">
        <is>
          <t>**About The Company** 
 At Docker, we make app development easier so developers can focus on what matters. Our remote\-first team spans the globe, united by a passion for innovation and great developer experiences. With over 20 million monthly users and 20 billion image pulls, Docker is the leading tool for building, sharing, and running applications—trusted by startups and Fortune 100 companies alike. We are experiencing rapid growth and are just getting started. Join us for an exciting journey and contribute to shaping the future of containerization and cloud\-native development.
**About The Role** 
 Docker is seeking a highly skilled Staff Software Engineer to join our Data Engineering team. In this pivotal role, you will be responsible for driving the technical evolution of our data systems that underpin analytics across the entire organization. As Docker continues to scale with millions of developers and thousands of enterprise customers worldwide, your expertise will be crucial in designing, building, and launching scalable data infrastructure that supports data\-driven decision\-making across multiple departments including Product, Engineering, Sales, Marketing, Finance, and Executive leadership.
 This position combines deep technical contribution with strategic leadership and mentorship responsibilities. You will architect robust data systems and processes that meet Docker’s analytic needs, establish technical standards, and promote best practices within the data organization. Collaborating closely with cross\-functional teams, you will translate business requirements into efficient data solutions that enable actionable insights and foster innovation. Your role will be instrumental in scaling Docker’s data capabilities, supporting our expanding product portfolio, and enhancing our service offerings for enterprise clients globally.
 The ideal candidate will possess expert\-level technical skills in modern data platforms, system design, and data architecture, with a proven track record of leading large\-scale data projects. Your leadership will influence technical strategies, mentor engineering teams, and ensure the reliability, performance, and security of our data systems. This role offers an opportunity to work on complex technical challenges at scale, shape Docker’s data strategy, and contribute to a vibrant, innovative engineering culture.
**Qualifications** 
* 6\+ years of software engineering experience with at least 3\+ years focused on data engineering and analytics systems
* Expert\-level proficiency with Snowflake, including advanced SQL, performance tuning, and cost management
* Deep experience with DBT for data modeling, transformation, and testing in large\-scale environments
* Strong expertise in Apache Airflow for complex workflow orchestration and pipeline management
* Hands\-on experience with modern BI platforms such as Sigma or similar tools for self\-service analytics
* Extensive AWS experience, including data services like S3, Redshift, EMR, Glue, Lambda, and Kinesis
* Proficiency in Python, SQL, and other programming languages used in data engineering
* Solid understanding of data warehousing concepts, dimensional modeling, and analytics architectures
* Experience with stream processing, event\-driven architectures, and real\-time data systems
* Knowledge of data governance, security frameworks, and compliance standards such as GDPR and CCPA
* Demonstrated ability to influence technical decisions and lead cross\-functional initiatives
* Excellent communication skills with the ability to explain complex technical concepts clearly
* Proven mentorship skills and experience guiding engineering teams
**Responsibilities** 
* Define and execute the technical strategy for Docker's data platform architecture, establishing a long\-term vision for scalable data systems
* Lead the design and implementation of highly scalable data infrastructure leveraging Snowflake, AWS, Airflow, DBT, and Sigma
* Architect end\-to\-end data pipelines supporting real\-time and batch analytics across Docker's product ecosystem
* Make technical decisions around data platform technologies, architectural patterns, and engineering best practices
* Establish standards for data quality, testing, monitoring, and operational excellence
* Design and develop robust, scalable data systems that process petabytes of data and support millions of user interactions
* Implement complex data transformations using DBT for analytics and business intelligence use cases
* Develop and maintain sophisticated data orchestration workflows with Apache Airflow
* Optimize Snowflake performance and cost efficiency while ensuring system reliability and scalability
* Create data APIs and services to enable self\-service analytics and integration with downstream systems
* Collaborate with Product, Engineering, and Business teams to gather requirements and deliver technical solutions
* Partner with Data Scientists and Analysts to facilitate advanced analytics, machine learning, and BI capabilities
* Support operational dashboards and reporting for Finance, Sales, and Marketing teams
* Engage with Security and Compliance teams to uphold data governance and regulatory standards
* Own operational health of critical data systems, including monitoring, incident response, and disaster recovery
* Implement automated testing, data quality frameworks, and performance optimization initiatives
* Mentor junior and mid\-level engineers, conduct technical reviews, and promote engineering best practices
* Lead knowledge sharing initiatives, documentation, and cross\-team collaboration efforts
**Benefits** 
* Flexibility and autonomy to manage your work schedule and environment
* Designated quarterly Whaleness Days for focused reflection and recharge
* Home office setup support to ensure a comfortable remote working environment
* Sixteen weeks of paid parental leave to support your family needs
* Technology stipend of $100 net per month for equipment and tools
* PTO plan encouraging work\-life balance and personal pursuits
 Equal Opportunity
 We are committed to fostering an inclusive environment where all employees and applicants are treated with respect and dignity. We do not discriminate based on race, color, ancestry, national origin, religion, age, gender, marital or domestic partner status, sexual orientation, gender identity or expression, disability, veteran status, or any other protected characteristic. We believe diversity drives innovation and excellence, and we encourage candidates from all backgrounds to apply.</t>
        </is>
      </c>
    </row>
    <row r="5">
      <c r="A5" t="inlineStr">
        <is>
          <t>li-4365775143</t>
        </is>
      </c>
      <c r="B5" t="inlineStr">
        <is>
          <t>Senior Software Engineer, Full Stack</t>
        </is>
      </c>
      <c r="C5" t="inlineStr">
        <is>
          <t>Valence</t>
        </is>
      </c>
      <c r="D5" t="inlineStr">
        <is>
          <t>linkedin</t>
        </is>
      </c>
      <c r="E5" t="inlineStr"/>
      <c r="F5" t="inlineStr"/>
      <c r="G5" t="inlineStr">
        <is>
          <t>San Francisco, CA</t>
        </is>
      </c>
      <c r="H5" t="inlineStr"/>
      <c r="I5" t="inlineStr">
        <is>
          <t>Valence has built the only AI native coaching platform for enterprise, offering personalized, expert, and human\-like guidance and support to any leader or employee. We’re not just talking about the future of work — we’re building it now, with the most innovative Fortune 500 companies across healthcare, financial services, manufacturing, and technology.
 Our focus is on the problems that actually decide whether AI changes how organizations operate — the ones with no playbook, no obvious answers, and no guarantee of success. If you want to be part of the small group that defines how AI transforms the future at a global scale, this is your chance.
 And this isn’t for everyone. We’re not looking for people who want predictability or incremental progress. We only want those who are restless at the edge of what’s possible, who get bored when things feel “done,” and who are driven to redefine what AI can mean for leaders, companies, and the world. Because at Valence, the work worth doing is the kind that redefines work itself.
**The Role** 
 As a Senior Software Engineer, Full Stack, you will be instrumental in architecting, building, and scaling both backend systems and user\-facing experiences that power our LLM\-driven coaching platform. You will ship features end\-to\-end \- from designing resilient APIs and integrating models to delivering polished interfaces in the browser \- while collaborating closely with cross\-functional partners in product, design, and infrastructure. This is a
 *ground\-floor opportunity* 
 to shape a category\-defining product used by enterprise customers worldwide.
 You’ll contribute to:\- Full stack architecture, development, and optimization of features spanning backend, AI/model integration, and frontend interfaces.\- Designing for scale, performance, and security in enterprise environments.\- Debugging across the stack \- from model behavior and backend services to UI logic and client performance.\- Collaborating with product, design, and operations to deliver delightful, resilient user experiences.\- Helping evolve the engineering culture, tooling, hiring, and technical roadmap as the team grows.
**About Valence** 
 We're the only company pioneering leadership coaching for large enterprises in an AI\-first way. Our mission is to transform how the world's biggest companies approach learning and development, helping teams work better together through AI\-powered personalization that adapts to individual goals and organizational culture using the latest advances in machine learning and natural language processing.
 We've been featured in Harvard Business Review, TIME, World Economic Forum, Financial Times, Forbes and an Inc. 5000 fastest\-growing private companies in America. Our clients represent the most diverse and sophisticated enterprise AI implementations globally, including Coca\-Cola, Delta, Nestlé, General Mills, Schneider Electric, Deutsche Telekom, AstraZeneca, Prudential, CVS and Bristol Myers Squibb.
 Working at Valence means you'll work directly with Fortune 500 technology leaders, building expertise through the most complex enterprise deployments while gaining insight into diverse organizational approaches to AI transformation. These aren't just any enterprise clients \- they're the companies defining what AI\-first business transformation looks like across every major industry.What You'll Do
* Build and extend critical backend services: architect APIs, integrate LLMs and related services, and optimize server\-side systems for performance and reliability.
* Develop polished frontend experiences: craft intuitive UI flows, ensure accessibility and responsiveness, and manage data flow between frontend and backend.
* Own end\-to\-end delivery: from scoping requirements, writing tests, deploying code, to monitoring and observability in production.
* Collaborate deeply: work across product, design, data, and infrastructure to solve real user problems and accelerate delivery.
* Drive best practices: help shape engineering standards, CI/CD automation, observability, and performance benchmarking.
* Mentor and grow: support team members through code reviews, technical discussions, and institution of scalable practices.
 What We're Looking For
* Strong full stack experience: you have shipped production\-grade systems involving both backend and frontend components, and you’re comfortable owning APIs and user experiences end\-to\-end.
* Technical breadth/ Engineering skills: deep proficiency with Python (Django preferred) or similar languages for backend; strong JavaScript skills and familiarity with modern frameworks (e.g., React, Vue).
* Frontend craftsmanship/ UX obsessed: experience building responsive, high\-performance UI with attention to usability and scale.
* Enterprise\-grade thinking: you build for scale, performance, security, and maintainability in large, distributed environments.
* Builder at Heart: you’ve architected and shipped production\-grade, user\-facing systems. You balance polish with speed, knowing when to prioritize craftsmanship and when to push scrappy experiments to learn fast.
* Versatility and pragmatism: you balance sound architectural decisions with a willingness to prototype and iterate quickly when needed.
* Customer\-Centered \&amp; Product\-Focused: you care as much about usability, accessibility, and adoption as you do about code quality. You think beyond “does it work” to “does it work for the user, at scale, and in enterprise environments.”
* Startup fluent: you thrive in ambiguity, value momentum over perfection, and enjoy wearing multiple hats.
**What You'll Get**
**Ownership \&amp; Rapid Growth** 
 \- Outsized missions from day one, with direct responsibility for company\-defining projects\- Work alongside the executive team with transparency into strategy and decision\-making\- Influence on direction through real\-time customer feedback and market insights
**AI\-First Operator** 
 \- Work directly with cutting\-edge AI models and next\-generation platforms\- Build expertise in enterprise AI implementation across Fortune 500 companies and multiple industries\- Establish yourself as a recognized leader among peers in shaping how AI transforms work at a global scale
**Compensation** 
 \- Competitive salary including base \+ bonuses\- Comprehensive health coverage (medical, dental, vision) from day one\- Generous PTO, company\-wide R\&amp;R shutdowns, and paid parental leave\- Retirement plan support for US and global employees
**Equity** 
 \- Meaningful ownership in a venture\-backed company at a growth inflection point\- Financial upside that comes from scaling fast\- Top\-up grants as we scale and you deliver exceptional performance — your compensation grows alongside your impact
**Top\-Performing Culture** 
 \- A culture built for top talent: intensity to win, growth without limits, and a team that solves hard problems and celebrates big wins together
**Learn more about us and meet our team** 
**here**
**Location and Work Environment** 
 This role can be either remote or hybrid from our offices in New York or Toronto.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\[email protected].
**Employment Verification \&amp; Commitment** 
 We use third\-party services to verify employment history, education, and other information relevant to your candidacy. Employment is contingent upon the successful completion of these verification checks. This is a full\-time role that requires a high level of focus, availability, and commitment. Employees may not hold concurrent full\-time employment with another organization while employed at Valence. Any outside consulting, advisory, freelance, or other professional work must be disclosed and approved in advance and must not interfere with job responsibilities, availability, performance, or create a conflict of interest \- including risks related to confidentiality, intellectual property, or competition.We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
      <c r="A6" t="inlineStr">
        <is>
          <t>li-4365770480</t>
        </is>
      </c>
      <c r="B6" t="inlineStr">
        <is>
          <t>Software Engineer</t>
        </is>
      </c>
      <c r="C6" t="inlineStr">
        <is>
          <t>Goliath Partners</t>
        </is>
      </c>
      <c r="D6" t="inlineStr">
        <is>
          <t>linkedin</t>
        </is>
      </c>
      <c r="E6" t="inlineStr"/>
      <c r="F6" t="inlineStr"/>
      <c r="G6" t="inlineStr"/>
      <c r="H6" t="inlineStr"/>
      <c r="I6" t="inlineStr">
        <is>
          <t>We are working with a high\-performance, global trading and technology firm seeking a Software Engineer to join their engineering team in New York.
**Key Responsibilities** 
* Design \&amp; deploy software that supports trading activities and business functions
* Collaborate with business stakeholders to define priorities and deliver custom technology solutions
* Analyze complex business and technical problems, and take proactive, self\-directed action to solve them
* Provide timely systems support for live trading/production environments
**Required Skills \&amp; Experience** 
* Deep proficiency in Python and a strong passion for software development
* Professional exposure to distributed systems
* Good knowledge of software development life\-cycle (SDLC) methodologies
* Excellent communication and interpersonal skill
* Minimum Bachelor’s degree in Computer Science or a related field
**Preferred / Bonus Qualifications** 
* Experience with trading systems
* Familiarity with machine learning/statistical methods
* Experience with C\+\+, SQL, kdb or similar technologies
 Total comp: base up to 250k, tc into the 7 figures</t>
        </is>
      </c>
    </row>
    <row r="7">
      <c r="A7" t="inlineStr">
        <is>
          <t>li-4365773190</t>
        </is>
      </c>
      <c r="B7" t="inlineStr">
        <is>
          <t>Full-Stack Software Engineer (Remote) - $140-155K plus bonus</t>
        </is>
      </c>
      <c r="C7" t="inlineStr">
        <is>
          <t>Trajan Wealth LLC</t>
        </is>
      </c>
      <c r="D7" t="inlineStr">
        <is>
          <t>linkedin</t>
        </is>
      </c>
      <c r="E7" t="inlineStr"/>
      <c r="F7" t="inlineStr"/>
      <c r="G7" t="inlineStr">
        <is>
          <t>Scottsdale, AZ</t>
        </is>
      </c>
      <c r="H7" t="inlineStr"/>
      <c r="I7" t="inlineStr">
        <is>
          <t>**About Trajan Wealth**
 Trajan Wealth is a rapidly growing Registered Investment Advisor (RIA) and Estate Planning firm dedicated to providing clients with personalized financial strategies. Our mission is to help individuals and families achieve financial security through expert guidance, fiduciary responsibility, and transparent service.
**Role Overview**
 We are seeking a DevOps Software Engineer who combines technical aptitude with the right mindset to grow with our team. This individual will play a key role in the ongoing development, deployment, and maintenance of our Creatio CRM system, as well as related mobile app/web portal, proprietary Order Management System (OMS \- API management), and middleware. The ideal candidate will bring deep experience in
 **Docker** 
 ,
 **API integrations** 
 , and
 **Azure Cloud** 
 infrastructure. The role blends hands\-on software development with DevOps responsibilities to deliver scalable, reliable, and secure solutions.
 While we value technical experience, we place equal importance on finding someone with a positive attitude, eagerness to learn, and resilience in the face of challenges. We believe skills can be taught, but the right attitude\-one that embraces feedback, adapts to change, and approaches problems with curiosity and determination\-is what truly drives long\-term success. The ideal candidate will bring both technical capability and a collaborative, growth\-oriented approach to working with business stakeholders and development teams.
**Duties And Responsibilities**
* Oversee the design, development, implementation, and maintenance of CRM technical solutions.
* Adhere to and help define coding standards; develop well\-structured, maintainable, and easily understandable code.
* Manage containerized applications and deployment pipelines using Bitbucket and Docker
* Design, develop, and maintain API integrations between Creatio CRM and external systems using custom webhooks and middleware.
* Developing and customizing Quik! Forms, including form creation, data mapping, and workflow integration.
* Develop and maintain features with SQL, HTML, CSS, and JavaScript.Deploy, manage, and monitor solutions in Azure to ensure high availability and scalability.
* Work closely with business stakeholders to gather requirements, understand processes, and translate them into effective technical solutions.
* Lead projects and communicate regularly with clients, sponsors, and internal teams.
* Stay current with Creatio releases, new features, and best practices to guide the team.
* Participate in code reviews to ensure quality and consistency across the team.
**Qualifications**
**Required Qualifications:**
* Bachelor's degree in Computer Science or related field
* Minimum 7\+ years in a software engineering role (enterprise\-level experience preferred)
* Experience with OOP development and relational databases
* Strong proficiency with Docker, API development/integration, and AWS Cloud services
* Proficiency in JavaScript, SQL, HTML, CSS
* Experience with mobile application development frameworks like React
* Experience with Quick! Forms
* Strong understanding of UI/UX principles
* Excellent problem\-solving, analytical, and communication skills
**Preferred Qualifications**
* Experience with Creatio CRM and .NET development (C\#)
* Exposure to Snowflake or other cloud\-based data platforms
* Experience with the Atlassian suite (Jira, Confluence, Bitbucket)
* Experience with HubSpot.
**Working conditions**
 This is a remote position with occasional travel to the Scottsdale Corporate office
**Benefits**
* Base salary of $140\-155K plus bonus
* Future career growth opportunity.
* 401(k) with a matching contribution up to 13%.
* United Healthcare PPO medical coverage for employees, paid by the company.
* Delta Dental PPO, United Healthcare Vision, Short Term Disability, Long Term Disability, Life Insurance, and many more voluntary options.
* Generous holidays and PTO.
**Come and join a team that is making a difference in their clients and employee's lives!**</t>
        </is>
      </c>
    </row>
    <row r="8">
      <c r="A8" t="inlineStr">
        <is>
          <t>li-4365746867</t>
        </is>
      </c>
      <c r="B8" t="inlineStr">
        <is>
          <t>Software Engineer, II</t>
        </is>
      </c>
      <c r="C8" t="inlineStr">
        <is>
          <t>Fanatics</t>
        </is>
      </c>
      <c r="D8" t="inlineStr">
        <is>
          <t>linkedin</t>
        </is>
      </c>
      <c r="E8" t="inlineStr"/>
      <c r="F8" t="inlineStr"/>
      <c r="G8" t="inlineStr"/>
      <c r="H8" t="inlineStr"/>
      <c r="I8" t="inlineStr">
        <is>
          <t>**About The Company**
 Fanatics is a leading global digital sports platform dedicated to igniting the passions of sports fans worldwide. The company offers a comprehensive range of products and services across its various divisions, including Fanatics Commerce, Fanatics Collectibles, and Fanatics Betting \&amp; Gaming. Fanatics enables fans to buy licensed fan gear, jerseys, lifestyle apparel, headwear, and collectibles, as well as engage in digital trading cards and memorabilia. The organization leverages its expansive platform to maximize reach and engagement for hundreds of sports partners globally, including major leagues, teams, athletes, and retail outlets. With an established database of over 100 million sports fans and a network of approximately 900 sports properties, Fanatics is committed to delivering innovative experiences and products that deepen fan engagement. The company employs over 22,000 dedicated professionals worldwide, continuously striving to enhance the fan experience through technology and strategic partnerships.
**About The Role**
 As a Software Engineer II at Fanatics Betting \&amp; Gaming (FBG), you will play a crucial role in developing and maintaining the backend service layers that power our Sportsbook and Casino experiences. These services act as the intermediary between live sports data, internal platforms, and consumer\-facing applications, ensuring fast, reliable, and personalized experiences for millions of sports fans. You will be a key individual contributor responsible for designing, implementing, and deploying backend services and APIs from concept to production. Collaboration with mobile engineers, product managers, and platform teams will be essential to define API contracts, deliver end\-to\-end features, and optimize system performance. You will be working in a fast\-paced, high\-traffic environment where operational excellence, observability, and system reliability are paramount. Your expertise in service\-oriented and distributed systems will be instrumental in supporting real\-time betting, discovery, gameplay, and account management functionalities. This role offers an exciting opportunity to influence the technical landscape of a rapidly growing digital sports betting platform, contributing to innovative solutions and scalable architectures.
**Qualifications**
* 3–7 years of professional software development experience, primarily in backend or service\-oriented systems
* Strong programming fundamentals with hands\-on experience in Kotlin or Java
* Experience building and maintaining backend services and RESTful APIs, ideally using Spring Boot or similar frameworks
* Solid understanding of microservices architecture, service\-to\-service communication, and API design principles
* Experience working with relational or NoSQL databases, including data modeling and caching strategies
* Familiarity with production operations, monitoring, alerting, incident response, and CI/CD pipelines
* Ability to take ownership of services from development through production support
* Strong problem\-solving skills and technical reasoning in complex environments
* Excellent communication skills and ability to collaborate in a remote\-first environment
* Comfort working in ambiguous, fast\-paced settings with evolving requirements
**Responsibilities**
* Develop and power consumer\-facing mobile Sportsbook and Casino experiences by building robust backend services
* Own and maintain backend\-for\-frontend (BFF) services that aggregate, transform, and optimize data for mobile clients
* Collaborate closely with mobile engineers, product managers, and platform teams to define API contracts and deliver comprehensive features
* Implement new backend features from functional specifications through to testing, deployment, and monitoring
* Contribute to architecture decisions, data flow design, and performance tuning for real\-time, high\-traffic systems
* Participate in on\-call rotations to troubleshoot, debug, and resolve production issues, enhancing system reliability
* Apply best practices for observability, including logging, metrics, tracing, and alerting to ensure system health
* Conduct code reviews to uphold high standards for code quality, reliability, and maintainability
* Engage in team planning, estimation, and technical design discussions to align on project goals
* Deepen understanding of the sports betting domain, including event hierarchies, workflows, and data quality considerations
* Foster a collaborative and inclusive engineering culture, contributing positively to team dynamics
* Occasionally travel to Fanatics offices or industry events for collaboration and team\-building purposes
**Benefits**
* Competitive salary range of $137,750 \- $181,250 per year, commensurate with experience and location
* Participation in the Fanatics Betting \&amp; Gaming annual bonus program and equity awards
* Comprehensive health benefits including Medical, Dental, and Vision insurance
* Retirement plan options such as 401(k)
* Paid time off and holiday leave
* Additional perks including GymPass, Pet Insurance, Family Care Benefits, and more
* Remote work flexibility with potential stipends for home office setup
 Equal Opportunity
 Fanatics is an equal opportunity employer. We celebrate diversity and are committed to creating an inclusive environment for all employees. We do not discriminate based on race, ethnicity, gender, sexual orientation, age, disability, or any other protected status. All qualified applicants will receive consideration for employment without regard to any protected characteristic.</t>
        </is>
      </c>
    </row>
    <row r="9">
      <c r="A9" t="inlineStr">
        <is>
          <t>li-4365762794</t>
        </is>
      </c>
      <c r="B9" t="inlineStr">
        <is>
          <t>Full Stack Software Engineer</t>
        </is>
      </c>
      <c r="C9" t="inlineStr">
        <is>
          <t>Rad AI</t>
        </is>
      </c>
      <c r="D9" t="inlineStr">
        <is>
          <t>linkedin</t>
        </is>
      </c>
      <c r="E9" t="inlineStr"/>
      <c r="F9" t="inlineStr"/>
      <c r="G9" t="inlineStr"/>
      <c r="H9" t="inlineStr"/>
      <c r="I9" t="inlineStr">
        <is>
          <t>**About Rad AI** 
 Rad AI is a pioneering healthcare technology company dedicated to transforming medical imaging through artificial intelligence. Founded by a radiologist, the company leverages cutting\-edge AI solutions to enhance radiology workflows, reduce clinician burnout, and improve patient outcomes. With access to one of the largest proprietary radiology report datasets globally, Rad AI has significantly contributed to early cancer detection and decreased diagnostic errors across millions of reports, achieving nearly a 50% reduction in error rates. The company has secured over $140 million in funding, including a recent oversubscribed Series C round of $68 million led by Transformation Capital, elevating its valuation to $528 million. Backed by prominent investors such as Khosla Ventures, Gradient Ventures, and others, Rad AI empowers physicians with innovative AI tools used daily by thousands of radiologists. Its solutions support over one\-third of radiology groups and nearly half of all medical imaging in the United States, including partnerships with leading healthcare systems like Cone Health, Geisinger, and Henry Ford Health. Recognized as one of the most promising healthcare AI companies by CB Insights and AuntMinnie, Rad AI continues to lead the industry with rapid growth and disruptive innovation, recently earning a spot on CNBC’s Disruptor 50 list. The company is committed to building a diverse, inclusive team passionate about making a meaningful impact on healthcare through technology.
**About The Role** 
 We are seeking a highly skilled Staff Software Engineer to join our platform team at Rad AI. In this role, you will be instrumental in developing and maintaining our healthcare data platform, which powers critical products such as our Reporting application. You will work closely with cross\-functional teams to design scalable, secure, and reliable backend systems that facilitate seamless data flow and integration with healthcare standards like HL7 and FHIR. The ideal candidate will have a strong background in backend development, particularly with Python and TypeScript, and will thrive in an environment that demands high performance, security, and compliance with HIPAA regulations. Your contributions will directly impact how healthcare data is processed and utilized across our platform, supporting thousands of radiologists and healthcare providers. This position offers a unique opportunity to operate at the intersection of healthcare and technology, shaping the future of medical data management and AI\-driven healthcare solutions.
**Qualifications** 
* 8\+ years of full\-stack software engineering experience in industry
* Proficiency in JavaScript / TypeScript, Python, and FastAPI or equivalent frameworks
* Experience developing large\-scale, multi\-tenant web applications
* Strong understanding of relational and document\-based databases (e.g., PostgreSQL, MongoDB)
* Knowledge of modern web architecture, security practices, and best coding standards
* Experience with HTML, CSS, responsive design, and web APIs such as WebSockets and IndexedDB
* Hands\-on experience with unit and integration testing
* Proficiency with version control systems, particularly git
* Experience diagnosing and optimizing performance issues at scale
* Excellent communication skills and ability to work collaboratively in distributed teams
**Responsibilities** 
* Design, develop, and maintain scalable backend services using Python, FastAPI, and related technologies
* Create and enhance REST APIs and ML pipeline services supporting healthcare data workflows
* Build and improve features for our web applications to support a growing customer base
* Implement security best practices to ensure HIPAA compliance and protect sensitive health data
* Collaborate with Product Management, UX, Customer Success, and other stakeholders to refine product features
* Participate in code reviews, testing, and documentation to uphold high\-quality standards
* Identify and troubleshoot performance bottlenecks and scalability challenges
* Advocate for continuous improvements in product security, performance, and reliability
* Contribute to the evolution of our healthcare data platform and infrastructure
**Benefits** 
* Comprehensive Medical, Dental, Vision \&amp; Life insurance coverage
* Health Savings Account (HSA) with employer match, Flexible Spending Accounts (FSA), and Dependent Care FSA (DCFSA)
* 401(k) retirement plan with company match
* 11 paid company holidays annually
* Flexible, remote\-first work environment with location flexibility
* Generous PTO policy for work\-life balance
* Annual company\-wide offsite and periodic team events
* Annual equipment stipend to support remote work setup
 Equal Opportunity
 Rad AI is an equal opportunity employer committed to fostering an inclusive environment for all employees and applicants. We do not discriminate based on race, color, religion, national origin, gender, sexual orientation, age, marital status, veteran status, disability, or any other protected characteristic.</t>
        </is>
      </c>
    </row>
    <row r="10">
      <c r="A10" t="inlineStr">
        <is>
          <t>li-4365771378</t>
        </is>
      </c>
      <c r="B10" t="inlineStr">
        <is>
          <t>Software Engineer</t>
        </is>
      </c>
      <c r="C10" t="inlineStr">
        <is>
          <t>Infinity Systems Engineering</t>
        </is>
      </c>
      <c r="D10" t="inlineStr">
        <is>
          <t>linkedin</t>
        </is>
      </c>
      <c r="E10" t="inlineStr"/>
      <c r="F10" t="inlineStr"/>
      <c r="G10" t="inlineStr">
        <is>
          <t>Colorado Springs, CO</t>
        </is>
      </c>
      <c r="H10" t="inlineStr"/>
      <c r="I10" t="inlineStr">
        <is>
          <t>Salary Range: 143000\-173000
 Infinity's niche in the aerospace and defense industry is specialized solutions that help bridge the gap between space and ground. This is no small task, and we owe our success to our team who help us fulfill our mission; to match people with their legacies for betterment of the world. There is always a place at Infinity for a motivated, capable individual seeking a career to better the world. We prioritize supporting our team through exceptional benefits, work\-life balance, and structured career development. At Infinity, WE ARE MORE \- now, come be more with us!
**Job Summary**
 Infinity Systems Engineering is seeking a Principal/Sr Principal Software Engineer to work on\-site at Schriever SFB, near Colorado Springs, CO. We Liaison with the National Reconnaissance Office (NRO) and Satellite Control Network (SCN) to support our program, and to provide satellite support services to our mission critical customer. This program conducts real time on\-orbit support, launch ascent support and End\-of\-Life operations for all NOPS (NRO Operations Squadron) missions.
 The Software team works in a state\-of\-the\-art dynamic environment to develop new containerized software and maintain existing software for different needs on the program.
**Key Responsibilities**
* Maintain software used to establish connections for status \&amp; control of ground equipment.
* Provide Java software development. Perform all aspects of software engineering support required to implement systems.
* Also maintain software that handles scheduling of on\-orbit contacts, and orbit calculations.
* Write software that supports launch operations with trajectory calculations for the SpaceX and ULA vendors.
* Provide assistance for team members primarily on Java development and utilizing the Spring Boot framework.
* Develop React\-based user interfaces for operator interaction.
* Assist writing microservices that interact with a variety of vendor interfaces for data processing.
* Deploy new containerized applications in Kubernetes environments.
* Assist with new customer requests by extending and enhancing existing capabilities and creating new ones where needed.
**Qualifications**
* Clearance: TS/SCI CI poly
* Education:
* Level 3: Bachelor's degree with 5 years of experience OR a master's and 3 years' experience OR a High School diploma / equivalent with 9 years' experience may be considered in lieu of degree
* Level 4: Bachelor's degree with 8 years of experience OR a master's and 6 years' experience OR a High School diploma / equivalent with 12 years' experience may be considered in lieu of degree
* Required Skills:
* Experience and proficiency with Java programming language.
* Knowledge with Spring Boot framework or other similar experience.
* Experience Software design and development.
* Experience with Java build systems.
* Ability to collaborate with internal and external developers and integrating their components into a larger framework with NoSQL databases, such as MongoDB.
* Preferred Skills :
* Knowledgeable with IDE for Java software development or other similar experience.
* Experience with Gitlab or other similar experience.
* Experience with NoSQL databases, such as MongoDB.
* Experience with Docker/Kubernetes.
* Experience using/writing Ansible automation scripts.
* Experience with VMware toolsets.
* Experience with C\+\+ programming language.
* Working knowledge of SQL databases.
**Work Environment**
 Ability to work at a desk and operate a computer for extended periods.
**Work Schedule**
 This is a full\-time position, typically working 40 hours per week. Overtime may be required depending on operational needs.
**Infinity Benefits**
 Great Company Culture.Â Infinity firmly believes that our success is due to the happiness and personal satisfaction of our employees.Â
 Health Benefits.Â 100% Company Paid monthlyÂ Medical and Dental premiums for you AND your family.Â
 Prepare for the Future.Â 401(k) company contribution, with free professional financial planning advisorsÂ
 Rest and Relaxation. Â Three weeks' VacationÂ \- andÂ we offer an annual company reward trip after one year of employment.
 Health and Wellness.Â We offer 48 hours of sick leave, in addition to your Vacation, as well as Flex\-Spending options (Medical and Dependent Care)Â
 Work that Stays at Work.Â Genuine work/life balance and flexibility. We know our employees have lives outside of work and we support you in living them!Â
 Education and Professional Training Reimbursement.Â Â We support our employees career aspirations and growth through our Education Reimbursement Program!Â
 Profit Sharing Plan.Â Â Infinity's success is due to our employees which is why all eligible employees receive an annual payout based on our Profit\-Sharing Plan.Â
 Â U.S. Citizenship is required.
 EOE including disability/vet
 To learn more about our company and benefits, please visit: Â Infinity Careers (https://www.infinity.aero/careers)
 Anticipated Close Date: 0 1/19/26</t>
        </is>
      </c>
    </row>
    <row r="11">
      <c r="A11" t="inlineStr">
        <is>
          <t>li-4365783171</t>
        </is>
      </c>
      <c r="B11" t="inlineStr">
        <is>
          <t>Software Developer (Java or C# or Python) in New York, NY 10172</t>
        </is>
      </c>
      <c r="C11" t="inlineStr">
        <is>
          <t>Amicis Global Technologies</t>
        </is>
      </c>
      <c r="D11" t="inlineStr">
        <is>
          <t>linkedin</t>
        </is>
      </c>
      <c r="E11" t="inlineStr"/>
      <c r="F11" t="inlineStr"/>
      <c r="G11" t="inlineStr">
        <is>
          <t>New York, NY</t>
        </is>
      </c>
      <c r="H11" t="inlineStr"/>
      <c r="I11" t="inlineStr">
        <is>
          <t>**Job Title:** 
 Software Developer (Java or C\# or Python)
 **Location:** 
 New York, NY 10172
 **Duration:** 
 12 Months
 **Pay Rate: $74\.00 \- $84\.00/\- on W2** 
**Kindly help me out with your most updated resume** 
**Roles and Responsibilities:**
 Designs, codes, tests, and maintains software applications to meet user needs.
 Develop application features, fix bugs, collaborate with other developers and stakeholders.
 Proficiency in programming languages like Java, C\#, or Python; experience with development frameworks. \#CareerBuilder \#Monster \#Dice \#Indeed</t>
        </is>
      </c>
    </row>
    <row r="12">
      <c r="A12" t="inlineStr">
        <is>
          <t>li-4365758837</t>
        </is>
      </c>
      <c r="B12" t="inlineStr">
        <is>
          <t>Software Engineer (AI, API)</t>
        </is>
      </c>
      <c r="C12" t="inlineStr">
        <is>
          <t>Gusto</t>
        </is>
      </c>
      <c r="D12" t="inlineStr">
        <is>
          <t>linkedin</t>
        </is>
      </c>
      <c r="E12" t="inlineStr"/>
      <c r="F12" t="inlineStr"/>
      <c r="G12" t="inlineStr"/>
      <c r="H12" t="inlineStr"/>
      <c r="I12" t="inlineStr">
        <is>
          <t>**About Gusto** 
 At Gusto, we are dedicated to empowering small businesses by providing comprehensive payroll, health insurance, 401(k)s, and HR solutions. Our mission is to grow the small business economy by handling the complex and time\-consuming aspects of business management, allowing owners to focus on their craft and serve their customers. With teams based in Denver, San Francisco, and New York, we proudly support over 400,000 small businesses nationwide. Our commitment extends beyond our services; we strive to create a workplace that reflects and celebrates the diversity of our customers and community. Our Total Rewards philosophy emphasizes employee well\-being, growth, and a collaborative environment that fosters innovation and inclusion.
**About The Role** 
 We are seeking a highly skilled Staff Software Engineer to join our Payroll Platform team. In this role, you will be instrumental in designing, developing, and maintaining backend infrastructure that powers Gusto’s payroll experiences. This is a fully backend\-focused position, where your primary responsibilities will include creating and evolving internal APIs and services used by various product teams to deliver accurate, compliant, and scalable payroll solutions. You will take ownership of complex technical challenges from start to finish, collaborate closely with other engineering teams, and contribute to raising the standards of payroll capabilities across the organization. Your work will directly impact the reliability and efficiency of payroll processing for hundreds of thousands of businesses, ensuring compliance with regulations and delivering a seamless experience for our users.
**Qualifications** 
* 8\+ years of professional software engineering experience, with a strong emphasis on backend development.
* Experience in building and scaling internal platforms, shared services, or foundational APIs supporting multiple product teams.
* Proven ability to work independently on ambiguous problems, from understanding business needs to delivering solutions and iterating based on feedback.
* Strong system design skills, including performance optimization, scalability, and reliability in production environments.
* Experience with AI\-assisted development tools such as LLMs, Claude Code, or Cursor, and a demonstrated ability to help teams adopt these tools responsibly.
* Excellent collaboration skills, with experience acting as a technical partner across cross\-functional teams.
* Proficiency in one or more backend programming languages; experience with Ruby is strongly preferred but not mandatory.
* Willingness to travel to Gusto’s Denver office for onboarding and initial setup.
**Responsibilities** 
* Design, develop, and maintain backend services and APIs that support core payroll workflows used by multiple internal teams.
* Take ownership of a key domain within the Payroll Platform, ensuring system health, correctness, scalability, and long\-term evolution.
* Collaborate with other engineering teams to understand their needs, guide platform adoption, and co\-design scalable solutions.
* Develop and maintain architecture and design documentation, contributing to the technical direction of the platform.
* Enhance system performance, reliability, and observability to support large\-scale payroll processing for hundreds of thousands of businesses.
* Work closely with Product, Design, Data, Compliance, and Operations teams to deliver compliant and impactful payroll solutions.
* Leverage AI\-assisted development tools to accelerate development cycles, improve code quality, and promote best practices across the team.
* Participate in code reviews, technical discussions, and continuous improvement initiatives to uphold high engineering standards.
**Benefits** 
* Competitive salary range, targeted at $163,000 to $204,000 annually in Denver and most remote locations, and $197,000 to $247,000 in San Francisco, Seattle, and New York.
* Stock options and equity participation.
* Comprehensive health, dental, and vision insurance plans.
* Flexible work hours and remote work opportunities.
* Generous paid time off and holidays.
* Professional development programs and continuous learning opportunities.
* Supportive and inclusive work environment that values diversity and innovation.
* Access to wellness programs and employee assistance resources.
 Equal Opportunity
 Gusto is committed to creating a diverse and inclusive workplace. We are an equal opportunity employer and do not discriminate based on race, color, religion, national origin, age, sex (including pregnancy, childbirth, or related medical conditions), marital status, ancestry, physical or mental disability, genetic information, veteran status, gender identity or expression, sexual orientation, or any other legally protected characteristic.</t>
        </is>
      </c>
    </row>
    <row r="13">
      <c r="A13" t="inlineStr">
        <is>
          <t>li-4355220002</t>
        </is>
      </c>
      <c r="B13" t="inlineStr">
        <is>
          <t>Java Software Engineer</t>
        </is>
      </c>
      <c r="C13" t="inlineStr">
        <is>
          <t>BeaconFire Inc.</t>
        </is>
      </c>
      <c r="D13" t="inlineStr">
        <is>
          <t>linkedin</t>
        </is>
      </c>
      <c r="E13" t="inlineStr"/>
      <c r="F13" t="inlineStr"/>
      <c r="G13" t="inlineStr"/>
      <c r="H13" t="inlineStr"/>
      <c r="I13"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4">
      <c r="A14" t="inlineStr">
        <is>
          <t>li-4365768649</t>
        </is>
      </c>
      <c r="B14" t="inlineStr">
        <is>
          <t>Backend Engineer</t>
        </is>
      </c>
      <c r="C14" t="inlineStr">
        <is>
          <t>Jack &amp; Jill</t>
        </is>
      </c>
      <c r="D14" t="inlineStr">
        <is>
          <t>linkedin</t>
        </is>
      </c>
      <c r="E14" t="inlineStr"/>
      <c r="F14" t="inlineStr"/>
      <c r="G14" t="inlineStr">
        <is>
          <t>San Francisco, CA</t>
        </is>
      </c>
      <c r="H14" t="inlineStr"/>
      <c r="I14" t="inlineStr">
        <is>
          <t>This is a job that Jill, our AI Recruiter, is recruiting for on behalf of one of our customers.
 She will pick the best candidates from Jack's network
 The next step is to speak to Jack.
 Backend Engineer
**Salary:** 
 $175,000\+ \+ Equity
**Company Description:** 
 VC\-backed AI for science startup
**Job Description:** 
 You will design and build the essential infrastructure, data pipelines, and APIs that power autonomous scientific research. By creating scalable and reliable backend systems, you will enable AI agents to solve complex challenges in fields like drug development, accelerating humanity’s ability to conduct breakthrough scientific discovery at scale.
**Location:** 
 San Francisco, USA
**Why this role is remarkable:** 
* Work at the frontier of AI and science, building tools that directly accelerate breakthrough discoveries and drug development.
* Join a well\-funded team of elite engineers and researchers supported by top\-tier venture capital and mission\-driven partners.
* Experience a high\-energy, on\-site culture designed for rapid collaboration and professional engineering growth.
**What you will do:** 
* Design, implement, and maintain high\-performance APIs, services, and scientific databases for a discovery platform.
* Build robust monitoring, observability, and automated testing frameworks to ensure maximum system reliability and uptime.
* Collaborate cross\-functionally with research and front\-end teams to deploy and scale new AI\-driven scientific agents.
**The ideal candidate:** 
* Has 4\+ years of professional experience in backend software engineering with proficiency in Python or Node.js.
* Possesses strong expertise in database design (PostgreSQL/NoSQL) and building scalable cloud infrastructure using AWS/GCP and Docker.
* Demonstrates a background in professional software practices including structured code reviews, CI/CD pipelines, and query optimization.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15">
      <c r="A15" t="inlineStr">
        <is>
          <t>li-4321349098</t>
        </is>
      </c>
      <c r="B15" t="inlineStr">
        <is>
          <t>Senior Software Engineer 2</t>
        </is>
      </c>
      <c r="C15" t="inlineStr">
        <is>
          <t>The Farmer's Dog</t>
        </is>
      </c>
      <c r="D15" t="inlineStr">
        <is>
          <t>linkedin</t>
        </is>
      </c>
      <c r="E15" t="inlineStr"/>
      <c r="F15" t="inlineStr"/>
      <c r="G15" t="inlineStr">
        <is>
          <t>New York, NY</t>
        </is>
      </c>
      <c r="H15" t="inlineStr"/>
      <c r="I15" t="inlineStr">
        <is>
          <t>**Who We Are**
 The Farmer’s Dog was born from a mission to change the landscape of pet health, providing dogs and their humans with honest, smart, and simple care. We’re starting by radically improving the $90 billion pet food industry, replacing bags of highly\-processed pellets with a personalized subscription service that sends complete and balanced, freshly\-made dog food directly to customers’ doors. Our ultimate goal is to create innovative, delightful and personalized experiences across all aspects of pet care, and we believe our direct\-to\-consumer business model, holistic approach to growth, and dynamic culture uniquely position us to shepherd this backwards industry into the future.
 To date, The Farmer’s Dog has delivered over 1 billion meals nationwide and raised over $150M in funding to help us build a company as healthy as the dogs who are eating those meals. Join us as we continue to develop ways of bringing peace of mind to customers, health to their companions,
**What We Stand For And Where You'll Come In**
 At The Farmer’s Dog, we believe the best customer experience comes from owning the technology that powers it. That’s why we design, build, and operate our systems in\-house, from subscription and e\-commerce to fulfillment and delivery, so that every dog and human gets the right experience, every time.
 Our engineers work on problems that matter and that are hard: evolving systems to support rapid growth, building platforms flexible enough to serve customers with many different needs, and creating product experiences that didn’t exist before.
 You’ll join a group of talented engineers and managers who care deeply about building reliable, scalable systems and about working well together. Here, you’ll have the space and agency to help scale the business, solve novel customer problems, and build strong relationships along the way.
 If you want to make an outsized impact on technology, on customers, and on the lives of dogs everywhere this is the right place for you.
**One Team:** 
 We don’t think of ourselves as “Acquisition Marketers”, “Engineers”, “Data Analysts”, or “Product Managers”. Beyond denoting skill sets and areas of expertise, we don’t think departments matter. We’d rather align ourselves to the goals we’re working to achieve and make sure we have necessary subject matter expertise to drive meaningful impact. We strive to orient ourselves around customer problems TOGETHER – getting the right people, with the right context, in the right rooms/Zooms to solve problems holistically.
**We are skeptical about everything and precious about nothing:** 
 Ideas can and should come from anywhere, and we aren’t tied to our own. We proactively source input. We talk to our customers and leads regularly and are quick to change course if we know there’s a better or more impactful way to solve problems.
**We consider the customer journey in all of our decisions:** 
 We know that no interaction exists in a silo and therefore understand how important every single one is. We ensure our strategy sets prospective and new customers up for success and drives long\-term retention. We answer questions and address problems early and proactively. We understand the value of different channels, initiatives, and messages and know how to articulate impact and advocate for prioritization holistically.
**We Execute For Impact:** 
 We don’t subscribe to “best practices” or “industry KPIs”. We’re uninterested in how we compare to “benchmarks”; instead we orient ourselves around being the best we can possibly be. Similarly, we don’t subscribe to rigid or classical expectations of roles – i.e. acquisition is hyper\-focused on improving customer retention and experience.
**We Are Focused and Work Without Assumption** 
 : We are not beholden to ideas. We have goals and believe everything beyond that is a series of hypotheses to validate. To that end, we seek to work in sequence and not in parallel. We constantly ask ourselves, “what’s the most important hypothesis I should be working on right now? How do I confirm or reject that hypothesis as fast as possible?”. We rarely have timelines/deadlines and are constantly taking in new information and adjusting our priorities accordingly. We don’t expect to be perfect the first time.
**How You’ll Make An Impact**
* Lead the end\-to\-end lifecycle of complex systems and features, from planning through maintenance, ensuring long\-term sustainability
* Improve team execution by refining processes, tools, and practices that raise the bar for everyone
* Collaborate with product managers, engineers, designers, and business stakeholders to shape strategy and achieve our goals
* Contribute to our engineering culture and mentor the team through knowledge sharing, feedback, and design and incident reviews
* Work our stack (TypeScript, Node.js, React, OpenAPI, AWS), but embrace learning and applying new tools as needed
**We’re Excited About You Because**
* You lead by example and take full ownership over the success of the product, software and “pawd” (our name for cross\-functional teams)
* You are curious and regularly seek out ways to improve both our system and how we work
* You lead projects with impact beyond just your pawd’s domain and you bring others along
* You elevate others through mentorship, code reviews and clear feedback
* You welcome diverse opinions and actively seek input to challenge your assumptions
* You see the value in communicating key decisions, tradeoffs and practices through writing
* You are committed to furthering the mission of The Farmer’s Dog
 Office Guidelines
 We are an in\-office culture, made of in\-office people who thrive on the collaboration and magnetism of working in a shared space. We are seeking individuals who excel in this type of environment, where being present fosters deeper connections and engagement.
**Our Belonging Philosophy**
 At TFD, we believe Belonging is a shared commitment to creating a workplace where every person feels respected, valued, and empowered to be themselves. When people feel a true sense of belonging, they do their best work, take smart risks, and bring forward diverse perspectives — leading to stronger decisions and deeper relationships.
 We anchor this belief in a simple phrase: “Everyone’s welcome at the dog park.” No matter your background, identity, or role, there’s space for you here. There’s no one way to show up at the dog park— just shared space, mutual respect, and the freedom to be yourself. Being included is just the beginning, it’s about contributing your voice, growing through challenges, and building trust through shared goals. This philosophy guides how we lead, how we hire, how we communicate, and how we grow.
 We continuously evaluate to ensure we are creating a consistent experience that cultivates belonging for all employees, from hiring and performance reviews to talent development. We also believe Belonging happens in everyday moments of connection; lunch with a new teammate, a shared laugh, or a quick story about your weekend. Our structure includes biannual employee surveys, manager training, TFD camps, and support from Humans to ensure we’re listening and learning from our Team.
 Together, these efforts reflect what Belonging means at TFD: a culture where everyone can thrive.
**A Few Of Our Best Benefits**
* Dog\-friendly office in Greenwich Village
* Market\-competitive compensation and equity packages
* Comprehensive Healthcare, Dental, and Vision
* Company supported mental health benefits
* 12 week paid parental leave
* Competitive 401k plan with company match
* Flexible PTO
* Discounted fresh food for your pup
* Your pet interrupting video calls (and in\-person meetings) is now a feature, not a bug
 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**For this role the anticipated hiring base compensation range is $205,000\.00 \- $240,000\.00 USD Annual and the compensation offered will include a robust market competitive package of base and equity.** 
 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
**Equal Employment Opportunity Statement**
 The Farmer's Dog, Inc. is an equal employment opportunity employer and does not discriminate in hiring on the basis of sex, gender identity, sexual orientation, race, color, religion, creed, national origin, physical or mental disability, protected veteran status or any other legally protected characteristic or status. For more information, please visit Know Your Rights.
 Reasonable Accommodations
 TFD complies with applicable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humansops@thefarmersdog.com.
**We’re Here to Help**
 We’re happy to answer any questions you may have about the position or our hiring process \- please reach out at careers@thefarmersdog.com.
 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For this role the anticipated hiring base compensation range is USD annual and the compensation offered will include a robust market competitive package of base and equity. 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
 NYC Pay Range
 $205,000—$220,000 USD</t>
        </is>
      </c>
    </row>
    <row r="16">
      <c r="A16" t="inlineStr">
        <is>
          <t>li-4321472740</t>
        </is>
      </c>
      <c r="B16" t="inlineStr">
        <is>
          <t>Senior Software Engineer</t>
        </is>
      </c>
      <c r="C16" t="inlineStr">
        <is>
          <t>Orama Solutions</t>
        </is>
      </c>
      <c r="D16" t="inlineStr">
        <is>
          <t>linkedin</t>
        </is>
      </c>
      <c r="E16" t="inlineStr"/>
      <c r="F16" t="inlineStr"/>
      <c r="G16" t="inlineStr">
        <is>
          <t>Austin, TX</t>
        </is>
      </c>
      <c r="H16" t="inlineStr"/>
      <c r="I16" t="inlineStr">
        <is>
          <t>**We’re hiring: Backend Senior Software Engineer – Austin, TX – Hybrid (
 *note: this role is not available for c2c or sponsorship at this time)***
 Orama has exclusively partnered with an Austin\-based fintech company that is rapidly modernizing a $20B industry that hasn’t meaningfully changed in 25\+ years. We are looking for Senior Developers/Team Leads to join the team.
**Why this is worth a senior engineer’s attention:** 
* $0 → \~$4M ARR in \~12 months, now tracking \~$4M run\-rate by January, ahead of pace on the classic
 *triple\-triple\-triple\-double\-double* 
 growth model
* Platform processes high\-volume, regulated financial workflows (payments, messaging, compliance) touching tens of millions of consumers annually
* Backed by Texas\-based VC Firm, securing $9M in funding
* Lean but impactful team of 9 engineers \+ CTO. We recently hired at PostgreSQL DBA to lead on the data front for the team
**What senior engineers actually do here:** 
* Own and evolve backend\-first systems (Go\-based services; strong Java/Python/C engineers ramp in \~30–45 days)
* Design event\-driven, distributed systems that handle real throughput and real dollars
* Make architectural decisions that go straight to production \- not roadmaps that sit for quarters
* Influence everything from data models to reliability to how the company scales engineering
* No bureaucracy or internal politics \- no committees, no multi\-department approvals, no waiting weeks to ship; decisions are fast and ownership is real
**What we need you to bring:** 
* Expertise in Go, Java, Python, or C\# (the backend services are in Go but the CTO can ramp a strong dev in 30\-45 days)
* Event\-driven system architecture experience \+ strong design experience
* Experience with efficient SQL and design scalable relational schemas
* Contribute to production reliability, observability, and CI/CD pipelines
* AWS experience preferred
**Added bonuses:** 
* Prior payments experience with data encryption experience
* Startup experience
 This is not a “join early and wait” role \- this platform is already in production, already scaling, and now deliberately hiring senior engineers and team\-lead\-level builders to shape the next phase.</t>
        </is>
      </c>
    </row>
    <row r="17">
      <c r="A17" t="inlineStr">
        <is>
          <t>li-4355922909</t>
        </is>
      </c>
      <c r="B17" t="inlineStr">
        <is>
          <t>Software Engineer</t>
        </is>
      </c>
      <c r="C17" t="inlineStr">
        <is>
          <t>SoTalent</t>
        </is>
      </c>
      <c r="D17" t="inlineStr">
        <is>
          <t>linkedin</t>
        </is>
      </c>
      <c r="E17" t="inlineStr"/>
      <c r="F17" t="inlineStr"/>
      <c r="G17" t="inlineStr">
        <is>
          <t>Needham, MA</t>
        </is>
      </c>
      <c r="H17" t="inlineStr"/>
      <c r="I17" t="inlineStr">
        <is>
          <t>**Software Engineer (Embedded Systems)** 
 📍 Needham, MA
 💼
 **Industry:** 
 Consumer Electronics / Smart Home Technology
 💰
 **Full Pay Range:** 
 $108,800 – $184,000 (depending on skills, experience \&amp; location)
**About the Role** 
 This is a general talent pool posting for future openings within embedded software, cloud, and mobile app development. The engineering team builds intelligent, connected consumer products that integrate hardware, software, robotics, connectivity, and cloud\-based intelligence.
 Engineers collaborate across multidisciplinary teams to create smart home products that evolve and improve over time.
**Key Responsibilities** 
* Develop and maintain embedded software in
 **C/C\+\+** 
 for microcontrollers, RTOS, and connected devices
* Collaborate with hardware, robotics, cloud, and mobile teams on full product ecosystems
* Create, run, and automate tests to ensure reliability, safety, and consumer\-ready quality
* Debug and optimize performance (memory, power usage, real\-time behavior)
* Document software designs and contribute to continuous platform improvements
**What You’ll Bring** 
* Bachelor’s degree in
 **Computer Engineering, Electrical Engineering, Computer Science** 
 , or related field
* Strong background in
 **embedded systems** 
 , C/C\+\+, RTOS, and hardware/software integration
* Experience with
 **I2C, SPI, UART, BLE, WiFi**
* Interest in building connected consumer products
* Curiosity, adaptability, and a collaborative engineering mindset
**Preferred** 
* Experience with
 **IoT ecosystems** 
 , cloud\-to\-device connectivity, or mobile app integration
* Python or scripting experience for automation/testing
* Background in
 **robotics** 
 or consumer electronics
**Benefits** 
 (Eligibility may vary)
* Medical, dental, vision insurance
* Flexible spending accounts, HSA with employer contribution
* 401(k) with matching
* Employee stock purchase program
* Life, AD\&amp;D, short\- \&amp; long\-term disability
* Generous paid time off \&amp; holidays
* Parental leave
* Back\-up childcare \&amp; eldercare
* Product discounts
* Wellness programs
* Referral bonuses</t>
        </is>
      </c>
    </row>
    <row r="18">
      <c r="A18" t="inlineStr">
        <is>
          <t>li-4365755820</t>
        </is>
      </c>
      <c r="B18" t="inlineStr">
        <is>
          <t>Backend Engineer (Python, SQL)</t>
        </is>
      </c>
      <c r="C18" t="inlineStr">
        <is>
          <t>Sift</t>
        </is>
      </c>
      <c r="D18" t="inlineStr">
        <is>
          <t>linkedin</t>
        </is>
      </c>
      <c r="E18" t="inlineStr"/>
      <c r="F18" t="inlineStr"/>
      <c r="G18" t="inlineStr"/>
      <c r="H18" t="inlineStr"/>
      <c r="I18" t="inlineStr">
        <is>
          <t>**About The Company**
 Sift is at the forefront of revolutionizing how modern machinery is built, tested, and operated. Our innovative platform provides engineers with real\-time observability over high\-frequency telemetry data, eliminating bottlenecks and enabling faster, more reliable development cycles. With roots in pioneering aerospace and technology companies such as SpaceX, Google, and Palantir, Sift specializes in mission\-critical systems where precision, scalability, and reliability are paramount. Our work supports high\-stakes projects including the Dragon, Falcon, Starlink, and Starship programs, where robust telemetry infrastructure is essential for success. Our team is committed to pushing the boundaries of data infrastructure, building foundational systems that empower some of the most advanced engineering teams worldwide.
**About The Role**
 We are seeking an experienced Data Infrastructure Engineer to join our dynamic team. In this role, you will be instrumental in designing, developing, and scaling our real\-time telemetry platform. Your work will involve creating a horizontally scalable system capable of ingesting millions of hardware sensor data points per second, developing durable and efficient database solutions for real\-time analytics, and pioneering innovative data architecture utilizing cloud\-native and diskless storage designs. You will collaborate closely with cross\-functional teams to define engineering standards, review architectures, and implement scalable solutions. This position offers an exciting opportunity to influence the core infrastructure that supports mission\-critical systems, working on complex backend systems and utilizing cutting\-edge technologies to meet demanding performance and reliability standards.
**Qualifications**
* Bachelor's degree in Computer Science, Engineering, Physics, or a related STEM field
* 7\+ years of experience in backend, infrastructure, or data engineering roles
* Hands\-on experience with event\-time\-based stream processing or streaming SQL systems such as Apache Flink, Kafka Streams, Beam, or similar
* Proficiency with relational and time\-series databases including PostgreSQL, Druid, Pinot, TimescaleDB, or equivalent
* Experience with large\-scale distributed systems or low\-latency backend services, preferably written in Go, Rust, or Python
* Familiarity with DevOps practices and cloud infrastructure tools like Kubernetes, Prometheus, ArgoCD, and Terraform
* Strong communication skills and a collaborative approach to problem\-solving
**Responsibilities**
* Design and implement a horizontally scalable platform capable of ingesting millions of sensor data points per second
* Develop durable, high\-performance database solutions to support real\-time data reads and large\-scale analytics workloads
* Lead innovation in data architecture by integrating recent advancements in streaming, storage, and cloud\-native technologies
* Define and uphold engineering standards, best practices, and development processes
* Collaborate with cross\-disciplinary teams on architecture design, code reviews, and system scaling strategies
* Contribute to the continuous improvement of our data infrastructure and backend systems
* Stay current with emerging data paradigms and evaluate new tools and techniques for potential integration
**Benefits**
* Competitive salary range of $200,000 \- $250,000 per year
* Equity options to share in the company's growth and success
* Comprehensive benefits package including health, dental, and vision insurance
* Flexible work arrangements with in\-person collaboration twice a week and periodic full\-week gatherings
* Opportunities for professional development and continuous learning in cutting\-edge technologies
* Collaborative and innovative work environment with a talented team of engineers
 Equal Opportunity
 Sift is an equal opportunity employer. We celebrate diversity and are committed to creating an inclusive environment for all employees. We do not discriminate based on race, ethnicity, gender, age, sexual orientation, disability, or any other protected class. All qualified applicants will receive consideration for employment without regard to any protected characteristic.</t>
        </is>
      </c>
    </row>
    <row r="19">
      <c r="A19" t="inlineStr">
        <is>
          <t>li-4365767480</t>
        </is>
      </c>
      <c r="B19" t="inlineStr">
        <is>
          <t>Full Stack Engineer</t>
        </is>
      </c>
      <c r="C19" t="inlineStr">
        <is>
          <t>Starboard</t>
        </is>
      </c>
      <c r="D19" t="inlineStr">
        <is>
          <t>linkedin</t>
        </is>
      </c>
      <c r="E19" t="inlineStr"/>
      <c r="F19" t="inlineStr"/>
      <c r="G19" t="inlineStr">
        <is>
          <t>New York, NY</t>
        </is>
      </c>
      <c r="H19" t="inlineStr"/>
      <c r="I19" t="inlineStr">
        <is>
          <t>Role: Sr. Full Stack Engineer
 Open to Toronto/NYC (On\-site)
 Full Time
 Compensation: $180,000 \- $240,000; 0\.25\-0\.75% equity
**About Starboard** 
 Starboard is building the default agentic OS for global trade. We write software to help freight forwarders. If you don’t know what a freight forwarder is – no worries, we will teach you! In short, they are responsible for logistics of moving physical things across the planet. It's an underserved market, ripe for disruption with AI. Our software ingests complex rate sheets (pricing for moving shipping containers, air cargo, trucking) and uses agentic and deterministic programming to accurately store these rates in a structured database. Our software then helps the forwarders quote rapidly. We have agents that operate directly from the freight forwarders email inbox, and a web\-app. Our stack is PostgreSQL \&amp; PostGIS, Next.js (frontend), Python (backend, agents), Golang (API). 
 Our vision is to build the automated global marketplace for freight. We’re expanding our core systems to support massive scale: many autonomous agents operating safely, deterministically, and in real time across global logistics workflows. If you want to build foundational systems, not just features, this is the role for you.
 We’ve raised over $5\.5M from top investors including Eclipse Capital, Garuda Ventures, OTPP and Everywhere Ventures and are HQ’d in Toronto and NY. 
**The Role** 
 We’re looking for a Full Stack Engineer with a backend/platform bias to help design and build Starboard’s core infrastructure. 
 We need you to jump in with both feet and  this is a startup, and the job description won’t always match the job. You’ll sit at the intersection of distributed systems, cloud infrastructure, and AI\-enabled platforms, owning the systems that serve as the source of truth for our agents. This is a high\-ownership, high\-impact role working closely with the founding team and AI engineers.
 We value speed over syntax. We practice high level architecture and agent based coding. You’ll be able to use Claude, Codex, Copilot on the job and in the interview, and will be judged on the system you design, not how you program it. 
 In this role you will:
* Build and operate Starboard’s core platform and cloud infrastructure powering real\-time, agent\-driven trade workflows.
* Design and own high\-scale CRUD systems and APIs for rates, quotes, shipments, customers, and marketplace data.
* Build event\-driven systems and deterministic interfaces that allow autonomous agents to read/write state safely and reliably.
* Architect for performance, reliability, and observability (milliseconds matter).
* Partner closely with AI engineers and founders to translate complex logistics workflows into clean system models.
* Take end\-to\-end ownership of foundational systems and raise the technical bar as the team scales.
**Why You Should Join Us** 
* Build the foundational AI infrastructure for one of the largest critical industries in the world ($2T\+ global trade).
* Work directly with deeply invested founders and a lightning\-fast engineering culture.
* Ship products that immediately touch real revenue with global customers.
* Solve unstructured, messy real\-world problems at massive scale.
* Competitive compensation and equity ownership in a company redefining how global trade operates.
**Qualifications** 
* Experience in backend, platform, or infrastructure engineering
* Strong experience with TypeScript/Node, Python, Go, or similar
* Solid understanding of cloud infrastructure, containers, and orchestration
* Experience designing and operating high\-scale CRUD systems
* Hands\-on experience with event\-driven or distributed systems
* Strong data modeling instincts \- you can move fast without breaking integrity
* High ownership mindset; comfortable operating in ambiguity
* Curious, pragmatic, and impact\-driven \- you go where the leverage is
 Nice to Haves:
* Experience in B2B SaaS  logistics, marketplaces, fintech, or other complex domains
* Exposure to agent frameworks, LLM\-driven systems, or AI infrastructure
* Experience optimizing performance\-sensitive or compute\-heavy workloads
* Early\-stage startup experience is an asset
**Benefits** 
* **Compensation: $180,000 \- $240,000 (base \+ bonus);** 
 0\.25\-0\.75% equity
* Daily paid lunches in office
* Company provided laptop and equipment</t>
        </is>
      </c>
    </row>
    <row r="20">
      <c r="A20" t="inlineStr">
        <is>
          <t>li-4321522932</t>
        </is>
      </c>
      <c r="B20" t="inlineStr">
        <is>
          <t>Founding Software Engineer</t>
        </is>
      </c>
      <c r="C20" t="inlineStr">
        <is>
          <t>RemoteHunter</t>
        </is>
      </c>
      <c r="D20" t="inlineStr">
        <is>
          <t>linkedin</t>
        </is>
      </c>
      <c r="E20" t="inlineStr"/>
      <c r="F20" t="inlineStr"/>
      <c r="G20" t="inlineStr"/>
      <c r="H20" t="inlineStr"/>
      <c r="I20" t="inlineStr">
        <is>
          <t>About the Opportunity:
 This team is seeking a Founding Software Engineer to build the core agentic AI engine of their product. The role involves designing and shipping AI systems that perform real\-world tasks end\-to\-end. It focuses on building reliable, production\-grade AI workflows to solve concrete customer problems, working directly with founders and the CTO.
 Responsibilities:
 • Design and develop AI agents that plan, execute, and verify complex real\-world processes
 • Build production\-grade AI workflows for audit and other enterprise applications
 • Shape core product architecture and influence AI agent behavior
 • Collaborate closely with users to iterate rapidly and ship impactful features
 • Take high ownership of early\-stage product development
 Requirements:
 • Minimum 3 years of software engineering experience
 • Experience with applied AI engineering and full\-stack development
 • Skilled in building production\-grade agentic AI systems
 • Ability to design and ship core AI engine features
 • Comfortable working in ambiguous environments with practical problem solving and product focus
 Interview Process:
 • Phone Screen: Informal conversation with a founder to discuss background, goals, and product vision
 • Remote Technical Screen (1 hour): Hands\-on session solving practical problems; language\-agnostic, preferred tools allowed
 • Onsite Interview (Half Day): Collaboration on end\-to\-end feature\-building exercises, discussion of roadmap and culture
 • Typical timeline: 1 to 2 weeks, accommodating candidates with tight schedules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1">
      <c r="A21" t="inlineStr">
        <is>
          <t>li-4365782389</t>
        </is>
      </c>
      <c r="B21" t="inlineStr">
        <is>
          <t>Software Engineer (Go)</t>
        </is>
      </c>
      <c r="C21" t="inlineStr">
        <is>
          <t>Matrice AI</t>
        </is>
      </c>
      <c r="D21" t="inlineStr">
        <is>
          <t>linkedin</t>
        </is>
      </c>
      <c r="E21" t="inlineStr"/>
      <c r="F21" t="inlineStr"/>
      <c r="G21" t="inlineStr"/>
      <c r="H21" t="inlineStr"/>
      <c r="I21" t="inlineStr">
        <is>
          <t>Application Deadline: January 31, 2026
 Apply Link: https://forms.gle/vM3PjRNQk257cK9j6
 About Matrice AI
 Matrice AI develops AI\-driven solutions using machine learning to address real\-world challenges across industries.
 What You'll Do
 * Design, develop, and maintain back\-end services and APIs using Go
* Build scalable, high\-performance, and secure data management solutions with MongoDB
* Build and optimize RESTful APIs to integrate with ML models and external systems
* Collaborate with data scientists and front\-end developers to create end\-to\-end AI\-powered applications
* Implement best practices: clean, maintainable, and well\-documented code
* Apply algorithms, data structures, and CS principles to optimize back\-end performance
* Troubleshoot, debug, and optimize existing systems for scalability and reliability
* Ensure security and integrity of back\-end systems and data
* Stay current with back\-end technologies and ML integration
 What We're Looking For
 * Proven experience as a Software Engineer with proficiency in Go for back\-end development (all experience levels welcome)
* Strong experience with MongoDB or other NoSQL databases
* Deep understanding of algorithms, data structures, and CS principles
* Experience developing and deploying RESTful APIs
* Strong problem\-solving skills, solid software engineering foundation, and ability to write efficient, scalable code
* Knowledge of version control tools like Git
* Ability to work effectively in a collaborative, team\-oriented environment
* Excellent communication skills and ability to explain complex technical concepts to non\-technical stakeholders
* Bachelor's degree in Computer Science, Software Engineering, or related field, or equivalent practical experience
 Why Join Matrice?
 Own critical back\-end systems end\-to\-end and deliver 10/10 quality with security and reliability built in. High\-trust, remote\-first team that prioritizes growth, leadership, and customer trust. We offer competitive compensation, a learning and development budget for advancing your technical expertise, flexible work arrangements, and a collaborative culture where your systems thinking and reliability make a direct impact.</t>
        </is>
      </c>
    </row>
    <row r="22">
      <c r="A22" t="inlineStr">
        <is>
          <t>li-4321328932</t>
        </is>
      </c>
      <c r="B22" t="inlineStr">
        <is>
          <t>Senior Software Engineer</t>
        </is>
      </c>
      <c r="C22" t="inlineStr">
        <is>
          <t>RemoteHunter</t>
        </is>
      </c>
      <c r="D22" t="inlineStr">
        <is>
          <t>linkedin</t>
        </is>
      </c>
      <c r="E22" t="inlineStr"/>
      <c r="F22" t="inlineStr"/>
      <c r="G22" t="inlineStr"/>
      <c r="H22" t="inlineStr"/>
      <c r="I22" t="inlineStr">
        <is>
          <t>About the Opportunity:
 This organization is developing next\-generation tools to help educators understand student performance, take timely action, and improve outcomes. The Senior Software Engineer role involves designing and delivering a modern, scalable platform with a single\-page application front\-end framework (VueJS/ReactJS), C\#\-based microservices, and AWS\-native infrastructure, integrating with modern data warehouse and analytics platforms. The role requires close collaboration with product, UX, and data teams to create intuitive, high\-performing features for teachers and school leaders.
 Responsibilities:
 • Design and build front\-end experiences using VueJS/ReactJS
 • Develop rich, responsive applications, dashboards, and reporting workflows
 • Implement reusable components, state management, and scalable front\-end architecture
 • Design and implement backend microservices (primarily in C\#/.NET) for reporting, data access, and business logic
 • Build and consume APIs and data services integrating with modern data warehouses (Clickhouse, Amazon Redshift, BigQuery, Databricks)
 • Collaborate with data engineers to optimize reporting services for performance and scalability
 • Design and implement AWS services (ECS/Lambda, API Gateway, S3, RDS/Redshift, CloudWatch)
 • Advocate and implement best practices for scalability, resilience, security, and cost optimization
 • Champion automated testing, code reviews, and observability (logging, metrics, alerting)
 • Assist in evolving CI/CD pipelines and deployment practices
 • Work with Product Managers and UX Designers to refine requirements and deliver user\-centric solutions
 • Mentor junior and mid\-level engineers and establish engineering standards and practices
 • Participate in technical design discussions and architecture reviews
 Requirements:
 • 5\+ years of professional software engineering experience
 • Strong experience building single\-page applications with React or VueJS (hooks, component patterns, state management, performance optimization)
 • Hands\-on experience designing and building microservices, preferably with C\#/.NET in production
 • AWS experience including design, deployment, and operation of core AWS services
 • Experience working with or integrating against modern data warehouses such as Clickhouse or Amazon Redshift
 • Solid understanding of RESTful APIs, distributed systems, and event\-driven architectures
 • Strong software engineering practices including code reviews, unit and integration testing, version control, and CI/CD
 • Excellent communication skills and ability to work effectively in a cross\-functional, agile team
 Nice to Have:
 • Experience with Python for services, data processing, or automation
 • Background in K–12 education, edtech, or reporting/analytics systems
 • Experience with ETL/ELT tools and patterns (AWS Glue, custom pipelines)
 • Familiarity with Infrastructure as Code (CloudFormation, CDK)
 • Experience with modern data stores (PostgreSQL, SQL Server, DynamoDB, or other NoSQL)
 • Knowledge of observability tools (CloudWatch, Datadog, New Relic)
 • Experience with authentication and authorization frameworks (OAuth2, OpenID Connect, Cognito)
 Benefits \&amp; Perks:
 • Remote First work environment offering flexibility and trust to balance work and life
 • Culture focused on collaboration and inclusivity regardless of location
 • Requirement for reliable internet connection with minimum 10 Mbps download and 5 Mbps upload speeds for remote work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
      <c r="A23" t="inlineStr">
        <is>
          <t>li-4321423269</t>
        </is>
      </c>
      <c r="B23" t="inlineStr">
        <is>
          <t>Senior Software Engineer - Applied Machine Learning, Engine</t>
        </is>
      </c>
      <c r="C23" t="inlineStr">
        <is>
          <t>ByteDance</t>
        </is>
      </c>
      <c r="D23" t="inlineStr">
        <is>
          <t>linkedin</t>
        </is>
      </c>
      <c r="E23" t="inlineStr"/>
      <c r="F23" t="inlineStr"/>
      <c r="G23" t="inlineStr">
        <is>
          <t>San Jose, CA</t>
        </is>
      </c>
      <c r="H23" t="inlineStr"/>
      <c r="I23" t="inlineStr">
        <is>
          <t>**Responsibilities**
 About The Team
 The Applied Machine Learning (AML) team combines system engineering and the art of machine learning to develop and run massively distributed recommendation systems around the world.
 In the team, you'll have the opportunity to sharpen your expertise in coding, performance analysis and large system operation, and get heavily involved in the process of hardware/capacity decision\-making.
 The efficiency tools team provides a high\-quality tool platform and technical outputs for the efficiency and training of online models and the management of the team's massive hardware resources.
 Responsibilities:
 \- Research, design, and develop computer and network software or specialised utility programs.
 \- Analyse user needs and develop software solutions, applying principles and techniques of computer science, engineering, and mathematical analysis.
 \- Update software, enhances existing software capabilities, and develops and direct software testing and validation procedures.
 \- Work with computer hardware engineers to integrate hardware and software systems and develop specifications and performance requirements.
 \- Research, design, and develop computer and network software or specialised utility programs.
 \- Analyse user needs and develop software solutions, applying principles and techniques of computer science, engineering, and mathematical analysis.
 \- Update software, enhances existing software capabilities, and develops and direct software testing and validation procedures.
**Qualifications**
 Minimum Qualifications:
 1\. Proficient in at least one of Python/Golang/C\+\+, with solid coding skills and good coding practices.
 2\. Proficient in using common storage and middleware systems such as MySQL, Redis, and MQ, with basic troubleshooting and performance tuning capabilities.
 3\. Familiar with Python frameworks and libraries such as Flask, Celery, Django, Tornado, NumPy; or familiar with common Go open\-source frameworks such as Beego, Gin, Gorm, Sarama, and gRPC\-Go.
 4\. Understand and have experience with common time\-series/data components such as OpenTSDB, Prometheus, InfluxDB, and OLAP databases like ClickHouse.
 5\. Strong sense of responsibility, good learning ability, communication skills, and self\-motivation, with solid team collaboration.
 6\. Good documentation habits, able to write and update workflow and technical documents in a timely manner as required.
 Preferred Qualifications:
 1\. Experience in upper\-layer business systems such as search systems or recommendation systems (development or operations) is a plus.
 2\. Experience with the React framework and its ecosystem; familiarity with visualization stacks such as ECharts, AntV, and D3\.js is preferred.
 3\. Hands\-on experience with AI Agent development is preferred.
 4\. Familiarity with cloud computing concepts, including virtual machines and containers; a solid understanding of networking and message queues is a plus.
 5\. Experience building CPU/GPU resource management platforms; familiarity with common NVIDIA GPU architectures; and experience with anomaly diagnosis and troubleshooting is preferred.
 6\. Experience with distributed storage systems such as HDFS and key\-value stores like LevelDB/RocksDB is preferred.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$438000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4">
      <c r="A24" t="inlineStr">
        <is>
          <t>li-4365785305</t>
        </is>
      </c>
      <c r="B24" t="inlineStr">
        <is>
          <t>Staff Software Engineer</t>
        </is>
      </c>
      <c r="C24" t="inlineStr">
        <is>
          <t>Confero</t>
        </is>
      </c>
      <c r="D24" t="inlineStr">
        <is>
          <t>linkedin</t>
        </is>
      </c>
      <c r="E24" t="inlineStr"/>
      <c r="F24" t="inlineStr"/>
      <c r="G24" t="inlineStr"/>
      <c r="H24" t="inlineStr"/>
      <c r="I24" t="inlineStr">
        <is>
          <t>Senior / Staff Software Engineer \-
 **AI Application Security Platform** 
 San Francisco Bay Area or Remote (US)
 Confero are working with an AI security startup that is rebuilding how application security works inside dev teams \- building a security platform that runs directly in CI and pull requests.
 Rather than flagging every theoretical issue, the system decides whether a code change is
 **actually exploitable** 
 by analysing real execution paths/framework behaviour, surfacing only issues that matter and can be acted on.
**If there is no real risk, it stays quiet.** 
 This results in highly reduced false positives and allows security teams to focus on real threats.
 They are early\-stage, well\-funded, and already working with enterprise customers. The founding team comes from top\-tier security and offensive research backgrounds.
**What you’ll work on** 
* Core analysis engines that reason about real\-world exploitability
* Backend systems that scale across repositories, pull requests, and large codebases
* Combining static analysis, program context, and AI models to understand execution paths
* Designing systems where accuracy matters more than volume or alerts
* Shipping developer\-first security tooling used directly inside engineering workflows
**What they’re looking for** 
* Strong backend or full\-stack engineer with experience building complex systems
* Background in application security, secure software, or deep systems work
* Comfort working in early\-stage environments with high ownership and ambiguity
* Strong fundamentals in software architecture, performance, and correctness
 This is a hands\-on IC role with real influence over the product and technical direction, at a company tackling one of the hardest problems in modern AppSec.</t>
        </is>
      </c>
    </row>
    <row r="25">
      <c r="A25" t="inlineStr">
        <is>
          <t>li-4321348944</t>
        </is>
      </c>
      <c r="B25" t="inlineStr">
        <is>
          <t>Software Engineer II, Backend (Credit Decisioning)</t>
        </is>
      </c>
      <c r="C25" t="inlineStr">
        <is>
          <t>Affirm</t>
        </is>
      </c>
      <c r="D25" t="inlineStr">
        <is>
          <t>linkedin</t>
        </is>
      </c>
      <c r="E25" t="inlineStr"/>
      <c r="F25" t="inlineStr"/>
      <c r="G25" t="inlineStr">
        <is>
          <t>San Francisco, CA</t>
        </is>
      </c>
      <c r="H25" t="inlineStr"/>
      <c r="I25"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Core sub\-team, which focuses on building the foundations and credit levers for scaling our underwriting and providing responsible access to credit. A key part of this team's work involves developing new underwriting features and products to expand Affirm's product offerings and enable sustainable growth.
 Working closely with cross\-functional partners in Engineering, ML,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6">
      <c r="A26" t="inlineStr">
        <is>
          <t>li-4321408892</t>
        </is>
      </c>
      <c r="B26" t="inlineStr">
        <is>
          <t>Senior Software Engineer, Payments</t>
        </is>
      </c>
      <c r="C26" t="inlineStr">
        <is>
          <t>RemoteHunter</t>
        </is>
      </c>
      <c r="D26" t="inlineStr">
        <is>
          <t>linkedin</t>
        </is>
      </c>
      <c r="E26" t="inlineStr"/>
      <c r="F26" t="inlineStr"/>
      <c r="G26" t="inlineStr"/>
      <c r="H26" t="inlineStr"/>
      <c r="I26" t="inlineStr">
        <is>
          <t>About the Opportunity:
 This team is focused on redefining access to financial services in a digital world by combining blockchain technology with simple user experiences to make digital currencies accessible and usable. The organization operates the largest network of cryptocurrency kiosks nationwide and provides infrastructure for businesses to launch crypto capabilities quickly through a modular, API\-first Crypto\-as\-a\-Service platform. The Senior Software Engineer, Payments role is to enable the organization and its customers to manage the flow of funds by building software and integrations supporting fiat and crypto transactions.
 Responsibilities:
 • Design solutions for complex technical and business problems
 • Develop software systems and components for a rapidly growing business
 • Write performant, maintainable code while iterating and shipping rapidly
 • Work within backend architecture and technology stack including Java 17\+, Project Reactor, Spring Boot, CQRS, Event Sourcing, microservices, RESTful APIs, event\-driven design, webhooks, server\-sent events, Axon Framework, Kafka, Kubernetes, Helm, Argo, MySQL, MongoDB, and AWS
 • Author and maintain unit and integration tests
 • Collaborate with Scrum team to plan sprints and deliver features
 • Drive engineering excellence, operational stability, and security across platform layers
 • Participate in design and architecture discussions
 • Collaborate with cross\-functional stakeholders to execute and deliver features
 • Work with Engineering Leadership to promote best practices in development, testing, and production operations
 • Mentor other engineers and support their career growth
 • Contribute to recruiting efforts
 Requirements:
 • Bachelor’s degree in Computer Science, Software Engineering, or equivalent experience
 • 5\+ years of software development experience
 • Experience building scalable services and distributed systems in Java or similar object\-oriented language
 • Experience leading technical designs within a team
 • Ability to write readable, scalable, and instrumented code
 • Experience in a fast\-paced Agile environment
 • Effective communication with users, technical teams, and product for requirements and designs
 • Passion for cryptocurrency and blockchain technology
 • Proficiency in Java and Spring Boot
 • Experience with microservice environments
 • Experience with Kafka, RabbitMQ, ActiveMQ, or similar technologies
 • Experience developing RESTful APIs for synchronous flows
 • Experience with MySQL and MongoDB or similar NoSQL databases
 • Experience with Kubernetes or cloud development platforms
 Benefits \&amp; Perks:
 No specific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7">
      <c r="A27" t="inlineStr">
        <is>
          <t>li-4365768644</t>
        </is>
      </c>
      <c r="B27" t="inlineStr">
        <is>
          <t>Staff Frontend Software Engineer</t>
        </is>
      </c>
      <c r="C27" t="inlineStr">
        <is>
          <t>Sirona Medical</t>
        </is>
      </c>
      <c r="D27" t="inlineStr">
        <is>
          <t>linkedin</t>
        </is>
      </c>
      <c r="E27" t="inlineStr"/>
      <c r="F27" t="inlineStr"/>
      <c r="G27" t="inlineStr"/>
      <c r="H27" t="inlineStr"/>
      <c r="I27" t="inlineStr">
        <is>
          <t>**About Sirona Medical**
 At
 **Sirona Medical** 
 , we’re building software that enables physicians to work as fast as they can think.
 Each year in the U.S.,
 **billions of patient images** 
 are captured—and nearly all of them are reviewed and diagnosed by radiologists. These specialists are the central hub of diagnostic medicine:
 **over 80% of all healthcare data flows through radiology IT systems** 
 . Yet despite their pivotal role, radiologists are overburdened by outdated, fragmented software which limits their efficiency and ultimately the quality and efficiency of care that health systems can provide patients. That’s where Sirona comes in.
 We’re a
 **San Francisco\-based, cloud\-native software company** 
 with employees around the world. Our deep understanding of both the
 **practice and business of radiology** 
 has allowed us to build
 **RadOS** 
 —a unified, AI\-powered operating system powering the entire radiology workflows.
**How Sirona Solves the Problem**
 Sirona Is Uniquely Positioned To Transform The Way Radiology Is Practiced. We're Delivering The Organizational Shift That Both Individual Radiologists And Entire Practices Urgently Need
* A unified, intuitive, and platform\-agnostic solution
* A streamlined workspace that makes every part of the radiologist’s workflow faster and easier
* The freedom to read from anywhere, for anyone
 By cutting clicks, optimizing diagnostic time, and unlocking efficiencies that extend
 **far beyond the reading room into all care settings** 
 , Sirona empowers radiologists—and in doing so, we help the entire healthcare system move faster, smarter, and with greater impact on patient outcomes.
 For more information, please visit https://sironamedical.com/join/.
 Software Engineers (Frontend) at Sirona are responsible for the user\-facing applications and services we develop for reimagining the way doctors engage with medical images in the era of Computer Vision, NLP and Machine Learning. Software Engineers work in collaboration with our Product Designers, Product Managers and researchers/scientists to solve problems and further the application of technology in the radiology space. Their goal is to help doctors deliver the highest quality of care with the use of technology.
 This job is remote working from the United States but may require the employee to travel to our headquarters in San Francisco 2\-3 days per quarter for strategic working meetings. The first week of employment would include onsite onboarding in our San Francisco office.
**Key Responsibilities:**
* You’ll own technical vision and strategy for building and scaling our highly interactive and rich web applications
* You’ll lead across teams to solve large and open ended problems, devising reusable components and frameworks to power world class doctor experience
* Create trustworthy doctor experiences by building interfaces that are simple, easy to comprehend, performant and reliable using modern tools
* Collaborate with backend and quality engineers to spec, write, test, and deploy code
* Brainstorm features with product managers, designers, scientists and GTM team
* Turn our vision into a tangible roadmap every quarter by working with engineers, product managers and senior leadership
* Mentor and train other team members on design techniques and coding standards to raise the bar for the team
* Gather problem requirements from Product and customize feedback and create innovative solutions
* Review, plan and architect end\-to\-end solutions
* Focus on company goals and trade off solutions based on cost and value
* Run code reviews and pair programming with other engineers in the organization
* Contribute to strong testing practices to avoid regressions in the solutions provided
**Key Requirements:**
* 10\+ years Javascript experience
* 5\+ years React experience
* 2\+ years experience with JS type systems such as TypeScript
* 1\+ year GraphQL and/or VTK production experience
* Experience with Recoil, Redux or MobX
* WebGl, D3, Three.js knowledge nice to have
**Benefits:**
* Stock Options
* Medical, dental, vision insurance
* Life insurance
* Maternity and Paternity Leave
* Flexible time off
* 401K matching
* MacBook Pro
* Sponsorship for conferences, continuing education, etc.
 The annual US base salary range for this full\-time position is $175,000 \- $200,000 \+ equity \+ benefits. Pay scale is flexible depending on experience. Within the range, individual pay is determined by work location and additional factors, including job\-related skills, competencies, experience, relevant education and training. Your recruiter can share more about the specific salary range for your preferred location during the hiring process.</t>
        </is>
      </c>
    </row>
    <row r="28">
      <c r="A28" t="inlineStr">
        <is>
          <t>li-4321472472</t>
        </is>
      </c>
      <c r="B28" t="inlineStr">
        <is>
          <t>Software Engineer II - Pricing (REMOTE)</t>
        </is>
      </c>
      <c r="C28" t="inlineStr">
        <is>
          <t>RemoteHunter</t>
        </is>
      </c>
      <c r="D28" t="inlineStr">
        <is>
          <t>linkedin</t>
        </is>
      </c>
      <c r="E28" t="inlineStr"/>
      <c r="F28" t="inlineStr"/>
      <c r="G28" t="inlineStr"/>
      <c r="H28" t="inlineStr"/>
      <c r="I28" t="inlineStr">
        <is>
          <t>About the Opportunity:
 The organization focuses on leveraging sports to positively impact lives by equipping athletes to achieve their dreams. This role as a Software Engineer II on the Pricing team involves designing, developing, and maintaining distributed backend systems that enable pricing capabilities. The position emphasizes collaboration, full software development lifecycle participation, and building scalable, event\-driven systems using Microservices, Data Pipelines, and Producer\-Consumer architectures.
 Responsibilities:
 • Develop and enhance existing software; design new software to meet performance, security, and reliability standards
 • Monitor and resolve complex software defects, supporting junior team members
 • Produce concepts and prototypes for digital product/service design
 • Research and recommend optimizations to improve user and business outcomes
 • Manage software maintenance roadmap aligned with business priorities
 • Diagnose faults and implement timely resolutions
 • Assign and schedule short\-term team tasks based on backlog priorities
 • Participate in assessment, development planning, and training to grow team capabilities
 • Stay current with relevant technology, regulations, and industry best practices
 • Support program management goals within established plans
 • Guide database design and optimize database solutions for performance
 • Support collection and analysis of functional and technical requirements
 Requirements:
 • 1\+ years of software development experience with backend exposure
 • Strong understanding of web technologies and asynchronous programming
 • Experience building and consuming RESTful APIs
 • Familiarity with agile development methodologies
 • Collaborative mindset with eagerness to learn and support teammates
 • Strong problem\-solving skills and attention to detail
 • Experience or passion for pair programming and collaborative problem solving
 • Preferred experience with:
 \- Backend: Java/Kotlin, Spring Boot
 \- Testing: Unit testing frameworks, test coverage tools
 \- DevOps: Docker, Kubernetes, CI/CD pipelines
 \- Cloud platforms (AWS, GCP, Azure)
 \- Messaging/Event systems (Kafka, RabbitMQ)
 \- Version control with Git workflows
 \- Databases: Postgres and Elastic Search
 Benefits \&amp; Perks:
 • Collaborative and innovative team environment focused on continuous learning and growth
 • Opportunity to work on projects impacting pricing strategies and customer experience
 • Flexible remote work with access to on\-site amenities at a Pittsburgh campus
 • Career growth opportunities through mentorship, training, and advancement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9">
      <c r="A29" t="inlineStr">
        <is>
          <t>li-4321482795</t>
        </is>
      </c>
      <c r="B29" t="inlineStr">
        <is>
          <t>Software Engineer II, Backend (Credit Decisioning)</t>
        </is>
      </c>
      <c r="C29" t="inlineStr">
        <is>
          <t>Affirm</t>
        </is>
      </c>
      <c r="D29" t="inlineStr">
        <is>
          <t>linkedin</t>
        </is>
      </c>
      <c r="E29" t="inlineStr"/>
      <c r="F29" t="inlineStr"/>
      <c r="G29" t="inlineStr">
        <is>
          <t>Austin, TX</t>
        </is>
      </c>
      <c r="H29" t="inlineStr"/>
      <c r="I29"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Core sub\-team, which focuses on building the foundations and credit levers for scaling our underwriting and providing responsible access to credit. A key part of this team's work involves developing new underwriting features and products to expand Affirm's product offerings and enable sustainable growth.
 Working closely with cross\-functional partners in Engineering, ML,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0">
      <c r="A30" t="inlineStr">
        <is>
          <t>li-4321368857</t>
        </is>
      </c>
      <c r="B30" t="inlineStr">
        <is>
          <t>Software Engineer II, Backend (Credit Decisioning)</t>
        </is>
      </c>
      <c r="C30" t="inlineStr">
        <is>
          <t>Affirm</t>
        </is>
      </c>
      <c r="D30" t="inlineStr">
        <is>
          <t>linkedin</t>
        </is>
      </c>
      <c r="E30" t="inlineStr"/>
      <c r="F30" t="inlineStr"/>
      <c r="G30" t="inlineStr">
        <is>
          <t>Seattle, WA</t>
        </is>
      </c>
      <c r="H30" t="inlineStr"/>
      <c r="I30"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Core sub\-team, which focuses on building the foundations and credit levers for scaling our underwriting and providing responsible access to credit. A key part of this team's work involves developing new underwriting features and products to expand Affirm's product offerings and enable sustainable growth.
 Working closely with cross\-functional partners in Engineering, ML,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1">
      <c r="A31" t="inlineStr">
        <is>
          <t>li-4365801506</t>
        </is>
      </c>
      <c r="B31" t="inlineStr">
        <is>
          <t>Software Engineer II, Backend (Credit Decisioning)</t>
        </is>
      </c>
      <c r="C31" t="inlineStr">
        <is>
          <t>Affirm</t>
        </is>
      </c>
      <c r="D31" t="inlineStr">
        <is>
          <t>linkedin</t>
        </is>
      </c>
      <c r="E31" t="inlineStr"/>
      <c r="F31" t="inlineStr"/>
      <c r="G31" t="inlineStr">
        <is>
          <t>San Diego, CA</t>
        </is>
      </c>
      <c r="H31" t="inlineStr"/>
      <c r="I31"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Core sub\-team, which focuses on building the foundations and credit levers for scaling our underwriting and providing responsible access to credit. A key part of this team's work involves developing new underwriting features and products to expand Affirm's product offerings and enable sustainable growth.
 Working closely with cross\-functional partners in Engineering, ML,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2">
      <c r="A32" t="inlineStr">
        <is>
          <t>li-4321412711</t>
        </is>
      </c>
      <c r="B32" t="inlineStr">
        <is>
          <t>Senior Full Stack Product Software Engineer</t>
        </is>
      </c>
      <c r="C32" t="inlineStr">
        <is>
          <t>RemoteHunter</t>
        </is>
      </c>
      <c r="D32" t="inlineStr">
        <is>
          <t>linkedin</t>
        </is>
      </c>
      <c r="E32" t="inlineStr"/>
      <c r="F32" t="inlineStr"/>
      <c r="G32" t="inlineStr"/>
      <c r="H32" t="inlineStr"/>
      <c r="I32" t="inlineStr">
        <is>
          <t>About the Opportunity:
 The organization is seeking a Senior Full Stack Software Engineer to design and develop seamless, scalable, and user\-friendly experiences. The role involves ownership of key product areas, delivering end\-to\-end solutions that integrate front\-end user interfaces with robust back\-end systems. A leadership role in designing scalable architectures and driving impactful product enhancements is expected. The organization is focusing on accelerating the creation and implementation of AI\-enabled products, providing a technology stack for rapid prototyping and deployment of AI\-augmented functionality.
 Responsibilities:
 • Manage projects end\-to\-end from data discovery through design, implementation, and deployment
 • Develop customer\-centric prototypes focused on user needs and feedback
 • Communicate insights, progress, and outcomes regularly with team and leadership
 • Collaborate effectively with engineering teams and cross\-functional partners
 • Participate in on\-call rotations if applicable, including availability during core and non\-core business hours
 Requirements:
 • 8 or more years of professional experience in full\-stack development
 • BS degree or higher in Computer Science, related field, or equivalent experience
 • Strong experience designing, developing, and scaling web applications
 • Expertise in front\-end technologies (JavaScript, React, Angular, HTML/CSS) and back\-end development (Node.js, Python)
 • Familiarity with databases such as MySQL, PostgreSQL, or MongoDB
 Compensation:
 • Role not available in US Zone 1
 • US Zone 2: $202,700 to $274,300 USD annually
 • US Zone 3: $180,200 to $243,800 USD annually
 • Salary is subject to change and is one component of total rewards, including bonus programs and stock in the form of Restricted Stock Units (RSUs)
 • Starting pay considers job level, location, skillset, and peer compensation, generally targeting offers from minimum to mid\-range
 • Remote work location zip code determines applicable metropolitan pay range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3">
      <c r="A33" t="inlineStr">
        <is>
          <t>li-4321329036</t>
        </is>
      </c>
      <c r="B33" t="inlineStr">
        <is>
          <t>Software Engineer II, Backend (Credit Decisioning)</t>
        </is>
      </c>
      <c r="C33" t="inlineStr">
        <is>
          <t>Affirm</t>
        </is>
      </c>
      <c r="D33" t="inlineStr">
        <is>
          <t>linkedin</t>
        </is>
      </c>
      <c r="E33" t="inlineStr"/>
      <c r="F33" t="inlineStr"/>
      <c r="G33" t="inlineStr">
        <is>
          <t>Chicago, IL</t>
        </is>
      </c>
      <c r="H33" t="inlineStr"/>
      <c r="I33"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Core sub\-team, which focuses on building the foundations and credit levers for scaling our underwriting and providing responsible access to credit. A key part of this team's work involves developing new underwriting features and products to expand Affirm's product offerings and enable sustainable growth.
 Working closely with cross\-functional partners in Engineering, ML,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4">
      <c r="A34" t="inlineStr">
        <is>
          <t>li-4348363602</t>
        </is>
      </c>
      <c r="B34" t="inlineStr">
        <is>
          <t>Software Engineering Manager</t>
        </is>
      </c>
      <c r="C34" t="inlineStr">
        <is>
          <t>UST</t>
        </is>
      </c>
      <c r="D34" t="inlineStr">
        <is>
          <t>linkedin</t>
        </is>
      </c>
      <c r="E34" t="inlineStr"/>
      <c r="F34" t="inlineStr"/>
      <c r="G34" t="inlineStr">
        <is>
          <t>Englewood, CO</t>
        </is>
      </c>
      <c r="H34" t="inlineStr"/>
      <c r="I34" t="inlineStr">
        <is>
          <t>**Role Description**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As the Software Engineer Manager you are experience in payment system modernization. You are a leader who ensures the seamless integration of the payment processing solutions via configuration, focusing on efficiency, reliability, and security with the 3rd party product/application. As the Lead Software Engineer you are a strong team leader, motivating team members to exceed client expectations.
**The Opportunity**
* Manage technical dependencies and interface specifications across multiple teams.
* Design, develop, and oversee integration workflows between internal systems, payment gateways, processors, and external partners.
* Lead the integration of payment routing engines into our systems, ensuring compatibility with various payment gateways, processors, and financial institutions.
* Conduct thorough technical analysis of existing systems and infrastructure to identify integration points and potential challenges.
* Design and implement APIs to facilitate communication between our applications and the payment acquirers ensuring smooth data exchange.
* Configure and customize payment routing parameters based on business requirements, ensuring optimal transaction flow and routing decisions.
* Collaborate with QA teams to develop and execute test plans, ensuring the reliability and accuracy of payment transactions.
* Investigate and resolve integration issues, providing timely and effective solutions to minimize downtime and disruptions.
* Optimize the performance of payment routing processes, identifying and addressing bottlenecks to enhance overall system efficiency.
* Create comprehensive documentation for integration processes, configurations, and troubleshooting procedures.
**What You Need**
* At least 10 years of experience in software engineering plus one year working in payment processing project and 3\+ years of Golang.
* Hands\-on experience in Go Template and JQ programming language.
* Strong understanding of APIs and data interchange formats (JSON, XML) with expertise in API integration, middleware platform
* Hands on experience in scripting languages like Python.
* Good understanding of OOPs concepts and programming
* Familiarity with security standards and compliance in payment industry
* Experience in integrating payment routing engines and payment protocols
* Strong problem\-solving and troubleshooting skills.
* Excellent leadership, communication, and stakeholder management abilities.
**Good To Have**
* Experience in GO language
* Familiarity with cloud platforms (AWS/Google/Azure)
* Experience in payment routing engines
* Database knowledge (Oracle/MongoDB/SQL)
* Java, SpringBoot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Englewood, CO
**Compensation Range:** 
 $143,000\-$215,000
 Certain regular employees may have the potential for quarterly incentive\-based bonuses or commissions depending on role.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belonging,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\#uststat
**Skills**
 system intergration specialist,go,python</t>
        </is>
      </c>
    </row>
    <row r="35">
      <c r="A35" t="inlineStr">
        <is>
          <t>li-4365778000</t>
        </is>
      </c>
      <c r="B35" t="inlineStr">
        <is>
          <t>Software Engineer - C++ / GPU Virtualization / Cloud Infrastructure</t>
        </is>
      </c>
      <c r="C35" t="inlineStr">
        <is>
          <t>USA Tech Recruit</t>
        </is>
      </c>
      <c r="D35" t="inlineStr">
        <is>
          <t>linkedin</t>
        </is>
      </c>
      <c r="E35" t="inlineStr"/>
      <c r="F35" t="inlineStr"/>
      <c r="G35" t="inlineStr">
        <is>
          <t>San Francisco, CA</t>
        </is>
      </c>
      <c r="H35" t="inlineStr"/>
      <c r="I35" t="inlineStr">
        <is>
          <t>**Software Engineer \- C\+\+ / GPU Virtualization / Cloud Infrastructure** 
 We are partnered with a high\-growth infrastructure startup that is rethinking how the world accesses GPU compute making breakthrough strides in the GPU virtualization stack. The team are looking for an experienced Software Engineer to work on some of the hardest problems surrounding GPU clusters.
 This is a permanent onsite position in San Francisco.
 Key Responsibilities
* Own the performance optimization of the core C\+\+ virtualization library, squeezing every microsecond out of the stack.
* Drive R\&amp;D into complex problems like GPU oversubscription, checkpointing, and distributed cluster orchestration.
* Implement support for next\-generation GPU architectures, requiring a deep understanding of the entire system from driver to user\-space.
* Tackle high\-stakes systems\-level debugging and root\-cause analysis in live production environments.
* Identify and resolve performance bottlenecks specifically within large\-scale Machine Learning and LLM training workloads.
 Key Requirements:
* Exceptional skills in modern C\+\+ (Systems level) with a focus on memory management, concurrency, and low\-latency execution.
* A strong grasp of GPU computing (CUDA/ROCm), drivers, or virtualization technologies.
* Comfortable working close to the metal, including knowledge of PCIe, NVLink, or InfiniBand.
* A background working in Trading Companies/Hedge Funds/HFT is highly advantageous (either in industry or academic internships.
**Keywords:** 
 Systems Engineer / C\+\+ / GPU Virtualization / CUDA / Performance Optimization / Low\-Level Programming / Distributed Systems / Cloud Infrastructure / Kernel / Drivers / ML Infrastructure / High\-Performance Computing (HPC)
 If you are interested in this Software Engineer position, please send a copy of your CV to ts@eu\-recruit.com
*By applying to this role you understand that we may collect your personal data and store and process it on our systems. For more information please see our Privacy Notice https://eu\-recruit.com/wp\-content/uploads/2024/07/European\-Tech\-Recruit\-Privacy\-Notice\-2024\.pdf*</t>
        </is>
      </c>
    </row>
    <row r="36">
      <c r="A36" t="inlineStr">
        <is>
          <t>li-4365801507</t>
        </is>
      </c>
      <c r="B36" t="inlineStr">
        <is>
          <t>Software Engineer II, Backend (Credit Decisioning)</t>
        </is>
      </c>
      <c r="C36" t="inlineStr">
        <is>
          <t>Affirm</t>
        </is>
      </c>
      <c r="D36" t="inlineStr">
        <is>
          <t>linkedin</t>
        </is>
      </c>
      <c r="E36" t="inlineStr"/>
      <c r="F36" t="inlineStr"/>
      <c r="G36" t="inlineStr">
        <is>
          <t>Dallas, TX</t>
        </is>
      </c>
      <c r="H36" t="inlineStr"/>
      <c r="I36"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Core sub\-team, which focuses on building the foundations and credit levers for scaling our underwriting and providing responsible access to credit. A key part of this team's work involves developing new underwriting features and products to expand Affirm's product offerings and enable sustainable growth.
 Working closely with cross\-functional partners in Engineering, ML,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7">
      <c r="A37" t="inlineStr">
        <is>
          <t>li-4321398856</t>
        </is>
      </c>
      <c r="B37" t="inlineStr">
        <is>
          <t>Software Engineer II, Backend (Credit Decisioning)</t>
        </is>
      </c>
      <c r="C37" t="inlineStr">
        <is>
          <t>Affirm</t>
        </is>
      </c>
      <c r="D37" t="inlineStr">
        <is>
          <t>linkedin</t>
        </is>
      </c>
      <c r="E37" t="inlineStr"/>
      <c r="F37" t="inlineStr"/>
      <c r="G37" t="inlineStr">
        <is>
          <t>Madison, WI</t>
        </is>
      </c>
      <c r="H37" t="inlineStr"/>
      <c r="I37"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Core sub\-team, which focuses on building the foundations and credit levers for scaling our underwriting and providing responsible access to credit. A key part of this team's work involves developing new underwriting features and products to expand Affirm's product offerings and enable sustainable growth.
 Working closely with cross\-functional partners in Engineering, ML,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8">
      <c r="A38" t="inlineStr">
        <is>
          <t>li-4321492713</t>
        </is>
      </c>
      <c r="B38" t="inlineStr">
        <is>
          <t>Software Engineer II, Backend (Credit Decisioning)</t>
        </is>
      </c>
      <c r="C38" t="inlineStr">
        <is>
          <t>Affirm</t>
        </is>
      </c>
      <c r="D38" t="inlineStr">
        <is>
          <t>linkedin</t>
        </is>
      </c>
      <c r="E38" t="inlineStr"/>
      <c r="F38" t="inlineStr"/>
      <c r="G38" t="inlineStr">
        <is>
          <t>Phoenix, AZ</t>
        </is>
      </c>
      <c r="H38" t="inlineStr"/>
      <c r="I38"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Core sub\-team, which focuses on building the foundations and credit levers for scaling our underwriting and providing responsible access to credit. A key part of this team's work involves developing new underwriting features and products to expand Affirm's product offerings and enable sustainable growth.
 Working closely with cross\-functional partners in Engineering, ML,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9">
      <c r="A39" t="inlineStr">
        <is>
          <t>li-4321512707</t>
        </is>
      </c>
      <c r="B39" t="inlineStr">
        <is>
          <t>Software Engineer II, Backend (Credit Decisioning)</t>
        </is>
      </c>
      <c r="C39" t="inlineStr">
        <is>
          <t>Affirm</t>
        </is>
      </c>
      <c r="D39" t="inlineStr">
        <is>
          <t>linkedin</t>
        </is>
      </c>
      <c r="E39" t="inlineStr"/>
      <c r="F39" t="inlineStr"/>
      <c r="G39" t="inlineStr">
        <is>
          <t>Cleveland, OH</t>
        </is>
      </c>
      <c r="H39" t="inlineStr"/>
      <c r="I39"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Core sub\-team, which focuses on building the foundations and credit levers for scaling our underwriting and providing responsible access to credit. A key part of this team's work involves developing new underwriting features and products to expand Affirm's product offerings and enable sustainable growth.
 Working closely with cross\-functional partners in Engineering, ML,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0">
      <c r="A40" t="inlineStr">
        <is>
          <t>li-4365801508</t>
        </is>
      </c>
      <c r="B40" t="inlineStr">
        <is>
          <t>Software Engineer II, Backend (Credit Decisioning)</t>
        </is>
      </c>
      <c r="C40" t="inlineStr">
        <is>
          <t>Affirm</t>
        </is>
      </c>
      <c r="D40" t="inlineStr">
        <is>
          <t>linkedin</t>
        </is>
      </c>
      <c r="E40" t="inlineStr"/>
      <c r="F40" t="inlineStr"/>
      <c r="G40" t="inlineStr">
        <is>
          <t>St Louis, MO</t>
        </is>
      </c>
      <c r="H40" t="inlineStr"/>
      <c r="I40"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Core sub\-team, which focuses on building the foundations and credit levers for scaling our underwriting and providing responsible access to credit. A key part of this team's work involves developing new underwriting features and products to expand Affirm's product offerings and enable sustainable growth.
 Working closely with cross\-functional partners in Engineering, ML,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1">
      <c r="A41" t="inlineStr">
        <is>
          <t>li-4321532705</t>
        </is>
      </c>
      <c r="B41" t="inlineStr">
        <is>
          <t>Software Engineer II, Backend (Credit Decisioning)</t>
        </is>
      </c>
      <c r="C41" t="inlineStr">
        <is>
          <t>Affirm</t>
        </is>
      </c>
      <c r="D41" t="inlineStr">
        <is>
          <t>linkedin</t>
        </is>
      </c>
      <c r="E41" t="inlineStr"/>
      <c r="F41" t="inlineStr"/>
      <c r="G41" t="inlineStr">
        <is>
          <t>Boise, ID</t>
        </is>
      </c>
      <c r="H41" t="inlineStr"/>
      <c r="I41"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Core sub\-team, which focuses on building the foundations and credit levers for scaling our underwriting and providing responsible access to credit. A key part of this team's work involves developing new underwriting features and products to expand Affirm's product offerings and enable sustainable growth.
 Working closely with cross\-functional partners in Engineering, ML,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2">
      <c r="A42" t="inlineStr">
        <is>
          <t>li-4362193295</t>
        </is>
      </c>
      <c r="B42" t="inlineStr">
        <is>
          <t>Software Engineer</t>
        </is>
      </c>
      <c r="C42" t="inlineStr">
        <is>
          <t>Jobs via Dice</t>
        </is>
      </c>
      <c r="D42" t="inlineStr">
        <is>
          <t>linkedin</t>
        </is>
      </c>
      <c r="E42" t="inlineStr"/>
      <c r="F42" t="inlineStr"/>
      <c r="G42" t="inlineStr">
        <is>
          <t>Orlando, FL</t>
        </is>
      </c>
      <c r="H42" t="inlineStr"/>
      <c r="I42" t="inlineStr">
        <is>
          <t>**Job Description**
**Readiness Delivered.** 
 Kratos Defense \&amp; Security Solutions develops and fields transformative, affordable technology, platforms, and systems for United States National Security related customers, allies, and commercial enterprises. We proactively build trusted relationships with our peers, partners and customers, and take ownership for our actions\-always striving to do the right thing.
 The Software Engineer leverages expertise in Software Engineering principles, real\-time programming, control system theory, and system integration methodologies to define, design, develop, test, and manage the complexities of real\-time control software for mechanical, fluid, electrical, and safety systems.
* Conducts requirements analysis to elicit, document, and manage the functional, performance, timing, safety, and non\-functional requirements of real\-time control software for fluid, electrical, and safety systems, ensuring robust interaction and adherence to relevant software development and safety standards (e.g., IEC 61508 and other applicable industry standards)
* Develops and maintains detailed software design specifications, well\-structured source code, and comprehensive technical documentation
* Applies software modeling techniques (e.g., UML, state diagrams), simulation tools, and rigorous testing methodologies to analyze, verify, and optimize the structure, behavior, performance, and reliability of control software
* Performs functional analysis to decompose high\-level system control requirements into detailed software functions, modules, and tasks, allocating them to specific software components and defining clear interfaces with hardware (sensors, actuators, PLCs) for fluid, electrical, and safety control
* Identifies and assesses potential software\-related risks associated with development, integration, deployment, and operation\-particularly concerning timing constraints, resource utilization, system stability, fault tolerance, and safety integrity for fluid, electrical, and safety control systems.
* Contributes to the integration aspects of real\-time control software, including defining, developing, and managing software interfaces with physical hardware (sensors, actuators, I/O modules), other embedded software modules, communication networks, and Human\-Machine Interface (HMI) systems
* Develops and executes software verification and validation plans, defining the strategy and scope (including unit tests, integration tests, system tests, and regression tests) for ensuring the developed control software meets all specified functional, performance, and safety requirements, potentially utilizing Hardware\-in\-the\-Loop (HIL) simulation and supporting system commissioning activities.
**Experience And Skills**
* Follows established software development procedures and adheres to relevant industry standards (e.g., IEC 61508 for functional safety, MISRA C/C\+\+, or other applicable coding standards), and best practices for real\-time software
* Proficient with requirements analysis principles and methodologies as applied to real\-time embedded software, including functional, performance, timing, reliability, and safety critical aspects for control systems
* Experienced with real\-time software design and development lifecycles, algorithm implementation, control logic programming (e.g., C, C\+\+, PLC languages if applicable), data structures, and comprehensive software documentation
* Knowledge of risk management processes related to software development, system integration, and operational reliability, particularly concerning timing constraints, fault tolerance, resource utilization, and safety integrity in control applications for fluid, electrical, and safety systems.
* Strong computer skills, including proficiency with standard office software, high proficiency in programming languages such as C and/or C\+\+ for real\-time embedded systems, experience with version control systems (e.g., Git), and familiarity with development/debugging tools and environments for embedded control systems
* BS degree in Software Engineering, Computer Engineering, Electrical Engineering, Computer Science, or a relevant technical field with significant software development experience focused on control systems.
* Minimum 3\-5 years of experience in real\-time software development for industrial control systems, with demonstrable experience in designing, developing, testing, and deploying software for the operational control of fluid systems, electrical systems, and/or safety\-critical applications.
* To work at this facility, you must be a US person
**Preferred Skills/Experience**
* Experience with naval or industrial power plants
* Proficiency with Hardware\-in\-the\-Loop (HIL) simulation platforms and methodologies for testing and validating control software
* In\-depth knowledge and practical experience with industrial communication protocols such as DDS, OPC UA, or MQTT, including protocol analysis and troubleshooting
* Knowledge of cybersecurity principles and best practices for Industrial Control Systems (ICS) and SCADA environments (e.g., IEC 62443\)
* Experience with any combination of: Building Information Models (BIM), Model Based Design (MBD), AutoDesk Revit, Deltek CostPoint, SolidWorks and SolidWorks PDM, Jama requirements management software
* Knowledge and/or experience with relevant quality management systems (e.g., ISO 9001\)
 Competitive salary based on experience and education
 Kratos is valued for our ability to design and deliver leading edge, resilient solutions for aerospace communication, control, awareness and mission success across a continuum of offerings\-from commercial to tailored custom solutions and integrated programs. Customers trust us to stay relevant and know we are in it for the long\-haul. We bring both the capability and confidence that our customers value and depend on. And we always deliver.
**This posting will close within 90 days from the Posting Date.**
**Job Benefits**
* Medical, Dental \&amp; Vision Insurance Coverage
* Life/ADD \&amp; Short/Long Term Disability Insurance
* 401(k) Savings Plan
* Employee Stock Purchase Plan (ESPP)
* Paid Time\-Off (PTO)
* Holidays
* Education Reimbursement</t>
        </is>
      </c>
    </row>
    <row r="43">
      <c r="A43" t="inlineStr">
        <is>
          <t>li-4353967740</t>
        </is>
      </c>
      <c r="B43" t="inlineStr">
        <is>
          <t>Software Engineer</t>
        </is>
      </c>
      <c r="C43" t="inlineStr">
        <is>
          <t>Jobs via Dice</t>
        </is>
      </c>
      <c r="D43" t="inlineStr">
        <is>
          <t>linkedin</t>
        </is>
      </c>
      <c r="E43" t="inlineStr"/>
      <c r="F43" t="inlineStr"/>
      <c r="G43" t="inlineStr">
        <is>
          <t>Columbus, OH</t>
        </is>
      </c>
      <c r="H43" t="inlineStr"/>
      <c r="I43" t="inlineStr">
        <is>
          <t>**Location:** 
 Columbus, OH
**Salary:** 
 $41\.00 USD Hourly \- $44\.00 USD Hourly
**Description:**
****Software Engineer (Contingent Resource)****
**Location:** 
 Columbus, OH
**Assignment Type:** 
 Contingent / Contractor
**About The Role**
 As a Software Engineer in this contingent role, you will contribute to initiatives of low to moderate complexity within the Software Engineering organization. You'll help identify opportunities to improve processes, analyze technical challenges, and support the delivery of low\-to\-medium\-risk engineering solutions. This role is ideal for someone early in their engineering career who is ready to apply technical skills, exercise sound judgment, and grow within a structured engineering environment.
**What You'll Do**
* Support engineering initiatives by reviewing, analyzing, and troubleshooting basic to moderately complex technical tasks.
* Conduct research and evaluate alternatives to recommend solutions for engineering challenges within defined scope and risk levels.
* Identify opportunities to streamline or improve existing engineering processes.
* Apply an understanding of organizational policies, procedures, and compliance requirements as part of day\-to\-day work.
* Present findings and recommendations to team members and stakeholders.
* Collaborate with internal clients and engineering partners by providing clear and accurate technical information.
****Minimum Qualifications****
* 2\+ years of experience in Software Engineering, or equivalent experience gained through a combination of professional work, consulting, or related technical roles.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44">
      <c r="A44" t="inlineStr">
        <is>
          <t>li-4362660842</t>
        </is>
      </c>
      <c r="B44" t="inlineStr">
        <is>
          <t>Software Engineer Early Career</t>
        </is>
      </c>
      <c r="C44" t="inlineStr">
        <is>
          <t>Jobs via Dice</t>
        </is>
      </c>
      <c r="D44" t="inlineStr">
        <is>
          <t>linkedin</t>
        </is>
      </c>
      <c r="E44" t="inlineStr"/>
      <c r="F44" t="inlineStr"/>
      <c r="G44" t="inlineStr">
        <is>
          <t>Huntsville, AL</t>
        </is>
      </c>
      <c r="H44" t="inlineStr"/>
      <c r="I44" t="inlineStr">
        <is>
          <t>**Job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 time Early Career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This position is located at a facility that requires special access.
**Basic Qualifications**
* Experience with programming languages such as C, C\+\+
* Bachelor degree in Computer Science, Aerospace Engineering or other related degree program from an accredited college/university
 This position is located at a facility that requires special access.
**Desired Skills**
* Knowledge of Agile Software Development
* Experience or classroom knowledge with embedded software/hardware
* Ability to work in a collaborative and team\-based environment
* Excellent written and verbal communication skills
* Knowledge of Model Base Systems Engineering (MBSE)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$72,200 \- $125,005\.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45">
      <c r="A45" t="inlineStr">
        <is>
          <t>li-4321329035</t>
        </is>
      </c>
      <c r="B45" t="inlineStr">
        <is>
          <t>Software Engineer II, Backend (Credit Decisioning)</t>
        </is>
      </c>
      <c r="C45" t="inlineStr">
        <is>
          <t>Affirm</t>
        </is>
      </c>
      <c r="D45" t="inlineStr">
        <is>
          <t>linkedin</t>
        </is>
      </c>
      <c r="E45" t="inlineStr"/>
      <c r="F45" t="inlineStr"/>
      <c r="G45" t="inlineStr">
        <is>
          <t>Detroit, MI</t>
        </is>
      </c>
      <c r="H45" t="inlineStr"/>
      <c r="I45"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Core sub\-team, which focuses on building the foundations and credit levers for scaling our underwriting and providing responsible access to credit. A key part of this team's work involves developing new underwriting features and products to expand Affirm's product offerings and enable sustainable growth.
 Working closely with cross\-functional partners in Engineering, ML,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6">
      <c r="A46" t="inlineStr">
        <is>
          <t>li-4365767357</t>
        </is>
      </c>
      <c r="B46" t="inlineStr">
        <is>
          <t>Software Engineer – Regulatory Technology</t>
        </is>
      </c>
      <c r="C46" t="inlineStr">
        <is>
          <t>Cboe Global Markets</t>
        </is>
      </c>
      <c r="D46" t="inlineStr">
        <is>
          <t>linkedin</t>
        </is>
      </c>
      <c r="E46" t="inlineStr"/>
      <c r="F46" t="inlineStr"/>
      <c r="G46" t="inlineStr">
        <is>
          <t>Chicago, IL</t>
        </is>
      </c>
      <c r="H46" t="inlineStr"/>
      <c r="I46" t="inlineStr">
        <is>
          <t>**Job Description:**
**Building trusted markets — powered by our people** 
 At Cboe Global Markets, we inspire our people to solve complex challenges together because what we do matters. We provide the financial infrastructure that powers the global economy. As a leading provider of market infrastructure and tradable products, Cboe delivers cutting\-edge trading, clearing and investment solutions to market participants around the world.
 We’re building meaningful ways to support professional and personal development while strengthening the trust we’ve earned as a global market leader. Our teams are empowered to share ideas, actively pursue them and bring on a challenge. As champions of internal mobility and access to opportunity, we encourage our people to “go for it” and equip our managers with the training to coach their teams to the next level. We strive to provide employees a safe space to network, share ideas and create opportunities.
**Location:** 
 \- Chicago office \- Hybrid
**Building trusted markets — powered by our people** 
 At Cboe Global Markets, we inspire our people to solve complex challenges together because what we do matters. We provide the financial infrastructure that powers the global economy. As a leading provider of market infrastructure and tradable products, Cboe delivers cutting\-edge trading, clearing and investment solutions to market participants around the world.
 We’re building meaningful ways to support professional and personal development while strengthening the trust we’ve earned as a global market leader. Our teams are empowered to share ideas, actively pursue them and bring on a challenge. As champions of internal mobility and access to opportunity, we encourage our people to “go for it” and equip our managers with the training to coach their teams to the next level. We strive to provide employees a safe space to network, share ideas and create opportunities.
**Location Overview**
 Cboe HQ is located in the historic Old Post Office district, it’s a landmark that blends classic architecture with modern amenities. The building features expansive spaces with high ceilings and large windows, offering an abundance of natural light and panoramic views of the city skyline and the Chicago River.
 With its prime location in the heart of downtown, the OPO Building provides easy access to major transportation hubs, including Union Station and multiple CTA lines, making it convenient for commuters. The building is home to a variety of amenities, including restaurants, a fitness center, and collaborative workspaces, creating a vibrant and dynamic work environment in one of Chicago's most iconic areas.
**About Cboe**
 Cboe is one of the world’s largest exchange holding companies, offering cutting\-edge trading and investment solutions to investors around the world.
**What We Do** 
 Our Software Engineers design, develop, deploy, and support high\-performance market surveillance systems that monitor trading activity across multiple global markets. We process massive datasets from equities, options, and futures exchanges in the U.S. and Europe. Our platforms are engineered to analyze billions of events per day, ensuring scalability and resilience as data volumes grow. Our mission is to deliver actionable insights that empower analysts to maintain fair, orderly, and compliant market operations. As a team, we value analytical thinking, humility, and continuous learning while solving complex challenges.
**Job Summary**
 We are seeking a software engineer to design and build high\-performance, distributed systems that process and analyze massive streams of trading data for regulatory surveillance. This role involves developing scalable data pipelines, implementing complex rules engines, and optimizing relational and Snowflake databases for large\-scale workloads. You will work with technologies such as Java, Python, Snowflake, and Linux. The ideal candidate has strong problem\-solving skills, deep knowledge of data structures and algorithms, and experience building systems that handle billions of events daily in low\-latency environments.
**Responsibilities:**
* Collaborate with end\-users to gather and refine functional requirements for complex, data\-driven systems.
* Produce detailed project documentation, including architecture diagrams, functional specifications, technical designs, and test plans.
* Design, develop, test, and implement scalable data processing pipelines, rules engines, and database solutions leveraging Snowflake and relational databases.
* Optimize system performance for large\-scale, low\-latency workloads handling billions of events daily.
* Work closely with infrastructure teams to deploy and maintain applications on Linux\-based environments.
* Coordinate with cross\-functional teams for new application development, troubleshooting, and system enhancements.
* Take ownership of projects as individual contributor, adapting to dynamic requirements.
* Research emerging technologies, tools, and design patterns to improve scalability, resilience, and performance.
* Provide ongoing application support and communicate technical concepts clearly to non\-technical stakeholders.
* Participate in a 24/7 production on\-call rotation to ensure system reliability and uptime.
* Participate in recruitment process as and when required for new engineering hires
**Qualifications:**
* Bachelor’s Degree in Computer Science or related field
* 2\+ years of software engineering experience in high\-performance or distributed systems
* Strong proficiency in Java and/or Python for backend development
* Experience with Linux environments and at least one scripting language (e.g., Bash, Shell)
* Hands\-on experience with SQL and Snowflake for large\-scale data processing
* Familiarity with streaming and big data technologies such as Apache Kafka a plus
* Solid understanding of data structures, algorithms, and performance optimization techniques
* Ability to design and implement scalable, low\-latency systems handling billions of events daily
* Excellent written and verbal communication skills for cross\-functional collaboration
* Self\-motivated with the ability to work independently and manage multiple projects concurrently
* Experience in finance, trading, exchange, or related fields is a plus
**Location**
* Chicago, IL or Lenexa, KS (hybrid)
**Benefits And Perks Of Working For Cboe Global Markets**
 We value the total wellbeing of our people – including health, financial, personal and social wellness. We believe standard benefits like health insurance and fair pay are a given at any organization. Still, you should know we offer:
* Fair and competitive salary and incentive compensation packages with an upside for overachievement
* Generous paid time off, including vacation, personal days, sick days and annual community service days
* Hybrid work environment
* Health, dental and vision benefits, including access to telemedicine and mental health services
* 2:1 401(k) match, up to 8% match immediately upon hire
* Discounted Employee Stock Purchase Plan
* Tax Savings Accounts for health, dependent and transportation
* Employee referral bonus program
* Volunteer opportunities to help you give back to your communities
 Some of our associates’ favorite benefits and perks include:
* Complimentary lunch, snacks and coffee in any Cboe office
* Paid Tuition assistance and education opportunities
* Generous charitable giving company match
* Paid parental leave and fertility benefits
* On\-site gyms and discounts to other fitness centers
**More About Cboe Global Markets**
 We’re reimagining the future of the workplace by focusing on what matters most, our people.  Our journey is an inclusive one. We’re investing deeply in leadership programs and career development initiatives that ensure everyone has an equal chance to succeed.
 We work with purpose, solving problems with ingenuity, collaboration, and a lot of passion. We’re an engaged and excited team connecting markets across borders and embracing growth in all its forms to achieve incredible outcomes.
 Learn more about life at Cboe on our website and LinkedIn.
**Equal Employment Opportunity**
 We're proud to be an equal opportunity employer do not discriminate against any employee or applicant for employment based on any legally protected characteristic, including race, color, religion, sex, sexual orientation, gender identity, national origin, age, disability, genetic information, or Veteran status. We are committed to fostering a workplace where all individuals are valued and respected.
 \#Hybrid
**This position is not eligible for visa sponsorship. Candidates must be legally authorized to work in the United States without the need for employer sponsorship now or in the future.**
 Our pay ranges are determined by a number of factors, including, but not limited to, role, experience, level, and location. The national new hire base pay range for this job in the United States is $97,750\-$120,750\. This range represents the minimum and maximum base pay the company expects to offer for new hires working in the position full time. If you live in one of the following areas or if you work in a Cboe office in the following areas, the range may be higher according to the geographic differentials listed below:
**US Geographic Differentials:**
* 110%: Austin TX, Chicago IL, Denver CO, San Diego CA
* 115%: Los Angeles CA, Seattle WA
* 120%: Boston MA, Washington DC
* 125%: New York City NY
* 130%: San Francisco CA
 Within the range, individual pay is determined by a number of factors, including, but not limited to, work location, job\-related skills, experience, and relevant education or training. In addition to base pay, our total rewards program includes an annual variable pay program and benefits including healthcare (medical, dental and vision), 401 (k) with a generous company match, life and disability insurance, paid time off, market\-leading tuition assistance, and much more! Your recruiter will provide more details about the total compensation package, including variable pay and benefits, during the hiring process. For further information on our total rewards program, visit TOTAL REWARDS @CBOE.
*Any communication from Cboe regarding this position will only come from a Cboe recruiter who has a @cboe.com email or via LinkedIn Recruiter. Cboe does not use any other third party communication tools for recruiting purposes.*</t>
        </is>
      </c>
    </row>
    <row r="47">
      <c r="A47" t="inlineStr">
        <is>
          <t>li-4362118161</t>
        </is>
      </c>
      <c r="B47" t="inlineStr">
        <is>
          <t>Software Engineer, C++ - Top Secret Clearance</t>
        </is>
      </c>
      <c r="C47" t="inlineStr">
        <is>
          <t>Jobs via Dice</t>
        </is>
      </c>
      <c r="D47" t="inlineStr">
        <is>
          <t>linkedin</t>
        </is>
      </c>
      <c r="E47" t="inlineStr"/>
      <c r="F47" t="inlineStr"/>
      <c r="G47" t="inlineStr">
        <is>
          <t>Hawthorne, CA</t>
        </is>
      </c>
      <c r="H47" t="inlineStr"/>
      <c r="I47"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C\+\+ \- TOP SECRET CLEARANCE**
 As a Software Engineer in Special Programs, you will design, develop, and test key aspects of an in\-house solution for analysis, simulation, and prototyping of software in support of all SpaceX flight systems. You will have full ownership of new features in a scalable high\-performance application used to control and test flight systems. This is a high\-impact role where you will work across the engineering groups to build a high\-assurance system that accelerates the development and demonstration of cutting\-edge software and hardware.
 Aerospace experience is not required to be successful here \- rather we look for smart, motivated software engineers who enjoy taking on complex challenges, work well in dynamic environments, and care about software best practices. Our software is critical to future mission successes, and we have no shortage of interesting challenges that require innovative, cutting\-edge solutions.
**RESPONSIBILITIES:**
* Contribute to all aspects of software engineering and product development producing highly reliable software across all areas of the application suite
* Develop prototypes to prove out key design concepts and quantify technical constraints
* Develop modules for real\-time data streaming of flight systems data
* Contribute to test automation processes and CI/CD infrastructure
* Maintain highest standards of excellence, never settling for the status quo
**BASIC QUALIFICATIONS:**
* Bachelor's degree in computer science, math, or engineering
* 1\+ years of experience in software development, programming in modern C\+\+
**PREFERRED SKILLS AND EXPERIENCE:**
* Strong software design and development skills
* Experience with data streaming and real\-time data processing is a plus
* Experience with data serialization formats such as JSON, YAML, XML and Protobuf
* Experience in software development delivering robust and scalable software applications
* Experience with Python, Java or Go
* Experience with containerized solutions such as Docker and Kubernetes
* Experience with database systems such as Postgres, MySql or Oracle.
* Strong skills in debugging, performance optimization, data throughput analysis and unit testing
* Strong creative and innovative problem\-solving skills
* Ability to work effectively in a dynamic environment by quickly adapting to changing needs and requirements
* Active Top Secret, Top Secret SCI, or DOE Level Q clearance, or the ability and willingness to obtain one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Note that an active clearance may provide the opportunity for you to work on sensitive SpaceX missions. If so, you will be subject to pre\-employment drug and random drug and alcohol testing
* Willing to work extended hours and weekends when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Those with an active clearance will receive a 10% differential, up to an additional $15,000 annually, once officially briefed into a classified program.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Employees accrue paid sick leave pursuant to the Company policy which satisfies or exceeds the accrual, carryover, and use requirements of the law.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48">
      <c r="A48" t="inlineStr">
        <is>
          <t>li-4362640651</t>
        </is>
      </c>
      <c r="B48" t="inlineStr">
        <is>
          <t>Lead Software Engineer</t>
        </is>
      </c>
      <c r="C48" t="inlineStr">
        <is>
          <t>Jobs via Dice</t>
        </is>
      </c>
      <c r="D48" t="inlineStr">
        <is>
          <t>linkedin</t>
        </is>
      </c>
      <c r="E48" t="inlineStr"/>
      <c r="F48" t="inlineStr"/>
      <c r="G48" t="inlineStr">
        <is>
          <t>Tampa, FL</t>
        </is>
      </c>
      <c r="H48" t="inlineStr"/>
      <c r="I48"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The Development family is responsible for creating, designing, deploying, and supporting applications, programs, and software solutions. May include research, new development, prototyping, modification, reuse, re\-engineering, maintenance, or any other activities related to software products used internally or externally on product platforms supported by the firm. The software development process requires in\-depth subject matter expertise in existing and emerging development methodologies, tools, and programming languages. Software Developers work closely with business partners and / or external clients in defining requirements and implementing solutions. The Software Engineering role specializes in planning, documenting technical requirements, designing, developing, and testing all software systems and applications for the firm. Works closely with architects, product managers, project management, and end\-users in the development and enhancement of existing software systems and applications, proposing and recommending solutions that solve complex business problems.
**Your Primary Responsibilities:**
* Act as a technical expert on one or more applications utilized by DTCC
* Work with the Business System Analyst to ensure designs satisfy functional requirements
* Partner with Infrastructure to identify and deploy optimal hosting environments
* Tune application performance to eliminate and reduce issues
* Research and evaluate technical solutions consistent with DTCC technology standards
* Align risk and control processes into day to day responsibilities to monitor and mitigate risk; escalates appropriately
* Apply different software development methodologies dependent on project needs
* Contribute expertise to the design of components or individual programs, and participate in the construction and functional testing
* Support development teams, testing, troubleshooting, and production support
* Create applications and construct unit test cases that ensure compliance with functional and non\-functional requirements
* Work with peers to mature ways of working, continuous integration, and continuous delivery
* Aligns risk and control processes into day to day responsibilities to monitor and mitigate risk; escalates appropriately
**Qualifications:**
* Minimum of 6 years of related experience
* Bachelor's degree preferred or equivalent experience
**Talents Needed for Success:**
* Fosters a culture where honesty and transparency are expected.
* Stays current on changes in his/her own specialist area and seeks out learning opportunities to ensure knowledge is up\-to\-date.
* Invests effort to individually coach others.
* Builds collaborative teams across the organization.
* Communicates openly keeping everyone across the organization informed.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49">
      <c r="A49" t="inlineStr">
        <is>
          <t>li-4354152220</t>
        </is>
      </c>
      <c r="B49" t="inlineStr">
        <is>
          <t>Specialty Software Engineer</t>
        </is>
      </c>
      <c r="C49" t="inlineStr">
        <is>
          <t>Jobs via Dice</t>
        </is>
      </c>
      <c r="D49" t="inlineStr">
        <is>
          <t>linkedin</t>
        </is>
      </c>
      <c r="E49" t="inlineStr"/>
      <c r="F49" t="inlineStr"/>
      <c r="G49" t="inlineStr">
        <is>
          <t>St Louis, MO</t>
        </is>
      </c>
      <c r="H49" t="inlineStr"/>
      <c r="I49" t="inlineStr">
        <is>
          <t>**Location:** 
 St. Louis, MO
**Salary:** 
 $81\.00 USD Hourly \- $87\.00 USD Hourly
**Description:**
****Job Title:** 
 Contingent Resource \- Specialty Software Engineer (GenAI Focus)**
**Location:** 
 St. Louis, MO
**Employment Type:** 
 Contingent Assignment
**About The Role**
 In this role, you will consult on complex, large\-scale initiatives within
 **Specialty Software Engineering** 
 , focusing on advanced Generative AI solutions. You will analyze and resolve multi\-faceted engineering challenges that require deep technical expertise and strategic thinking. This position involves collaboration with client stakeholders to deliver innovative solutions that meet compliance and performance standards.
**Responsibilities**
* Provide expert consultation on complex software engineering projects with broad organizational impact.
* Review and analyze large\-scale or long\-term engineering challenges, considering multiple factors and unprecedented scenarios.
* Develop strategies and contribute to resolving intricate technical issues requiring a strong understanding of policies, procedures, and compliance requirements.
* Collaborate with client teams to ensure successful delivery of project objectives.
* Drive innovation in Generative AI applications and agent development.
****Required Qualifications****
* 5\+ years of experience in Specialty Software Engineering or equivalent experience through a combination of:
+ Professional work or consulting
+ Training or education
+ Military experience
* Strong understanding of software engineering principles and compliance frameworks.
****Preferred Skills****
* Prompt Engineering
* Experience with LangGraph, LangChain, ADK
* Knowledge of MCP, A2A
* Building and deploying Generative AI Agents
* Conducting evaluations of Generative AI models and systems
****Additional Information****
* Project Code: xms\-USIT
* Domain: GenAI
* Onsite Requirement: Yes
* Location: St. Louis, MO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50">
      <c r="A50" t="inlineStr">
        <is>
          <t>li-4365765734</t>
        </is>
      </c>
      <c r="B50" t="inlineStr">
        <is>
          <t>Senior Software Engineer, Information Security</t>
        </is>
      </c>
      <c r="C50" t="inlineStr">
        <is>
          <t>Icertis</t>
        </is>
      </c>
      <c r="D50" t="inlineStr">
        <is>
          <t>linkedin</t>
        </is>
      </c>
      <c r="E50" t="inlineStr"/>
      <c r="F50" t="inlineStr"/>
      <c r="G50" t="inlineStr">
        <is>
          <t>Virginia, United States</t>
        </is>
      </c>
      <c r="H50" t="inlineStr"/>
      <c r="I50" t="inlineStr">
        <is>
          <t>**Job Description**
 At Icertis, we power the contract intelligence platform that transforms how federal agencies and government organizations manage their most critical missions — from defense and national security to public safety and aerospace. We go beyond traditional contract systems by embedding AI\-driven automation, compliance, and real\-time insights into every phase of the contract lifecycle — enabling agencies to accelerate procurement, reduce risk, and operate with greater transparency and control.
 Discover how Icertis is modernizing public sector contract management and driving impact across federal agencies here.
 The Icertis Senior Security analyst focuses on assessing security systems controls, identifying flaws in these systems, and makes recommendations for implementing corrective measures. Analysts also often focus on improving the effectiveness of security systems and creating procedural guidelines for employees to help protect company data and networks.
 If you are passionate about security, eager to learn, and thrive in a fast and team\-based environment, then we’re looking for you! The successful candidate will be accountable to perform day\-to\-day security operations such as daily threat research, network monitoring, incident response, threat hunting, threat intelligence and execution of security solutions, and identify and drive remediation of security vulnerabilities detected by scanning tools or by threat intelligence research. This position is responsible for the involvement in the implementation of new security solutions, participation in the creation and/or maintenance of policies, standards, baselines, guidelines, and procedures as well as participating in vulnerability and risk assessments tasks.
 The Senior Security Analyst will lead and perform advanced tasks such as conducting security risk assessments, investigating complex security incidents, responding to security breaches, and monitoring systems for threats. Key responsibilities also include developing and implementing security strategies, managing vulnerabilities, ensuring regulatory compliance, and mentoring junior analysts.
**Responsibilities**
* Threat and incident management: Respond to security incidents, perform root cause analysis, investigate complex violations, and lead remediation efforts.
* Lead and conduct tabletop exercises for Security Incidents, Spillage events
* Risk and vulnerability management: Conduct risk assessments, monitor systems for potential breaches, and manage vulnerabilities from identification to remediation or risk acceptance.
* Security monitoring and analysis: Monitor security systems, analyze security data, investigate alerts, and provide advanced analysis of monitoring solutions.
* Strategy and policy: Collaborate to develop and deploy the information security strategy, and help create and update policies, standards, and procedures.
* Compliance and reporting: Ensure compliance with regulations, prepare reports for management, and assist in audits.
* Technical leadership: Provide technical guidance, mentor junior analysts, and act as a subject matter expert (SME).
* Project management: Lead security projects and initiatives, coordinate activities like penetration tests and vulnerability scans, and manage the remediation of issues.
**Qualifications**
* 5\+ years of enterprise secureity experience.
* Technical skills: Proficiency with security tools like Azure Sentinel, MSFT Intune, Azure WAF, Next\-Gen Antivirus; experience with firewalls, GPO management, and Azure Infrastructure.
* Analytical skills: Ability to analyze complex data, identify trends, and provide insights.
* Communication skills: Ability to communicate technical information effectively to both technical and non\-technical audiences.
* Educational background: Typically requires a bachelor's degree in computer science, information technology, or a related field.
* Certifications: Professional certifications, CISSP, CISA preferred.
 Min $100,000 \- Max $170,000 USD per year
 Pay offered will vary based on job\-related factors such as location, experience, training, skills, and abilities. In addition to base salary and an annual target incentive bonus, an equity component is included.
 Our Commitments
**Icertis Is Committed To**
* Supporting employees’ and their families’ physical, mental, and financial well\-being.
* Accelerating Icertians’ careers.
* Making a social and environmental impact in our communities.
* Cultivating and advancing a culture of diversity, equity, inclusion, and belonging (DEIB) across our company, customers, and suppliers.
* Generous holidays, including the 4th of July week off (paid).
* Free professional and leadership coaching.
* Annual personal development allowance.
**What We Offer**
* Robust medical, dental, vision, and mental health benefits.
* Employee Assistance Program (EAP).
* Equity (RSUs) and shared ownership in the company.
* Generous 401(k) match.
* Flexible work environment.
* Paid maternity and paternity leave.
* Generous holiday and PTO program.
* CaaS (Coaching as a Service).
* Annual personal development allowance.
* 7 Days for Humanity – seven paid volunteer days annually.
* Global and regional DEIB steering committees and employee resource groups (ERGs).
* Global DEIB training programs and guest speakers throughout the year.
**About Us**
 Icertis is the global leader in AI\-powered contract intelligence. The Icertis platform revolutionizes contract management, equipping customers with powerful insights and automation to grow revenue, control costs, mitigate risk, and ensure compliance \- the pillars of business success. Today, more than one third of the Fortune 100 trust Icertis to realize the full intent of millions of commercial agreements in 90\+ countries.
**About The Team**
 Who we a re: Icertis is the only contract intelligence platform companies trust to keep them out in front, now and in the future. Our unwavering commitment to contract intelligence is grounded in our FORTE values—Fairness, Openness, Respect, Teamwork and Execution—which guide all our interactions with employees, customers, partners, and stakeholders. Because in our mission to be the contract intelligence platform of the world, we believe how we get there is as important as the destination.
 Icertis, Inc. provides Equal Employment Opportunity to all employees and applicants for employment without regard to race, color, religion, gender identity or expression, sex, sexual orientation, national origin, age, disability, genetic information, marital status, amnesty, or status as a covered veteran in accordance with applicable federal, state and local laws. Icertis, Inc. complies with applicable state and local laws governing non\-discrimination in employment in every location in which the company has facilities. If you are in need of accommodation or special assistance to navigate our website or to complete your application, please send an e\-mail with your request to careers@icertis.com or get in touch with your recruiter.</t>
        </is>
      </c>
    </row>
    <row r="51">
      <c r="A51" t="inlineStr">
        <is>
          <t>li-4362146025</t>
        </is>
      </c>
      <c r="B51" t="inlineStr">
        <is>
          <t>Senior Full Stack Engineer</t>
        </is>
      </c>
      <c r="C51" t="inlineStr">
        <is>
          <t>Jobs via Dice</t>
        </is>
      </c>
      <c r="D51" t="inlineStr">
        <is>
          <t>linkedin</t>
        </is>
      </c>
      <c r="E51" t="inlineStr"/>
      <c r="F51" t="inlineStr"/>
      <c r="G51" t="inlineStr">
        <is>
          <t>Frisco, TX</t>
        </is>
      </c>
      <c r="H51" t="inlineStr"/>
      <c r="I51" t="inlineStr">
        <is>
          <t>RESPONSIBILITIES:
 Kforce's client, a growing Technology company, is seeking a Senior Full Stack Development Engineer. This is a hybrid/remote position, and the candidate must be located in the Frisco, TX area.
 Overview:
 We are working directly with the Chief of Engineering to hire a Full Stack Software Engineer who will help shape the customer experience from end to end. In this role, you will build intuitive user interfaces and robust backend services that power them. You will collaborate with product, design, and engineering teams to deliver new features, improve performance, and scale our platform to support millions of users. You will work across a modern tech stack to create high\-quality, impactful features\-translating design specs into elegant UI components and implementing reliable APIs. This is a hands\-on role with influence over architecture, technical decisions, and best practices.
 Key Tasks:
* Senior Full Stack Engineer will design and deliver end\-to\-end features across the platform in collaboration with leadership, product, and engineering teams
* Build and maintain user\-facing applications using React/Next.js and TypeScript, ensuring performance and accessibility
* Develop and optimize backend services using Node.js, integrating with PostgreSQL and internal systems
* Contribute to internal tools, back\-office systems, data integrations, warehousing, and reporting
* As a Senior Full Stack Engineer, you will partner with the engineering team to amplify output, share knowledge, and uphold high standards of code quality
* Participate in code reviews, architecture discussions, and continuous improvements to development practices and infrastructure
 REQUIREMENTS:
* BS in Computer Science, Computer Engineering, Software Engineering or equivalent work experience
* 7\-8\+ years of full Stack development experience
* 4\-5\+ years of backend software engineering experience
* 3\+ years of frontend development experience
* Experience with React, Next.js, and Tailwind CSS
* Solid understanding of backend architecture, distributed systems, and scalability principles
* Familiarity with DevOps practices and cloud infrastructure (Google Cloud or AWS), including CI/CD and monitoring
* Proficiency with Node.js, PostgreSQL (Or similar relational databases)
* Strong SQL skills for writing, debugging, and optimizing queries
* Entrepreneurial mindset with strong ownership and collaboration skills
 Nice to have:
* Experience in travel, Hospitality, marketplace, or e\-commerce industries
* Hands\-on experience with Google Cloud or similar Cloud platforms
* Background in scaling systems to millions of daily users
* Contributions to open\-source projects or tech communities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52">
      <c r="A52" t="inlineStr">
        <is>
          <t>li-4321408969</t>
        </is>
      </c>
      <c r="B52" t="inlineStr">
        <is>
          <t>Senior Embedded Software Engineer</t>
        </is>
      </c>
      <c r="C52" t="inlineStr">
        <is>
          <t>Jobs via Dice</t>
        </is>
      </c>
      <c r="D52" t="inlineStr">
        <is>
          <t>linkedin</t>
        </is>
      </c>
      <c r="E52" t="inlineStr"/>
      <c r="F52" t="inlineStr"/>
      <c r="G52" t="inlineStr">
        <is>
          <t>Schaumburg, IL</t>
        </is>
      </c>
      <c r="H52" t="inlineStr"/>
      <c r="I52" t="inlineStr">
        <is>
          <t>Dice is the leading career destination for tech experts at every stage of their careers. Our client, ISCO International LLC, is seeking the following. Apply via Dice today!
**Position Description**
 ISCO is looking for a Senior Embedded Software Engineer to help architect, develop and implement ISCO's new telecommunications products. This role has a wide scope that may include implementation of DSP algorithms, development of drivers and APIs, design of O\&amp;M functions, and even support of automated test development efforts. This role requires a Senior level Software Engineer with a broad range of skills, innovative spirit, and desire to work in a fast\-paced, entrepreneurial environment. Candidate should have a background in wireless communication with experience working with embedded Linux at application and kernel levels and practical knowledge of ARM processors.
 This is an excellent position for a talented, motivated engineer seeking the opportunity to make a strong impact.
**Education/Experience**
 BS in Engineering, MSEE is a plus, and a minimum of seven to ten years related experience.
**Necessary Skills**
* Proficiency in C\+\+ programming in an embedded Linux environment.
* Proficiency in object\-oriented design with a focus on designing modular, maintainable, and reusable software.
* Proficiency in developing multi\-process and multi\-threaded embedded Linux applications.
* Experience in embedded software/driver design and implementation for Linux platforms which interface to FPGAs and other hardware devices such as PCIe cards, NICs, etc.
* Experience with Ethernet protocols including hands\-on experience debugging networking issues.
* Experience with embedded Linux platforms such as Yocto.
* Experience in C programming in an embedded Linux environment.
* Experience with version control systems such as Git.
* Knowledge of the complete software development life cycle, from requirements to design, implementation, testing, and release.
* Strong work ethic and the ability to work both independently and part of a team.
* Ability to effectively communicate via oral and written communications with senior management and technical staff.
**Recommended Skills**
* Knowledge and experience in adjacent areas \- FPGA and DSP
* Experience with LTE and/or 5G protocol stack software and data plane drivers.
* Proficiency in Python programming in an embedded systems environment.
* Familiarity with Python mathematical and data analysis packages.
* Experience with Linux server platforms including Ubuntu.
* Experience with Linux kernel device driver development and debugging
* Familiarity with PCIe, SPI, I2C, GPIO, DMA flash devices, and other hardware interfaces.
* Knowledge of security best practices in embedded systems development.
* Ability to test, validate and debug issues using RF measurement equipment like Spectrum Analyzer.
* Experience with automated system testing.
* Familiarity with ISO 9001:2015 quality standard requirements for documenting all phases of development is a plus but not necessary.
**Additional Requirements**
* Occasional domestic travel in support of customer meetings or product trials is required. The travel is estimated at about 10% of the time.
* Since ISCO makes equipment for cellular operators and cellular networks operate 24/7, on rare occasions some work may have to be performed during off hours between 12am \- 4 am or on weekends.
**Location**
 This position is at ISCO headquarters in Schaumburg, IL. Remote candidates are also strongly considered given the right set of skills and experience.
**Residency Requirement**
**Reports To**
 Vice President \- Engineering</t>
        </is>
      </c>
    </row>
    <row r="53">
      <c r="A53" t="inlineStr">
        <is>
          <t>li-4362155208</t>
        </is>
      </c>
      <c r="B53" t="inlineStr">
        <is>
          <t>Senior Software Developer</t>
        </is>
      </c>
      <c r="C53" t="inlineStr">
        <is>
          <t>Jobs via Dice</t>
        </is>
      </c>
      <c r="D53" t="inlineStr">
        <is>
          <t>linkedin</t>
        </is>
      </c>
      <c r="E53" t="inlineStr"/>
      <c r="F53" t="inlineStr"/>
      <c r="G53" t="inlineStr">
        <is>
          <t>Nashville, TN</t>
        </is>
      </c>
      <c r="H53" t="inlineStr"/>
      <c r="I53" t="inlineStr">
        <is>
          <t>**Job Description**
 Design, develop, troubleshoot and debug software programs for databases, applications, tools, networks etc.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4">
      <c r="A54" t="inlineStr">
        <is>
          <t>li-4353947699</t>
        </is>
      </c>
      <c r="B54" t="inlineStr">
        <is>
          <t>Specialty Software Engineer</t>
        </is>
      </c>
      <c r="C54" t="inlineStr">
        <is>
          <t>Jobs via Dice</t>
        </is>
      </c>
      <c r="D54" t="inlineStr">
        <is>
          <t>linkedin</t>
        </is>
      </c>
      <c r="E54" t="inlineStr"/>
      <c r="F54" t="inlineStr"/>
      <c r="G54" t="inlineStr">
        <is>
          <t>Woodbridge, NJ</t>
        </is>
      </c>
      <c r="H54" t="inlineStr"/>
      <c r="I54" t="inlineStr">
        <is>
          <t>**Location:** 
 Iselin, NJ
**Salary:** 
 $90\.00 USD Hourly \- $96\.00 USD Hourly
**Description:**
****Job Title:** 
 Specialty Software Engineer**
**Location:** 
 Iselin, NJ
**Employment Type:** 
 Contingent Resource Assignment
**About The Role**
 As a
 **Specialty Software Engineer** 
 , you will consult on complex, large\-scale initiatives that impact multiple systems and processes. You'll analyze and resolve multi\-faceted engineering challenges, requiring deep technical expertise and strategic thinking. This role involves collaborating with client teams to ensure compliance, deliverables, and alignment with organizational goals.
**Responsibilities**
* Provide technical consultation on complex software engineering projects with broad impact.
* Review and analyze large\-scale or long\-term engineering challenges, considering multiple factors and unprecedented scenarios.
* Develop solutions for intricate problems requiring a strong understanding of policies, procedures, and compliance requirements.
* Collaborate strategically with client stakeholders to drive successful outcomes.
****Minimum Qualifications****
* 5\+ years of experience in Specialty Software Engineering, or equivalent experience through work, consulting, training, military service, or education.
****Preferred Skills \&amp; Experience****
* SQL Expertise:
+ 5\+ years working with SQL
+ Advanced SQL query writing (1\-2 years)
* Python Development:
+ 6\+ years coding in Python
+ Automation using Python (6\+ years)
+ Python for Machine Learning (6\+ years)
* DevOps \&amp; CI/CD:
+ 2\-4 years of experience with CI/CD pipelines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55">
      <c r="A55" t="inlineStr">
        <is>
          <t>li-4354147786</t>
        </is>
      </c>
      <c r="B55" t="inlineStr">
        <is>
          <t>Principal Software Engineer - Java/AWS</t>
        </is>
      </c>
      <c r="C55" t="inlineStr">
        <is>
          <t>Jobs via Dice</t>
        </is>
      </c>
      <c r="D55" t="inlineStr">
        <is>
          <t>linkedin</t>
        </is>
      </c>
      <c r="E55" t="inlineStr"/>
      <c r="F55" t="inlineStr"/>
      <c r="G55" t="inlineStr">
        <is>
          <t>San Francisco, CA</t>
        </is>
      </c>
      <c r="H55" t="inlineStr"/>
      <c r="I55" t="inlineStr">
        <is>
          <t>At Early Warning, we've powered and protected the U.S. financial system for over thirty years with cutting\-edge solutions like Zelle , Paze ,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is a hands\-on, individual contributor technical leader involved in setting the standards ensuing excellence in quality of outputs across multiple teams. Responsible for partnering with cross functional teams and providing input to a broad range of initiatives. A technical expert that is continuously learning and keeping abreast of new technologies and industry best practices and finding ways to bring those practices into the engineering organization.
**Essential Functions**
* Partners with product management to craft product strategy, create product descriptions and ensure alignment to technology roadmaps.
* Be a thought leader: a senior point of expertise on software engineering issues, industry trends and developing technologies. Be a role model to others on the team. Coach and mentor team members.
* Takes ownership for creating technical product design and architecture.
* Creates and conducts presentations for small\-to\-medium size groups.
* Works closely with customers to understand their needs and create a partnership for making Early Warning products better.
* Partners with software engineering, product, and architecture to shape engineering approaches, share knowledge and experience.
* Develop, scope and shape a departmental\-wide technical vision for the future.
* Design / Engineer product / application service solutions in alignment with technology strategy roadmap (example, cloud, containerization, CI/CD and automated testing) keeping futuristic business growth, ease of maintenance, operational readiness and self\-service enabled.
* Collaborate and build relationships cross\-functionally to influence and motivate others; serve as an internal catalyst for progressive, strategic and successful change management.
* Support the company's commitment to risk management and protecting the integrity and confidentiality of systems and data.
* The above job description is a summary of job responsibilities and is not intended to be an all\-inclusive list of duties and standards of the position. Incumbents will follow instructions and perform tasks and other duties as assigned by their supervisor.
**Minimum Qualifications**
* Education and/or experience typically obtained through a Bachelor's degree in computer science or related technical field.
* Fifteen or more years of experience in designing and developing complex software projects with at least eight or more years in FinTech domain.
* 1\-2 years of experience implementing application solutions/ services in Cloud using Containerization, CI/CD, Automated testing and in compliance security guidelines
* Experience in leading cross\-functional teams to create technical solutions
* Effective communicator with exceptional public speaking skills. Comfortable presenting to all levels within the company
* Knowledge of Software Development Lifecycle (SDLC) best practices, software development methodologies (Agile, Scrum, LEAN etc) and DevOps practices
* Proven track record designing and building complex end\-to\-end systems (full stack developer)
* Hands\-on experience in designing and developing using the one or more of the following technologies
+ Java RESTful Web Services (Java, J2EE, JUnit, and Tomcat.)
+ Experience in Microservices Architecture.
+ Open Source Frameworks \- Spring boot, Spring Core
+ Messaging frameworks such as Kafka, Tibco EMS or JMS
+ Oracle PL/SQL
+ JavaScript and scripting frameworks (JQuery, AngularJS)
* Hands\-on experience in test automation at various levels of testing (unit, component, integration and functional tests)
* Proven experience in OOA/OOD
* Experience with CI/CD pipeline implementation including GIT, Chef, Maven, Jenkins etc
* Solid understanding of modern Cloud platforms such as AWS, Google Cloud or MS Azure
* Experience of working with code repositories (e.g. Git, SVN), bug tracking tools (e.g. Jira, Bugzilla) and Wikis (e.g. Confluence)
* Background and drug screen
**Preferred Qualifications**
* M.S., or Ph.D. in Computer Science or another technical field
* Knowledge of Splunk, Altiris \&amp;Zabbix
* Hands\-on Experience in working with AWS
* Experience with various Database design and architectures
* Expertise in TerraForm and/or other cloud orchestration technologies
* Experience with Monitoring \&amp; Alerting systems like AppDynamics
* Experience with other computer languages like C\#, Ruby, Python, and PHP (Java preferred)
* Knowledge of ACH/EFT
* Knowledge of real time payment networks(RTP, FedNow)
* Experience with migrating application services from on\-prem to Cloud
* Cloud / Kubernetes certification
**Compensation**
 The base pay scale for this position in:
 Phoenix, AZ in USD per year is: $173,000 \- $259,000\.
 San Francisco, CA in USD per year is: $207,000 \- $276,000\.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above job description is not intended to be an all\-inclusive list of duties and standards of the position.
 Some of the Ways We Prioritize Your Health and Happiness
* Healthcare Coverage \-Competitive medical (PPO/HDHP), dental, and vision plans as well as company contributions to your Health Savings Account (HSA) or pre\-tax savings through flexible spending accounts (FSA) for commuting, health \&amp; dependent care expenses.
* 401(k) Retirement Plan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56">
      <c r="A56" t="inlineStr">
        <is>
          <t>li-4354047663</t>
        </is>
      </c>
      <c r="B56" t="inlineStr">
        <is>
          <t>Specialty Software Engineer</t>
        </is>
      </c>
      <c r="C56" t="inlineStr">
        <is>
          <t>Jobs via Dice</t>
        </is>
      </c>
      <c r="D56" t="inlineStr">
        <is>
          <t>linkedin</t>
        </is>
      </c>
      <c r="E56" t="inlineStr"/>
      <c r="F56" t="inlineStr"/>
      <c r="G56" t="inlineStr">
        <is>
          <t>Columbus, OH</t>
        </is>
      </c>
      <c r="H56" t="inlineStr"/>
      <c r="I56" t="inlineStr">
        <is>
          <t>**Location:** 
 Columbus, OH
**Salary:** 
 $81\.00 USD Hourly \- $87\.00 USD Hourly
**Description:**
****Job Title:** 
 Enterprise Software Engineer \- AI Solutions (Java, Python, Gen AI)**
**Location:** 
 Columbus, OH (Preferred)
*Other locations previously considered: Charlotte, NC; Irving, TX \- pending confirmation*
**Contract Type:** 
 12\+ months (Contract\-to\-Hire possible)
**About The Role**
 We are seeking a
 **hands\-on Enterprise Software Engineer** 
 with expertise in
 **Java** 
 ,
 **Python** 
 , and
 **Generative AI frameworks** 
 (OpenAI, LangGraph). In this role, you will design and develop AI\-driven solutions for our Cybersecurity team, building foundational components and scalable applications with a strong
 **UI focus** 
 .
 This is a
 **development\-focused position** 
 \-ideal for engineers who thrive in a
 **building mode** 
 environment and can ramp up quickly to deliver impactful solutions.
**What You'll Do**
* Develop and implement enterprise\-grade applications using Java and Python.
* Build AI\-powered solutions leveraging Generative AI frameworks (OpenAI, LangGraph).
* Collaborate with the Cybersecurity team to design and deliver secure, scalable systems.
* Create intuitive user interfaces using React, Next.js, CSS, and modern UI/UX principles.
* Contribute to architecture decisions and provide reusable building blocks for future applications.
****Qualifications****
* 5\+ years of experience in Software Engineering or equivalent (work experience, consulting, training, military, or education).
* Strong programming skills in Java and Python.
* Hands\-on experience with Generative AI frameworks (OpenAI, LangGraph).
* Familiarity with UI development (React, Next.js, CSS, UI/UX best practices).
* Ability to work in a fast\-paced environment and deliver high\-quality solutions.
* Not a lead role\-must be comfortable being hands\-on.
****Preferred Skills****
* Experience in enterprise application development.
* Knowledge of cybersecurity principles and secure coding practices.
* Strong problem\-solving and collaboration skills.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57">
      <c r="A57" t="inlineStr">
        <is>
          <t>li-4365783898</t>
        </is>
      </c>
      <c r="B57" t="inlineStr">
        <is>
          <t>Senior Software Engineering Program Manager, Design Quality Center of Expertise</t>
        </is>
      </c>
      <c r="C57" t="inlineStr">
        <is>
          <t>Medtronic</t>
        </is>
      </c>
      <c r="D57" t="inlineStr">
        <is>
          <t>linkedin</t>
        </is>
      </c>
      <c r="E57">
        <f>HYPERLINK("https://www.linkedin.com/jobs/view/4365783898", "https://www.linkedin.com/jobs/view/4365783898")</f>
        <v/>
      </c>
      <c r="F57" t="inlineStr"/>
      <c r="G57" t="inlineStr">
        <is>
          <t>Mounds View, MN</t>
        </is>
      </c>
      <c r="H57" t="inlineStr"/>
      <c r="I57" t="inlineStr">
        <is>
          <t>We anticipate the application window for this opening will close on \- 6 Feb 2026
 At Medtronic you can begin a life\-long career of exploration and innovation, while helping champion healthcare access and equity for all. You’ll lead with purpose, breaking down barriers to innovation in a more connected, compassionate world.
**A Day in the Life**
 Join us at Medtronic, where we are partnering across the industry to tackle systemic healthcare challenges with bold leadership. If you seek a challenging, energizing, and rewarding career that changes lives, we invite you to join our team. Become part of the next generation of life\-changing medical technology, impacting patients worldwide.
 The Senior Software Engineering Program Manager drives the evolution of Medtronic’s product development processes to set new industry\-leading standards serving as a domain expert in Software Design Control. Lead our team by coaching internal customers across our diverse product portfolio, to elevate Software Design Control capabilities throughout the organization. In this role, you will proactively identify and implement large\-scale initiatives that enhance rigor, productivity and user experience by leveraging cutting\-edge technologies and innovative methodologies.
 At Medtronic, we must work with a sense of purpose and ownership, knowing there is a human life on the other side of every decision.
 We bring bold ideas forward with speed and decisiveness to put patients first in everything we do. In\-person exchanges are invaluable to our work. We’re working 4\+ days a week onsite as part of our commitment to fostering a culture of professional growth and cross\-functional collaboration as we work together to engineer the extraordinary.
**This position will be on\-site, based at one of the following Medtronic North America sites:**
* Mounds View, MN (Twin Cities Campus).
* Irvine, CA (Orange County Campus).
* Tempe, AZ.
* Lafayette, CO (Colorado Campus).
* Danvers, MA or Billerica, MA.
* Memphis, TN.
* Jacksonville, FL.
* Fort Worth, TX
* North Haven, CT
 Responsibilities may include the following and other duties may be assigned.
* Lead enterprise\-wide initiatives with emphasis on Design, Reliability \&amp; Manufacturability/Maintainability (DRM) to ensure product quality, regulatory compliance and operational excellence across all Medtronic Operating Units (OU).
* Apply your technical expertise to Put Patients First every day.
* Apply Design for Reliability and Design for Manufacturability principles to reduce risk, improve First Time Quality (FTQ), and enable efficient design transfer.
* Guide cross\-functional teams through the Product Development Process (PDP) with a strong focus on positive design control outcomes and regulatory adherence.
* Serve as a subject matter expert in CAPA and Post\-Market Surveillance (PMS), ensuring field performance insights are incorporated into early design phases.
* Apply systems engineering principles to coordinate complex, multi\-disciplinary product development efforts from concept through commercialization.
* Leverage biomedical engineering knowledge to ensure designs meet functional, safety, and efficacy requirements in compliance with medical device standards.
* Maintain deep familiarity with FDA 21 CFR Part 820, ISO 13485, IEC 62304, ISO14971 and other design control regulations, providing expert guidance on compliance throughout the development lifecycle.
* Partner closely with R\&amp;D and Quality colleagues to embed best practices in technical rigor, simplify execution, and bring forward individual perspectives that strengthen decision\-making and solution design.
* Conduct / support software engineering capability assessments to drive continuous improvement initiatives and organizational knowledge sharing.
* Improve product quality, regulatory compliance, and operational excellence across all Operating Units (OUs).
* Serve as subject matter expert for:
+ CAPA.
+ Post‑Market Surveillance (PMS).
+ Incorporation of field performance data into early design phases.
* Provide hands‑on coaching to engineering, quality, and cross‑functional teams to strengthen Software Design Control maturity across Medtronic.
**Must Have: Minimum Requirements**
*To be considered for this role, please ensure the minimum requirements are evident in your applicant profile.* 
* Bachelor’s Degree with 7\+ years of work experience in Quality and/or Development, with 5\+ years of managerial experience.
* OR Advanced Degree with 5\+ years of work experience in Quality and/or Development, with 5\+ years of managerial experience.
**Nice to Have: Preferred Qualifications**
* Experience with traditional staged software development life cycles, as well as incremental / Agile development life cycles.
* Experience leading complex projects/programs.
* Experience with SPC, CAPA, NCMR, PDP processes.
* Effective planning and organization skills including the proven ability to work against multiple objectives simultaneously.
* Ability to establish and maintain a trusted role with the various stakeholders in coordinating multiple functions across the organization.
* Working knowledge of Quality System Regulations such as (QSR 21 CFR 820\), and ISO 13485\.
* Working knowledge of Software Development Standards such as IEC 62304, IEC 82304, and IEC 81001\-5\-1\.
* Green Belt Six Sigma/DRM Training/Certification.
* Effective verbal and written communication, analytical, influencing and interpersonal skills.
* Demonstrated working knowledge of process validation, statistical methods, risk management, software engineering best practices.
* Experience with Software \&amp; Systems Reliability tools and methodologies (e.g. IEEE\-1633\).
* Experience with software capability assessment methodologies (e.g. CMMI, ISO/IEC 12207, ISO/IEC 15504, etc.).
* Relevant professional certifications (e.g. ASQ (CSQE), INCOSE, IEEE (PSEM, CSDP), CSSLP, CSM (Scrum Master), etc.).
* Experience in the application of artificial intelligence/machine learning tools and methods to software quality systems and software development life cycles.
* Experience in the application of secure software development lifecycles and frameworks.
* Strong communication and leadership skills with ability to influence without authority.
* Experience influencing large\-scale process adoption across multiple OUs or business groups.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(USD):$149,600\.00 \- $224,400\.00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58">
      <c r="A58" t="inlineStr">
        <is>
          <t>li-4365767830</t>
        </is>
      </c>
      <c r="B58" t="inlineStr">
        <is>
          <t>Software Developer/Data Engineer - Entry Level</t>
        </is>
      </c>
      <c r="C58" t="inlineStr">
        <is>
          <t>Lensa</t>
        </is>
      </c>
      <c r="D58" t="inlineStr">
        <is>
          <t>linkedin</t>
        </is>
      </c>
      <c r="E58">
        <f>HYPERLINK("https://www.linkedin.com/jobs/view/4365767830", "https://www.linkedin.com/jobs/view/4365767830")</f>
        <v/>
      </c>
      <c r="F58" t="inlineStr"/>
      <c r="G58" t="inlineStr">
        <is>
          <t>Atlanta, GA</t>
        </is>
      </c>
      <c r="H58" t="inlineStr"/>
      <c r="I5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Georgia, Atlanta
**Position ID:** 
 J0825\-1339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Atlanta, GA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59">
      <c r="A59" t="inlineStr">
        <is>
          <t>li-4365773891</t>
        </is>
      </c>
      <c r="B59" t="inlineStr">
        <is>
          <t>Software Developer/Data Engineer - Entry Level</t>
        </is>
      </c>
      <c r="C59" t="inlineStr">
        <is>
          <t>Lensa</t>
        </is>
      </c>
      <c r="D59" t="inlineStr">
        <is>
          <t>linkedin</t>
        </is>
      </c>
      <c r="E59">
        <f>HYPERLINK("https://www.linkedin.com/jobs/view/4365773891", "https://www.linkedin.com/jobs/view/4365773891")</f>
        <v/>
      </c>
      <c r="F59">
        <f>HYPERLINK("https://lensa.com/cgw/34ecc578835f421bafe1ebc57afaf23atjo1?jpsi=directemployers&amp;publisher_preference=easier_apply&amp;utm_campaign=Computer%20Occupations&amp;utm_medium=slot&amp;utm_source=linkedin&amp;utm_term=jse&amp;urlHash=Zepf", "https://lensa.com/cgw/34ecc578835f421bafe1ebc57afaf23atjo1?jpsi=directemployers&amp;publisher_preference=easier_apply&amp;utm_campaign=Computer%20Occupations&amp;utm_medium=slot&amp;utm_source=linkedin&amp;utm_term=jse&amp;urlHash=Zepf")</f>
        <v/>
      </c>
      <c r="G59" t="inlineStr">
        <is>
          <t>Nashville, TN</t>
        </is>
      </c>
      <c r="H59" t="inlineStr"/>
      <c r="I5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60">
      <c r="A60" t="inlineStr">
        <is>
          <t>li-4365767710</t>
        </is>
      </c>
      <c r="B60" t="inlineStr">
        <is>
          <t>Senior Software Engineer</t>
        </is>
      </c>
      <c r="C60" t="inlineStr">
        <is>
          <t>Faro</t>
        </is>
      </c>
      <c r="D60" t="inlineStr">
        <is>
          <t>linkedin</t>
        </is>
      </c>
      <c r="E60">
        <f>HYPERLINK("https://www.linkedin.com/jobs/view/4365767710", "https://www.linkedin.com/jobs/view/4365767710")</f>
        <v/>
      </c>
      <c r="F60" t="inlineStr"/>
      <c r="G60" t="inlineStr">
        <is>
          <t>San Diego, CA</t>
        </is>
      </c>
      <c r="H60" t="inlineStr"/>
      <c r="I60" t="inlineStr">
        <is>
          <t>Faro Health aims to improve lives by helping life sciences companies design optimal clinical trials. Our AI powered software platform optimizes and orchestrates complex clinical development by providing powerful insights about trial design and outcomes. Faro empowers researchers to design more intelligent trials, reducing development costs and reaching milestones faster with better patient experiences.
 Faro is a mission driven company seeking world class people who share our passion for improving drug availability and patient outcomes through better clinical trial design. We pride ourselves on our vibrant, inclusive, and growth mindset oriented culture. Faro offers competitive compensation and benefits, generous vacation and parental leave, and flexible working hours.
 We are a hybrid workplace where San Diego employees work from their homes as well as in our stunning main headquarters enjoying a gym with classes and (early next year) spa services, outdoor lawn work area, and steeply discounted food hall. Remote employees work from home and visit the main office for group events and in\-person collaboration.
 In this role, you'll have the opportunity to work with a dynamic and fast\-paced team of software professionals. If you are passionate about solving complex problems, join us in shaping the future of clinical trial development.
* Note: Candidates and Recruiting Agencies, please do not contact our employees regarding the position or your application status. Doing so will automatically disqualify you from the position or working with us. Only applications submitted through the designated link will be considered. Please DO NOT SPAM our employees regarding the role or your application status
**Responsibilities** 
 :
* Own Feature Delivery: Lead the development of new features from ideation to release, ensuring business requirements are met with excellence
* Hands\-On Innovation: Contribute directly to the architecture and development of high\-complexity features and tackling challenging problems
* Champion Best Practices: Be a driving force in establishing and promoting engineering best practices, ensuring quality, performance, and scalability across the team
* Explore New Technologies: Stay ahead of the curve by integrating cutting\-edge technology and innovations to continuously improve our platform's functionality
* Mentor \&amp; Lead: Serve as a mentor and catalyst for your peers, helping to accelerate the realization of our product roadmap while fostering a collaborative learning environment
* Customer\-Centric Mindset: Deliver an exceptional user experience by empathizing with our customers and deeply understanding their needs, ensuring every feature enhances their journey
****Requirements****
**Skills and Competencies**
* 7\+ years of experience in delivering highly scalable, distributed software products with SaaS architectures and multi\-tenancy
* Strong understanding of microservice architecture and RESTful Services
* Strong skills in: TypeScript or Python, React, HTML, CSS, Node.js, Docker
* Preferably having experience with UV, Vite, Redis Cache, Postgres, Express, Inversify, Agno
* Experience in developing real\-time data or event systems
* Experience designing relational schemas on relational data stores like PostgreSQL, MySQL
* Experience with cloud\-service providers like Azure, AWS and/or Google Cloud
* Self\-motivated and able to work independently and in a team environment
* Willingness to lead and mentor other software engineers
* Excellent written and verbal communication skills, interpersonal skills
* You have experience in a fast moving, growth\-minded startup, and are comfortable with being flexible and adaptable as requirements change.
* Willingness and ability to learn new technologies and take on different assignments
* Bachelor's degree in Computer Science or a related discipline or an equivalent training experience
****Benefits****
 Salary
* Salary range for this position is $153,000 to $180,000
* Salary listed reflects the base salary only and does not include other elements of total compensation
* Individual pay is determined by work location and additional factors, including job\-related skills, experience, and relevant education or training
 Equity
 In addition to this position's salary (listed above), equity will be a major component of the total compensation for this position. We aim to offer higher\-than\-average equity compensation for a company of our size, and communicate equity amounts at the time of offer issuance.
**Benefits**
* Health Care Plan (Medical, Dental \&amp; Vision)
* Retirement Plan (401k)
* Stock Option Plan
* Life Insurance (Basic)
* Short Term and Long Term Disability
* Paid Time Off (Flexible Vacation Policy, Sick \&amp; Public Holidays)
* Training \&amp; Development
* Work from Home, Office or Hybrid</t>
        </is>
      </c>
    </row>
    <row r="61">
      <c r="A61" t="inlineStr">
        <is>
          <t>li-4321433610</t>
        </is>
      </c>
      <c r="B61" t="inlineStr">
        <is>
          <t>Backend Software Engineer</t>
        </is>
      </c>
      <c r="C61" t="inlineStr">
        <is>
          <t>Tessera Labs</t>
        </is>
      </c>
      <c r="D61" t="inlineStr">
        <is>
          <t>linkedin</t>
        </is>
      </c>
      <c r="E61">
        <f>HYPERLINK("https://www.linkedin.com/jobs/view/4321433610", "https://www.linkedin.com/jobs/view/4321433610")</f>
        <v/>
      </c>
      <c r="F61">
        <f>HYPERLINK("https://jobs.ashbyhq.com/tessera-labs/1fff7515-d5ae-4e89-9cf3-75c8e542f751/application?utm_source=gVAve8bk7l&amp;src=LinkedIn&amp;urlHash=bNAA", "https://jobs.ashbyhq.com/tessera-labs/1fff7515-d5ae-4e89-9cf3-75c8e542f751/application?utm_source=gVAve8bk7l&amp;src=LinkedIn&amp;urlHash=bNAA")</f>
        <v/>
      </c>
      <c r="G61" t="inlineStr">
        <is>
          <t>Seattle, WA</t>
        </is>
      </c>
      <c r="H61" t="inlineStr"/>
      <c r="I61" t="inlineStr">
        <is>
          <t>At Tessera Labs, we’re revolutionizing business process automation with cutting\-edge AI technology. Backed by Foundation Capital and led by a world\-class founding team, we’re building a high\-impact engineering group to bring AI\-powered automation to the enterprise world.
 Our multi\-agent AI systems transform complex business workflows—eliminating inefficiencies, optimizing operations, and enabling seamless integrations across platforms like SAP, Salesforce, and Workday. We move fast, solve hard problems, and build at the bleeding edge of AI.
**About The Role**
 We’re looking for a Backend Engineer (Mid\-Level) who thrives in a fast\-paced, high\-ownership startup environment. You’ll help design, build, and maintain the backend systems that power Tessera’s AI automation platform — including scalable APIs, data pipelines, and integrations with enterprise systems.
 This role is hands\-on and ideal for someone who enjoys building distributed systems, solving challenging backend problems, and contributing to architectural discussions in a collaborative, fast\-moving team.
 Key Responsibilities
 Core Development
* Design, develop, and maintain RESTful APIs and backend services using Python (FastAPI, SQLAlchemy).
* Build reliable microservices that support data processing, automation, and AI system integrations.
* Implement and optimize database schemas, queries, and caching for performance and scalability.
* Contribute to data pipelines and synchronization services across enterprise integrations.
 AI \&amp; Systems Integration
* Connect backend services with AI model servers, vector databases, and automation workflows.
* Enable smooth data exchange between AI agents and enterprise systems like Salesforce, SAP, and Workday.
 Scalability \&amp; Reliability
* Identify and fix performance bottlenecks in backend code and databases.
* Implement caching, monitoring, and logging to ensure system reliability and observability.
* Collaborate with DevOps to deploy and maintain cloud\-based services on AWS or GCP.
 Security \&amp; Quality
* Implement secure authentication and authorization (OAuth2, RBAC, SSO).
* Follow best practices in code quality, testing, and documentation.
* Participate in code reviews and contribute to improving backend architecture.
 Collaboration \&amp; Ownership
* Work closely with frontend, AI, and product teams to deliver new features.
* Take initiative in identifying improvements and building practical, scalable solutions.
* Balance speed and long\-term scalability in a fast\-moving environment.
**Qualifications**
* 3–5 years of backend development experience with a focus on APIs, distributed systems, or cloud infrastructure.
* Proficient in Python, with experience using FastAPI, SQLAlchemy, or similar frameworks.
* Experience with PostgreSQL/MySQL and data modeling best practices.
* Familiarity with Redis, message queues (Kafka, RabbitMQ, Pub/Sub), and asynchronous processing.
* Experience with cloud storage solutions such as AWS S3, Google Cloud Storage, or Azure Blob Storage.
* Understanding of API authentication, security, and scalability principles.
* Strong debugging, testing, and performance optimization skills.
 Bonus Points
* Experience integrating AI/ML models into backend systems.
* Familiarity with event\-driven architectures or workflow automation systems.
* Prior experience in startups or high\-growth tech companies.
 Compensation Range: $200K \- $250K</t>
        </is>
      </c>
    </row>
    <row r="62">
      <c r="A62" t="inlineStr">
        <is>
          <t>li-4365781830</t>
        </is>
      </c>
      <c r="B62" t="inlineStr">
        <is>
          <t>Software Engineer - Early Career (USA)</t>
        </is>
      </c>
      <c r="C62" t="inlineStr">
        <is>
          <t>Lensa</t>
        </is>
      </c>
      <c r="D62" t="inlineStr">
        <is>
          <t>linkedin</t>
        </is>
      </c>
      <c r="E62">
        <f>HYPERLINK("https://www.linkedin.com/jobs/view/4365781830", "https://www.linkedin.com/jobs/view/4365781830")</f>
        <v/>
      </c>
      <c r="F62" t="inlineStr"/>
      <c r="G62" t="inlineStr">
        <is>
          <t>New York, NY</t>
        </is>
      </c>
      <c r="H62" t="inlineStr"/>
      <c r="I6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63">
      <c r="A63" t="inlineStr">
        <is>
          <t>li-4355212495</t>
        </is>
      </c>
      <c r="B63" t="inlineStr">
        <is>
          <t>Frontend Software Engineer</t>
        </is>
      </c>
      <c r="C63" t="inlineStr">
        <is>
          <t>Tessera Labs</t>
        </is>
      </c>
      <c r="D63" t="inlineStr">
        <is>
          <t>linkedin</t>
        </is>
      </c>
      <c r="E63">
        <f>HYPERLINK("https://www.linkedin.com/jobs/view/4355212495", "https://www.linkedin.com/jobs/view/4355212495")</f>
        <v/>
      </c>
      <c r="F63" t="inlineStr"/>
      <c r="G63" t="inlineStr">
        <is>
          <t>New York, NY</t>
        </is>
      </c>
      <c r="H63" t="inlineStr"/>
      <c r="I63" t="inlineStr">
        <is>
          <t>**Job Summary**
 We are looking for a Frontend Engineer who thrives in a fast\-paced, high\-ownership startup environment. This is a hands\-on role for a self\-starter who can take ownership of the user experience from concept to deployment, iterate quickly based on feedback, and optimize for speed, usability, and performance. You will design and build sophisticated UI components, interactive dashboards, and data visualizations that directly impact end users.
 If you love solving challenging UI problems, shipping polished interfaces at startup speed, and working in a collaborative, low\-ego environment, this role is for you.
**Key Responsibilities**
* Rapid Feature Development \&amp; Deployment
* Build sophisticated data visualization interfaces, workflow management UIs, and real\-time dashboards.
* Design and maintain scalable component libraries with consistent design patterns.
* Implement complex client\-side state with optimistic updates and real\-time synchronization.
* Create intuitive UIs for AI model interactions, data pipeline management, and enterprise system integrations.
* Optimize for speed, usability, and performance without compromising quality.
* Performance Optimization \&amp; Scalability
* Continuously identify and fix performance bottlenecks in frontend systems.
* Startup Mindset: Autonomy \&amp; Execution Speed
* Take initiative—identify problems and build solutions without waiting for direction.
* Make trade\-offs between speed and long\-term maintainability based on business needs.
* Work in a high\-ownership environment, making architectural and UI design decisions as needed.
* Quickly adapt to changing priorities, tight deadlines, and startup pivots.
**Required Qualifications**
* 3–5 years of React development with advanced patterns (custom hooks, complex state management, performance optimization, client/server\-side separation).
* Expertise in TypeScript (complex generics, utility types, strict typing in production applications).
* Strong experience with the modern React ecosystem (SSR \-\- TanStack Start, NextJS, data fetching and global state management libraries).
* Proven track record in enterprise UI development (component libraries, design systems, accessibility standards).
* Performance optimization skills (memoization strategies, render optimization, virtualization).
* Strong problem\-solving skills and ability to execute quickly with minimal guidance.
* Experience working in agile, fast\-paced startup teams.
**Preferred Qualifications**
* Experience with data visualization (charts, graphs, interactive dashboards).
* Real\-time UI patterns (WebSocket integration, live updates, optimistic UI).
* Enterprise authentication (SSO, role\-based access control, session management).
* Experience integrating AI/ML models into production applications.
* Familiarity with building developer\-facing tools (code editor integrations, syntax highlighting, diff viewers).
 Compensation Range: $200K \- $230K</t>
        </is>
      </c>
    </row>
    <row r="64">
      <c r="A64" t="inlineStr">
        <is>
          <t>li-4355785468</t>
        </is>
      </c>
      <c r="B64" t="inlineStr">
        <is>
          <t>Software Engineer/Developer</t>
        </is>
      </c>
      <c r="C64" t="inlineStr">
        <is>
          <t>Northstrat Incorporated</t>
        </is>
      </c>
      <c r="D64" t="inlineStr">
        <is>
          <t>linkedin</t>
        </is>
      </c>
      <c r="E64">
        <f>HYPERLINK("https://www.linkedin.com/jobs/view/4355785468", "https://www.linkedin.com/jobs/view/4355785468")</f>
        <v/>
      </c>
      <c r="F64" t="inlineStr"/>
      <c r="G64" t="inlineStr">
        <is>
          <t>Dulles, VA</t>
        </is>
      </c>
      <c r="H64" t="inlineStr"/>
      <c r="I64" t="inlineStr">
        <is>
          <t>Software Engineer / Developer
 Job Type: Full time, On\-Site, potential for hybrid schedule
 Clearance Requirements: Active TS/SCI clearance.
 Northstrat has various positions available, such as front\-end, back\-end, and full stack software engineering. You will be responsible for designing, developing, testing, deploying, and maintaining software solutions..
 As a Northstrat software engineer, you will have the opportunity to join amazing teams that deliver strategic IT solutions for meaningful problems in the defense and intelligence sectors. You will tackle unique and complex challenges, using cutting\-edge technologies to build scalable and secure solutions with DevSecOps and Agile methods.
**Duties And Responsibilities:**
* Develop and implement software enhancements to mission systems in Federal Government agencies
* Integrate multiple applications and systems to streamline process workflows
* Design, develop, document, test, and debug software that contains logical and mathematical solutions to mission problems
* Use diagrams to document software functionality
* Build scalable and secure solutions to mission problems
* Communicate effectively when writing and/or contributing to end user instructions or manuals
* Perform code reviews and provide feedback to your peers
* Apply research and development techniques to progress product from an idea into production
**Common Tech Stacks At Northstrat:**
 React, Angular, Vue.js, Javascript
* Java, NodeJS, Ruby, Clojure, Python
* Docker, Kubernetes, Redis, Kafka, SciPy, NumPy, Pandas
* CM processes/tools: GIT, JIRA, Confluence
 Soft Skills
* Teamwork
* Communication Skills
* Self\-Motivated
* Time Management Skills
* Adaptability to an agile work environment
**Requirements**
 Required Skills
* Creative problem\-solving using innovative analytical solutions
* Software Development with modern languages
* Must have an active US government TS/SCI clearance. No exceptions.
**Desired Skills**
* Enterprise system development
* Rapid prototyping and Agile based software development methodologies
* Understanding of web application development concepts
* Understanding DevSecOps pipelines for enterprise systems
* Understanding of Frontend/Backend development
* Working with modern databases
* Developing automated testing
* Working with Configuration Management software such as GIT
* Understanding APIs and web service interfaces such as REST and GraphQL
* Linux operating systems
* NiFi automation
* Development in microservice\-based architectures
* AWS APIs and deployment
* Understanding of machine learning concepts
**Education And Certifications:**
* Bachelors or Pursuing Bachelor’s or Master’s degree
+ Certifications preferred but not required based upon customer requirements: AWS Certification (Developer, DevOps and/or, Architect, etc.) and Security\+ Certification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We also offer competitive compensation, benefits, and profession development opportunities. Please refer to our Benefits section for additional details.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 Medical and Vision Insurance through United Health Care; Dental insurance through Delta Dental
* 100% Medical Reimbursement
* Time Off with Pay
* Profit Sharing Plan
* 401k
* Educational Benefits
* Additional Income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quarterly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the use of company provided online learning opportunities, periodic company sponsored training events, and the ability to use IBA funds for reimbursement of work\-related education expenses you will have the opportunity to continually grow your skills and abilities.
 Bring Your True Self
 We embrace diversity and encourage inclusion. We support employee led interest groups and challenge our employees to support others and be their best self. We are so true to our beliefs that we offer employee referral incentives. When you like it here, your friends and family will too!
 Northstrat is an Equal Opportunity Employer
 We are committed to fostering an inclusive, diverse workplace. All qualified applicants will receive consideration for employment without regard to race, color, religion, sex, pregnancy, sexual orientation, gender identity, national origin, age, disability, veteran status or other legally protected status.</t>
        </is>
      </c>
    </row>
    <row r="65">
      <c r="A65" t="inlineStr">
        <is>
          <t>li-4365775771</t>
        </is>
      </c>
      <c r="B65" t="inlineStr">
        <is>
          <t>Entry Level Software Developer</t>
        </is>
      </c>
      <c r="C65" t="inlineStr">
        <is>
          <t>Lensa</t>
        </is>
      </c>
      <c r="D65" t="inlineStr">
        <is>
          <t>linkedin</t>
        </is>
      </c>
      <c r="E65">
        <f>HYPERLINK("https://www.linkedin.com/jobs/view/4365775771", "https://www.linkedin.com/jobs/view/4365775771")</f>
        <v/>
      </c>
      <c r="F65" t="inlineStr"/>
      <c r="G65" t="inlineStr">
        <is>
          <t>New York, NY</t>
        </is>
      </c>
      <c r="H65" t="inlineStr"/>
      <c r="I6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On\-site roles available.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potentially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66">
      <c r="A66" t="inlineStr">
        <is>
          <t>li-4365789357</t>
        </is>
      </c>
      <c r="B66" t="inlineStr">
        <is>
          <t>Senior Full Stack Engineer</t>
        </is>
      </c>
      <c r="C66" t="inlineStr">
        <is>
          <t>Paper</t>
        </is>
      </c>
      <c r="D66" t="inlineStr">
        <is>
          <t>linkedin</t>
        </is>
      </c>
      <c r="E66">
        <f>HYPERLINK("https://www.linkedin.com/jobs/view/4365789357", "https://www.linkedin.com/jobs/view/4365789357")</f>
        <v/>
      </c>
      <c r="F66" t="inlineStr"/>
      <c r="G66" t="inlineStr"/>
      <c r="H66" t="inlineStr"/>
      <c r="I66" t="inlineStr">
        <is>
          <t>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Reporting to the Senior Engineering Manager, the Senior Full Stack Engineer will take a lead role in developing fullstack applications and guiding technical execution across projects. You will collaborate closely with product managers, UI/UX designers, and both front\-end and back\-end developers to deliver secure, accessible, high\-performance features on time. Given the fast\-paced, cross\-functional environment, strong leadership, teamwork, and communication skills are essential for success in this role.
**Responsibilities:**
* Design, develop, and maintain both frontend and backend components of web applications, ensuring seamless integration and performance.
* Build and maintain responsive, accessible user interfaces using modern JavaScript frameworks like Vue or React.
* Convert UI/UX designs and wireframes into clean, reusable, and maintainable code.
* Optimize front\-end performance and implement robust testing (unit, integration, end\-to\-end) with tools like Vitest, Jest, or Cypress
* Collaborate with product managers, designers, and other stakeholders to define project requirements and deliver scalable solutions.
* Troubleshoot and resolve complex technical problems across the stack (application, database, integrations, infrastructure).
* Contribute to architectural discussions and decisions, evaluating and recommending new technologies as appropriate.
* Mentor and coach junior developers, fostering technical growth and shared ownership.
* Drive technical architecture and design decisions to build scalable and reliable software systems.
* Implement best practices for software development, including code reviews, automated testing, and documentation to maintain high code quality.
* Participate in on\-call rotations to handle incident responses and troubleshoot issues promptly.
**Qualifications:**
* 5\+ years work experience with Vue, PHP and the Laravel framework.
* Experience with writing and scaling REST APIs returning JSON.
* Deep understanding of Object Oriented Programming, Microservice and API architecture.
* Familiarity with IaC, containerization (Docker), modern DevOps practices, and automated testing.
* Strong knowledge of MySQL/PostgreSQL \- writing and reviewing complex queries and performance tuning.
* Deep understanding of Test Driven Development methodologies \- writing unit, integration and end\-to\-end tests.
* Python experience is a plus.
***The annual salary range for this position is $136,000\-$161,500 USD or $124,000\-147,000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R\-100310</t>
        </is>
      </c>
    </row>
    <row r="67">
      <c r="A67" t="inlineStr">
        <is>
          <t>li-4321409462</t>
        </is>
      </c>
      <c r="B67" t="inlineStr">
        <is>
          <t>Software Engineer</t>
        </is>
      </c>
      <c r="C67" t="inlineStr">
        <is>
          <t>ImpetusIT</t>
        </is>
      </c>
      <c r="D67" t="inlineStr">
        <is>
          <t>linkedin</t>
        </is>
      </c>
      <c r="E67">
        <f>HYPERLINK("https://www.linkedin.com/jobs/view/4321409462", "https://www.linkedin.com/jobs/view/4321409462")</f>
        <v/>
      </c>
      <c r="F67" t="inlineStr"/>
      <c r="G67" t="inlineStr">
        <is>
          <t>Boston, MA</t>
        </is>
      </c>
      <c r="H67" t="inlineStr"/>
      <c r="I67" t="inlineStr">
        <is>
          <t>one of our staffing partners is looking for a role to fill for a tech client in austin
 Role will pay around $60k\-75k per year
 A staffing partner of ours is seeking a highly skilled developer to design, implement, and maintain high\-performance applications.
**Responsibilities:** 
* Develop, test, and maintain Java applications.
* Collaborate with cross\-functional teams to define, design, and ship new features.
* Write well\-designed, efficient, and reusable code.
* Troubleshoot and debug applications for performance optimization.
* Ensure software quality through best practices, unit testing, and automation.
* 2\-5 years of industry experience with Java, Spring Boot, and related frameworks.
* Knowledge of databases such as MySQL, PostgreSQL, or MongoDB.
* experience working on multi threaded applications
 we are unable to work with third party or c2c candidates due to low margins. Only direct candidates with experience apply</t>
        </is>
      </c>
    </row>
    <row r="68">
      <c r="A68" t="inlineStr">
        <is>
          <t>li-4365780554</t>
        </is>
      </c>
      <c r="B68" t="inlineStr">
        <is>
          <t>Software Engineer</t>
        </is>
      </c>
      <c r="C68" t="inlineStr">
        <is>
          <t>Jack &amp; Jill</t>
        </is>
      </c>
      <c r="D68" t="inlineStr">
        <is>
          <t>linkedin</t>
        </is>
      </c>
      <c r="E68">
        <f>HYPERLINK("https://www.linkedin.com/jobs/view/4365780554", "https://www.linkedin.com/jobs/view/4365780554")</f>
        <v/>
      </c>
      <c r="F68" t="inlineStr"/>
      <c r="G68" t="inlineStr">
        <is>
          <t>San Francisco, CA</t>
        </is>
      </c>
      <c r="H68" t="inlineStr"/>
      <c r="I68" t="inlineStr">
        <is>
          <t>This is a job that Jill, our AI Recruiter, is recruiting for on behalf of one of our customers.
 She will pick the best candidates from Jack's network
 The next step is to speak to Jack.
 Software Engineer
**Salary:** 
 $150k \- $210k
**Company Description:** 
 Stealth stage AI venture startup
**Job Description:** 
 You will design and scale the core distributed systems orchestrating thousands of autonomous AI agents. This role involves building fault\-tolerant infrastructure, optimizing API performance, and developing local GPU systems. Joining a small, high\-trust team, you will bridge the gap between complex infrastructure and real\-world business automation in a stealth environment.
**Location:** 
 San Francisco, USA
**Why this role is remarkable:** 
* Work on agentic systems that run entire businesses rather than just simple chat interfaces.
* High\-impact opportunity at a stealth startup backed by top\-tier VCs and experienced founders.
* Design for massive scale from day one using a cutting\-edge tech stack and GPU infrastructure.
**What you will do:** 
* Architect distributed systems to coordinate thousands of autonomous agents with real\-time monitoring.
* Drive horizontal scaling and optimize API rate limits across various model and data providers.
* Develop local GPU infrastructure and observability tools to ensure system health and cost efficiency.
**The ideal candidate:** 
* Strong experience in Python and designing scalable, fault\-tolerant distributed systems.
* Deep understanding of PostgreSQL, Redis, and asynchronous job queue systems for data isolation.
* Ability to work in a high\-discretion environment with a commitment to security and privacy.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69">
      <c r="A69" t="inlineStr">
        <is>
          <t>li-4365768649</t>
        </is>
      </c>
      <c r="B69" t="inlineStr">
        <is>
          <t>Backend Engineer</t>
        </is>
      </c>
      <c r="C69" t="inlineStr">
        <is>
          <t>Jack &amp; Jill</t>
        </is>
      </c>
      <c r="D69" t="inlineStr">
        <is>
          <t>linkedin</t>
        </is>
      </c>
      <c r="E69">
        <f>HYPERLINK("https://www.linkedin.com/jobs/view/4365768649", "https://www.linkedin.com/jobs/view/4365768649")</f>
        <v/>
      </c>
      <c r="F69">
        <f>HYPERLINK("https://jackandjill.ai/jack/job-listing?utm_source=job_listing&amp;utm_medium=job_board&amp;utm_campaign=fcafe395-a9ba-427a-8278-c328414bc8ee&amp;urlHash=vP3G", "https://jackandjill.ai/jack/job-listing?utm_source=job_listing&amp;utm_medium=job_board&amp;utm_campaign=fcafe395-a9ba-427a-8278-c328414bc8ee&amp;urlHash=vP3G")</f>
        <v/>
      </c>
      <c r="G69" t="inlineStr">
        <is>
          <t>San Francisco, CA</t>
        </is>
      </c>
      <c r="H69" t="inlineStr"/>
      <c r="I69" t="inlineStr">
        <is>
          <t>This is a job that Jill, our AI Recruiter, is recruiting for on behalf of one of our customers.
 She will pick the best candidates from Jack's network
 The next step is to speak to Jack.
 Backend Engineer
**Salary:** 
 $175,000\+ \+ Equity
**Company Description:** 
 VC\-backed AI for science startup
**Job Description:** 
 You will design and build the essential infrastructure, data pipelines, and APIs that power autonomous scientific research. By creating scalable and reliable backend systems, you will enable AI agents to solve complex challenges in fields like drug development, accelerating humanity’s ability to conduct breakthrough scientific discovery at scale.
**Location:** 
 San Francisco, USA
**Why this role is remarkable:** 
* Work at the frontier of AI and science, building tools that directly accelerate breakthrough discoveries and drug development.
* Join a well\-funded team of elite engineers and researchers supported by top\-tier venture capital and mission\-driven partners.
* Experience a high\-energy, on\-site culture designed for rapid collaboration and professional engineering growth.
**What you will do:** 
* Design, implement, and maintain high\-performance APIs, services, and scientific databases for a discovery platform.
* Build robust monitoring, observability, and automated testing frameworks to ensure maximum system reliability and uptime.
* Collaborate cross\-functionally with research and front\-end teams to deploy and scale new AI\-driven scientific agents.
**The ideal candidate:** 
* Has 4\+ years of professional experience in backend software engineering with proficiency in Python or Node.js.
* Possesses strong expertise in database design (PostgreSQL/NoSQL) and building scalable cloud infrastructure using AWS/GCP and Docker.
* Demonstrates a background in professional software practices including structured code reviews, CI/CD pipelines, and query optimization.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70">
      <c r="A70" t="inlineStr">
        <is>
          <t>li-4355675250</t>
        </is>
      </c>
      <c r="B70" t="inlineStr">
        <is>
          <t>Staff / Senior Software Engineer</t>
        </is>
      </c>
      <c r="C70" t="inlineStr">
        <is>
          <t>Puck</t>
        </is>
      </c>
      <c r="D70" t="inlineStr">
        <is>
          <t>linkedin</t>
        </is>
      </c>
      <c r="E70">
        <f>HYPERLINK("https://www.linkedin.com/jobs/view/4355675250", "https://www.linkedin.com/jobs/view/4355675250")</f>
        <v/>
      </c>
      <c r="F70" t="inlineStr"/>
      <c r="G70" t="inlineStr"/>
      <c r="H70" t="inlineStr"/>
      <c r="I70" t="inlineStr">
        <is>
          <t>**About Us**
 Puck is a company that moves beyond job descriptions to highlight the teams behind open roles. We add mini\-podcasts to job descriptions. By building better profiles of candidates and employers, we help match people to people, not just resumes to job descriptions. Choosing a job or hiring for one is up there with the most important decisions we make. We started Puck to build a better way to hire. To help people find new opportunities, start a conversation and find their people. 28% of Americans are actively searching for a new job right now. Our experienced founding team is working to make that search better.
 What is it like to be a Software Engineer at Puck?
 You will join a small, experienced team of entrepreneurs who are inspired to build products that help people find jobs \&amp; help companies find great employees.
 Like the engineer colleagues you’ll be working with, this isn’t your first time working in a startup\-like engineering environment. You’ve built applications end\-to\-end before, and you have had the opportunity to live with your early design decisions as the project matures. You’ve learned from your mistakes, dealt with outages, and redesigned \&amp; rewritten plenty of code. You’ve had entire products re\-imagined, and you are comfortable with the process of product iteration that always comes with early\-stage startups.
 You thrive in an environment that values the “maker schedule” — managing your own time effectively and professionally. You bias towards over\-communication with your team, while understanding that the goal is to minimize meeting time and maximize productive time for deep work. You are a pleasure to work with, and absolutely love collaborating with other engineers.
 As an experienced engineer, you have informed opinions about languages \&amp; tools, but you’re always willing to be convinced \&amp; to learn something new. You are language agnostic, but have worked with enough languages to understand their tradeoffs. A startup\-friendly tech\-stack like Nodejs, Typescript, React/Redux, AWS, k8s, Postgres, and Redis makes sense to you — you’ll be up\-and\-running in this environment in no time, even if you’ve been working with different tools most recently.
 You have an innate understanding of the critical balance between speed \&amp; quality that all startups face. You are comfortable with automated testing as a tool for maintaining quality and managing risk — but you are also comfortable shipping code using manual QA. As our products mature and the team grows, you’ll help the team make smart decisions about how we scale automated testing.
 Finally, you enjoy both working with other experienced engineers and mentoring people who are just starting their careers. You are a teacher — whether explaining a technology to a non\-engineer on the team, code\-reviewing a colleague’s pull\-request, or helping a recent graduate with an architecture decision.
 If this describes you — I would love to get to know you better.
**— Josh @ Puck**</t>
        </is>
      </c>
    </row>
    <row r="71">
      <c r="A71" t="inlineStr">
        <is>
          <t>li-4365793182</t>
        </is>
      </c>
      <c r="B71" t="inlineStr">
        <is>
          <t>Software Engineer</t>
        </is>
      </c>
      <c r="C71" t="inlineStr">
        <is>
          <t>Jack &amp; Jill</t>
        </is>
      </c>
      <c r="D71" t="inlineStr">
        <is>
          <t>linkedin</t>
        </is>
      </c>
      <c r="E71">
        <f>HYPERLINK("https://www.linkedin.com/jobs/view/4365793182", "https://www.linkedin.com/jobs/view/4365793182")</f>
        <v/>
      </c>
      <c r="F71" t="inlineStr"/>
      <c r="G71" t="inlineStr">
        <is>
          <t>Dallas, TX</t>
        </is>
      </c>
      <c r="H71" t="inlineStr"/>
      <c r="I71" t="inlineStr">
        <is>
          <t>This is a job that Jill, our AI Recruiter, is recruiting for on behalf of one of our customers.
 She will pick the best candidates from Jack's network.
 The next step is to speak to Jack.
 Software Engineer
**Company Description:** 
 VC\-backed industrial software startup
**Job Description:** 
 You will architect a software\-first system designed to modernize large\-scale production environments by integrating cloud deployments with physical automation. This role involves building fault\-tolerant infrastructure, real\-time backend services, and resilient user interfaces. You will work directly where the software meets the physical world, ensuring high\-stakes operations remain scalable, secure, and highly efficient.
**Location:** 
 Dallas, USA
**Why this role is remarkable:** 
* Ship software that controls physical machinery and real\-world production rather than just digital dashboards.
* Join a well\-funded team backed by top\-tier VCs at a pivotal early stage with significant equity potential.
* Work in a high\-caliber, flat\-hierarchy environment where engineers own the full stack and drive product vision.
**What you will do:** 
* Architect and scale critical backend systems for complex automation and real\-time data processing.
* Build and manage secure, scalable infrastructure for deploying software across diverse production environments.
* Develop resilient, full\-stack features using TypeScript and React to handle demanding industrial workflows.
**The ideal candidate:** 
* Skilled generalist with strong experience in TypeScript, React, and modern cloud infrastructure/DevOps.
* Proven ability to translate abstract, real\-world operational challenges into clean, solvable software architecture.
* Demonstrated leadership in previous projects and a relentless mindset for shipping code in high\-stakes environments.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72">
      <c r="A72" t="inlineStr">
        <is>
          <t>li-4365770944</t>
        </is>
      </c>
      <c r="B72" t="inlineStr">
        <is>
          <t>Software Engineer - Early Career</t>
        </is>
      </c>
      <c r="C72" t="inlineStr">
        <is>
          <t>Lensa</t>
        </is>
      </c>
      <c r="D72" t="inlineStr">
        <is>
          <t>linkedin</t>
        </is>
      </c>
      <c r="E72">
        <f>HYPERLINK("https://www.linkedin.com/jobs/view/4365770944", "https://www.linkedin.com/jobs/view/4365770944")</f>
        <v/>
      </c>
      <c r="F72">
        <f>HYPERLINK("https://lensa.com/cgw/4d17f6f3055045eb918bb8e13faa0ff3tjo1?jpsi=directemployers_no_redirect&amp;publisher_preference=easier_apply&amp;utm_campaign=Computer%20Occupations&amp;utm_medium=slot&amp;utm_source=linkedin&amp;utm_term=jse&amp;urlHash=61jW", "https://lensa.com/cgw/4d17f6f3055045eb918bb8e13faa0ff3tjo1?jpsi=directemployers_no_redirect&amp;publisher_preference=easier_apply&amp;utm_campaign=Computer%20Occupations&amp;utm_medium=slot&amp;utm_source=linkedin&amp;utm_term=jse&amp;urlHash=61jW")</f>
        <v/>
      </c>
      <c r="G72" t="inlineStr">
        <is>
          <t>Rockville, MD</t>
        </is>
      </c>
      <c r="H72" t="inlineStr"/>
      <c r="I7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full\-time Early Career Software Engineer. In this role, you will develop, deliver, and operate affordable engineering and sustainment solutions for commercial and military users across the globe. The successful candidate will have experience and/or knowledge of software development, agile methodology, innovative solutions for space\-based programs.
**Basic Qualifications**
* Bachelor's Degree in Computer Science or Computer Engineering. Related disciplines will also be considered
* Experience/exposure to C, C\+\+, Java, Python, Linux, agile methodology
* Basic knowledge in software/hardware integration
**Desired Skills**
* Excellent written and verbal communication skills
* Ability to work in a collaborative and team\-based environment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 and apply for roles that align with your qualifications.
**Experience Level:** 
 4 yr and up College
**Business Unit:** 
 SPACE
**Relocation Available:** 
 Possible
**Career Area:** 
 Software Engineering
**Type:** 
 Full\-Time
**Shift:** 
 First
 If you have questions about this posting, please contact support@lensa.com</t>
        </is>
      </c>
    </row>
    <row r="73">
      <c r="A73" t="inlineStr">
        <is>
          <t>li-4365769869</t>
        </is>
      </c>
      <c r="B73" t="inlineStr">
        <is>
          <t>Junior Software Developer</t>
        </is>
      </c>
      <c r="C73" t="inlineStr">
        <is>
          <t>Lensa</t>
        </is>
      </c>
      <c r="D73" t="inlineStr">
        <is>
          <t>linkedin</t>
        </is>
      </c>
      <c r="E73">
        <f>HYPERLINK("https://www.linkedin.com/jobs/view/4365769869", "https://www.linkedin.com/jobs/view/4365769869")</f>
        <v/>
      </c>
      <c r="F73" t="inlineStr"/>
      <c r="G73" t="inlineStr">
        <is>
          <t>Washington, DC</t>
        </is>
      </c>
      <c r="H73" t="inlineStr"/>
      <c r="I7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Accenture. Clicking "Apply Now" or "Read more" on Lensa redirects you to the job board/employer site. Any information collected there is subject to their terms and privacy notice.
 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**You Are**
 As a
 **Junior Software Developer** 
 , you will work in a constantly evolving environment where new technologies are used frequently and learning never stops
**The Work**
* Solve complex problems utilizing Go, JavaScript, HTML, CSS, Bash
* Passionately create systems which will be used and have a major impact and interact directly with customers and end\-users
* Design and maintain application architecture including database schema and API design
* Produce customer facing production code on day one
**Here’s What You Need**
* 1\+ years of experience in web frameworks like AngularJS, or ReactJS o Code source control such as GIT
* 1\+ years of experience in web application development and REST
* 1\+ years of experience in development with C or C like languages
* 1\+ years of experience working in a Linux environment with an understanding of agile development
**Bonus Points If You Have**
* Experience working in a federal or public sector environment.
* Experience working with User Experience (UX) Design
* Experience working with Dynamic Hypertext Markup Language (DHTML)
* Experience working with Representational State Transfer (REST)
* Experience working with Structured Query Language (SQL)
* Experience working with React.js
**Security Clearance**
* Active Secret clearance required
* Must be a U.S. Citizen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(https://www.accenture.com/us\-en/careers/your\-future\-rewards\-benefits) We accept applications on an on\-going basis and there is no fixed deadline to apply.
 The Pay Range For The States Of California, Colorado, Hawaii, Illinois, Maryland, Massachusetts, Minnesota, New Jersey, New York, Washington, Vermont, The District Of Columbia, And The City Of Cleveland Is
 $76,100—$136,700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(https://afscommunities.force.com/careers/s/equal\-opportunity\-annual\-policy)*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**\_ \_**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(https://www.accenture.com/us\-en/careers/life\-at\-accenture/e\-verify\-legal\-notices) for additional important information.*
 If you have questions about this posting, please contact support@lensa.com</t>
        </is>
      </c>
    </row>
    <row r="74">
      <c r="A74" t="inlineStr">
        <is>
          <t>li-4365772820</t>
        </is>
      </c>
      <c r="B74" t="inlineStr">
        <is>
          <t>Sr Software Developer - Remote</t>
        </is>
      </c>
      <c r="C74" t="inlineStr">
        <is>
          <t>Lensa</t>
        </is>
      </c>
      <c r="D74" t="inlineStr">
        <is>
          <t>linkedin</t>
        </is>
      </c>
      <c r="E74">
        <f>HYPERLINK("https://www.linkedin.com/jobs/view/4365772820", "https://www.linkedin.com/jobs/view/4365772820")</f>
        <v/>
      </c>
      <c r="F74">
        <f>HYPERLINK("https://lensa.com/cgw/5cdd50c973c74c6d96d1329ee7ca552etjo1?jpsi=directemployers_no_redirect&amp;publisher_preference=easier_apply&amp;utm_campaign=Computer%20Occupations&amp;utm_medium=slot&amp;utm_source=linkedin&amp;utm_term=jse&amp;urlHash=YQ_a", "https://lensa.com/cgw/5cdd50c973c74c6d96d1329ee7ca552etjo1?jpsi=directemployers_no_redirect&amp;publisher_preference=easier_apply&amp;utm_campaign=Computer%20Occupations&amp;utm_medium=slot&amp;utm_source=linkedin&amp;utm_term=jse&amp;urlHash=YQ_a")</f>
        <v/>
      </c>
      <c r="G74" t="inlineStr">
        <is>
          <t>Austin, TX</t>
        </is>
      </c>
      <c r="H74" t="inlineStr"/>
      <c r="I7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SitusAMC. Clicking "Apply Now" or "Read more" on Lensa redirects you to the job board/employer site. Any information collected there is subject to their terms and privacy notice.
 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
 At SitusAMC, we are looking to match your unique experience with one of our amazing careers, so that we can help you realize your potential and career growth within the Real Estate Industry. If you are someone who can be yourself, advocate for others, stay nimble, dream big, own every outcome, and think global but act local \- come join our team!
 This position will serve as a full\-stack developer to produce scalable software solutions. They will be part of a cross\-functional team that is responsible for the full software development life cycle, from conception to deployment. The developer will be expected to move between projects as priorities change. This role will work across all layers of the application front end, middle layer and DB layer including development frameworks and third\-party libraries.
**Essential Job Functions**
* Design, develop, document, test and debug new and existing software systems, applications and/or components for market sale or proprietary software
* Make design decisions which encourage leveragability, potential reuse, componentization, extensibility, maintainability, and are minimally coupled
* Translates business requirements into technical solutions which adhere to architectural best practice
* Provide solutions and alternatives to impasses impacting timetables, scalability, and performance factors as they pertain to production, implementation and to technologies advancements for SitusAMC
* Contribute to the development of a technical roadmap
* Maintains knowledge of currently evolving platforms, programming languages, and web/database technologies
* Stays up\-to\-date on business initiatives and objectives, particularly as these relate to infrastructure and development architecture issues
* Evaluates new platforms, technologies, and software products/techniques to determine feasibility and desirability of incorporating their capabilities within the company's products
* Fosters a culture of continuous improvement in all areas of technology and instill the principles of this mindset in a team
* Advise and mentor Software Development team members as an escalation point
* Such other activities as may be assigned by your manager
**Qualifications/ Requirements**
* Bachelor's degree in computer science/engineering, information systems preferred or equivalent combination of education and experience
* Minimum of 6\+ years of industry and/or relevant experience, typically with 1\+ years in a Senior Associate level role or external equivalent
* Solid knowledge and understanding of Object Oriented (Analysis, Design, Programming)
* Working knowledge of multiple languages, software development environment, and software development life\-cycle procedures including but not limited to: Java, AWS, API Integrations, RESTful Web services, Structured and unstructured databases, Eclipse, JEE, JavaScript frameworks (Angular, VUE, React)
* Experience using Azure DevOps, Jira, Jenkins, Git, Bitbucket, or similar tools
* Interest and ability to learn other coding languages as needed
* Strong communication skills both verbal and written
* Ability to manage competing demands, delays, or unexpected events
* Experience with Application Integration and building APIs for a rapidly integrating products
* Experience working on Agile Scrum and DevOps aligned delivery teams
* Experience developing software development estimates
* Experience developing Cloud native app and or migrating app to cloud, preferably AWSAbility to be a player coach leading a developer team setting
* Adapts to every changing environment and changes approach or method to best fit the situation
 Note: This job description is not intended to be all inclusive or exclusive. At any time, employees may perform other related duties as required to meet the ongoing needs of the organization and participate in additional trainings. SitusAMC does not accept unsolicited resumes from staffing agencies, search firms or any third parties. Any unsolicited resume submitted to SitusAMC in any manner will be considered SitusAMC property, and SitusAMC will not pay a fee for any placement resulting from the receipt of an unsolicited resume.
 The annual full time base salary range for this role is
 $110,000\.00 \- $140,000\.00
 Specific compensation is determined through interviews and a review of relevant education, experience, training, skills, geographic location and alignment with market data. Additionally, certain positions may be eligible to receive a discretionary bonus as determined by bonus program guidelines, position eligibility and SitusAMC Senior Management approval. SitusAMC offers PTO and paid holidays, the terms of which are set forth in the program policies. All full time employees also are eligible to participate in various benefit plans, including medical, dental, vision, life, disability insurance and 401K; in each case in accordance with the terms of the applicable plans.
 Pay Transparency Nondiscrimination Provision (https://go.situsamc.com/rs/962\-QMP\-613/images/pay\-transp\_%20English\_formattedESQA508c.pdf?version\=0\)
 SitusAMC is an Equal Opportunity Employer. Qualified applicants will receive consideration for employment without regard to race, color, religion, age, sex, national origin, disability, genetics, protected veteran status, sexual orientation, gender identity or expression, or any other characteristic protected by federal, state, or local laws.
 Know Your Rights, Workplace Discrimination is Illegal (https://www.eeoc.gov/sites/default/files/2023\-06/22\-088\_EEOC\_KnowYourRights6\.12ScreenRdr.pdf)
 If you have questions about this posting, please contact support@lensa.com</t>
        </is>
      </c>
    </row>
    <row r="75">
      <c r="A75" t="inlineStr">
        <is>
          <t>li-4365781824</t>
        </is>
      </c>
      <c r="B75" t="inlineStr">
        <is>
          <t>Entry Level Software Engineer</t>
        </is>
      </c>
      <c r="C75" t="inlineStr">
        <is>
          <t>Lensa</t>
        </is>
      </c>
      <c r="D75" t="inlineStr">
        <is>
          <t>linkedin</t>
        </is>
      </c>
      <c r="E75">
        <f>HYPERLINK("https://www.linkedin.com/jobs/view/4365781824", "https://www.linkedin.com/jobs/view/4365781824")</f>
        <v/>
      </c>
      <c r="F75" t="inlineStr"/>
      <c r="G75" t="inlineStr">
        <is>
          <t>Kent, WA</t>
        </is>
      </c>
      <c r="H75" t="inlineStr"/>
      <c r="I7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The Boeing Company. Clicking "Apply Now" or "Read more" on Lensa redirects you to the job board/employer site. Any information collected there is subject to their terms and privacy notice.
**Job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seeking an
 **Entry Level** 
**Software Engineer** 
 to join the
 **B\-52J Navigation and Displays** 
 team in Kent, Washington, supporting the
 **B\-52J CERP** 
 program within Boeing Defense, Space \&amp; Security (BDS). This role focuses on embedded flight software development and avionics modernization for a long\-serving, iconic military aircraft and is ideal for someone passionate about embedded systems who is ready to grow their career working alongside experienced engineers in a dynamic environment.
 In this role you will provide practical, cost\-effective support for day\-to\-day software engineering tasks required to sustain development, integration, verification, and process improvement activities. You will implement, test, and debug code for multiple systems under general supervision from technical leads, work with cross\-functional teammates to analyze requirements and contribute design input, and produce documentation that supports system integration and verification.
 If you are excited about building dependable embedded software and contributing to a historic aircraft modernization, we’d love to hear from you — please apply today to join the B\-52J Navigation and Displays team and help shape the future of this mission\-critical program.
**Position Responsibilities**
* Assists with the design, development, test, and maintenance of embedded software throughout the end\-to\-end lifecycle that meets industry, customer, safety, and regulation standards
* Gathers information to review, analyze, and translate customer requirements into initial design of software products
* Assists with development, maintenance, enhancement and optimization of software products and functionalities for systems integrations
* Assists with development, documentation and maintenance of architectures, requirements, algorithms, interfaces and designs for software products
* Assists with debugging and resolution of issues identified to ensure the reliability and efficiency of software products
* Assists with implementation of current and emerging technologies, tools, frameworks and changes in regulations relevant to software development
* Assists to develop, establish, monitor and improve software processes, tools and key performance metrics that align projects with organizational goals and industry benchmarks
* Provides information to execute and document software research and development project
* Gathers information to perform software project management activities and software supplier management functions
* Assists to track and evaluate software team and supplier performance to ensure product and process compliance to project plans and industry standards
**Basic Qualifications**
* Experience with software development lifecycle including prototyping, architecture, design, coding, integration, and testing
* Experience with Agile software development
* Experience with Agile workflow tools such as VS Code and platforms such as Gitlab
**Preferred Qualifications**
* Bachelor’s Degree in Computer Engineering, Computer Science, or Software Engineering
* Ability to work effectively in a team environment and communicate with stakeholders of different backgrounds and skill levels
* Experience developing embedded real\-time software with C, C\+\+, Java, Python, Rust, or Ada
* Experience working with real\-time operating systems (RTOS)
* Experience with object\-oriented analysis and design (OOAD) methodologies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Entry Level: $83,300\.00 \- $112,700\.00
 Applications for this position will be accepted until
 **Jan. 28,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Top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If you have questions about this posting, please contact support@lensa.com</t>
        </is>
      </c>
    </row>
    <row r="76">
      <c r="A76" t="inlineStr">
        <is>
          <t>li-4365785720</t>
        </is>
      </c>
      <c r="B76" t="inlineStr">
        <is>
          <t>Entry Level Software Developer</t>
        </is>
      </c>
      <c r="C76" t="inlineStr">
        <is>
          <t>Lensa</t>
        </is>
      </c>
      <c r="D76" t="inlineStr">
        <is>
          <t>linkedin</t>
        </is>
      </c>
      <c r="E76">
        <f>HYPERLINK("https://www.linkedin.com/jobs/view/4365785720", "https://www.linkedin.com/jobs/view/4365785720")</f>
        <v/>
      </c>
      <c r="F76">
        <f>HYPERLINK("https://lensa.com/cgw/14a6a9f3d5d3450a832203b085750a41tjo1?jpsi=directemployers&amp;publisher_preference=easier_apply&amp;utm_campaign=Computer%20Occupations&amp;utm_medium=slot&amp;utm_source=linkedin&amp;utm_term=jse&amp;urlHash=xi4E", "https://lensa.com/cgw/14a6a9f3d5d3450a832203b085750a41tjo1?jpsi=directemployers&amp;publisher_preference=easier_apply&amp;utm_campaign=Computer%20Occupations&amp;utm_medium=slot&amp;utm_source=linkedin&amp;utm_term=jse&amp;urlHash=xi4E")</f>
        <v/>
      </c>
      <c r="G76" t="inlineStr">
        <is>
          <t>Chicago, IL</t>
        </is>
      </c>
      <c r="H76" t="inlineStr"/>
      <c r="I7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This is an on\-site position.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77">
      <c r="A77" t="inlineStr">
        <is>
          <t>li-4365797218</t>
        </is>
      </c>
      <c r="B77" t="inlineStr">
        <is>
          <t>Software Engineer - Avionics Systems</t>
        </is>
      </c>
      <c r="C77" t="inlineStr">
        <is>
          <t>Real Time Consulting LLC (RTC)</t>
        </is>
      </c>
      <c r="D77" t="inlineStr">
        <is>
          <t>linkedin</t>
        </is>
      </c>
      <c r="E77">
        <f>HYPERLINK("https://www.linkedin.com/jobs/view/4365797218", "https://www.linkedin.com/jobs/view/4365797218")</f>
        <v/>
      </c>
      <c r="F77">
        <f>HYPERLINK("https://realtime.catsone.com/careers/42508-Real-Time-Consulting/jobs/16768328-Software-Engineer-Avionics-Systems&amp;urlHash=l2HT", "https://realtime.catsone.com/careers/42508-Real-Time-Consulting/jobs/16768328-Software-Engineer-Avionics-Systems&amp;urlHash=l2HT")</f>
        <v/>
      </c>
      <c r="G77" t="inlineStr">
        <is>
          <t>Phoenix, AZ</t>
        </is>
      </c>
      <c r="H77" t="inlineStr"/>
      <c r="I77" t="inlineStr">
        <is>
          <t>**REAL TIME CONSULTING (An RTCo Company)—POSITION DESCRIPTION: Software Engineer \- Avionics Systems**
**About The Job**
 We are looking for a Software Engineer to conduct Full lifecycle DO\-178 development and test of a proprietary method of flexibly mapping avionics I/O to seamlessly integrate with various aircraft. The position involves defining software requirements based on system requirements and the ICD, implementation of requirements using assembly language\-like code, verification testing, and creation of necessary DO\-178 certification artifacts.
**Required Skills**
* Bachelor’s degree in Electrical Engineering, Computer Science or related field
* 5\+ years of experience in DO\-178 software development life cycle
* Experience with assembly language / register\-based programming
* Familiar with avionics I/O mapping
* Familiar with A429 data bus communication
* Experience creating test cases and test procedures (TC/TPs) for DO\-178 verification of avionics software
* Experience with hardware/software integration
* Experience executing tests and analyzing test results to identify defects
* Familiar with compliance with industry standards and regulatory requirements for aerospace products
* Familiar with C language programming
* Effective written and verbal communication skills
* Strong interpersonal skills
* Accountable and takes ownership of assigned tasks
* Self\-motivated and takes initiative to get things done
* Excellent problem\-solving and analytical skills
**PREFERRED SKILLS:**
* Familiarity with VectorCast
* Experience with ClearCase for software configuration management
* Experience with ClearQuest for change request processing
* Experience with DOORS for requirements capture
* Experience with aircraft surveillance equipment including TCAS, TAWS and mode\-S transponders
**ABOUT THE COMPANY:**
 Real Time Consulting (RTC) exists to partner outstanding engineering talent to support our clients’ success. Unsurpassed service is delivered to our clients by upholding responsibility, teamwork and quality. Our primary commitment is to help our clients. Since 1997, RTC has been protecting and enhancing lives with safe, reliable, innovative solutions, providing full life\-cycle design, development and testing of EMBEDDED ENGINEERING SYSTEMS and SOFTWARE SOLUTIONS with Program Management and Consulting Services. Our employees average 20\+ years of versatile and accomplished expertise to our clients, driving continuous innovation forward. Employee’s innovative and analytical ideas are cultivated while maintaining the big picture vision in a fast\-paced, changing environment. Our corporate values are to Uphold Responsibility, Support People, Promote Teamwork and Deliver Quality!
*This position may require exposure to software, source code or technology that is subject to US export control laws and regulations (i.e., International Traffic in Arms Regulations or the Export Administration Regulations). To comply with these requirements, you must be a U.S. citizen, lawful permanent resident of the U.S., protected individual as defined by 8 U.S.C. 1324b(a)(3\), or eligible to obtain the required authorizations from the U.S. Departments of State or Commerce, as applicable.*
*RTCo is an Equal Opportunity Employer; employment with RTCo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*To qualify for all positions with Real Time Companies, applicants must be legally authorized to work in the United States and should not require now, or in the future, sponsorship for employment visa status. Please be aware that Real Time Companies does not sponsor employment\-based visas. Additionally, certain positions with Real Time Companies that involve work with government entities may have more restrictive employment status requirements, such as U.S. citizenship, based on security clearance requirements or other governmental requirements. Real Time Companies is an Equal Opportunity Employer M/F/D/V.*</t>
        </is>
      </c>
    </row>
    <row r="78">
      <c r="A78" t="inlineStr">
        <is>
          <t>li-4365795260</t>
        </is>
      </c>
      <c r="B78" t="inlineStr">
        <is>
          <t>Software Engineer - Embedded Avionics Platform</t>
        </is>
      </c>
      <c r="C78" t="inlineStr">
        <is>
          <t>Real Time Consulting LLC (RTC)</t>
        </is>
      </c>
      <c r="D78" t="inlineStr">
        <is>
          <t>linkedin</t>
        </is>
      </c>
      <c r="E78">
        <f>HYPERLINK("https://www.linkedin.com/jobs/view/4365795260", "https://www.linkedin.com/jobs/view/4365795260")</f>
        <v/>
      </c>
      <c r="F78">
        <f>HYPERLINK("https://realtime.catsone.com/careers/42508-Real-Time-Consulting/jobs/16768330-Software-Engineer-Embedded-Avionics-Platform&amp;urlHash=FeoI", "https://realtime.catsone.com/careers/42508-Real-Time-Consulting/jobs/16768330-Software-Engineer-Embedded-Avionics-Platform&amp;urlHash=FeoI")</f>
        <v/>
      </c>
      <c r="G78" t="inlineStr">
        <is>
          <t>Phoenix, AZ</t>
        </is>
      </c>
      <c r="H78" t="inlineStr"/>
      <c r="I78" t="inlineStr">
        <is>
          <t>**REAL TIME CONSULTING (An RTCo Company)—POSITION DESCRIPTION**
**JOB TITLE: Software Engineer \- Embedded Avionics Platform**
**About The Job**
 This software engineer will perform software integration of an FMS application on an embedded avionics platform.
**Required Skills**
* Bachelor’s degree in Electrical/Computer/Aerospace Engineering or Computer Science
* 8\+ years software development and integration of safety critical embedded avionics systems
* Understanding of the Software Development Life Cycle (SDLC) using waterfall, agile, or hybrid processes
* Experience integrating aircraft applications on an embedded avionics platform
* Experience integrating software in a Real\-Time Operating System (RTOS)
* Experience integrating software in a Linux environment
* Experience using C/C\+\+ programming languages for software development
* Effective written and verbal communication skills
* Strong interpersonal skills
* Accountable and takes ownership of assigned tasks
* Self\-motivated and takes initiative to get things done
**About The Company**
 Real Time Consulting (RTC) exists to partner outstanding engineering talent to support our clients’ success. Unsurpassed service is delivered to our clients by upholding responsibility, teamwork and quality. Our primary commitment is to help our clients. Since 1997, RTC has been protecting and enhancing lives with safe, reliable, innovative solutions, providing full life\-cycle design, development and testing of EMBEDDED ENGINEERING SYSTEMS and SOFTWARE SOLUTIONS with Program Management and Consulting Services. Our employees average 20\+ years of versatile and accomplished expertise to our clients, driving continuous innovation forward. Employee’s innovative and analytical ideas are cultivated while maintaining the big picture vision in a fast\-paced, changing environment. Our corporate values are to Uphold Responsibility, Support People, Promote Teamwork and Deliver Quality!
*This position may require exposure to software, source code or technology that is subject to US export control laws and regulations (i.e., International Traffic in Arms Regulations or the Export Administration Regulations). To comply with these requirements, you must be a U.S. citizen, lawful permanent resident of the U.S., protected individual as defined by 8 U.S.C. 1324b(a)(3\), or eligible to obtain the required authorizations from the U.S. Departments of State or Commerce, as applicable.*
*RTCo is an Equal Opportunity Employer; employment with RTCo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*To qualify for all positions with Real Time Companies, applicants must be legally authorized to work in the United States and should not require now, or in the future, sponsorship for employment visa status. Please be aware that Real Time Companies does not sponsor employment\-based visas. Additionally, certain positions with Real Time Companies that involve work with government entities may have more restrictive employment status requirements, such as U.S. citizenship, based on security clearance requirements or other governmental requirements. Real Time Companies is an Equal Opportunity Employer M/F/D/V.*</t>
        </is>
      </c>
    </row>
    <row r="79">
      <c r="A79" t="inlineStr">
        <is>
          <t>li-4364029450</t>
        </is>
      </c>
      <c r="B79" t="inlineStr">
        <is>
          <t>Software Engineer – Low Latency C++</t>
        </is>
      </c>
      <c r="C79" t="inlineStr">
        <is>
          <t>Sentiro Partners</t>
        </is>
      </c>
      <c r="D79" t="inlineStr">
        <is>
          <t>linkedin</t>
        </is>
      </c>
      <c r="E79">
        <f>HYPERLINK("https://www.linkedin.com/jobs/view/4364029450", "https://www.linkedin.com/jobs/view/4364029450")</f>
        <v/>
      </c>
      <c r="F79" t="inlineStr"/>
      <c r="G79" t="inlineStr">
        <is>
          <t>New York, United States</t>
        </is>
      </c>
      <c r="H79" t="inlineStr"/>
      <c r="I79" t="inlineStr">
        <is>
          <t>**Software Engineer – High Performance C\+\+ Systems** 
**Sentiro Partners** 
 has been retained by a frontier research organization operating at the intersection of advanced mathematics, large\-scale systems engineering, and real\-world deployment at extreme scale. They're solving problems that sit at the absolute edge of what's computationally tractable; where theoretical breakthroughs need to become production systems that process staggering volumes of data with microsecond\-level precision.
* This isn't your typical tech shop. The work combines the intellectual depth of a top\-tier research lab with the engineering rigor of the most demanding production environments. Think: PhD\-level researchers working alongside world\-class systems engineers, building infrastructure where a naive implementation simply won't work and elegant solutions have measurable, significant impact.
* They're in the midst of a significant infrastructure rebuild, taking systems that worked brilliantly in controlled environments and re\-architecting them to operate globally, continuously, under constraints that would make most engineering orgs nervous. The caliber of people is exceptional. The problems are genuinely unsolved. The resources to do it properly are there.
* If you've been at performance\-critical research\-driven organizations and found yourself wondering what it would be like to work on the hardest technical problems in that space without the organizational calcification, this is worth your attention.
**Insider Insight** 
* You know that feeling when you shave 200 microseconds off a critical path and it actually matters? That's Tuesday here.
* This team builds the kind of systems where "fast enough" isn't in the vocabulary. We're talking globally distributed infrastructure operating at the edge of what's physically possible; where latency is measured in single\-digit microseconds, correctness is non\-negotiable, and your code ships to production where it immediately either works or doesn't.
* If you've ever looked at a flame graph at 2AM because something felt wrong even though all the metrics looked fine, you'll understand the vibe.
**What You'll Actually Do** 
* You'll build high\-performance C\+\+ systems that process enormous volumes of data with brutal latency constraints. Think lock\-free algorithms, cache\-aware data structures, and the kind of optimization work where you're reading compiler output and thinking about branch prediction.
* The problems are legitimately hard. Taking a complex technical challenge and producing something elegant that also screams "that's the craft". You'll work directly with brilliant engineers and researchers who care about both theoretical correctness and practical performance. Ideas move from whiteboard to production fast, and you'll own what you build all the way through.
* This means monitoring your systems in prod, debugging the weird behavior that only shows up under real load, and continuously making things better. The feedback loop is immediate. The impact is measurable. The work is real.
**What We're Looking For** 
* **You write serious C\+\+.** 
 Not just syntactically correct code, but the kind that makes other engineers say "oh, that's clever" when they read it six months later. You think about performance as a feature, not an afterthought.
* **MINIMUM OF 2\-6 years PG experience in production; ideally on core systems**
* **You understand how computers actually work.** 
 Memory hierarchies, concurrency primitives, thread scheduling; you know why these things matter and how to make them work in your favor. Bonus points if you've ever had an opinion about memory ordering semantics.
* **You're intellectually curious.** 
 When something is slow, you want to know
 *why* 
 . When a system behaves unexpectedly, you dig until you find the root cause. You read papers. You try things. You measure everything.
* **You communicate clearly and own your work.** 
 High\-ownership environment means exactly that; you're trusted to make decisions, ship code, and live with the consequences. You can explain complex technical decisions to non\-technical stakeholders without the condescension.
* **You have a degree** 
 in Computer Science, Engineering, or something that convinced you computers are interesting. What you've built since matters more than where you studied.
**Who Thrives Here** 
* Engineers from search infrastructure, databases, game engines, large scale trading or anywhere else where
 **performance is existential**
 . If you've built systems that process millions of requests per second, operated large\-scale distributed infrastructure, or optimized hot paths in production code that actually mattered; you'll recognize the problems.
**The Bottom Line** 
* This is for people who think systems programming is an art form, who get genuinely excited about squeezing more performance out of existing hardware, and who want to work on problems that are technically interesting
 *and* 
 commercially critical.
* If you're tired of writing CRUD apps and want to work where the constraints are real and the technical problems are legitimately challenging, let's talk.
* Relocation globally, supported.
**Sentiro Partners** 
 Leadership for the Augmentation Era™
 We scout the frontier to secure the transformational leaders, experts and mavericks who will define the future of the human \&amp; agentic workforce.
 Providing Executive Search, Talent Augmentation \&amp; Embedded (fractional) Executive Search Services globally.
 Sentiro Partners is a frontier search firm specializing in the intersection of advanced technology, data science, and quantitative research. Based in Dublin and operating internationally, we focus exclusively on placing exceptional technical talent into frontier research environments; the organizations working on genuinely hard problems that require both intellectual depth and world\-class engineering execution.
 https://sentiropartners.com/frontierailabtalent</t>
        </is>
      </c>
    </row>
    <row r="80">
      <c r="A80" t="inlineStr">
        <is>
          <t>li-4365782856</t>
        </is>
      </c>
      <c r="B80" t="inlineStr">
        <is>
          <t>Entry Level Software Engineer</t>
        </is>
      </c>
      <c r="C80" t="inlineStr">
        <is>
          <t>Lensa</t>
        </is>
      </c>
      <c r="D80" t="inlineStr">
        <is>
          <t>linkedin</t>
        </is>
      </c>
      <c r="E80">
        <f>HYPERLINK("https://www.linkedin.com/jobs/view/4365782856", "https://www.linkedin.com/jobs/view/4365782856")</f>
        <v/>
      </c>
      <c r="F80">
        <f>HYPERLINK("https://lensa.com/cgw/2931749b09c843dcaf567ed3236627f1tjo1?jpsi=directemployers_no_redirect&amp;publisher_preference=easier_apply&amp;utm_campaign=Computer%20Occupations&amp;utm_medium=slot&amp;utm_source=linkedin&amp;utm_term=jse&amp;urlHash=EOrO", "https://lensa.com/cgw/2931749b09c843dcaf567ed3236627f1tjo1?jpsi=directemployers_no_redirect&amp;publisher_preference=easier_apply&amp;utm_campaign=Computer%20Occupations&amp;utm_medium=slot&amp;utm_source=linkedin&amp;utm_term=jse&amp;urlHash=EOrO")</f>
        <v/>
      </c>
      <c r="G80" t="inlineStr">
        <is>
          <t>Greenlawn, NY</t>
        </is>
      </c>
      <c r="H80" t="inlineStr"/>
      <c r="I8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BAE Systems USA. Clicking "Apply Now" or "Read more" on Lensa redirects you to the job board/employer site. Any information collected there is subject to their terms and privacy notice.
**Job Description**
 Do you want to design and write software that really matters and be a part of a cause greater than yourself? Then, help us protect those that protect us by developing Next Generation Electronic Systems Products and Solutions. We need your talent, motivation, and vision to join our Long Island team. We are actively seeking an Entry Level Software Engineer with a range of skills and a passion for learning new things who can apply their skills to developing high\-quality, real\-time embedded software for fielded electronics platforms. BAE Systems in Greenlawn, NY has recently been awarded new programs and is currently undergoing an exciting period of growth.
 When you become a member of our team, you will work across multiple disciplines and collaborate with Systems, Hardware and Test Engineers to impact all phases of the Software Development Lifecycle. At BAE Systems, we promote a strong, collaborative culture and provide our employees with the tools, skills and training they need to succeed. We are all about trust, camaraderie and a shared ambition to lead the world in defense technologies and national security services. We offer a flexible work environment and 9/80 work schedule. Our company is part of the community, and driven to improve our future and protect our freedom.
 Because this role involves a combination of collaborative/in\-person and independent work, it will take the form of a hybrid work format, with time split between working onsite and remotely.
**Required Education, Experience, \&amp; Skills**
* Bachelor's Degree in Computer Science, Electrical Engineering, Computer Engineering, or other scientific degree with strong software content.
* Strong problem\-solving skills that translate to working, maintainable software.
* Able to obtain a Secret clearance.
**Preferred Education, Experience, \&amp; Skills**
* Demonstrated proficiency in a high level software language such as Java, C , C, or Python
* Coursework or other experience in embedded software development.
* Working knowledge of software tools such as Jira, BitBucket, debuggers, containers, etc.
* Experience with Agile Development and DevSecOps
* Experience developing on Windows/Linux Operating Systems
* Experience using git or another version control system
* Familiarity with Unit Testing frameworks
* Active Secret Clearance
**Pay Information**
 Full\-Time Salary Range: $69439 \- $118047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**Entry Level Software Engineer**
**119273BR**
 EEO Career Site Equal Opportunity Employer. Minorities . females . veterans . individuals with disabilities . sexual orientation . gender identity . gender expression
 If you have questions about this posting, please contact support@lensa.com</t>
        </is>
      </c>
    </row>
    <row r="81">
      <c r="A81" t="inlineStr">
        <is>
          <t>li-4321472849</t>
        </is>
      </c>
      <c r="B81" t="inlineStr">
        <is>
          <t>Sr. Software Engineer</t>
        </is>
      </c>
      <c r="C81" t="inlineStr">
        <is>
          <t>GEICO</t>
        </is>
      </c>
      <c r="D81" t="inlineStr">
        <is>
          <t>linkedin</t>
        </is>
      </c>
      <c r="E81">
        <f>HYPERLINK("https://www.linkedin.com/jobs/view/4321472849", "https://www.linkedin.com/jobs/view/4321472849")</f>
        <v/>
      </c>
      <c r="F81" t="inlineStr"/>
      <c r="G81" t="inlineStr">
        <is>
          <t>Chevy Chase, MD</t>
        </is>
      </c>
      <c r="H81" t="inlineStr"/>
      <c r="I8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works with our Sr Staff Engineer and other Sr. Engineers to innovate and build new systems, improve, and enhance existing systems as well as identify new opportunities to apply your knowledge to solve critical problems. You will lead Project and Execution of a technical roadmap that will increase the velocity of delivering products and unlock new engineering capabilities. The ideal candidate has deep technical expertise in the Open\-Source Observability, Data platform domain.
**Position Responsibilities**
 As a Senior Engineer, you will:
* Focus on Single or multiple areas and provide technical and thought leadership to the enterprise
* Collaborate with product managers, team members, customers, and other engineering teams to solve our toughest problems
* Develop and execute technical software development strategy for the Observability Engineering domain
* Accountable for the quality, usability, and performance of the solutions
* Be a executor as well as an active learner, helping to coach TDPs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demonstrate adaptability and sponsor continuous learning
* Willing to take on\-call and operation support
**Qualifications**
* Good hands\-on experience in building complex distributed system to process large scale telemetry and architectures to support the scale and performance, with great knowledge on Docker and Kubernetes
* Advanceed knowledge of at least one OOP language such as Java, Go, Python, etc.
* Great understanding of open\-source databases like MySQL, PostgreSQL, etc. And strong foundation with No\-SQL databases like Clickhouse, Cassandra. Apache Trino etc. Knowledge or Big data formats such as Parquet or Avro etc.
* Experience in architecting, designing, building Observability platform solutions, Advanced data analytics using Open\-Source technologies are a big plus.
* Experience building distributed systems
* Excellent communication skills – needs to be able to lead projects from the front and interact with clients and sponsors on a regular basis
* Experience partnering with engineering teams and transferring research to production
* Experience with continuous delivery (CI/CD) and Infrastructure as Code
* In\-depth knowledge of CS data structures and algorithms
* Experience solving analytical problems with quantitative approaches
* Experience with Windows Server Administration and Windows Event Log
* Ability to excel in a fast\-paced, startup\-like environment
* Willing to work on both fast development and operation environment
* Knowledge of developer tooling across the software development life cycle (task management, source code, building, deployment, test automation and related tools, operations, real\-time communication)
* Knowledge in big data and streaming data pipeline architecture (Lambda/Kappa) and K8 cluster
* Experience in open\-source tools like GIT/Jenkin/CircleCI, and knowledge in Terraform/Ansible is a plus
* Experience solving analytical problems with quantitative approaches
* Knowledge of developer tooling across the software development life cycle (task management, source code, building, deployment, test automation and related tools, operations, real\-time communication)
* Knowledge in ML and AI technologies
* Knowledge on Open\-source monitoring software like Grafana and Prometheus
**Experience**
* 4\+ years of professional experience in software development, platform architecture, administration, governance, infrastructure management, installation, and maintenance of the hardware, software, and network systems
* 4\+ years of experience in open\-source frameworks
* 3\+ years of experience with design
* 3\+ years of experience with AWS, GCP, Azure, or hybrid data center
**Education**
* Bachelor's degree in computer science, Information Systems, or equivalent education or work experience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2">
      <c r="A82" t="inlineStr">
        <is>
          <t>li-4365772990</t>
        </is>
      </c>
      <c r="B82" t="inlineStr">
        <is>
          <t>Software Engineer II</t>
        </is>
      </c>
      <c r="C82" t="inlineStr">
        <is>
          <t>Chewy</t>
        </is>
      </c>
      <c r="D82" t="inlineStr">
        <is>
          <t>linkedin</t>
        </is>
      </c>
      <c r="E82">
        <f>HYPERLINK("https://www.linkedin.com/jobs/view/4365772990", "https://www.linkedin.com/jobs/view/4365772990")</f>
        <v/>
      </c>
      <c r="F82" t="inlineStr"/>
      <c r="G82" t="inlineStr">
        <is>
          <t>Boston, MA</t>
        </is>
      </c>
      <c r="H82" t="inlineStr"/>
      <c r="I82" t="inlineStr">
        <is>
          <t>**Job Description**
**Our Opportunity:**
 Chewy Vet Care Services is a critical component of Chewy’s pet health ecosystem and provides a vital technology backbone that powers high‑quality veterinary experiences for pet parents and clinical staff. The Chewy Vet Care Services tech team is focused on building scalable, reliable, and intuitive platforms that support clinic operations, enhance care delivery, and improve outcomes through data‑driven insights and modern engineering practices. We empower veterinarians, technicians, and pet parents through innovative technology, intelligent automation, and seamless digital workflows. Join us and help shape the future of veterinary care technology! As a Software Engineer II, you will be an integral part of our engineering team, contributing to the development of scalable, high‑performance systems that enable exceptional clinical experiences across our Vet Care network. You will work across the stack using modern technologies and collaborate with multi\-functional teams to help drive innovations. These innovations include real\-time clinical data processing, scheduling and operations platforms, workflow optimization, and digital care tools.
 Chewy Vet Care Services builds a great outcome for everyone involved—pet parents, veterinary professionals, and Chewy. Pet parents gain access to convenient, tech‑enabled veterinary experiences. Veterinary teams benefit from streamlined workflows and modern tooling tailored to the clinical environment. Chewy strengthens its commitment to delivering best‑in‑class pet health solutions. Come be part of the Chewy Vet Care Services tech team’s impactful journey!
**What You’ll Do**
* Design, develop, test, and maintain robust software systems in a high‑traffic, low‑latency environment
* Contribute to architectural decisions and technical designs for new and existing systems
* Collaborate closely with product managers, data scientists, and DevOps teams to deliver features that align with business goals
* Write clean, maintainable code and participate in code reviews to follow standard processes and maintain high quality
* Work on large‑scale data systems used for clinic operations, analytics, and personalization
* Debug and resolve production issues, continuously improving system reliability and performance
* Mentor junior engineers and provide technical guidance within the team
**What You’ll Need**
* Bachelor of Science or Master's degree in Computer Science, Engineering, Information Systems or related field
* 3\+ years of professional software engineering experience
* Strong proficiency in one or more programming languages (e.g., Java, Python, Go, TypeScript)
* Experience with cloud services (AWS, GCP, or Azure) and containerized deployments (Docker, Kubernetes)
* Familiarity with large‑scale distributed systems, message queues (Kafka, RabbitMQ), and streaming data processing
* Knowledge of databases (SQL and NoSQL) and data modeling
* Understanding of RESTful APIs and microservices architecture
* Strong problem‑solving skills and attention to detail
* Experience in healthcare tech, clinical platforms, or workflow automation is a plus
**Preferred Qualifications**
* Hands‑on experience with operational platforms supporting real‑time decisioning
* Exposure to systems integrations common in healthcare or service operations
* Familiarity with the AWS ecosystem (e.g., EC2, S3, Lambda, DynamoDB, EMR, Athena, etc.)
* Knowledge of privacy frameworks (GDPR, CCPA, HIPAA) and how they impact data handling
* Background in machine learning or predictive modeling in operational or healthcare environments
 The base salary range for this role is $120,000 \- $191,500\.
*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California CPRA Job Applicant Privacy Policy, please click here.</t>
        </is>
      </c>
    </row>
    <row r="83">
      <c r="A83" t="inlineStr">
        <is>
          <t>li-4321389007</t>
        </is>
      </c>
      <c r="B83" t="inlineStr">
        <is>
          <t>Senior Software Engineer</t>
        </is>
      </c>
      <c r="C83" t="inlineStr">
        <is>
          <t>GEICO</t>
        </is>
      </c>
      <c r="D83" t="inlineStr">
        <is>
          <t>linkedin</t>
        </is>
      </c>
      <c r="E83">
        <f>HYPERLINK("https://www.linkedin.com/jobs/view/4321389007", "https://www.linkedin.com/jobs/view/4321389007")</f>
        <v/>
      </c>
      <c r="F83">
        <f>HYPERLINK("https://click.appcast.io/t/5SHFjb1JFluEHvc8_ldt6B2MOt2ILJEMSfg7jLhKM3U=?source=LinkedIn&amp;urlHash=NTcT", "https://click.appcast.io/t/5SHFjb1JFluEHvc8_ldt6B2MOt2ILJEMSfg7jLhKM3U=?source=LinkedIn&amp;urlHash=NTcT")</f>
        <v/>
      </c>
      <c r="G83" t="inlineStr">
        <is>
          <t>Austin, TX</t>
        </is>
      </c>
      <c r="H83" t="inlineStr"/>
      <c r="I8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Design, Develop and implement enterprise data governance solutions.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Mentor other engineers
* Consistently share best practices and improve processes within and across teams
**Qualifications**
* Experience contributing to the architecture and design (architecture, design patterns, reliability, and scaling) of new and current systems
* Expertise in Python and Typescript/JavaScript. Experience with other programming languages like Java/ Kotlin or Golang, React (Clean Architecture) or Angular and GIT
* Experience in backend development: Develop backend micro\-services using RESTful APIs, Graph QL, BFF (Backend for Frontend), ORMs, orchestration frameworks like Airflow, Fast API, Spring Boot framework and/or other Spring technologies
* Experience developing and scaling open\-source applications such as Datahub, Soda, DBT, etc.
* Experience with modern software development tools including VS code, GitHub Copilot, Cursor and Claude to enhance coding efficiency
* Experience with Open\-Source Data Governance solutions like Datahub a plus
* Experience in the complete software development life cycle and knowledge of developer tooling across the software development life cycle (task management, source code, building, deployment, operations, real\-time communication)
* Experience with container orchestration services including Docker and Kubernetes, and various Azure tools and services
* Experience with relational and non\-relational database technologies (SQL, Snowflake, Oracle, Cosmos DB, Postgres, NoSQL etc.)
* Experience with Load test tooling (Gatling or equivalent)
* Experience with monitoring Data Observability tools such as Splunk, Grafana, Loki, Prometheus or equivalents
* Advanced understanding of DevOps concepts including Azure DevOps framework, CI/CD tooling such as Jenkins, Gradle, Artifactory, Microsoft Azure DevOps
* Experience working on different operating systems like Linux (Alpine, Ubuntu, Red Hat) \&amp; Windows
* Experience with continuous delivery and infrastructure as code
* Advanced shell scripting skills
* Advanced understanding of monitoring concepts and tooling
* Strong problem\-solving ability
* Ability to excel in a fast\-paced environment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4">
      <c r="A84" t="inlineStr">
        <is>
          <t>li-4365790031</t>
        </is>
      </c>
      <c r="B84" t="inlineStr">
        <is>
          <t>Software Engineer - Inference Engine</t>
        </is>
      </c>
      <c r="C84" t="inlineStr">
        <is>
          <t>FriendliAI</t>
        </is>
      </c>
      <c r="D84" t="inlineStr">
        <is>
          <t>linkedin</t>
        </is>
      </c>
      <c r="E84">
        <f>HYPERLINK("https://www.linkedin.com/jobs/view/4365790031", "https://www.linkedin.com/jobs/view/4365790031")</f>
        <v/>
      </c>
      <c r="F84" t="inlineStr"/>
      <c r="G84" t="inlineStr">
        <is>
          <t>New York, NY</t>
        </is>
      </c>
      <c r="H84" t="inlineStr"/>
      <c r="I84" t="inlineStr">
        <is>
          <t>**About us** 
 FriendliAI, a Redwood City, CA\-based startup, is building the next\-generation AI inference platform that accelerates the deployment of large language and multimodal models with unmatched performance and efficiency. Our infrastructure supports high\-throughput, low\-latency AI workloads for organizations worldwide. We are also integrated with the Hugging Face platform, allowing instant access to over 400,000 open\-source models. We are on a mission to deliver the world’s best platform for generative and agentic AI.
**The Role** 
 We are seeking a highly technical Inference Engine Engineer to optimize the performance and efficiency of our core inference engine. You will focus on designing, implementing, and optimizing GPU kernels and supporting infrastructure for next\-generation generative and agentic AI workloads. Your work will directly power the most latency\-critical and compute\-intensive systems deployed by our customers.
**The Person** 
 You are an exceptional engineer with a strong foundation in GPU programming and compiler infrastructure. You enjoy pushing the performance boundaries and have experience supporting production\-scale machine learning applications.
**Key Responsibilities** 
* Design and optimize custom GPU kernels for AI (e.g., transformer and diffusion) workloads
* Contribute to the development of FriendliAI’s kernel compiler, memory planner, runtime, and other core components.
* Collaborate with cloud and infrastructure engineers to ensure end\-to\-end inference performance
* Analyze performance bottlenecks across the software and hardware stack, and implement targeted optimizations
* Drive support for new model architectures and tensor compute patterns
* Maintain production\-grade performance infrastructure, including profiling, benchmarking, and validation tools
**Qualifications** 
* 5\+ years of experience in production or high\-impact research environments
* Production\-level expertise in Python and C\+\+
* Bachelor’s or Master's degree in Computer Science, Computer Engineering, Electrical Engineering, or equivalent
* Experience developing machine learning frameworks or performance\-critical runtime systems
* Hands\-on experience writing and optimizing GPU kernels
* Hands\-on experience profiling GPU kernels
* Experience working with generative AI models such as transformer and diffusion models
**Preferred Experience** 
* Experience developing machine learning compilers or code generation systems
* Familiarity with dynamic shape compilation, memory planning, and kernel fusion
* Contributions to inference engines, compilers, or high\-performance numerical libraries
* Understanding of multi\-GPU and distributed inference strategies
**Benefits** 
* Flexible working hours
* Daily lunch and dinner provided
* Unlimited snacks and beverages
* Supportive work environment
* Health check\-up support
* Top\-tier equipment support
* *We offer competitive* 
***compensation, startup equity, health insurance, and other benefits.***</t>
        </is>
      </c>
    </row>
    <row r="85">
      <c r="A85" t="inlineStr">
        <is>
          <t>li-4321313493</t>
        </is>
      </c>
      <c r="B85" t="inlineStr">
        <is>
          <t>Sr. Staff Software Engineer</t>
        </is>
      </c>
      <c r="C85" t="inlineStr">
        <is>
          <t>GEICO</t>
        </is>
      </c>
      <c r="D85" t="inlineStr">
        <is>
          <t>linkedin</t>
        </is>
      </c>
      <c r="E85">
        <f>HYPERLINK("https://www.linkedin.com/jobs/view/4321313493", "https://www.linkedin.com/jobs/view/4321313493")</f>
        <v/>
      </c>
      <c r="F85" t="inlineStr"/>
      <c r="G85" t="inlineStr">
        <is>
          <t>Palo Alto, CA</t>
        </is>
      </c>
      <c r="H85" t="inlineStr"/>
      <c r="I8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GEICO Policy Core Engineering**
 We're building the future of insurance technology—
 **API\-first, AI\-powered, and engineered for scale** 
 .
 At GEICO, the
 **Policy Core Engineering teams** 
 are on a mission to redefine how insurance policies are built, managed, and evolved. We're designing
 **world\-class services and frameworks** 
 that are modular, resilient, and ready to power intelligent automation across the enterprise.
 Position Description
 Our Senior Staff Engineer leads the architecture and design of the systems that power our policy platform and works with our Staff and Sr. Engineers to innovate and build new systems, improve and enhance existing systems and identify new opportunities to apply your knowledge to solve critical problems.
 You will lead the strategy and execution of a technical roadmap modernizing our servicing organization, including large scale modernization, working on system and data migration.
 We’re looking for engineers with
 **deep technical breadth** 
 —from distributed systems and cloud\-native architectures to data pipelines and service mesh patterns.
 If you're passionate about working with top tier engineering teams and building systems that empower teams and delight customers, we’d love to talk.
 Position Responsibilities
**As a Sr. Staff Engineer, You Will**
* Provide technical leadership to multiple areas and provide technical and thought leadership to the enterprise
* Collaborate across teams and the tech organization to solve our toughest problems
* Deliver high\-scale and high\-quality data architecture, especially legacy\-to\-modern platform transitions.
* Deliver High\-Quality services and software for a variety of domains
* Accountable for the quality, usability, and performance of the solutions
* Utilize your expertise in designing, developing, and deploying new and novel frameworks and services for internal distribution and consumption.
* Utilize your expertise in designing and developing API’s and microservices using graphQL, gRPC, and modern languages / tooling.
* Deploy applications in a hybrid cloud environment utilizing Kubernetes, various data stores, and a variety of cloud native tools and services
* Be a role model and mentor, helping to coach and strengthen the technical expertise and know\-how of our engineering and product community. Influence and educate executives
**Qualifications**
* Ability to excel in a fast\-paced, startup\-like environment
* Exemplary ability to design, perform experiments, and influence engineering direction and product roadmap
* Experience leading and building the architecture and design (architecture, design patterns, reliability, and scaling) of new and current systems
* Proven expertise in designing and developing microservices using graphQL and/or gRPC, along with event streaming platforms such as Kafka
* Deep understanding of both API and event\-driven architectures.
* Strong understanding of programming language development and developer experience in relation to Domain Specific Languages (DSLs)
* Deep hands\-on experience in building complex SAAS systems in large scale business focused systems, with great knowledge on Docker and Kubernetes
* Fluency and Specialization with Java and/or Kotlin, along with at least one other modern typed language such as Rust, Golang, or C\#.
* You fearlessly refactor and iterate when presented with new and previously unknown information.
* Deep knowledge of ETL, SQL, bitemporal data modeling, and temporal databases.
* Extensive experience in leading and building full\-stack application and service development, with a strong focus on SAAS products / platforms.
* Strong understanding of data observability, traceability, and multi\-faceted testing
* Proven experience designing and delivering highly resilient event\-driven and messaging\-based solutions at scale with minimal latency.
**Experience**
* 15\+ years of experience in full\-stack web development (C\#/Java/Golang), with expertise in client\-side and server\-side frameworks.
* 8\+ years of experience working with public cloud platforms (AWS, Azure, GCP) and private cloud technologies (OpenStack).
* 6\+ years of experience in open\-source frameworks
 Education
* BS in Computer Science or equivalent education or work experience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6">
      <c r="A86" t="inlineStr">
        <is>
          <t>li-4321359202</t>
        </is>
      </c>
      <c r="B86" t="inlineStr">
        <is>
          <t>Senior Software Engineer- Policy Configuration</t>
        </is>
      </c>
      <c r="C86" t="inlineStr">
        <is>
          <t>GEICO</t>
        </is>
      </c>
      <c r="D86" t="inlineStr">
        <is>
          <t>linkedin</t>
        </is>
      </c>
      <c r="E86">
        <f>HYPERLINK("https://www.linkedin.com/jobs/view/4321359202", "https://www.linkedin.com/jobs/view/4321359202")</f>
        <v/>
      </c>
      <c r="F86">
        <f>HYPERLINK("https://click.appcast.io/t/VkqhkktUNZWD3kYoC2QipJpMa1sR_DzrFhsBRTfC3D4=?source=LinkedIn&amp;urlHash=JBmT", "https://click.appcast.io/t/VkqhkktUNZWD3kYoC2QipJpMa1sR_DzrFhsBRTfC3D4=?source=LinkedIn&amp;urlHash=JBmT")</f>
        <v/>
      </c>
      <c r="G86" t="inlineStr">
        <is>
          <t>Palo Alto, CA</t>
        </is>
      </c>
      <c r="H86" t="inlineStr"/>
      <c r="I8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GEICO Policy Engineering**
 We're building the future of insurance technology—
 **API\-first, AI\-powered, and engineered for scale** 
 .
 At GEICO, the
 **Policy Engineering teams** 
 are on a mission to redefine how insurance policies are built, managed, and evolved. We're designing
 **world\-class services** 
 that are modular, resilient, and ready to power intelligent automation across the enterprise.
 Position Description
 As a Sr. Engineer on the Policy Configuration team, you’ll be responsible for helping to build complex platforms and tools to enable the business and product teams to design complex insurance products (schema, workflow, rules) powered by a complex configuration\-driven architecture. You’ll be helping to pave the way for an AI\-first future where increasing levels of automation play a key role in our business systems.
 We’re looking for engineers with
 **deep technical breadth** 
 —from distributed systems and cloud\-native architectures to data pipelines and service mesh patterns.
 If you're passionate about working with top tier engineering teams and building systems that empower teams and delight customers, we’d love to talk.
 Position Responsibilities
**As a Sr. Engineer You Will**
* Independently deliver complex solutions and provide mentorship and leadership to other members of your team
* Collaborate with product and business stakeholders to craft solutions to solve our toughest problems
* Deliver high\-scale and high\-quality data architecture, especially with an eye towards legacy\-to\-modern platform transitions.
* Accountable for the quality, usability, and performance of the solutions
* Utilize your expertise in designing and developing API’s and microservices using GraphQL, gRPC, Java, Kafka, with a deep understanding of API driven system migration
* Utilize programming languages like Java, C\#, or other object\-oriented languages, SQL, and NoSQL databases.
* Deploy applications in a hybrid cloud environment utilizing Kubernetes, various data stores, and a variety of cloud native tools and services
* Be a proactive member of the engineering community contributing to citizenship and collaboration across teams
**Qualifications**
* Experience building the architecture and design (architecture, design patterns, reliability, and scaling) of new and current systems
* Knowledge of ETL, SQL, bitemporal data modeling, and temporal databases.
* Experience with API\-based migration
* Strong understanding of data observability, traceability, and multi\-faceted testing
* Proven expertise in designing and developing microservices using graphQL, gRPC, Java, Kafka, with a deep understanding of both API and event\-driven architectures.
* Experience designing and delivering highly resilient event\-driven and messaging\-based solutions at scale with minimal latency.
* Experience building distributed systems using Docker and Kubernetes
* Proficiency with Java/Kotlin and at least one other modern language such as C\#, C\+\+, or Python including object\-oriented design
* Experience building full\-stack application and service development, with a strong focus on SAAS products / platforms.
* Great understanding of open\-source databases like MySQL, PostgreSQL, etc. And strong foundation with No\-SQL databases like Cosmos, Cassandra.
* Ability to excel in a fast\-paced, startup\-like environment
**Experience**
* 6\+ years of experience in systems development (C\#/Java/Rust/GO), with expertise in both client\-side and server\-side frameworks.
* 8\+ years of experience working with public cloud platforms (AWS, Azure, GCP) and/or private cloud technologies (OpenStack).
* 6\+ years of experience in open\-source frameworks.
 Education
* BS in Computer Science or equivalent education or work experience
 IVRPOLYX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7">
      <c r="A87" t="inlineStr">
        <is>
          <t>li-4321453134</t>
        </is>
      </c>
      <c r="B87" t="inlineStr">
        <is>
          <t>Senior Software Engineer- CRM, Artificial Intelligence</t>
        </is>
      </c>
      <c r="C87" t="inlineStr">
        <is>
          <t>GEICO</t>
        </is>
      </c>
      <c r="D87" t="inlineStr">
        <is>
          <t>linkedin</t>
        </is>
      </c>
      <c r="E87">
        <f>HYPERLINK("https://www.linkedin.com/jobs/view/4321453134", "https://www.linkedin.com/jobs/view/4321453134")</f>
        <v/>
      </c>
      <c r="F87" t="inlineStr"/>
      <c r="G87" t="inlineStr">
        <is>
          <t>Palo Alto, CA</t>
        </is>
      </c>
      <c r="H87" t="inlineStr"/>
      <c r="I8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low\-latency platforms, and applications. You will help drive our insurance business transformation and platform engineering domain modernization as we redefine experience for our customers.
**Position Description** 
 We are seeking a Senior Full Stack Developer with deep expertise in Microsoft Dynamics365 and the Microsoft Power Platform to help lead the transformation of our legacy CRM into a modern, scalable solution. This new system will empower our GEICO agents to better support customers and deliver a seamless, connected experience across our enterprise via Chat, SMS, email.
**Position Responsibilities** 
 As a Senior Software Engineer, you will:
* Collaborate with product managers, team members, customers, and other engineering teams to solve our toughest problems
* Develop and execute technical software development strategy for the organization including self\-service, business continuity, backup/restores, incident response and paging platforms
* Accountable for the quality, usability, and performance of the solutions
* Lead projects from the front and interact with clients and sponsors on a regular basis
* Consistently share best practices and improve processes within and across teams
* Take on\-call and operational support
**Qualifications**
* Advance knowledge of at least one modern OOP language such as Java or Python or Go (preferred)
* Deep understanding of Dynamics 365 including customer service and power platform.
* Design, develop, and integrate Artificial Intelligence (AI) solutions into software applications, leveraging machine learning, natural language processing.
* Hands\-on experience with AI\-driven software development
* Experience working with services like logic apps, functions, API management, storage and monitoring.
* Deep hands\-on experience in complex system design and data pipeline and architectures, scale and performance, tuning, with good knowledge on Docker and Kubernetes.
* Experience with Azure Services, Full Stack Development, API Gateway and API management.
* Understanding of both front\-end and back\-end concepts with ability to integrate different technologies.
* Integrate front\-end and back\-end components ensuring smooth communication and data flow between them.
* In\-depth knowledge of CS data structures and algorithms
* Understand open\-source databases like MySQL, PostgreSQL, etc.
* Experience in architecting, designing, building automation, workflows, and distributed applications
* Strong understanding of service integrations / communication standards (e.g., GRPC / REST)
* Experience partnering with engineering teams and transferring research to production
* Experience with various integration patterns and technologies used to connect Dynamics 365 with other systems.
* Excellent communication skills
* Hands on experience working in an agile Scrum environment.
**Experience:** 
* 4\+ years of professional experience in software development, platform architecture, administration and maintenance of software, and its ecosystem
* 3\+ years of experience with architecture and design
* 3\+ years of experience with AWS, GCP, Azure, or hybrid data center
* 2\+ years of experience in open\-source frameworks
**Education:** 
* Bachelor's degree in computer science, Information Systems, or equivalent education or work experience
 IVRPOLYX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8">
      <c r="A88" t="inlineStr">
        <is>
          <t>li-4365768644</t>
        </is>
      </c>
      <c r="B88" t="inlineStr">
        <is>
          <t>Staff Frontend Software Engineer</t>
        </is>
      </c>
      <c r="C88" t="inlineStr">
        <is>
          <t>Sirona Medical</t>
        </is>
      </c>
      <c r="D88" t="inlineStr">
        <is>
          <t>linkedin</t>
        </is>
      </c>
      <c r="E88">
        <f>HYPERLINK("https://www.linkedin.com/jobs/view/4365768644", "https://www.linkedin.com/jobs/view/4365768644")</f>
        <v/>
      </c>
      <c r="F88" t="inlineStr"/>
      <c r="G88" t="inlineStr"/>
      <c r="H88" t="inlineStr"/>
      <c r="I88" t="inlineStr">
        <is>
          <t>**About Sirona Medical**
 At
 **Sirona Medical** 
 , we’re building software that enables physicians to work as fast as they can think.
 Each year in the U.S.,
 **billions of patient images** 
 are captured—and nearly all of them are reviewed and diagnosed by radiologists. These specialists are the central hub of diagnostic medicine:
 **over 80% of all healthcare data flows through radiology IT systems** 
 . Yet despite their pivotal role, radiologists are overburdened by outdated, fragmented software which limits their efficiency and ultimately the quality and efficiency of care that health systems can provide patients. That’s where Sirona comes in.
 We’re a
 **San Francisco\-based, cloud\-native software company** 
 with employees around the world. Our deep understanding of both the
 **practice and business of radiology** 
 has allowed us to build
 **RadOS** 
 —a unified, AI\-powered operating system powering the entire radiology workflows.
**How Sirona Solves the Problem**
 Sirona Is Uniquely Positioned To Transform The Way Radiology Is Practiced. We're Delivering The Organizational Shift That Both Individual Radiologists And Entire Practices Urgently Need
* A unified, intuitive, and platform\-agnostic solution
* A streamlined workspace that makes every part of the radiologist’s workflow faster and easier
* The freedom to read from anywhere, for anyone
 By cutting clicks, optimizing diagnostic time, and unlocking efficiencies that extend
 **far beyond the reading room into all care settings** 
 , Sirona empowers radiologists—and in doing so, we help the entire healthcare system move faster, smarter, and with greater impact on patient outcomes.
 For more information, please visit https://sironamedical.com/join/.
 Software Engineers (Frontend) at Sirona are responsible for the user\-facing applications and services we develop for reimagining the way doctors engage with medical images in the era of Computer Vision, NLP and Machine Learning. Software Engineers work in collaboration with our Product Designers, Product Managers and researchers/scientists to solve problems and further the application of technology in the radiology space. Their goal is to help doctors deliver the highest quality of care with the use of technology.
 This job is remote working from the United States but may require the employee to travel to our headquarters in San Francisco 2\-3 days per quarter for strategic working meetings. The first week of employment would include onsite onboarding in our San Francisco office.
**Key Responsibilities:**
* You’ll own technical vision and strategy for building and scaling our highly interactive and rich web applications
* You’ll lead across teams to solve large and open ended problems, devising reusable components and frameworks to power world class doctor experience
* Create trustworthy doctor experiences by building interfaces that are simple, easy to comprehend, performant and reliable using modern tools
* Collaborate with backend and quality engineers to spec, write, test, and deploy code
* Brainstorm features with product managers, designers, scientists and GTM team
* Turn our vision into a tangible roadmap every quarter by working with engineers, product managers and senior leadership
* Mentor and train other team members on design techniques and coding standards to raise the bar for the team
* Gather problem requirements from Product and customize feedback and create innovative solutions
* Review, plan and architect end\-to\-end solutions
* Focus on company goals and trade off solutions based on cost and value
* Run code reviews and pair programming with other engineers in the organization
* Contribute to strong testing practices to avoid regressions in the solutions provided
**Key Requirements:**
* 10\+ years Javascript experience
* 5\+ years React experience
* 2\+ years experience with JS type systems such as TypeScript
* 1\+ year GraphQL and/or VTK production experience
* Experience with Recoil, Redux or MobX
* WebGl, D3, Three.js knowledge nice to have
**Benefits:**
* Stock Options
* Medical, dental, vision insurance
* Life insurance
* Maternity and Paternity Leave
* Flexible time off
* 401K matching
* MacBook Pro
* Sponsorship for conferences, continuing education, etc.
 The annual US base salary range for this full\-time position is $175,000 \- $200,000 \+ equity \+ benefits. Pay scale is flexible depending on experience. Within the range, individual pay is determined by work location and additional factors, including job\-related skills, competencies, experience, relevant education and training. Your recruiter can share more about the specific salary range for your preferred location during the hiring process.</t>
        </is>
      </c>
    </row>
    <row r="89">
      <c r="A89" t="inlineStr">
        <is>
          <t>li-4365802539</t>
        </is>
      </c>
      <c r="B89" t="inlineStr">
        <is>
          <t>Senior Software Engineer- CRM, Artificial Intelligence</t>
        </is>
      </c>
      <c r="C89" t="inlineStr">
        <is>
          <t>GEICO</t>
        </is>
      </c>
      <c r="D89" t="inlineStr">
        <is>
          <t>linkedin</t>
        </is>
      </c>
      <c r="E89">
        <f>HYPERLINK("https://www.linkedin.com/jobs/view/4365802539", "https://www.linkedin.com/jobs/view/4365802539")</f>
        <v/>
      </c>
      <c r="F89">
        <f>HYPERLINK("https://click.appcast.io/t/us6FUmr3IiRvYI-C4iRuSbSM6rqj18WTz59rkNSP8f8=?source=LinkedIn&amp;urlHash=hlj2", "https://click.appcast.io/t/us6FUmr3IiRvYI-C4iRuSbSM6rqj18WTz59rkNSP8f8=?source=LinkedIn&amp;urlHash=hlj2")</f>
        <v/>
      </c>
      <c r="G89" t="inlineStr">
        <is>
          <t>Seattle, WA</t>
        </is>
      </c>
      <c r="H89" t="inlineStr"/>
      <c r="I8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low\-latency platforms, and applications. You will help drive our insurance business transformation and platform engineering domain modernization as we redefine experience for our customers.
**Position Description** 
 We are seeking a Senior Full Stack Developer with deep expertise in Microsoft Dynamics365 and the Microsoft Power Platform to help lead the transformation of our legacy CRM into a modern, scalable solution. This new system will empower our GEICO agents to better support customers and deliver a seamless, connected experience across our enterprise via Chat, SMS, email.
**Position Responsibilities** 
 As a Senior Software Engineer, you will:
* Collaborate with product managers, team members, customers, and other engineering teams to solve our toughest problems
* Develop and execute technical software development strategy for the organization including self\-service, business continuity, backup/restores, incident response and paging platforms
* Accountable for the quality, usability, and performance of the solutions
* Lead projects from the front and interact with clients and sponsors on a regular basis
* Consistently share best practices and improve processes within and across teams
* Take on\-call and operational support
**Qualifications**
* Advance knowledge of at least one modern OOP language such as Java or Python or Go (preferred)
* Deep understanding of Dynamics 365 including customer service and power platform.
* Design, develop, and integrate Artificial Intelligence (AI) solutions into software applications, leveraging machine learning, natural language processing.
* Hands\-on experience with AI\-driven software development
* Experience working with services like logic apps, functions, API management, storage and monitoring.
* Deep hands\-on experience in complex system design and data pipeline and architectures, scale and performance, tuning, with good knowledge on Docker and Kubernetes.
* Experience with Azure Services, Full Stack Development, API Gateway and API management.
* Understanding of both front\-end and back\-end concepts with ability to integrate different technologies.
* Integrate front\-end and back\-end components ensuring smooth communication and data flow between them.
* In\-depth knowledge of CS data structures and algorithms
* Understand open\-source databases like MySQL, PostgreSQL, etc.
* Experience in architecting, designing, building automation, workflows, and distributed applications
* Strong understanding of service integrations / communication standards (e.g., GRPC / REST)
* Experience partnering with engineering teams and transferring research to production
* Experience with various integration patterns and technologies used to connect Dynamics 365 with other systems.
* Excellent communication skills
* Hands on experience working in an agile Scrum environment.
**Experience:** 
* 4\+ years of professional experience in software development, platform architecture, administration and maintenance of software, and its ecosystem
* 3\+ years of experience with architecture and design
* 3\+ years of experience with AWS, GCP, Azure, or hybrid data center
* 2\+ years of experience in open\-source frameworks
**Education:** 
* Bachelor's degree in computer science, Information Systems, or equivalent education or work experience
 IVRPOLYX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0">
      <c r="A90" t="inlineStr">
        <is>
          <t>li-4366110127</t>
        </is>
      </c>
      <c r="B90" t="inlineStr">
        <is>
          <t>Senior Staff Software Engineer</t>
        </is>
      </c>
      <c r="C90" t="inlineStr">
        <is>
          <t>Jack &amp; Jill</t>
        </is>
      </c>
      <c r="D90" t="inlineStr">
        <is>
          <t>linkedin</t>
        </is>
      </c>
      <c r="E90">
        <f>HYPERLINK("https://www.linkedin.com/jobs/view/4366110127", "https://www.linkedin.com/jobs/view/4366110127")</f>
        <v/>
      </c>
      <c r="F90" t="inlineStr"/>
      <c r="G90" t="inlineStr">
        <is>
          <t>Foster City, CA</t>
        </is>
      </c>
      <c r="H90" t="inlineStr"/>
      <c r="I90" t="inlineStr">
        <is>
          <t>This is a job that Jill, our AI Recruiter, is recruiting for on behalf of one of our customers.
 She will pick the best candidates from Jack's network
 The next step is to speak to Jack.
 Senior/Staff Software Engineer
**Salary:** 
 $120,000 \- $200,000
**Company Description:** 
 Innovative healthtech startup
**Job Description:** 
 Join a mission\-driven team revolutionizing mental health care through AI\-integrated platforms. Working directly with the CTO, you will architect and scale an AI\-first EHR/EMR system, develop predictive analytics for personalized patient care, and optimize real\-time data pipelines. This role is pivotal in building high\-impact technology that directly improves clinical outcomes for thousands.
**Location:** 
 Foster City, USA
**Why this role is remarkable:** 
* Lead the technical evolution of an AI\-driven platform integrating LLMs and predictive analytics into real\-world healthcare workflows.
* Join a well\-funded, high\-growth startup where your architectural decisions directly impact the lives of over 60,000 patients.
* Work in a collaborative, entrepreneurial environment that prioritizes professional growth, mentorship, and cutting\-edge healthtech innovation.
**What you will do:** 
* Architect and develop core components of a proprietary EHR/EMR system and AI\-driven patient engagement tools.
* Design and implement AI\-powered solutions that predict treatment efficacy and automate complex clinical workflows.
* Optimize system performance and scalability for a rapidly growing user base while mentoring junior engineering talent.
**The ideal candidate:** 
* Possesses 6\-10\+ years of full\-stack experience with strong proficiency in Node.js, React.js, and cloud infrastructure.
* Proven track record of building and scaling consumer\-facing applications within a fast\-paced startup environment.
* Deep understanding of software engineering best practices, including CI/CD, system architecture, and agile methodologies.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91">
      <c r="A91" t="inlineStr">
        <is>
          <t>li-4321483133</t>
        </is>
      </c>
      <c r="B91" t="inlineStr">
        <is>
          <t>Senior Software Engineer - AI/ML Infra</t>
        </is>
      </c>
      <c r="C91" t="inlineStr">
        <is>
          <t>GEICO</t>
        </is>
      </c>
      <c r="D91" t="inlineStr">
        <is>
          <t>linkedin</t>
        </is>
      </c>
      <c r="E91">
        <f>HYPERLINK("https://www.linkedin.com/jobs/view/4321483133", "https://www.linkedin.com/jobs/view/4321483133")</f>
        <v/>
      </c>
      <c r="F91" t="inlineStr"/>
      <c r="G91" t="inlineStr">
        <is>
          <t>Chevy Chase, MD</t>
        </is>
      </c>
      <c r="H91" t="inlineStr"/>
      <c r="I9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5\+ years of software engineering experience with focus on infrastructure, platform engineering, or MLOps
* 2\+ years of hands\-on experience with machine learning infrastructure and deployment at scale
* 1\+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6\+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2">
      <c r="A92" t="inlineStr">
        <is>
          <t>li-4321369208</t>
        </is>
      </c>
      <c r="B92" t="inlineStr">
        <is>
          <t>Senior Software Engineer- CRM, Artificial Intelligence</t>
        </is>
      </c>
      <c r="C92" t="inlineStr">
        <is>
          <t>GEICO</t>
        </is>
      </c>
      <c r="D92" t="inlineStr">
        <is>
          <t>linkedin</t>
        </is>
      </c>
      <c r="E92">
        <f>HYPERLINK("https://www.linkedin.com/jobs/view/4321369208", "https://www.linkedin.com/jobs/view/4321369208")</f>
        <v/>
      </c>
      <c r="F92">
        <f>HYPERLINK("https://click.appcast.io/t/us6FUmr3IiRvYI-C4iRuSbSM6rqj18WTz59rkNSP8f8=?source=LinkedIn&amp;urlHash=hlj2", "https://click.appcast.io/t/us6FUmr3IiRvYI-C4iRuSbSM6rqj18WTz59rkNSP8f8=?source=LinkedIn&amp;urlHash=hlj2")</f>
        <v/>
      </c>
      <c r="G92" t="inlineStr">
        <is>
          <t>Chicago, IL</t>
        </is>
      </c>
      <c r="H92" t="inlineStr"/>
      <c r="I9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low\-latency platforms, and applications. You will help drive our insurance business transformation and platform engineering domain modernization as we redefine experience for our customers.
**Position Description** 
 We are seeking a Senior Full Stack Developer with deep expertise in Microsoft Dynamics365 and the Microsoft Power Platform to help lead the transformation of our legacy CRM into a modern, scalable solution. This new system will empower our GEICO agents to better support customers and deliver a seamless, connected experience across our enterprise via Chat, SMS, email.
**Position Responsibilities** 
 As a Senior Software Engineer, you will:
* Collaborate with product managers, team members, customers, and other engineering teams to solve our toughest problems
* Develop and execute technical software development strategy for the organization including self\-service, business continuity, backup/restores, incident response and paging platforms
* Accountable for the quality, usability, and performance of the solutions
* Lead projects from the front and interact with clients and sponsors on a regular basis
* Consistently share best practices and improve processes within and across teams
* Take on\-call and operational support
**Qualifications**
* Advance knowledge of at least one modern OOP language such as Java or Python or Go (preferred)
* Deep understanding of Dynamics 365 including customer service and power platform.
* Design, develop, and integrate Artificial Intelligence (AI) solutions into software applications, leveraging machine learning, natural language processing.
* Hands\-on experience with AI\-driven software development
* Experience working with services like logic apps, functions, API management, storage and monitoring.
* Deep hands\-on experience in complex system design and data pipeline and architectures, scale and performance, tuning, with good knowledge on Docker and Kubernetes.
* Experience with Azure Services, Full Stack Development, API Gateway and API management.
* Understanding of both front\-end and back\-end concepts with ability to integrate different technologies.
* Integrate front\-end and back\-end components ensuring smooth communication and data flow between them.
* In\-depth knowledge of CS data structures and algorithms
* Understand open\-source databases like MySQL, PostgreSQL, etc.
* Experience in architecting, designing, building automation, workflows, and distributed applications
* Strong understanding of service integrations / communication standards (e.g., GRPC / REST)
* Experience partnering with engineering teams and transferring research to production
* Experience with various integration patterns and technologies used to connect Dynamics 365 with other systems.
* Excellent communication skills
* Hands on experience working in an agile Scrum environment.
**Experience:** 
* 4\+ years of professional experience in software development, platform architecture, administration and maintenance of software, and its ecosystem
* 3\+ years of experience with architecture and design
* 3\+ years of experience with AWS, GCP, Azure, or hybrid data center
* 2\+ years of experience in open\-source frameworks
**Education:** 
* Bachelor's degree in computer science, Information Systems, or equivalent education or work experience
 IVRPOLYX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3">
      <c r="A93" t="inlineStr">
        <is>
          <t>li-4365779688</t>
        </is>
      </c>
      <c r="B93" t="inlineStr">
        <is>
          <t>Software Engineer - GPU Kernel</t>
        </is>
      </c>
      <c r="C93" t="inlineStr">
        <is>
          <t>FriendliAI</t>
        </is>
      </c>
      <c r="D93" t="inlineStr">
        <is>
          <t>linkedin</t>
        </is>
      </c>
      <c r="E93">
        <f>HYPERLINK("https://www.linkedin.com/jobs/view/4365779688", "https://www.linkedin.com/jobs/view/4365779688")</f>
        <v/>
      </c>
      <c r="F93" t="inlineStr"/>
      <c r="G93" t="inlineStr">
        <is>
          <t>New York, NY</t>
        </is>
      </c>
      <c r="H93" t="inlineStr"/>
      <c r="I93" t="inlineStr">
        <is>
          <t>**About the job** 
 FriendliAI is looking for a GPU Kernel Engineer to design, build, and optimize the low\-level compute kernels that power our large\-scale, GPU\-accelerated AI inference platform. You will be delivering world\-class inference speed across NVIDIA and AMD GPUs. With our recent $20M funding, we are scaling our team to meet market demand.
 This is a deeply technical, high\-impact role where you will write GPU code, implement advanced optimizations. As part of our engine team, you will contribute directly to the company’s proprietary inference engine which supports over 450,000 models on Hugging Face. You will work with the inventors of continuous batching and collaborate with the platform team to deploy your work into production.
**Key Responsibilities** 
* Design, implement, and optimize high\-performance GPU kernels for AI inference (e.g., GEMM, attention, routing)
* Develop and maintain GPU code in CUDA and C\+\+, including low\-level assembly when needed
* Implement reduced\-precision and quantized kernels (FP8/FP4\) for low\-latency or high\-throughput inference
* Benchmark and ensure cross\-vendor performance parity between NVIDIA and AMD hardware
* Contribute to internal GPU libraries and tune performance of performance\-critical components
* Accelerate multi\-modal model pipelines
* Investigate and integrate next\-generation GPU features
**Qualifications** 
* 3\+ years of experience in GPU programming, HPC, or performance\-critical systems
* Bachelor’s or Master’s degrees in Computer Science, Computer Engineering, Electrical Engineering, or a related field
* Strong proficiency in CUDA for NVIDIA GPUs or ROCm/HIP for AMD GPUs
* Deep understanding of GPU architecture: warps, threads, memory hierarchy, synchronization, and latency\-throughput trade\-offs
* Proficiency in C\+\+
* Experience with GPU profiling and performance tuning
* Strong numerical background with understanding of precision trade\-offs and quantization techniques
**Preferred Experience** 
* Experience optimizing transformer, multi\-modal, or Mixture\-of\-Experts (MoE) architectures at the kernel level
* Familiarity with the latest GPU libraries and frameworks (CUTLASS, Triton, …)
* Inter\-GPU communication programming experience
* Open\-source contributions related to GPU performance or ML acceleration
* Research or conference presentations on GPU optimization, HPC, or numerical computing
**Benefits** 
* A front\-row seat to the AI infrastructure revolution.
* Opportunity to work cross\-functionally with top\-tier engineers, product leaders, and go\-to\-market teams.
* Competitive compensation.
* Premium hardware and health support benefits.
* A highly collaborative, fast\-moving team where
 **your impact is immediate and visible** 
 .
* *We offer competitive c* 
***ompensation, startup equity, health insurance, and other benefits.***
**About us** 
 FriendliAI, a San Mateo, CA\-based startup, is building the next\-generation AI inference platform that accelerates the deployment of large language and multimodal models with unmatched performance and efficiency. Our infrastructure supports high\-throughput, low\-latency AI workloads for organizations worldwide. We are also integrated with the Hugging Face platform, allowing instant access to over 450,000 open\-source models. We are on a mission to deliver the world’s best platform for AI inference.</t>
        </is>
      </c>
    </row>
    <row r="94">
      <c r="A94" t="inlineStr">
        <is>
          <t>li-4321369242</t>
        </is>
      </c>
      <c r="B94" t="inlineStr">
        <is>
          <t>Sr. Software Engineer</t>
        </is>
      </c>
      <c r="C94" t="inlineStr">
        <is>
          <t>Piper Companies</t>
        </is>
      </c>
      <c r="D94" t="inlineStr">
        <is>
          <t>linkedin</t>
        </is>
      </c>
      <c r="E94">
        <f>HYPERLINK("https://www.linkedin.com/jobs/view/4321369242", "https://www.linkedin.com/jobs/view/4321369242")</f>
        <v/>
      </c>
      <c r="F94" t="inlineStr"/>
      <c r="G94" t="inlineStr">
        <is>
          <t>Raleigh, NC</t>
        </is>
      </c>
      <c r="H94" t="inlineStr"/>
      <c r="I94" t="inlineStr">
        <is>
          <t>Piper Companies is seeking a Sr. Software Engineer to join a growing team in the healthcare and human services industries. The Sr. Software Engineer will play a key role in leading and executing advanced development tasks for both frontend and backend, using .NET Core, C\#, and modern JavaScript.
 **The Sr. Software Engineer will sit 3 days onsite in the Raleigh, NC office.**
**Responsibilities of the Sr. Software Engineer** 
**include:**
* Provide Technical Leadership and solution validation on complex projects.
* Mentor associates, mid\-level developers to bring continuous improvements to the team.
* Collaborate with the team leaders and other stakeholders to execute project goals and establish technical standards.
**Qualifications for the Sr. Software Engineer** 
**include:**
* 7\+ years of professional software development experience
* Senior role experiences focused on .NET and JavaScript
* Bachelor’s degree, Microsoft AZ\-900, AZ\-204 Certification, AWS, Azure strongly preferred.
**Compensation for the Sr. Software Engineer** 
**includes:**
* $110,000 – $125,000 annually
* Comprehensive benefit: Medical, Dental, Vison, 401k, PTO, holidays, sick leave as required by law
* Raleigh, NC, Hybrid work environment, 3 days on\-site
 This job opens for applications on 1/23/2026\. Applications for this job will be accepted for at least 30 days from the posting date.
 Keywords: Senior Software Engineer, .NET, JavaScript, AWS, Azure, AZ\-900\. AZ\-204, ASP.NET, TypeScript, Cloud, CI/CD, DevOps, SQL, DB, NoSQL, Oracle, Server, Microsoft, Agile, Microservices, Deploying, Building, Managing</t>
        </is>
      </c>
    </row>
    <row r="95">
      <c r="A95" t="inlineStr">
        <is>
          <t>li-4365774915</t>
        </is>
      </c>
      <c r="B95" t="inlineStr">
        <is>
          <t>2026 Full-time Software Engineer I - RDPL- On-site (CA)</t>
        </is>
      </c>
      <c r="C95" t="inlineStr">
        <is>
          <t>Lensa</t>
        </is>
      </c>
      <c r="D95" t="inlineStr">
        <is>
          <t>linkedin</t>
        </is>
      </c>
      <c r="E95">
        <f>HYPERLINK("https://www.linkedin.com/jobs/view/4365774915", "https://www.linkedin.com/jobs/view/4365774915")</f>
        <v/>
      </c>
      <c r="F95">
        <f>HYPERLINK("https://lensa.com/cgw/4ffff43f2bc74f2ebd8c2d91cc63e7b1tjo1?jpsi=directemployers_no_redirect&amp;publisher_preference=easier_apply&amp;utm_campaign=Computer%20Occupations&amp;utm_medium=slot&amp;utm_source=linkedin&amp;utm_term=jse&amp;urlHash=vJqd", "https://lensa.com/cgw/4ffff43f2bc74f2ebd8c2d91cc63e7b1tjo1?jpsi=directemployers_no_redirect&amp;publisher_preference=easier_apply&amp;utm_campaign=Computer%20Occupations&amp;utm_medium=slot&amp;utm_source=linkedin&amp;utm_term=jse&amp;urlHash=vJqd")</f>
        <v/>
      </c>
      <c r="G95" t="inlineStr">
        <is>
          <t>Fullerton, CA</t>
        </is>
      </c>
      <c r="H95" t="inlineStr"/>
      <c r="I9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RTX. Clicking "Apply Now" or "Read more" on Lensa redirects you to the job board/employer site. Any information collected there is subject to their terms and privacy notice.
**Date Posted**
 2026\-01\-22
**Country**
 United States of America
**Location:**
 US\-CA\-FULLERTON\-675 \~ 1801 Hughes Dr \~ BLDG 675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Ability to obtain INTERIM U.S. government issues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Radar Digital Product Line (RDPL) team in Fullerton, California, is growing! We are seeking motivated Software Engineers to join our team. In this role, you will have the opportunity to work on cutting\-edge technology solutions, grow your expertise in the radar domain, and engage in potential travel to support radar site operations. This position offers a dynamic and collaborative environment where you can make a meaningful impact.
 This role will be 100% on\-site in Fullerton, California.
**What You Will Do**
 Collaborate with Scrum teams to design, develop, test, and troubleshoot radar software solutions.
 Assist in the requirements, design, development, and testing of real\-time embedded software, application software, and tools.
 Contribute to the development of new work products or enhance existing applications and systems.
 Design, code, test, integrate, and document software solutions in C\+\+ and Object\-Oriented Design (OOD).
 Participate in technical reviews of software components and systems.
 Follow established Agile/Scrum development practices and processes to maintain the configuration management of software products.
 Support radar site operations through travel opportunities.
**Qualifications You Must Have**
 Bachelor's degree in Science, Technology, Engineering, or Mathematics (STEM)
 This position requires 12 months or less of relevant professional work experience (excluding internships).
 Familiarity with object\-oriented programming in C\+\+.
 Experience or coursework in software development.
 Ability to obtain Interim Secret U.S. government issued security clearance is required prior to start date.
**Qualifications We Prefer**
 Familiarity with data structures, algorithms, and software development life cycle practices.
 Experience or coursework in Unix/Linux operating systems.
 Basic knowledge of version control systems (e.g. Git or similar tools).
 Exposure to Agile/Scrum methodologies through coursework or internships.
 Strong problem\-solving and communication skills, including the ability to produce technical documentation.
 Desire to learn new technologies, tools, and processes.
 Strong interest in problem solving and software troubleshooting.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Employees who are working in Onsite roles will work primarily onsite. This includes all production employees, as they are essential to the development of our products. This position involves direct support of manufacturing activities and requires spending significant amounts of time in and around factory areas.
**Additional Details**
 Please upload a copy of your most recent resume when applying to this requisition. Include your cumulative GPA and projected graduation date on your resume.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62,900 USD \- 119,700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(http://www.rtx.com/privacy/Job\-Applicant\-Privacy\-Notice) to read the Policy and Terms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If you have questions about this posting, please contact support@lensa.com</t>
        </is>
      </c>
    </row>
    <row r="96">
      <c r="A96" t="inlineStr">
        <is>
          <t>li-4358794213</t>
        </is>
      </c>
      <c r="B96" t="inlineStr">
        <is>
          <t>Senior Software Engineer - Ruby on Rails</t>
        </is>
      </c>
      <c r="C96" t="inlineStr">
        <is>
          <t>Versapay</t>
        </is>
      </c>
      <c r="D96" t="inlineStr">
        <is>
          <t>linkedin</t>
        </is>
      </c>
      <c r="E96">
        <f>HYPERLINK("https://www.linkedin.com/jobs/view/4358794213", "https://www.linkedin.com/jobs/view/4358794213")</f>
        <v/>
      </c>
      <c r="F96">
        <f>HYPERLINK("https://jobs.lever.co/versapay/c9f5ab44-8bdd-41cd-ab06-dc37bb8d6268/apply?lever-source=LinkedIn&amp;urlHash=jPxT", "https://jobs.lever.co/versapay/c9f5ab44-8bdd-41cd-ab06-dc37bb8d6268/apply?lever-source=LinkedIn&amp;urlHash=jPxT")</f>
        <v/>
      </c>
      <c r="G96" t="inlineStr"/>
      <c r="H96" t="inlineStr"/>
      <c r="I96" t="inlineStr">
        <is>
          <t>**About Versapay 🚀**
 Versapay turns accounts receivable (AR) into a competitive advantage.
 Inefficient AR processes slow cash flow and stall growth. Versapay removes friction, unlocks working capital, and accelerates momentum — giving finance leaders the clarity and control they need to drive business forward.
 Versapay automates accounts receivable, removing barriers to collecting and reconciling B2B payments. Our solutions connect finance teams, customers, and business systems in one ecosystem to ensure cash flow clarity. With over 10,000 customers and 5M\+ companies transacting on the platform, Versapay processes over 110M transactions and $257B annually.
 Think you might be the next Veep to join? Read on!!
**HOW YOU’LL MAKE A HUGE IMPACT HERE – AND ON YOUR CAREER**
 As a Senior Software Developer on the Cash App Squad, you will work with a talented group of engineers to ensure that we deliver quality code on time while helping us to streamline processes and optimize our workflow. This is a unique opportunity for focused engineers with a dedication to the craft and an eagerness to improve teams. You will work to deliver new features, fix bugs, reduce tech debt, help level\-up less experienced developers via code reviews and mentoring, and help shape and drive team culture.
**What You'll Do**
* Get stuff done: Implement new features, improve user experiences, and fix bugs in a mature SaaS application.
* Grow those around you: Review PRs to educate others of best practices, pair program with people who are stuck on a problem, ensure the team is following agreed upon standards.
* Design solutions: As needed, work closely with the Implementations Team to turn customer needs/pain points into actionable work with technical designs.
* Help define and implement future architecture: Help create an architectural roadmap to future proof our app and make that plan come to life.
* Focus on NFRs: Ensure we have the right level of resiliency, logging, monitoring, security, etc.
* Support production: Help debug/diagnose/triage emergency production issues (luckily rare).
**What You'll Bring To The Team**
* Education \&amp; Experience:
* 5\+ years of experience with RoR and Javascript.
* B.S. Computer Science, Mathematics, or related field is prefered but not necessary.
* Familiarity with SaaS applications and the FinTech domain are a plus.
**Vision**
* An insatiable desire to make the team awesome; a drive to identify and seize opportunities for wins both in the code and in how the team works.
**Technical Expertise**
* A strong understanding of programming patterns, best practices, long term software maintenance, software architecture, and how to balance best vs. practical.
**Collaboration**
* Work closely with others to achieve team goals. Understand how to give feedback appropriately. Mentor/coach via pair programming if needed.
**Technical Oversight**
* Ensure that the code is appropriately optimized (avoiding n\+1 queries, etc.), appropriately structured, appropriately formatted, that technical decisions made are right, that the code is well\-tested, and that we aren't introducing technical debt.
**Humility/Teamwork**
* Succeed as a team, fail as a team. Promote a blameless culture. See teammates as equals.
**Nice To Have(s)**
* React.js
* Postgres
* Redis
* Elasticsearch \+ Kibana
* C\+\+ (very minor)
* Datadog
* New Relic
* Loggly
* AWS
* Azure
* Kubernetes
* Semaphore CI
 We are an equal opportunity employer and value diversity at our company. We do not discriminate on the basis of race, religion, color, national origin, gender, sexual orientation, age, marital status, veteran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With 10% annual bonus</t>
        </is>
      </c>
    </row>
    <row r="97">
      <c r="A97" t="inlineStr">
        <is>
          <t>li-4321313516</t>
        </is>
      </c>
      <c r="B97" t="inlineStr">
        <is>
          <t>Staff Software Engineer - (Java, Golang, Microservices)  - *HYBRID*</t>
        </is>
      </c>
      <c r="C97" t="inlineStr">
        <is>
          <t>GEICO</t>
        </is>
      </c>
      <c r="D97" t="inlineStr">
        <is>
          <t>linkedin</t>
        </is>
      </c>
      <c r="E97">
        <f>HYPERLINK("https://www.linkedin.com/jobs/view/4321313516", "https://www.linkedin.com/jobs/view/4321313516")</f>
        <v/>
      </c>
      <c r="F97" t="inlineStr"/>
      <c r="G97" t="inlineStr">
        <is>
          <t>Palo Alto, CA</t>
        </is>
      </c>
      <c r="H97" t="inlineStr"/>
      <c r="I9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Staff Engineer is a key member of the engineering staff working across the organization to provide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Staff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 high performance full distributed systems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6\+ years of professional software development experience with modern programming like C\+\+, Java, Golang, etc
* 4\+ years of experience with architecture and design
* 4\+ years of experience with AWS, GCP, Azure, or another cloud service
* 2\+ years of experience in open\-source frameworks
 Education
* Bachelor's degree in computer science, Information Systems, or equivalent education or work experience
**Annual Salary**
 $105,000\.00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8">
      <c r="A98" t="inlineStr">
        <is>
          <t>li-4365801815</t>
        </is>
      </c>
      <c r="B98" t="inlineStr">
        <is>
          <t>Senior Staff Software Engineer- GIA Platform</t>
        </is>
      </c>
      <c r="C98" t="inlineStr">
        <is>
          <t>GEICO</t>
        </is>
      </c>
      <c r="D98" t="inlineStr">
        <is>
          <t>linkedin</t>
        </is>
      </c>
      <c r="E98">
        <f>HYPERLINK("https://www.linkedin.com/jobs/view/4365801815", "https://www.linkedin.com/jobs/view/4365801815")</f>
        <v/>
      </c>
      <c r="F98" t="inlineStr"/>
      <c r="G98" t="inlineStr">
        <is>
          <t>Palo Alto, CA</t>
        </is>
      </c>
      <c r="H98" t="inlineStr"/>
      <c r="I9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software engineer with a passion for building high\-performance, low maintenance, zero\-downtime platforms, and applications. You will help drive our insurance business transformation and platform engineering domain modernization as we redefine experience for our customers.
**Position Description**
 Our Senior Staff Software Engineer works with our Manager, Distinguished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has a deep understanding of technology, risk management, engineering best practices and strategic planning to design and implement highly scalable, available, and reliable systems with effective observability.
**Position Responsibilities**
 As a Senior Staff Software Engineer, you will:
* Develop and drive the overall technical roadmap for the GIA Platform organization, aligning it with the organization's business goals and objectives.
* Work closely with executive leadership, tech teams, and other cross\-discipline stakeholders to build optimal strategy for delivering platform services.
* Leverage technical and domain expertise to influence partners and leadership to create a force multiplier in achieving milestones in the team’s technical roadmap.
* Provide thought leadership in GIA Platform, staying ahead of industry trends and emerging technologies to create effective strategy that minimizes business disruption while balancing the modernization of legacy platform components.
* Lead the design and architecture of resilient and scalable platform services, considering both on\-premises and cloud\-based solutions.
* Champion software development best practices and safe deployment processes to enable continuous, incremental delivery of business values.
* Contribute directly to and leading by example in day\-to\-day engineering activities (writing feature code and automated tests, raising PRs and reviewing peers’ PRs, developing and managing CI/CD pipelines, production support, among others)
* Develop and maintain comprehensive incident response plans to address various disaster scenarios across multiple partner integration points.
* Spearhead collaboration with various stakeholders in production readiness assessment and operational excellence.
* Hands\-on software engineering and SDLC best practices (Technical Review Documents, Architecture, Software Development, Code Reviews, Testing, Production Readiness Reviews, among others)
* Evaluate, select, and implement modern technologies and tools to enhance our integration with various partners including but not limited to processes, compliance, and visibility.
* Stay current with industry best practices and emerging technologies to continuously improve our partner integration platform capabilities.
* Act as a trusted advisor to technical and non\-technical stakeholders.
* Be a role model and mentor, helping to coach and strengthen the technical expertise and know\-how of our engineering and product community.
* Analyze cost and forecast, incorporating them into business plans
* Determine and support resource requirements, evaluate operational processes, measure outcomes to ensure desired results, and demonstrate adaptability and sponsoring continuous learning
**Qualifications**
* Fluency in at least one modern language (Go is preferred, .Net is a plus)
* Proven track record of designing, implementing, and maintaining highly scalable, available and reliable system in production
* Understanding of security best practices and data encryption technology
* Understanding of SQL and NoSQL databases, including stateful services management and storage
* Understanding of networking, caches, key/value stores, load balancing, global load balancing, queues, DNS and CDN
* Deep knowledge of DevOps practices, methodologies, and principles, along with a solid understanding of on prem and public cloud\-based network, compute, and storage technologies
* In\-depth knowledge of hybrid cloud architecture, IaaS and PaaS technologies, container orchestration platforms (e.g., Kubernetes), cloud efficiency and observability etc.
* Strong background in incident management
* Ability to create incident response playbooks, runbooks, incident triaging strategies, and post\-incident analysis to drive continuous improvement in system reliability and availability
* Experience with open\-source management and monitoring tools
* Experience with infrastructure automation, tooling, and configuration management frameworks (e.g., Puppet, Chef, Ansible, Pulumi, Terraform, etc.)
* Familiarity with cloud security best practices and compliance standards
* Excellent leadership skills with a passion for mentoring and fostering professional growth
* Strong problem\-solving and analytical abilities, with a keen eye for detail and a passion for driving operational excellence
* Visionary thinker with the ability to anticipate future challenges and opportunities
* Exceptional leadership and communication skills
* Strong analytical and problem\-solving capabilities
* Proven track record of successfully leading and building software in large and complex organizations
**Experience**
* 10\+ years of professional experience in software development
* 8\+ years of experience with architecture and design
* 6\+ years of experience in open\-source frameworks
* 4\+ years of experience with AWS, GCP, Azure, or other cloud service providers
**Education**
 Bachelor's degree in computer science, Information Systems, or equivalent education or work experience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9">
      <c r="A99" t="inlineStr">
        <is>
          <t>li-4366104062</t>
        </is>
      </c>
      <c r="B99" t="inlineStr">
        <is>
          <t>Embedded Software Engineer - Viasat Government</t>
        </is>
      </c>
      <c r="C99" t="inlineStr">
        <is>
          <t>Viasat</t>
        </is>
      </c>
      <c r="D99" t="inlineStr">
        <is>
          <t>linkedin</t>
        </is>
      </c>
      <c r="E99">
        <f>HYPERLINK("https://www.linkedin.com/jobs/view/4366104062", "https://www.linkedin.com/jobs/view/4366104062")</f>
        <v/>
      </c>
      <c r="F99" t="inlineStr"/>
      <c r="G99" t="inlineStr">
        <is>
          <t>Tampa, FL</t>
        </is>
      </c>
      <c r="H99" t="inlineStr"/>
      <c r="I99"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an Embedded Software Engineer within Viasat Government \- Secure Network Systems (SNS) experienced in the Rust programming language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 Design and implementation with embedded software in Rust and C/C\+\+
* Linux OS use, for an embedded environment
* TCP/IP and common network configuration
* Agile Scrum development
* Ability to plan, track and report on progress
* CI/CD software development
* Good oral and written communications skills
* Familiarity with bare metal embedded device drivers
* Microprocessors and embedded processors (NIOS, ARM, RISC\-V, etc.)
* Networking protocols (e.g. IPSec, MACsec, TLS, etc.)
* Participating in multi\-disciplinary teams
* This program is to develop, test and certify Next Generation Encryptor (NGE) encryptors to protect government networks.
* This is an onsite role in one of two locations: Carlsbad, CA, or Marlborough, MA.
**What You'll Need**
* Bachelor's Degree or higher in Computer Science, Computer Engineering or related field
* At least 2 years of Rust experience, ideally writing production code for embedded devices.
* Design and implementation experience with embedded software in C/C\+\+
* At least 1 year Linux OS use, ideally for an embedded environment
* Basic understanding of TCP/IP.
* Object\-oriented software development experience
* Ability to plan, track and report on progress
* Good oral and written communications skills
* US citizenship and an active SECRET or TOP SECRET security clearance is required
* Ability to travel up to 10%
**What Will Help You On The Job**
* Agile Scrum development experience
* Familiarity with Linux kernel driver development/modifications
* Familiarity with bare metal embedded device drivers
* Experience with microprocessors and embedded processors (NIOS, ARM, RISC\-V, etc.)
* Experience with RESTConf interface design and implementation
* Experience with Emulation Environments
* Experience with networking protocols (e.g. IPSec, MACsec, TLS, etc.)
* Experience with Python
* Familiarity with standalone embedded applications
* Experience participating in multi\-disciplinary teams
**Salary range**
 $111,500\.00 \- $176,500\.00 / annually. For specific work locations within San Jose, the San Francisco Bay area and New York City metropolitan area, the base pay range for this role is $139,000\.00\- $208,000\.00/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00">
      <c r="A100" t="inlineStr">
        <is>
          <t>li-4321453161</t>
        </is>
      </c>
      <c r="B100" t="inlineStr">
        <is>
          <t>Senior Software Engineer in Test (SDET)</t>
        </is>
      </c>
      <c r="C100" t="inlineStr">
        <is>
          <t>Piper Companies</t>
        </is>
      </c>
      <c r="D100" t="inlineStr">
        <is>
          <t>linkedin</t>
        </is>
      </c>
      <c r="E100">
        <f>HYPERLINK("https://www.linkedin.com/jobs/view/4321453161", "https://www.linkedin.com/jobs/view/4321453161")</f>
        <v/>
      </c>
      <c r="F100">
        <f>HYPERLINK("https://careers.pipercompanies.com/details/158598/senior_software_engineer_in_test_sdet&amp;urlHash=lotb", "https://careers.pipercompanies.com/details/158598/senior_software_engineer_in_test_sdet&amp;urlHash=lotb")</f>
        <v/>
      </c>
      <c r="G100" t="inlineStr">
        <is>
          <t>Merrimack, NH</t>
        </is>
      </c>
      <c r="H100" t="inlineStr"/>
      <c r="I100" t="inlineStr">
        <is>
          <t>Piper Companies is seeking a Senior Software Engineer in Test (SDET) to support a major technology modernization program for a large enterprise based in Smithfield, RI or Merrimack, NH. In this role, you will build and enhance automated testing frameworks, embed quality practices into CI/CD pipelines, and work closely with engineering teams to deliver stable, scalable, and high‑quality software solutions.
 **This hybrid role requires the candidate to sit onsite 2–3 days per week at either location of Smithfield, RI or Merrimack, NH.**
**Responsibilities for the Senior Software Engineer in Test include:**
* Design, implement, and maintain automated test frameworks and suites for REST APIs, backend services, UI applications, and data validation using SQL/PostgreSQL, while integrating automation into Jenkins‑based CI/CD pipelines.
* Collaborate closely with developers to enhance testability, drive shift‑left testing practices, and contribute to code reviews to ensure high‑quality automation across Agile teams.
* Create comprehensive test plans, strategies, acceptance criteria, and documentation to validate functionality, performance, and quality standards.
* Troubleshoot defects, perform root‑cause analysis, and provide clear remediation guidance to support reliable and scalable software delivery.
**Requirements for the Senior Software Engineer in Test include:**
* 6–10 years of SDET or automation engineering experience with strong programming skills in Java and/or Python, along with proficiency in automated testing for REST APIs, services, and UI frameworks.
* Hands‑on experience with Jenkins, GitHub, Docker, CI/CD pipelines, and strong SQL/PostgreSQL skills, with proven success working in Agile environments.
* Excellent communication and problem‑solving abilities supported by a Bachelor’s degree in Computer Science or a related field.
**Compensation for the Senior Software Engineer in Test:**
* Compensation based on experience
* Full comprehensive benefits package including medical, dental, vision, 401(k), PTO, and sick leave as required by law
 This job opens for applications on 1/23/2026\. Applications will be accepted for at least 30 days from the posting date.
 Keywords: Senior Software Engineer in Test, SDET, automated test frameworks, test automation, REST API testing, backend service testing, UI test automation, Java, Python, Jenkins, GitHub, CI/CD pipelines, Docker, SQL, PostgreSQL, data validation, Agile environments, shift‑left testing, test strategies, test plans, acceptance criteria, test documentation, quality standards, defect troubleshooting, root‑cause analysis, collaboration with developers, code reviews, large‑scale modernization, enterprise technology, Smithfield RI, Merrimack NH, hybrid</t>
        </is>
      </c>
    </row>
    <row r="101">
      <c r="A101" t="inlineStr">
        <is>
          <t>li-4366102067</t>
        </is>
      </c>
      <c r="B101" t="inlineStr">
        <is>
          <t>Embedded Software Engineer - Viasat Government</t>
        </is>
      </c>
      <c r="C101" t="inlineStr">
        <is>
          <t>Viasat</t>
        </is>
      </c>
      <c r="D101" t="inlineStr">
        <is>
          <t>linkedin</t>
        </is>
      </c>
      <c r="E101">
        <f>HYPERLINK("https://www.linkedin.com/jobs/view/4366102067", "https://www.linkedin.com/jobs/view/4366102067")</f>
        <v/>
      </c>
      <c r="F101" t="inlineStr"/>
      <c r="G101" t="inlineStr">
        <is>
          <t>Marlborough, MA</t>
        </is>
      </c>
      <c r="H101" t="inlineStr"/>
      <c r="I101"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an Embedded Software Engineer within Viasat Government \- Secure Network Systems (SNS) experienced in the Rust programming language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 Design and implementation with embedded software in Rust and C/C\+\+
* Linux OS use, for an embedded environment
* TCP/IP and common network configuration
* Agile Scrum development
* Ability to plan, track and report on progress
* CI/CD software development
* Good oral and written communications skills
* Familiarity with bare metal embedded device drivers
* Microprocessors and embedded processors (NIOS, ARM, RISC\-V, etc.)
* Networking protocols (e.g. IPSec, MACsec, TLS, etc.)
* Participating in multi\-disciplinary teams
* This program is to develop, test and certify Next Generation Encryptor (NGE) encryptors to protect government networks.
* This is an onsite role in one of two locations: Carlsbad, CA, or Marlborough, MA.
**What You'll Need**
* Bachelor's Degree or higher in Computer Science, Computer Engineering or related field
* At least 2 years of Rust experience, ideally writing production code for embedded devices.
* Design and implementation experience with embedded software in C/C\+\+
* At least 1 year Linux OS use, ideally for an embedded environment
* Basic understanding of TCP/IP.
* Object\-oriented software development experience
* Ability to plan, track and report on progress
* Good oral and written communications skills
* US citizenship and an active SECRET or TOP SECRET security clearance is required
* Ability to travel up to 10%
**What Will Help You On The Job**
* Agile Scrum development experience
* Familiarity with Linux kernel driver development/modifications
* Familiarity with bare metal embedded device drivers
* Experience with microprocessors and embedded processors (NIOS, ARM, RISC\-V, etc.)
* Experience with RESTConf interface design and implementation
* Experience with Emulation Environments
* Experience with networking protocols (e.g. IPSec, MACsec, TLS, etc.)
* Experience with Python
* Familiarity with standalone embedded applications
* Experience participating in multi\-disciplinary teams
**Salary range**
 $111,500\.00 \- $176,500\.00 / annually. For specific work locations within San Jose, the San Francisco Bay area and New York City metropolitan area, the base pay range for this role is $139,000\.00\- $208,000\.00/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02">
      <c r="A102" t="inlineStr">
        <is>
          <t>li-4365776998</t>
        </is>
      </c>
      <c r="B102" t="inlineStr">
        <is>
          <t>Embedded Software Engineer - Viasat Government</t>
        </is>
      </c>
      <c r="C102" t="inlineStr">
        <is>
          <t>Viasat</t>
        </is>
      </c>
      <c r="D102" t="inlineStr">
        <is>
          <t>linkedin</t>
        </is>
      </c>
      <c r="E102">
        <f>HYPERLINK("https://www.linkedin.com/jobs/view/4365776998", "https://www.linkedin.com/jobs/view/4365776998")</f>
        <v/>
      </c>
      <c r="F102">
        <f>HYPERLINK("https://careers.viasat.com/jobs/5553?lang=en-us&amp;iis=Job+Board&amp;iisn=LinkedIn&amp;source=LinkedIn&amp;urlHash=RIZU", "https://careers.viasat.com/jobs/5553?lang=en-us&amp;iis=Job+Board&amp;iisn=LinkedIn&amp;source=LinkedIn&amp;urlHash=RIZU")</f>
        <v/>
      </c>
      <c r="G102" t="inlineStr">
        <is>
          <t>Carlsbad, CA</t>
        </is>
      </c>
      <c r="H102" t="inlineStr"/>
      <c r="I102"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an Embedded Software Engineer within Viasat Government \- Secure Network Systems (SNS) experienced in the Rust programming language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 Design and implementation with embedded software in Rust and C/C\+\+
* Linux OS use, for an embedded environment
* TCP/IP and common network configuration
* Agile Scrum development
* Ability to plan, track and report on progress
* CI/CD software development
* Good oral and written communications skills
* Familiarity with bare metal embedded device drivers
* Microprocessors and embedded processors (NIOS, ARM, RISC\-V, etc.)
* Networking protocols (e.g. IPSec, MACsec, TLS, etc.)
* Participating in multi\-disciplinary teams
* This program is to develop, test and certify Next Generation Encryptor (NGE) encryptors to protect government networks.
* This is an onsite role in one of two locations: Carlsbad, CA, or Marlborough, MA.
**What You'll Need**
* Bachelor's Degree or higher in Computer Science, Computer Engineering or related field
* At least 2 years of Rust experience, ideally writing production code for embedded devices.
* Design and implementation experience with embedded software in C/C\+\+
* At least 1 year Linux OS use, ideally for an embedded environment
* Basic understanding of TCP/IP.
* Object\-oriented software development experience
* Ability to plan, track and report on progress
* Good oral and written communications skills
* US citizenship and an active SECRET or TOP SECRET security clearance is required
* Ability to travel up to 10%
**What Will Help You On The Job**
* Agile Scrum development experience
* Familiarity with Linux kernel driver development/modifications
* Familiarity with bare metal embedded device drivers
* Experience with microprocessors and embedded processors (NIOS, ARM, RISC\-V, etc.)
* Experience with RESTConf interface design and implementation
* Experience with Emulation Environments
* Experience with networking protocols (e.g. IPSec, MACsec, TLS, etc.)
* Experience with Python
* Familiarity with standalone embedded applications
* Experience participating in multi\-disciplinary teams
**Salary range**
 $111,500\.00 \- $176,500\.00 / annually. For specific work locations within San Jose, the San Francisco Bay area and New York City metropolitan area, the base pay range for this role is $139,000\.00\- $208,000\.00/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03">
      <c r="A103" t="inlineStr">
        <is>
          <t>li-4366102228</t>
        </is>
      </c>
      <c r="B103" t="inlineStr">
        <is>
          <t>Linux Devices Software Engineer</t>
        </is>
      </c>
      <c r="C103" t="inlineStr">
        <is>
          <t>Canonical</t>
        </is>
      </c>
      <c r="D103" t="inlineStr">
        <is>
          <t>linkedin</t>
        </is>
      </c>
      <c r="E103">
        <f>HYPERLINK("https://www.linkedin.com/jobs/view/4366102228", "https://www.linkedin.com/jobs/view/4366102228")</f>
        <v/>
      </c>
      <c r="F103" t="inlineStr"/>
      <c r="G103" t="inlineStr">
        <is>
          <t>Tulsa, OK</t>
        </is>
      </c>
      <c r="H103" t="inlineStr"/>
      <c r="I103" t="inlineStr">
        <is>
          <t>This role is one of our general tracks. Apply here for all engineering teams at Canonical who work on low\-level system technology on autonomous devices across all seniority levels.
 We hire careful and conscientious engineers who appreciate the challenge of memory, performance, battery and connectivity constrained code that has to work every time in an unreliable and unforgiving world, on x86, ARM or RISC\-V silicon.
 Canonical Ubuntu is the leading Linux for software engineers, desktops, cloud and IoT. We bring open source to the world as a high\-performance, safe and secure platform for enterprise computing, software engineering, and connected devices.
 These smart, connected devices have the potential to transform every industry. Classic Ubuntu – desktop or server – is widely used in embedded systems because of its developer focus and enterprise grade security maintenance. We partner with the world's most prominent silicon companies to optimise Ubuntu on their latest and greatest chips, as well as with major OEMs and ODMs (PC, servers and connected device manufacturers) to ensure that Ubuntu works perfectly on their hardware.
 But while classic, 'deb' based Ubuntu is ideal for developers, it has too much variability for appliance or connected device environments, where you want to know \*exactly\* what the state of millions or billions of devices might be. So Canonical builds Ubuntu Core, a fully containerised version of Ubuntu that is mathematically precise and rigorously secure. We are working on additional solutions for even smaller devices.
 We have several teams that focus on open source for embedded environments. We hire outstanding Linux software engineers with a passion for open source, innovation, cutting\-edge hardware and software technologies in general. You will be expected to make significant contributions through high\-quality design and code, and to develop your technical leadership.
 These roles include:
* Ubuntu Core and snapd software development
* Silicon software and optimisation engineers
* Kernel driver and hardware enablement engineers
* Hardware\-centric Linux QA Engineers
* Hardware Certification Engineers
* Robotics engineers
* Industrial IoT software engineers
* Networking software engineers (switching, routing, access and SmartNICs)
 At Canonical you will have the opportunity to engage with the broader open source community. We're looking for individuals who can help build a thriving community, contribute to a broad range of technologies, and contribute to the deployment of Ubuntu and Ubuntu Core across the widest range of devices.
 Location: we have remote roles open in every time zone.
 What your day will look like
 Based on the first round of interviews we identify specific teams where you might be an excellent fit, and conduct second round interviews with those teams. Our engineers:
* Work with the latest Linux kernel and open source technologies
* Deliver Ubuntu for the latest IoT and server\-class hardware platforms
* Integrate and maintain device\-oriented software stacks
* Write high\-quality, well\-designed software
* Collaborate proactively with other globally distributed teams
* Display technical leadership internally and within our external communities
* Help our customers ship their apps and SDKs on Ubuntu
* Build device OS images with Ubuntu Core, Desktop and Server
* Optimise the Ubuntu kernel and libraries for silicon\-specific capabilities
* Debug issues and produce high\-quality code to fix them
* Contribute to technical documentation to make it the best of its kind
* Discuss ideas and collaborate on finding good solutions
* Participate as technical lead on complex customer engagements involving complete system architectures from cloud to edge
* Work usually from home, with global travel 2 to 4 weeks for company events
 What we are looking for in you
* An exceptional academic track record from both high school and university
* Drive and a track record of going above\-and\-beyond expectations
* Undergraduate degree in Computer Science or STEM, or a compelling narrative about your alternative path
* Experience with Linux (Debian or Ubuntu preferred)
* Passion for Linux or embedded systems software (e.g. kernel, graphics, Yocto)
* Fluency in at least one of Golang, C, C\+\+, or Rust
* Professional written and spoken English
* Excellent interpersonal skills, curiosity, flexibility, and accountability
* Passion, thoughtfulness, and self\-motivation
* Excellent communication and presentation skills
* Result\-oriented, with a personal drive to meet commitments
* Ability to travel twice a year, for company events up to two weeks each
**Additional Skills That You Might Also Bring**
* Experience with Debian/Ubuntu or other distro packaging
* Understanding of build systems and toolchains, including for cross\-compilation
* Experience with firmware, uboot, UEFI, ACPI, DSDT, or boot loaders
* Experience with power management on PCI ASPM, SATA ALPM, low power profiles
* Computer architecture knowledge of x86, ARM, RISC\-V
* Experience in board design, bring up, and validation
* Experience with electrical engineering design tools (e.g. schematic capture, layout)
* Familiarity with Ubuntu development model
* Performance engineering and security experience
* Shell or Python scripting skills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104">
      <c r="A104" t="inlineStr">
        <is>
          <t>li-4366102229</t>
        </is>
      </c>
      <c r="B104" t="inlineStr">
        <is>
          <t>Linux Devices Software Engineer</t>
        </is>
      </c>
      <c r="C104" t="inlineStr">
        <is>
          <t>Canonical</t>
        </is>
      </c>
      <c r="D104" t="inlineStr">
        <is>
          <t>linkedin</t>
        </is>
      </c>
      <c r="E104">
        <f>HYPERLINK("https://www.linkedin.com/jobs/view/4366102229", "https://www.linkedin.com/jobs/view/4366102229")</f>
        <v/>
      </c>
      <c r="F104" t="inlineStr"/>
      <c r="G104" t="inlineStr">
        <is>
          <t>Wichita, KS</t>
        </is>
      </c>
      <c r="H104" t="inlineStr"/>
      <c r="I104" t="inlineStr">
        <is>
          <t>This role is one of our general tracks. Apply here for all engineering teams at Canonical who work on low\-level system technology on autonomous devices across all seniority levels.
 We hire careful and conscientious engineers who appreciate the challenge of memory, performance, battery and connectivity constrained code that has to work every time in an unreliable and unforgiving world, on x86, ARM or RISC\-V silicon.
 Canonical Ubuntu is the leading Linux for software engineers, desktops, cloud and IoT. We bring open source to the world as a high\-performance, safe and secure platform for enterprise computing, software engineering, and connected devices.
 These smart, connected devices have the potential to transform every industry. Classic Ubuntu – desktop or server – is widely used in embedded systems because of its developer focus and enterprise grade security maintenance. We partner with the world's most prominent silicon companies to optimise Ubuntu on their latest and greatest chips, as well as with major OEMs and ODMs (PC, servers and connected device manufacturers) to ensure that Ubuntu works perfectly on their hardware.
 But while classic, 'deb' based Ubuntu is ideal for developers, it has too much variability for appliance or connected device environments, where you want to know \*exactly\* what the state of millions or billions of devices might be. So Canonical builds Ubuntu Core, a fully containerised version of Ubuntu that is mathematically precise and rigorously secure. We are working on additional solutions for even smaller devices.
 We have several teams that focus on open source for embedded environments. We hire outstanding Linux software engineers with a passion for open source, innovation, cutting\-edge hardware and software technologies in general. You will be expected to make significant contributions through high\-quality design and code, and to develop your technical leadership.
 These roles include:
* Ubuntu Core and snapd software development
* Silicon software and optimisation engineers
* Kernel driver and hardware enablement engineers
* Hardware\-centric Linux QA Engineers
* Hardware Certification Engineers
* Robotics engineers
* Industrial IoT software engineers
* Networking software engineers (switching, routing, access and SmartNICs)
 At Canonical you will have the opportunity to engage with the broader open source community. We're looking for individuals who can help build a thriving community, contribute to a broad range of technologies, and contribute to the deployment of Ubuntu and Ubuntu Core across the widest range of devices.
 Location: we have remote roles open in every time zone.
 What your day will look like
 Based on the first round of interviews we identify specific teams where you might be an excellent fit, and conduct second round interviews with those teams. Our engineers:
* Work with the latest Linux kernel and open source technologies
* Deliver Ubuntu for the latest IoT and server\-class hardware platforms
* Integrate and maintain device\-oriented software stacks
* Write high\-quality, well\-designed software
* Collaborate proactively with other globally distributed teams
* Display technical leadership internally and within our external communities
* Help our customers ship their apps and SDKs on Ubuntu
* Build device OS images with Ubuntu Core, Desktop and Server
* Optimise the Ubuntu kernel and libraries for silicon\-specific capabilities
* Debug issues and produce high\-quality code to fix them
* Contribute to technical documentation to make it the best of its kind
* Discuss ideas and collaborate on finding good solutions
* Participate as technical lead on complex customer engagements involving complete system architectures from cloud to edge
* Work usually from home, with global travel 2 to 4 weeks for company events
 What we are looking for in you
* An exceptional academic track record from both high school and university
* Drive and a track record of going above\-and\-beyond expectations
* Undergraduate degree in Computer Science or STEM, or a compelling narrative about your alternative path
* Experience with Linux (Debian or Ubuntu preferred)
* Passion for Linux or embedded systems software (e.g. kernel, graphics, Yocto)
* Fluency in at least one of Golang, C, C\+\+, or Rust
* Professional written and spoken English
* Excellent interpersonal skills, curiosity, flexibility, and accountability
* Passion, thoughtfulness, and self\-motivation
* Excellent communication and presentation skills
* Result\-oriented, with a personal drive to meet commitments
* Ability to travel twice a year, for company events up to two weeks each
**Additional Skills That You Might Also Bring**
* Experience with Debian/Ubuntu or other distro packaging
* Understanding of build systems and toolchains, including for cross\-compilation
* Experience with firmware, uboot, UEFI, ACPI, DSDT, or boot loaders
* Experience with power management on PCI ASPM, SATA ALPM, low power profiles
* Computer architecture knowledge of x86, ARM, RISC\-V
* Experience in board design, bring up, and validation
* Experience with electrical engineering design tools (e.g. schematic capture, layout)
* Familiarity with Ubuntu development model
* Performance engineering and security experience
* Shell or Python scripting skills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105">
      <c r="A105" t="inlineStr">
        <is>
          <t>li-4321423514</t>
        </is>
      </c>
      <c r="B105" t="inlineStr">
        <is>
          <t>Staff Software Engineer (Backend) - Billing Platform *HYBRID*</t>
        </is>
      </c>
      <c r="C105" t="inlineStr">
        <is>
          <t>GEICO</t>
        </is>
      </c>
      <c r="D105" t="inlineStr">
        <is>
          <t>linkedin</t>
        </is>
      </c>
      <c r="E105">
        <f>HYPERLINK("https://www.linkedin.com/jobs/view/4321423514", "https://www.linkedin.com/jobs/view/4321423514")</f>
        <v/>
      </c>
      <c r="F105" t="inlineStr"/>
      <c r="G105" t="inlineStr">
        <is>
          <t>Baltimore, MD</t>
        </is>
      </c>
      <c r="H105" t="inlineStr"/>
      <c r="I10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lead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 This is a HYBRID role working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6">
      <c r="A106" t="inlineStr">
        <is>
          <t>li-4321409245</t>
        </is>
      </c>
      <c r="B106" t="inlineStr">
        <is>
          <t>Staff Software Engineer (Backend) - Billing Platform *HYBRID*</t>
        </is>
      </c>
      <c r="C106" t="inlineStr">
        <is>
          <t>GEICO</t>
        </is>
      </c>
      <c r="D106" t="inlineStr">
        <is>
          <t>linkedin</t>
        </is>
      </c>
      <c r="E106">
        <f>HYPERLINK("https://www.linkedin.com/jobs/view/4321409245", "https://www.linkedin.com/jobs/view/4321409245")</f>
        <v/>
      </c>
      <c r="F106">
        <f>HYPERLINK("https://click.appcast.io/t/f9qIfPWZQ6vkv9vPOTcS5ZFANtAn-QQ5kjaQYT2Im3Q=?source=LinkedIn&amp;urlHash=IP4u", "https://click.appcast.io/t/f9qIfPWZQ6vkv9vPOTcS5ZFANtAn-QQ5kjaQYT2Im3Q=?source=LinkedIn&amp;urlHash=IP4u")</f>
        <v/>
      </c>
      <c r="G106" t="inlineStr">
        <is>
          <t>Falls Church, VA</t>
        </is>
      </c>
      <c r="H106" t="inlineStr"/>
      <c r="I10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lead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 This is a HYBRID role working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7">
      <c r="A107" t="inlineStr">
        <is>
          <t>li-4365795320</t>
        </is>
      </c>
      <c r="B107" t="inlineStr">
        <is>
          <t>Linux Devices Software Engineer</t>
        </is>
      </c>
      <c r="C107" t="inlineStr">
        <is>
          <t>Canonical</t>
        </is>
      </c>
      <c r="D107" t="inlineStr">
        <is>
          <t>linkedin</t>
        </is>
      </c>
      <c r="E107">
        <f>HYPERLINK("https://www.linkedin.com/jobs/view/4365795320", "https://www.linkedin.com/jobs/view/4365795320")</f>
        <v/>
      </c>
      <c r="F107" t="inlineStr"/>
      <c r="G107" t="inlineStr">
        <is>
          <t>Omaha, NE</t>
        </is>
      </c>
      <c r="H107" t="inlineStr"/>
      <c r="I107" t="inlineStr">
        <is>
          <t>This role is one of our general tracks. Apply here for all engineering teams at Canonical who work on low\-level system technology on autonomous devices across all seniority levels.
 We hire careful and conscientious engineers who appreciate the challenge of memory, performance, battery and connectivity constrained code that has to work every time in an unreliable and unforgiving world, on x86, ARM or RISC\-V silicon.
 Canonical Ubuntu is the leading Linux for software engineers, desktops, cloud and IoT. We bring open source to the world as a high\-performance, safe and secure platform for enterprise computing, software engineering, and connected devices.
 These smart, connected devices have the potential to transform every industry. Classic Ubuntu – desktop or server – is widely used in embedded systems because of its developer focus and enterprise grade security maintenance. We partner with the world's most prominent silicon companies to optimise Ubuntu on their latest and greatest chips, as well as with major OEMs and ODMs (PC, servers and connected device manufacturers) to ensure that Ubuntu works perfectly on their hardware.
 But while classic, 'deb' based Ubuntu is ideal for developers, it has too much variability for appliance or connected device environments, where you want to know \*exactly\* what the state of millions or billions of devices might be. So Canonical builds Ubuntu Core, a fully containerised version of Ubuntu that is mathematically precise and rigorously secure. We are working on additional solutions for even smaller devices.
 We have several teams that focus on open source for embedded environments. We hire outstanding Linux software engineers with a passion for open source, innovation, cutting\-edge hardware and software technologies in general. You will be expected to make significant contributions through high\-quality design and code, and to develop your technical leadership.
 These roles include:
* Ubuntu Core and snapd software development
* Silicon software and optimisation engineers
* Kernel driver and hardware enablement engineers
* Hardware\-centric Linux QA Engineers
* Hardware Certification Engineers
* Robotics engineers
* Industrial IoT software engineers
* Networking software engineers (switching, routing, access and SmartNICs)
 At Canonical you will have the opportunity to engage with the broader open source community. We're looking for individuals who can help build a thriving community, contribute to a broad range of technologies, and contribute to the deployment of Ubuntu and Ubuntu Core across the widest range of devices.
 Location: we have remote roles open in every time zone.
 What your day will look like
 Based on the first round of interviews we identify specific teams where you might be an excellent fit, and conduct second round interviews with those teams. Our engineers:
* Work with the latest Linux kernel and open source technologies
* Deliver Ubuntu for the latest IoT and server\-class hardware platforms
* Integrate and maintain device\-oriented software stacks
* Write high\-quality, well\-designed software
* Collaborate proactively with other globally distributed teams
* Display technical leadership internally and within our external communities
* Help our customers ship their apps and SDKs on Ubuntu
* Build device OS images with Ubuntu Core, Desktop and Server
* Optimise the Ubuntu kernel and libraries for silicon\-specific capabilities
* Debug issues and produce high\-quality code to fix them
* Contribute to technical documentation to make it the best of its kind
* Discuss ideas and collaborate on finding good solutions
* Participate as technical lead on complex customer engagements involving complete system architectures from cloud to edge
* Work usually from home, with global travel 2 to 4 weeks for company events
 What we are looking for in you
* An exceptional academic track record from both high school and university
* Drive and a track record of going above\-and\-beyond expectations
* Undergraduate degree in Computer Science or STEM, or a compelling narrative about your alternative path
* Experience with Linux (Debian or Ubuntu preferred)
* Passion for Linux or embedded systems software (e.g. kernel, graphics, Yocto)
* Fluency in at least one of Golang, C, C\+\+, or Rust
* Professional written and spoken English
* Excellent interpersonal skills, curiosity, flexibility, and accountability
* Passion, thoughtfulness, and self\-motivation
* Excellent communication and presentation skills
* Result\-oriented, with a personal drive to meet commitments
* Ability to travel twice a year, for company events up to two weeks each
**Additional Skills That You Might Also Bring**
* Experience with Debian/Ubuntu or other distro packaging
* Understanding of build systems and toolchains, including for cross\-compilation
* Experience with firmware, uboot, UEFI, ACPI, DSDT, or boot loaders
* Experience with power management on PCI ASPM, SATA ALPM, low power profiles
* Computer architecture knowledge of x86, ARM, RISC\-V
* Experience in board design, bring up, and validation
* Experience with electrical engineering design tools (e.g. schematic capture, layout)
* Familiarity with Ubuntu development model
* Performance engineering and security experience
* Shell or Python scripting skills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108">
      <c r="A108" t="inlineStr">
        <is>
          <t>li-4321472868</t>
        </is>
      </c>
      <c r="B108" t="inlineStr">
        <is>
          <t>Staff Software Engineer - Financial Data Integrity (Hybrid)</t>
        </is>
      </c>
      <c r="C108" t="inlineStr">
        <is>
          <t>GEICO</t>
        </is>
      </c>
      <c r="D108" t="inlineStr">
        <is>
          <t>linkedin</t>
        </is>
      </c>
      <c r="E108">
        <f>HYPERLINK("https://www.linkedin.com/jobs/view/4321472868", "https://www.linkedin.com/jobs/view/4321472868")</f>
        <v/>
      </c>
      <c r="F108" t="inlineStr"/>
      <c r="G108" t="inlineStr">
        <is>
          <t>Dallas, TX</t>
        </is>
      </c>
      <c r="H108" t="inlineStr"/>
      <c r="I10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Engineer** 
 within our
 **Financial Data Integrity Substantiation Platform** 
 , you will play an important role in developing and optimizing our critical data reconciliation systems. Your technical expertise will contribute to ensuring the accuracy, reliability, and scalability of our
 **financial data infrastructure** 
 .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8\+ years of experience in Software Engineering
* Experience in one or more relevant programming languages, such as C\#, Java and/or Python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\*This is a Hybrid position working out of any of the below offices\*
 Chicago, IL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9">
      <c r="A109" t="inlineStr">
        <is>
          <t>li-4321443266</t>
        </is>
      </c>
      <c r="B109" t="inlineStr">
        <is>
          <t>Software Engineer</t>
        </is>
      </c>
      <c r="C109" t="inlineStr">
        <is>
          <t>Jobs via Dice</t>
        </is>
      </c>
      <c r="D109" t="inlineStr">
        <is>
          <t>linkedin</t>
        </is>
      </c>
      <c r="E109">
        <f>HYPERLINK("https://www.linkedin.com/jobs/view/4321443266", "https://www.linkedin.com/jobs/view/4321443266")</f>
        <v/>
      </c>
      <c r="F109">
        <f>HYPERLINK("https://click.appcast.io/t/L_U-9lCxOm3TDjZ20I-1lSZAwt3WfTean4r_uZWLRJ8=&amp;urlHash=mnC7", "https://click.appcast.io/t/L_U-9lCxOm3TDjZ20I-1lSZAwt3WfTean4r_uZWLRJ8=&amp;urlHash=mnC7")</f>
        <v/>
      </c>
      <c r="G109" t="inlineStr">
        <is>
          <t>Austin, TX</t>
        </is>
      </c>
      <c r="H109" t="inlineStr"/>
      <c r="I109" t="inlineStr">
        <is>
          <t>**Senior Software Engineer, Q\-interactive**
**Position Type:**
 Full\-Time, Permanent
**Location:**
 Pearson \- Austin, TX (Hybrid)
**Role Summary:**
 Q\-interactive is a 1:1 iPad\-based system used by clinicians and educators to administer, score, and report over 90 assessments. Your work will directly impact the reliability, scalability, and user experience of a product that supports essential revenue streams and serves thousands of professionals globally.
 As a Senior Software Engineer on the Q\-interactive team, you will be a recognized technical expert responsible for independently designing, implementing, and optimizing complex modules that power one of Pearson's flagship digital assessment platforms. You will drive the technical direction of high\-stakes projects, participate in architecture reviews, and collaborate with product owners to align engineering solutions with business strategy. You'll also mentor peers, contribute to performance tuning, and proactively mitigate technical risks.
**Key Responsibilities:**
* Architect and implement scalable, high\-performance software components for Q\-interactive's mobile and web platforms.
* Write high quality code and test cases to ensure robustness, reliability, extensibility and performance of systems and services.
* Design, develop, and maintain robust, scalable web applications using Groovy, Grails, and related technologies (e.g., Spring, Hibernate).
* Develop and maintain microservices using Spring, AWS Lambda, PostgreSQL, and MySQL.
* Build responsive UI components using Angular, Ionic, Typescript, Swift, and Objective\-C for hybrid and native mobile applications.
* Participate in technical design sessions, code reviews, and solution architecture discussions.
* Ensure accessibility compliance across Q\-interactive offerings.
* Collaborate with UX, QA, and product teams to define technical requirements and deliver high\-quality features.
* Conduct thorough testing of applications, including unit, integration, and functional testing, and effectively troubleshoot and debug issues.
* Provide ongoing maintenance, support, and enhancements for existing applications.
* Ensure reliability, performance, and maintainability of systems through testing and continuous integration.
* Drive adoption of secure development processes, coding standards, and engineering best practices.
* Mentor junior engineers, fostering a culture of learning and technical excellence.
**Required Skills and Qualifications:**
* Proficiency in Java and related technologies (Spring, Hibernate).
* Experience in web application development using Groovy and the Grails framework.
* Strong understanding of web application development principles and MVC architecture.
* Experience with relational databases and SQL.
* Extensive experience with front\-end technologies (HTML, CSS, JavaScript/Typescript, Angular).
* Understanding of RESTful web services and API integration.
* Experience in software development methodologies (Agile, Scrum).
* Problem\-solving skills and the ability to work independently and as part of a team.
* Excellent communication and interpersonal skills.
* Must be able to work onsite at the Austin office at least twice per week.
**Education and Experience:**
* Bachelor's degree in Computer Science, Engineering or equivalent.
* 10\+ years of relevant experience.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**Job:** 
 Engineering
**Job Family:** 
 TECHNOLOGY
**Organization:** 
 Assessment \&amp; Qualifications
**Schedule:** 
 FULL\_TIME
**Workplace Type:** 
 Hybrid
**Req ID:** 
 22296</t>
        </is>
      </c>
    </row>
    <row r="110">
      <c r="A110" t="inlineStr">
        <is>
          <t>li-4321513054</t>
        </is>
      </c>
      <c r="B110" t="inlineStr">
        <is>
          <t>Staff Software Engineer - Governance</t>
        </is>
      </c>
      <c r="C110" t="inlineStr">
        <is>
          <t>GEICO</t>
        </is>
      </c>
      <c r="D110" t="inlineStr">
        <is>
          <t>linkedin</t>
        </is>
      </c>
      <c r="E110">
        <f>HYPERLINK("https://www.linkedin.com/jobs/view/4321513054", "https://www.linkedin.com/jobs/view/4321513054")</f>
        <v/>
      </c>
      <c r="F110" t="inlineStr"/>
      <c r="G110" t="inlineStr">
        <is>
          <t>Seattle, WA</t>
        </is>
      </c>
      <c r="H110" t="inlineStr"/>
      <c r="I11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Staff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Staff Engineer works with our Distinguished Engineer and Sr. Engineers to innovate and build new systems, improve, and enhance existing systems and identify new opportunities to apply your knowledge to solve critical problems. You will lead Strategy and Execution of a technical roadmap that will increase the velocity of delivering products and unlock new engineering capabilities.
**Position Responsibilities**
 As a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the Platform Engineering domain
* Accountable for the quality, usability, and performance of the solutions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demonstrate adaptability and sponsor continuous learning
* Willing to take on\-call and operation support
**Qualifications**
* Deep hands\-on experience in complex system design and data pipeline and architectures, scale and performance, tuning, with good knowledge on Docker and Kubernetes
* Experience with open\-source software is a plus
* Experience with governance and policy engines such as Cloud Custodian, Open Policy Agent (OPA).
* Advance knowledge of at least one OOP languages such as Go or Python
* Understand open\-source databases like MySQL, PostgreSQL, etc., familiar with No\-SQL databases like Cassandra, MongoDB, Elasticsearch, etc.
* Strong understanding of web service integration (REST/SOAP) and enterprise middleware integration tiers
* Excellent communication skills – needs to be able to lead projects from the front and interact with clients and sponsors on a regular basis
* Experience partnering with engineering teams and transferring research to production
* Experience with continuous delivery (CI/CD) and Infrastructure as Code
* Willing to work on both fast development and operation environment
* Knowledge of developer tooling across the software development life cycle (task management, source code, building, deployment, test automation and related tools, operations, real\-time communication)
* Knowledge in big data, streaming data and ETL pipeline architecture
* Experience solving analytical problems with quantitative approaches
* Knowledge in ML and AI technologies
* Knowledge on Open\-source monitoring software like Grafana and Prometheus
**Experience**
* 6\+ years of professional experience in software development, platform architecture, administration, governance, infrastructure management, installation, and maintenance of the hardware, software, and network systems
* 4\+ years of experience in open\-source frameworks
* 3\+ years of experience with architecture and design
* 3\+ years of experience with AWS, GCP, Azure, or hybrid data center
**Education**
* Bachelor's degree in computer science, Information Systems, or equivalent education or work experience
**Annual Salary**
 $100,000\.00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1">
      <c r="A111" t="inlineStr">
        <is>
          <t>li-4321472962</t>
        </is>
      </c>
      <c r="B111" t="inlineStr">
        <is>
          <t>Software Developer 3</t>
        </is>
      </c>
      <c r="C111" t="inlineStr">
        <is>
          <t>Jobs via Dice</t>
        </is>
      </c>
      <c r="D111" t="inlineStr">
        <is>
          <t>linkedin</t>
        </is>
      </c>
      <c r="E111">
        <f>HYPERLINK("https://www.linkedin.com/jobs/view/4321472962", "https://www.linkedin.com/jobs/view/4321472962")</f>
        <v/>
      </c>
      <c r="F111" t="inlineStr"/>
      <c r="G111" t="inlineStr">
        <is>
          <t>Santa Clara, CA</t>
        </is>
      </c>
      <c r="H111" t="inlineStr"/>
      <c r="I111" t="inlineStr">
        <is>
          <t>**Overview**
**Job Description**
 Oracle Cloud Infrastructure (OCI) is at the forefront of cloud innovation, rapidly expanding its platform and multiplying capacity year over year. This momentum is a driving force behind Oracle's global growth and transformation.
 The Hardware Provisioning organization within OCI is strategically re\-architecting our provisioning layer to support exponential scale and deliver advanced capabilities for OCI GPU Servers.
 We are seeking a talented Principal Software Engineer with deep experience in GPU and Networking technologies to help build the infrastructure powering tomorrow's cloud. If you are passionate about large\-scale cloud operations and possess hands\-on expertise provisioning, managing, and monitoring GPUs from industry leaders such as NVIDIA and AMD, we want to hear from you!
**Join the Team**
 The Hardware Provisioning organization delivers the System Software stack that manages and provisions the Server Infrastructure in OCI.
 When a customer relinquishes a server in Oracle Cloud, that server must be securely re\-provisioned with trusted firmware in all hardware components \- GPUs, Network, Storage, and BMC. Further, our tools are also used by our factories when manufacturing servers to ensure they are provisioned with trusted firmware.
 As a Senior Software Engineer, you will be a core member of a dynamic team that designs and delivers the system software stack underpinning OCI's cutting\-edge server infrastructure. You'll develop secure provisioning and management solutions for OCI GPU\-accelerated servers, ensuring robust performance, reliability, and security at every step from manufacturing to deployment and operations.
 You will work in all the phases of software life cycle: developing, testing, releasing, and supporting cloud management software that sets industry standards. Our environment spans everything from user applications and APIs to low\-level hardware interfaces, and you'll collaborate with talented experts in the industry. Your role will also include DevOps model to deliver solutions, problem\-solving with internal and external partners, including hardware vendors and enterprise customers.
 Our product development environment includes C/C\+\+, Python, Linux, GPU and Networking programming.
 The successful candidate must possess excellent communication skills and will be expected to use these skills to communicate with a geographically diverse team across many technology consumers.
**Responsibilities**
**Responsibilities**
* Design and implement new Hardware Provisioning products and features that are the foundation for OCI core services with a special emphasis on GPU and Networking products and protocols
* Analyze the architecture, design and implementation of existing products with a focus on improving scalability, performance, extensibility and security
* Interface with Oracle's customers to understand their needs and design and deliver novel solutions to address these needs
* Debug and fix issues that are found in the OCI fleet
* Work closely with our GPU and Network vendors to drive new requirements to meet provisioning and security goals
**Preferred Qualifications**
* BA/BS or higher degree in Computer Science or Equivalent
* 5 or more years of professional experience designing, implementing, testing, releasing, and maintaining software applications and systems in C/C\+\+ and Python
* Experience with entire product life cycle: Implement, Support.
* Experience with GPU Architecture, GPU baseboards, GPU firmware management, GPU Networking and GPU monitoring.
* Experience with Front\-End and Back\-End Networking products/protocols (RDMA, IB and RoCE) and programming.
* Experience with IO device sub system and PCIe System Architecture.
* Experience with DMTF \- PLDM/SPDM standards.
* Operating System (LINUX and/or UNIX)
* Experience with PCIe System Architecture, low level System Programming, and/or Firmware development.
* Familiarity with BMC(Baseboard Management Controllers), Smart NICs and DPUs is a plus.
 Other desired skills: GPU, System Security, Scripts, XML, JSON, and REST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2">
      <c r="A112" t="inlineStr">
        <is>
          <t>li-4321329477</t>
        </is>
      </c>
      <c r="B112" t="inlineStr">
        <is>
          <t>Software Engineer II, Minecraft</t>
        </is>
      </c>
      <c r="C112" t="inlineStr">
        <is>
          <t>Jobs via Dice</t>
        </is>
      </c>
      <c r="D112" t="inlineStr">
        <is>
          <t>linkedin</t>
        </is>
      </c>
      <c r="E112">
        <f>HYPERLINK("https://www.linkedin.com/jobs/view/4321329477", "https://www.linkedin.com/jobs/view/4321329477")</f>
        <v/>
      </c>
      <c r="F112" t="inlineStr"/>
      <c r="G112" t="inlineStr">
        <is>
          <t>Redmond, WA</t>
        </is>
      </c>
      <c r="H112" t="inlineStr"/>
      <c r="I112"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The Minecraft Marketplace Player Facing Services team powers the service behind Minecraft's Marketplace, one of the main revenue drivers for the entire game. These services support hundreds of millions of Minecraft players helping them find content they will enjoy playing. We are constantly looking for ways to personalize the marketplace, provide recommendations to players and provide a fun experience within the marketplace. The C\# services run on K8 clusters with Linux containers, utilizing many Azure technologies. The Software Engineer II's, role will be to collaborate with peers across various disciplines (Dev, Design, Production, Quality) to build quality products and services that delight customers and add strategic value to Minecraft. Identifying technological opportunities for improvements and working with the team to implement these changes are a key part of the role. Our team is customer obsessed and passionate about building highly scalable solutions which allow our players to connect with and play content they love in Minecraft. In the end, it's the people of Mojang Studios that make this place truly special. When you join, you'll find yourself in the company of incredibly bright, warm, and creative individuals \- all united and working toward a single goal. Come help us reach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appropriate stakeholders to determine the user requirements for a feature. \- Implement features with efficient code that meets existing coding standards and uses established patterns. \- Break work down into smaller tasks and provide high\-confidence time estimates. \- Effectively communicating, both within the team and across the organization. \- Acts as a Designated Responsible Individual (DRI) and guides other engineers by developing and following the playbook, working on call to monitor system/product/service for degradation, downtime, or interruptions, and initiates actions to restore the system/product/service when appropriate. \- Embody our Culture \&amp; Values
**Qualifications**
 Required Qualifications: \- Bachelor's Degree in Computer Science or related technical field AND 2\+ years technical engineering experience with coding in languages including, but not limited to C\# or JAVA \- OR equivalent experience. \- 2\+ years experience developing and coordinating features using Microsoft Azure compute, storage, cache, virtual machines (VM's), containers, subnetting, content delivery networks (CDN's) or utilizing a comparable cloud\-based web service provider \- 2\+ years experience building RESTful application programming interfaces (API's), utilizing design patterns to ensure code is robust, offloads processing when appropriate and that are designed to scale. Preferred Qualifications: \- Understanding test\- and performance\-driven methodology to build services that ensure our services are secure, robust and handle extremely high scale. \- Experience in writing code in C\# (preferred) and/or other related languages.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Microsoft will accept applications for the role until October 14th, 2025\.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\#mojangjobs \#gamingjobs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3">
      <c r="A113" t="inlineStr">
        <is>
          <t>li-4321329479</t>
        </is>
      </c>
      <c r="B113" t="inlineStr">
        <is>
          <t>Senior Back-End Software Engineer</t>
        </is>
      </c>
      <c r="C113" t="inlineStr">
        <is>
          <t>Jobs via Dice</t>
        </is>
      </c>
      <c r="D113" t="inlineStr">
        <is>
          <t>linkedin</t>
        </is>
      </c>
      <c r="E113">
        <f>HYPERLINK("https://www.linkedin.com/jobs/view/4321329479", "https://www.linkedin.com/jobs/view/4321329479")</f>
        <v/>
      </c>
      <c r="F113">
        <f>HYPERLINK("https://click.appcast.io/t/1bqK_F5ODuJnGCgjxyLAC6c5d1lWOti_tAzSqJaHlsA=&amp;urlHash=hdHF", "https://click.appcast.io/t/1bqK_F5ODuJnGCgjxyLAC6c5d1lWOti_tAzSqJaHlsA=&amp;urlHash=hdHF")</f>
        <v/>
      </c>
      <c r="G113" t="inlineStr">
        <is>
          <t>Redmond, WA</t>
        </is>
      </c>
      <c r="H113" t="inlineStr"/>
      <c r="I11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team in security org is building a software as a service (SaaS) to enable organizations of all sizes to discover, manage and govern their data on\-premises and multi\-cloud. It is a fully managed, globally available, serverless platform for building security, governance, compliance, and privacy applications quickly, cost\-effectively, and at unlimited scale. The platform provides a more holistic understanding of the hybrid data estate, which is always kept up to date with automated data discovery and sensitive data classification. In addition to empowering knowledge workers, this understanding, along with insights from sensitivity, business context, and relationships between data assets is also being used by teams working under the Chief Data Officers (CDO), the Chief Information and Security Officers (CIO and CISO) and the Chief Risk and Compliance Officers (CRO and CCO) to govern, protect, and manage data more effectively. We are looking for a Software Engineer to build next generation security data platform. Join the transformative journey, where we are revolutionizing security, governance, and compliance solutions across Microsoft and other cloud environments.
 As an engineer on our Cloud Ecosystem Security Team, you will develop of core services that form the foundation of the platform. This platform empowers applications focused on security, governance, and compliance, providing unified experience for managing data across multiple clouds.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Reviews product code and test code to ensure it meets team standards, contains the correct test coverage, and is appropriate for the product or solution area.
* Uses debugging tools, tests, logs, telemetry, and other methods to proactively verify assumptions while developing code before issues occur for products in production.
* Conducts incident retrospectives to identify root causes of problems, implements repair actions, and identifies mechanisms to prevent incident recurrence
* Independently applies least\-access principles, uses logging, telemetry, and other appropriate mechanisms to investigate issues while retaining privacy and security, and drives those practices across the team.
* Independently creates a clear test strategy that ensures solution quality, prevents regression from being introduced into existing code.
* Actively identifies other teams and technologies to leverage, how they interact, and where their own system or team can support others. Understands upstream and downstream interactions between systems and ensures security, compliance, performance, and reliability can be achieved across the entire stack.
* Collaborates with other teams to reach common goals where dependencies and validation concerns overlap.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 This position will be required to pass the Microsoft background and Microsoft Cloud background check upon hire/transfer and every two years thereafter.
**Additional or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2\+ years of experience with distributed data processing frameworks (e.g., Apache Spark, Kafka, Flink, or similar).
* 2\+ years of experience designing, building, and operating scalable, highly available cloud services or distributed systems on platforms such as Azure, AWS, Google Cloud Platform, or comparable cloud environments, with production ownership and CI/CD pipeline integration.
* 2\+ years of experience applying distributed systems concepts such as concurrency, conflict resolution, and consensus algorithms to build resilient and maintainable back\-end architectures.
* 1\+ years of experience designing and building solutions using microservices architecture.
* 1\+ years of experience designing, developing, or maintaining secure software systems, with applied knowledge of authentication, data protection, access control, and secure coding practices
* 1\+ years of experience designing and building scalable data pipelines and analytics infrastructure using orchestration tools such as Apache Airflow, Azure Data Factory, or equivalent, with an emphasis on data quality, automation, pipeline reliability, and framework development
 \#MSFT \#Security \#SentinelPlatform \#SentinelPlatform \#SentinelPlatform \#MSCareerEvents25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4">
      <c r="A114" t="inlineStr">
        <is>
          <t>li-4321413172</t>
        </is>
      </c>
      <c r="B114" t="inlineStr">
        <is>
          <t>Senior Software Engineer</t>
        </is>
      </c>
      <c r="C114" t="inlineStr">
        <is>
          <t>Jobs via Dice</t>
        </is>
      </c>
      <c r="D114" t="inlineStr">
        <is>
          <t>linkedin</t>
        </is>
      </c>
      <c r="E114">
        <f>HYPERLINK("https://www.linkedin.com/jobs/view/4321413172", "https://www.linkedin.com/jobs/view/4321413172")</f>
        <v/>
      </c>
      <c r="F114">
        <f>HYPERLINK("https://click.appcast.io/t/dSvyMOmwsoxDeDOfb6elycT-Hoy_Cf4uxj43P6AHpGE=&amp;urlHash=iqNu", "https://click.appcast.io/t/dSvyMOmwsoxDeDOfb6elycT-Hoy_Cf4uxj43P6AHpGE=&amp;urlHash=iqNu")</f>
        <v/>
      </c>
      <c r="G114" t="inlineStr">
        <is>
          <t>Redmond, WA</t>
        </is>
      </c>
      <c r="H114" t="inlineStr"/>
      <c r="I114" t="inlineStr">
        <is>
          <t>**Overview**
**Windows Cloud Experiences (WCX)** 
 is developing a best\-in\-class virtual desktop infrastructure (VDI) solution to enable millions of customers to work with physical and virtual PCs. WCX is hiring a Senior Software Engineer for the Windows 365 and Azure Virtual Desktop (AVD) organization, which is recognized as a leader in the Gartner Magic Quadrant for Desktop as a Service (DaaS) for last 3 years. With the momentum from customers transitioning to cloud\-based solutions, Windows 365 and AVD have become a billion\-dollar business and continue to experience rapid growth. At its core, W365 and AVD provide customers with a modern, elastic, cloud\-based Windows experience that feels like local. We are looking for a
 **Senior Software Engineer** 
 to join the team that builds key technologies for low\-latency streaming. We are innovating and reimagining the streaming technology stack that powers our products, pushing beyond matching local experience, bringing the power of cloud computing to endpoints. You will be able to influence the direction of this unique, exciting project.
 As a
 **Senior Software Engineer** 
 , you will collaborate with partner teams to implement low latency streaming protocol features, optimize for performance, and contribute to the development of security features within the stack. Come join us on this journey if you are looking to solve problems at scale across multiple teams with high impact outcome on the product and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across teams to determine requirements for a set of features.
* Identifies dependencies and drives consensus across stakeholders and subject matter experts through well documented design.
* Creates, implements, optimizes, debugs, refactors, and reuses code to develop streaming protocol features.
* Designs and implements tools and techniques to analyze and improve the performance of cloud streaming.
* Holds themselves and others accountable to a high bar for security and authentication aspects of the streaming protocol.
* Contributes to efforts to break down larger work items into smaller work items and provides estimation.
* Acts as a Designated Responsible Individual (DRI) working on\-call to monitor product feature for degradation, downtime, or interruptions and drives best practices to improve the reliability, observability, and performance of the product.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 3\+ years industry experience with C\+\+ development and debugging skills.
* Proficiency in debugging complex multithreaded scenarios.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with low\-latency, high\-throughput video streaming or equivalent performance sensitive scenarios.
* Experience in Windows OS development, including system integration, security models, and performance optimization for applications.
* Familiar with modern C\+\+ concepts and Standard Template Library (STL).
* Knowledge of Azure services, identity and authentication (AAD).
 \#WCX \#GTA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5">
      <c r="A115" t="inlineStr">
        <is>
          <t>li-4365802626</t>
        </is>
      </c>
      <c r="B115" t="inlineStr">
        <is>
          <t>EOTS Software Engineer / Embedded / C++ - Orlando, FL</t>
        </is>
      </c>
      <c r="C115" t="inlineStr">
        <is>
          <t>Jobs via Dice</t>
        </is>
      </c>
      <c r="D115" t="inlineStr">
        <is>
          <t>linkedin</t>
        </is>
      </c>
      <c r="E115">
        <f>HYPERLINK("https://www.linkedin.com/jobs/view/4365802626", "https://www.linkedin.com/jobs/view/4365802626")</f>
        <v/>
      </c>
      <c r="F115">
        <f>HYPERLINK("https://click.appcast.io/t/1CQ1gXiPMxVCD-dvx0rrHbtn4eLx9TFEPvQRBZWFjAk=&amp;urlHash=-2K-", "https://click.appcast.io/t/1CQ1gXiPMxVCD-dvx0rrHbtn4eLx9TFEPvQRBZWFjAk=&amp;urlHash=-2K-")</f>
        <v/>
      </c>
      <c r="G115" t="inlineStr">
        <is>
          <t>Orlando, FL</t>
        </is>
      </c>
      <c r="H115" t="inlineStr"/>
      <c r="I115" t="inlineStr">
        <is>
          <t>**Job Description**
 You will be a Software Engineer on our EOTS team at Lockheed Martin. The Electro\-Optical Targeting System (EOTS) is the world's first sensor that combines forward\-looking infrared (FLIR) and infrared search and track (IRST) functionality.
 Lockheed Martin is a global security and aerospace company that employs approximately 114,000 people worldwide and is principally engaged in the research, design, development, manufacture, integration and sustainment of advanced technology systems, products and services. Lockheed Martin Missiles and Fire Control (MFC) is one of four Lockheed Martin business areas. MFC is a recognized designer, developer and manufacturer of precision engagement aerospace and defense systems for the U.S. and allied militaries. MFC develops, manufactures and supports advanced products for military customers that include the U.S. Army, Navy, Air Force, Marine Corps, NASA and dozens of foreign allies. MFC also offers a wide range of products and services for the global civil nuclear power industry and the military's green power initiatives.
**What You Will Be Doing**
 As a Software Engineer, your responsibilities will include but are not limited to:
* Develop and maintain embedded software applications and/or desktop applications.
* Tasks will involve requirement, design, code, test, and integrate software for an embedded multi\-core system as well as desktop computer applications for emulation of sensors and countermeasures.
* The successful candidate will have training in C/C\+\+, prior experience in GUI development, experience with Linux OS.
**Why Join Us**
 As a Software Engineer at MFC, you will join one of the largest networks of software professionals, implementing cutting edge technologies on both existing and new development platforms. You will be helping us solve the world's most difficult challenges supporting such wide\-ranging domain areas such as aircraft flight command and control, air traffic control, health care, and homeland defense. We are a matrix engineering and technology organization so you will touch multiple programs over your career!
 Do you want to be part of a company culture that encourages employees to build their career, leverage their knowledge while using cutting edge technology, and achieve challenging goals? We provide the foundation and resources to help you stay motivated, inspired, and productive. If you are driven, dedicated, and enjoy doing what you love, then we want you to join our journey and build a better tomorrow with you.
 This position is onsite in Orlando, Florida. We offer flexible work schedules to comprehensive benefits investing in your future and security, Learn more about Lockheed Martin's comprehensive benefits package here.
**Further Information About This Opportunity:**
 This position is in Orlando. Discover more about our Orlando, Florida location.
 The selected candidate must be able to obtain a secret clearance. A company\-sponsored interim secret is required to start.
**Basic Qualifications**
 BS or MS degree from accredited university in Computer Engineering, Software Engineering, Computer Science, Math, or related major
 Experience with C\+\+ and Object\-oriented design
 Experience with software development on Linux or similar preemptive operating systems
 Ability to obtain an interim secret security clearance prior to start
**Desired Skills**
 Experience with use of software configuration management systems e.g., Git, GitHub, GitLab, SVN
 Familiarity with Modular Open Systems Architecture (MOSA) design concepts
 Familiarity with containerized development and deployment environments
 Familiarity with Data distribution service (DDS)
 Familiarity with Yocto OS development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16">
      <c r="A116" t="inlineStr">
        <is>
          <t>li-4321542919</t>
        </is>
      </c>
      <c r="B116" t="inlineStr">
        <is>
          <t>Software Engineer II - Azure Cloud Native Platform</t>
        </is>
      </c>
      <c r="C116" t="inlineStr">
        <is>
          <t>Jobs via Dice</t>
        </is>
      </c>
      <c r="D116" t="inlineStr">
        <is>
          <t>linkedin</t>
        </is>
      </c>
      <c r="E116">
        <f>HYPERLINK("https://www.linkedin.com/jobs/view/4321542919", "https://www.linkedin.com/jobs/view/4321542919")</f>
        <v/>
      </c>
      <c r="F116" t="inlineStr"/>
      <c r="G116" t="inlineStr">
        <is>
          <t>Atlanta, GA</t>
        </is>
      </c>
      <c r="H116" t="inlineStr"/>
      <c r="I116" t="inlineStr">
        <is>
          <t>**Overview**
 The
 **Azure Cloud Native Platform** 
 org is seeking a passionate and experienced
 **Software Engineer II** 
 to join the
 **VMScaleSet (VMSS) platform team** 
 . This team is responsible for building and evolving the foundational infrastructure that powers Azure's scalable compute offerings. You will work on mission\-critical systems that enable customers to deploy, manage, and scale thousands of virtual machines with high availability and performance.
 As a
 **Software Engineer,** 
 you will collaborate with internal stakeholders to understand and define customer and user requirements for a set of features. You will contribute to architecture discussions by providing feedback and identifying dependencies, incorporating them into design documentation with minimal oversight. You will develop and implement code for products, services, or features, leveraging reusable components where applicable. Additionally, you will support feature deployment by following established processes and best practices. Your role includes contributing to efforts that integrate logging and instrumentation for telemetry\-covering performance, reliability, usage, and security monitoring for live environments and A/B experiments. You will help ensure compliance with security, privacy, safety, and accessibility standards, applying secure design principles and formal validation of security invariants. Finally, you will work closely with partner teams to ensure seamless integration of features across components before launch, driving high\-quality, secure, and reliable solutions.
**Responsibilities**
* Partners with appropriate stakeholders to determine user requirements for a set of scenarios.
* Leads identification of dependencies and the development of design documents for a product, application, service, or platform.
* Leads by example and mentor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2\+ years technical engineering experience with coding in languages including, but not limited to, C, C\+\+, C\#, Java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5\+ years technical engineering experience with coding in languages including, but not limited to, C, C\+\+, C\#, Java.
* OR Master's Degree in Computer Science or related technical field AND 3\+ years technical engineering experience with coding in languages including, but not limited to, C, C\+\+, C\#, Java.
* 
+ OR equivalent experience.
* 2\+ year(s) experience in full life cycle Software Development including:
+ Compute orchestration, asynchronous processing, service reliability, and incident management; skilled in debugging large\-scale distributed systems.
+ Designing architecture and system components; coding and integrating features; performs testing and debugging; manages deployments using DevOps practices; and collaborates across teams to deliver complete, scalable, secure, and robust API\-driven solutions.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7">
      <c r="A117" t="inlineStr">
        <is>
          <t>li-4321483242</t>
        </is>
      </c>
      <c r="B117" t="inlineStr">
        <is>
          <t>Senior Software Engineer</t>
        </is>
      </c>
      <c r="C117" t="inlineStr">
        <is>
          <t>Jobs via Dice</t>
        </is>
      </c>
      <c r="D117" t="inlineStr">
        <is>
          <t>linkedin</t>
        </is>
      </c>
      <c r="E117">
        <f>HYPERLINK("https://www.linkedin.com/jobs/view/4321483242", "https://www.linkedin.com/jobs/view/4321483242")</f>
        <v/>
      </c>
      <c r="F117" t="inlineStr"/>
      <c r="G117" t="inlineStr">
        <is>
          <t>Bethesda, MD</t>
        </is>
      </c>
      <c r="H117" t="inlineStr"/>
      <c r="I117" t="inlineStr">
        <is>
          <t>Are you ready to join Leidos all\-star team? Through training, teamwork, and exposure to challenging technical work, let Leidos show how to accelerate your career path.
 Are you a TS/SCI cleared
 **Senior Software** 
**Engineer** 
 that likes to perform research\-level development of AI enabled capabilities and analytics?
 Come support a major program advancing the state of the art in mission\-focused big data and predictive analytics. You will be delivering cutting edge capabilities to advance national security objectives, swiftly produce and analyze results, disseminate findings, and contribute to publications and presentations with actionable intelligence insights. While most work is conducted on\-site at our client location in Bethesda, MD, we offer a flexible schedule and, occasionally, some tasks may be performed remotely. The percentage of remote work will vary based on client requirements/deliverables.
**Fun stuff you will do:**
* Work closely with a tight\-knit team of data scientists, as well as a larger team of software developers, network engineers, senior investigators, program managers, researchers, and data analysts to design, build, and optimize a data discovery platform to produce and analyze results, disseminate findings, and contribute to publications and presentations.
* Work on evaluating and testing emerging AI/ML solutions to complex multi\-modal data problems.
* Support multiple simultaneous mission objectives and take open\-ended or high\-level guidance to independently and collaboratively research and develop tools that support information consolidation and discovery.
* Bring your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
* Leverage your strong background in research design, exploratory analysis, quantitative methods, user interface application design, and experience with customer outreach and engagement
**To be successful in this role you need these skills (required):**
* B.S. Degree in a quantitative or analytical field such as Computer Science, Mathematics, Economics, Statistics, Engineering, Physics, or Computational Social Science with 12\+ years of experience or Master's Degree or equivalent graduate degree including certificate\-based advanced training courses with 10\+
* 12\+ years of experience in software engineering, data science, analytics, or quantitative intelligence analysis, and demonstrating progressive technical development and outcomes.
* Must have an active TS/SCI clearance and must be able obtain and maintain a Polygraph
* Must have proficiency in Python programming language.
* Experience working with a hybrid team of analysts, engineers, and developers to conduct research, and build and deploy complex, but easy\-to\-use algorithms and analytical platforms
* Track record of active learning and creative problem solving.
* Ability to analyze and assess software development or data acquisition requirements and determine optimum, cost\-effective solutions.
* Familiarity using git, svn, JIRA, or other version control technologies
**You will wow us even more if you have some of these skills:**
* A significant share of your data analytics experience in direct support of military or intelligence community customers, demonstrating progressive technical development and mission\-focused outcomes.
* Significant experience dealing with at least two of the following data classes: open source, publicly available information (PAI); forensic media (i.e. DOMEX); measurement and signatures intelligence (MASINT); or cybersecurity and cyber forensics
* Experience with information retrieval and search, e.g. Structured Query Language (SQL), and/or Elastic Stack (Elasticsearch and Kibana)
* Deployment of data science applications (e.g. Streamlit) using Docker, Kubernetes, and/or OpenShift.
* Experience with Knowledge Graphs and KG tech such as neo4j or graph ML.
* Experience developing predictive algorithms, image classifiers, object detectors, and others.
* Familiarity with social network analysis, supply chain analysis, forensic accounting, pattern of life, natural language processing, social media analysis, classification algorithms, and/or image processing.
* Experience blending analytical methodologies and leveraging existing COTS/GOTS/OS tools in an unconventional manner.
* Familiarity utilizing virtualization and distributed field systems, such as virtual environments and Hadoop (or similar distributed file systems) in development and deployment environments.
* Experience with Amazon Web Services (AWS/C2S)
* Familiarity with hardware platforms, e.g., CPUs, GPUs, FPGAs, etc.
* Familiarity or experience with building applications around Large Language Models, Agentic AI
* Familiarity with Kubernetes \- deploying and managing applications
 \#NMECDTP\-LEIDOS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118">
      <c r="A118" t="inlineStr">
        <is>
          <t>li-4321413168</t>
        </is>
      </c>
      <c r="B118" t="inlineStr">
        <is>
          <t>Software Engineer Sr</t>
        </is>
      </c>
      <c r="C118" t="inlineStr">
        <is>
          <t>Jobs via Dice</t>
        </is>
      </c>
      <c r="D118" t="inlineStr">
        <is>
          <t>linkedin</t>
        </is>
      </c>
      <c r="E118">
        <f>HYPERLINK("https://www.linkedin.com/jobs/view/4321413168", "https://www.linkedin.com/jobs/view/4321413168")</f>
        <v/>
      </c>
      <c r="F118">
        <f>HYPERLINK("https://click.appcast.io/t/Rogw0E0g7ncgFrmk_zMhl_aC0mzzy4rT4Gq32w9n3lE=&amp;urlHash=jj9M", "https://click.appcast.io/t/Rogw0E0g7ncgFrmk_zMhl_aC0mzzy4rT4Gq32w9n3lE=&amp;urlHash=jj9M")</f>
        <v/>
      </c>
      <c r="G118" t="inlineStr">
        <is>
          <t>King of Prussia, PA</t>
        </is>
      </c>
      <c r="H118" t="inlineStr"/>
      <c r="I118" t="inlineStr">
        <is>
          <t>**Job Description**
**WHO WE ARE**
 Lockheed Martin is a global leader in aerospace, defense, and technology solutions, dedicated to pushing the boundaries of innovation and shaping the future of the industry. With a rich legacy of excellence and a commitment to delivering advanced capabilities to our customers, we are proud to be at the forefront of cutting\-edge technology and engineering.
**LM SPACE: WHAT WE'RE DOING**
 Space is a critical domain, connecting our technologies, our security and our humanity. While others view space as a destination, we see it as a realm of possibilities, where we can do more \- we can innovate, invest, inspire and integrate our capabilities to transform the future.
**THE WORK**
 Lockheed Martin's Paragon Program is seeking a talented
 **Software Engineer with a TS/SCI clearance** 
 to work from either our King of Prussia, PA or Herndon, VA location(s).
**This is an EARLY\-MID CAREER (level 3\) ROLE where candidates typically require 3\+ years** 
 of experience and a BS degree.
 LM's Space Engineering \&amp; Technology, S2CO, Global Software Solutions Team! Space E\&amp;T develops, delivers, and operates affordable engineering and sustainment solutions for commercial, military and intelligence users across the globe. These mission critical efforts include development of innovative enterprise, cloud and application\-based solutions for mission management, command and control, collection orchestration and tasking, processing, data analysis and analytics along with premier operations and sustainment capabilities of space\- based programs in support of national security.
 We are seeking a SW Engineer to participate in the design, development, test and maintenance of complex mission application software and database applications for the Paragon organization which supports multiple programs. Looking for someone who is (or is willing to become) a Domain/Subject Matter Expert in the Mission Management and/or Command and Control domains.
 As Software Eng. with Paragon, you will:
 Apply knowledge of computer hardware and software, information processing techniques, and information gathered from subject matter experts and system users to develop software applications.
 Plan, conduct, and coordinates software development activities.
 Design, develop, document, test, and debug software that contains logical and mathematical solutions to business/mission problems
 Apply the appropriate standards, processes, procedures, and tools throughout the development life cycle.
 Participate in code peer reviews, application demonstrations, data analysis, test planning and execution to ensure software intent and standards are met.
 Prepare operating instructions, generate program development documentation, \&amp; analyze system capabilities.
 Participate in failure investigations, anomaly resolution activities, and retrospective events
**WHY JOIN US**
 Opportunity for Impact: Join a team that is at the forefront of innovation in the aerospace and defense industry and make a significant impact on the success of our organization.
**Professional Development:** 
 Take advantage of unparalleled opportunities for growth and advancement within Lockheed Martin, with access to world\-class training and development programs.
**Collaborative Culture:** 
 Work alongside some of the brightest minds in the industry who share your passion for excellence and who are committed to supporting each other's success.
**Competitive Benefits:** 
 Lockheed Martin employees play an active role in strengthening the quality of life where we live and work by volunteering more than 850,000 hours annually. Here are some of the benefits you can enjoy:
 Medical
 Dental
 401k
 Paid time off
 Work/life balance
 Career development
 Mentorship opportunities
 Rewards \&amp; recognition
 We care about our employees and offer a generous benefits package: 401K, PTO, and work/life balance and more.
**Basic Qualifications**
 Experience developing backend application software on a Linux platform using the one or more of the following programming languages: C/C\+\+, Java
 Agile software development experience (SAFe, Kanban, Scrum)
 Demonstrate initiative, creativity, and innovation in developing application software that satisfies mission requirements and resolves code/logic defects in an efficient manner
 Experience designing, testing and debugging complex software applications with many interdependencies and interfaces
 An active TS/SCI security clearance is required for consideration with willingness to obtain a poly.
**Desired Skills**
 Domain knowledge of mission planning and scheduling or command and telemetry systems
 Experience using software development tools and methodologies (Ant, Git, Maven, Gradle, Jenkins, Jira, Confluence, Collaborator, automated testing)
 Experience with cost estimation based on high level requirements and specifications
 Experience with application containerization technologies (Docker, Kubernetes)
 Experience using math and modeling tools (Matlab, STK)
 Experience developing software in Cloud Computing environments (AWS)
 An aptitude for developing code for math and physics\-based algorithms
 The candidate should possess a high degree of ethics, an optimistic outlook, and have the ability to work independently within a team environment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19">
      <c r="A119" t="inlineStr">
        <is>
          <t>li-4321433163</t>
        </is>
      </c>
      <c r="B119" t="inlineStr">
        <is>
          <t>Software Engineer with Poly SR SWE2</t>
        </is>
      </c>
      <c r="C119" t="inlineStr">
        <is>
          <t>Jobs via Dice</t>
        </is>
      </c>
      <c r="D119" t="inlineStr">
        <is>
          <t>linkedin</t>
        </is>
      </c>
      <c r="E119">
        <f>HYPERLINK("https://www.linkedin.com/jobs/view/4321433163", "https://www.linkedin.com/jobs/view/4321433163")</f>
        <v/>
      </c>
      <c r="F119" t="inlineStr"/>
      <c r="G119" t="inlineStr">
        <is>
          <t>Annapolis, MD</t>
        </is>
      </c>
      <c r="H119" t="inlineStr"/>
      <c r="I119" t="inlineStr">
        <is>
          <t>Dice is the leading career destination for tech experts at every stage of their careers. Our client, Lockheed Martin Corporation, is seeking the following. Apply via Dice today!
**Job Description**
**THE WORK**
 This senior role fosters collaboration with other senior engineers for the development of advanced data analytics solutions and agile development projects in support of a high\-visibility mission. This position involves providing technical leadership and guidance on data analytics and agile development projects, as well as collaborating with cross\-functional teams to drive mission objectives.
**Who We Are**
 At Lockheed Martin, we're a leading aerospace and defense company that's shaping the future of cyber and intelligence.
 We're committed to innovating at the Edge: Harnessing the latest advancements in cyber, artificial intelligence, and machine learning to stay ahead of emerging threats and opportunities.
 This Program is seeking a full stack software engineer to develop, maintain and enhance complex and diverse software systems supporting Analytic Missions.
 This Program has a robust process to ensure quality of products. The process includes DAT, UAT/SME Validation, Smoke Test, and System Level Test (SLT) prior to deploying products to production.
**Who You Are**
 Experience as a Software Engineer with knowledge assisting in the design, development, testing, and debugging of software solutions, with a focus on Linux operating systems.
 Strong Familiarity with programming languages such as Java.
**WHY JOIN US**
 Providing ongoing training, mentorship, and development opportunities to help our cyber and intelligence professionals stay at the forefront of their field and achieve their career goals.
 Competitive and comprehensive benefits package.
 Rewards and recognition for your hard work.
 Medical and dental coverage.
 401k retirement savings plan.
 Paid time off for work/life balance.
 And more
**Basic Qualifications**
 Active Top Secret clearance with polygraph
 14 years prior full stack software development experience in programs of similar size, scope and complexity.
 Bachelor's Degree in a related discipline from an accredited college is required.
 19 years of prior software development experience may be substituted for a degree.
 Full stack development including;JavaScript, React, and Mongo, prior analytic experieince, production environments
**Desired Skills**
 Familiar with:
 Agile software development, Machine Learning, Map Reduce technologies (Hadoop, Hive, Pig etc.), Distributed Big Data Store (NoSQL), JSON, and Accumulo.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$128,200 \- $225,975\.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$147,400 \- $255,530\.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2026-01-26T05:25:43Z</dcterms:created>
  <dcterms:modified xsi:type="dcterms:W3CDTF">2026-01-26T05:25:43Z</dcterms:modified>
</cp:coreProperties>
</file>