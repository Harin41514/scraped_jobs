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in-dbeed4a523485be0</t>
        </is>
      </c>
      <c r="B2" t="inlineStr">
        <is>
          <t>Sr. Applied Scientist, Amazon Ads</t>
        </is>
      </c>
      <c r="C2" t="inlineStr">
        <is>
          <t>Amazon.com</t>
        </is>
      </c>
      <c r="D2" t="inlineStr">
        <is>
          <t>indeed</t>
        </is>
      </c>
      <c r="E2" t="inlineStr"/>
      <c r="F2" t="inlineStr"/>
      <c r="G2" t="inlineStr">
        <is>
          <t>Tukwila, WA,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in-00c228e071df2ff5</t>
        </is>
      </c>
      <c r="B3" t="inlineStr">
        <is>
          <t>Sr. Applied Scientist, Amazon Ads</t>
        </is>
      </c>
      <c r="C3" t="inlineStr">
        <is>
          <t>Amazon.com</t>
        </is>
      </c>
      <c r="D3" t="inlineStr">
        <is>
          <t>indeed</t>
        </is>
      </c>
      <c r="E3" t="inlineStr"/>
      <c r="F3" t="inlineStr"/>
      <c r="G3" t="inlineStr">
        <is>
          <t>Corvallis, OR,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in-122680cc8430822e</t>
        </is>
      </c>
      <c r="B4" t="inlineStr">
        <is>
          <t>Sr. Applied Scientist, Amazon Ads</t>
        </is>
      </c>
      <c r="C4" t="inlineStr">
        <is>
          <t>Amazon.com</t>
        </is>
      </c>
      <c r="D4" t="inlineStr">
        <is>
          <t>indeed</t>
        </is>
      </c>
      <c r="E4" t="inlineStr"/>
      <c r="F4" t="inlineStr"/>
      <c r="G4" t="inlineStr">
        <is>
          <t>Boston, MA,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in-390a2f50df118a70</t>
        </is>
      </c>
      <c r="B5" t="inlineStr">
        <is>
          <t>Principal Applied Scientist, Amazon Special Projects</t>
        </is>
      </c>
      <c r="C5" t="inlineStr">
        <is>
          <t>Amazon.com</t>
        </is>
      </c>
      <c r="D5" t="inlineStr">
        <is>
          <t>indeed</t>
        </is>
      </c>
      <c r="E5" t="inlineStr"/>
      <c r="F5" t="inlineStr"/>
      <c r="G5" t="inlineStr">
        <is>
          <t>Seattle, WA, US</t>
        </is>
      </c>
      <c r="H5" s="2" t="n">
        <v>45982</v>
      </c>
      <c r="I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in-085330f17734a104</t>
        </is>
      </c>
      <c r="B6" t="inlineStr">
        <is>
          <t>Principal Applied Scientist, Amazon Special Projects</t>
        </is>
      </c>
      <c r="C6" t="inlineStr">
        <is>
          <t>Amazon.com</t>
        </is>
      </c>
      <c r="D6" t="inlineStr">
        <is>
          <t>indeed</t>
        </is>
      </c>
      <c r="E6" t="inlineStr"/>
      <c r="F6" t="inlineStr"/>
      <c r="G6" t="inlineStr">
        <is>
          <t>Boston, MA, US</t>
        </is>
      </c>
      <c r="H6" s="2" t="n">
        <v>45982</v>
      </c>
      <c r="I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in-028a84878ba3f56c</t>
        </is>
      </c>
      <c r="B7" t="inlineStr">
        <is>
          <t>Sr. Applied Scientist, AGI Foundations</t>
        </is>
      </c>
      <c r="C7" t="inlineStr">
        <is>
          <t>Amazon.com</t>
        </is>
      </c>
      <c r="D7" t="inlineStr">
        <is>
          <t>indeed</t>
        </is>
      </c>
      <c r="E7" t="inlineStr"/>
      <c r="F7" t="inlineStr"/>
      <c r="G7" t="inlineStr">
        <is>
          <t>Bellevue, WA,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in-f8f5ab5270e60d9a</t>
        </is>
      </c>
      <c r="B8" t="inlineStr">
        <is>
          <t>Sr. Applied Scientist, AGI Foundations</t>
        </is>
      </c>
      <c r="C8" t="inlineStr">
        <is>
          <t>Amazon.com</t>
        </is>
      </c>
      <c r="D8" t="inlineStr">
        <is>
          <t>indeed</t>
        </is>
      </c>
      <c r="E8" t="inlineStr"/>
      <c r="F8" t="inlineStr"/>
      <c r="G8" t="inlineStr">
        <is>
          <t>Boston, MA, US</t>
        </is>
      </c>
      <c r="H8" s="2" t="n">
        <v>45978</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in-385bc11348d84584</t>
        </is>
      </c>
      <c r="B9" t="inlineStr">
        <is>
          <t>Sr. Applied Scientist, AGI Foundations</t>
        </is>
      </c>
      <c r="C9" t="inlineStr">
        <is>
          <t>Amazon.com</t>
        </is>
      </c>
      <c r="D9" t="inlineStr">
        <is>
          <t>indeed</t>
        </is>
      </c>
      <c r="E9" t="inlineStr"/>
      <c r="F9" t="inlineStr"/>
      <c r="G9" t="inlineStr">
        <is>
          <t>New York, NY, US</t>
        </is>
      </c>
      <c r="H9" s="2" t="n">
        <v>45978</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in-f740260dcf82991a</t>
        </is>
      </c>
      <c r="B10" t="inlineStr">
        <is>
          <t>Sr. Applied Scientist, AGI Foundations</t>
        </is>
      </c>
      <c r="C10" t="inlineStr">
        <is>
          <t>Amazon.com</t>
        </is>
      </c>
      <c r="D10" t="inlineStr">
        <is>
          <t>indeed</t>
        </is>
      </c>
      <c r="E10" t="inlineStr"/>
      <c r="F10" t="inlineStr"/>
      <c r="G10" t="inlineStr">
        <is>
          <t>Sunnyvale, CA, US</t>
        </is>
      </c>
      <c r="H10" s="2" t="n">
        <v>45978</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in-1c113a55c421e947</t>
        </is>
      </c>
      <c r="B11" t="inlineStr">
        <is>
          <t>Sr. Applied Scientist, AGI Foundations</t>
        </is>
      </c>
      <c r="C11" t="inlineStr">
        <is>
          <t>Amazon.com</t>
        </is>
      </c>
      <c r="D11" t="inlineStr">
        <is>
          <t>indeed</t>
        </is>
      </c>
      <c r="E11" t="inlineStr"/>
      <c r="F11" t="inlineStr"/>
      <c r="G11" t="inlineStr">
        <is>
          <t>New York, NY, US</t>
        </is>
      </c>
      <c r="H11" s="2"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in-a887f14b07d167c9</t>
        </is>
      </c>
      <c r="B12" t="inlineStr">
        <is>
          <t>Sr. Applied Scientist, AGI Foundations</t>
        </is>
      </c>
      <c r="C12" t="inlineStr">
        <is>
          <t>Amazon.com</t>
        </is>
      </c>
      <c r="D12" t="inlineStr">
        <is>
          <t>indeed</t>
        </is>
      </c>
      <c r="E12" t="inlineStr"/>
      <c r="F12" t="inlineStr"/>
      <c r="G12" t="inlineStr">
        <is>
          <t>Bellevue, WA, US</t>
        </is>
      </c>
      <c r="H12" s="2" t="n">
        <v>45963</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in-a1922eb6dc2b5eec</t>
        </is>
      </c>
      <c r="B13" t="inlineStr">
        <is>
          <t>Sr. Applied Scientist, AGI Foundations</t>
        </is>
      </c>
      <c r="C13" t="inlineStr">
        <is>
          <t>Amazon.com</t>
        </is>
      </c>
      <c r="D13" t="inlineStr">
        <is>
          <t>indeed</t>
        </is>
      </c>
      <c r="E13" t="inlineStr"/>
      <c r="F13" t="inlineStr"/>
      <c r="G13" t="inlineStr">
        <is>
          <t>Boston, MA, US</t>
        </is>
      </c>
      <c r="H13" s="2" t="n">
        <v>45963</v>
      </c>
      <c r="I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in-51ebee4388493d7a</t>
        </is>
      </c>
      <c r="B14" t="inlineStr">
        <is>
          <t>Applied Scientist II, Prime Video - Personalization and Discovery Science, Personalization and Discovery Science</t>
        </is>
      </c>
      <c r="C14" t="inlineStr">
        <is>
          <t>Amazon.com</t>
        </is>
      </c>
      <c r="D14" t="inlineStr">
        <is>
          <t>indeed</t>
        </is>
      </c>
      <c r="E14" t="inlineStr"/>
      <c r="F14" t="inlineStr"/>
      <c r="G14" t="inlineStr">
        <is>
          <t>New York, NY,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in-c3a5b6828db7e972</t>
        </is>
      </c>
      <c r="B15" t="inlineStr">
        <is>
          <t>Applied Scientist II, Prime Video - Personalization and Discovery Science, Personalization and Discovery Science</t>
        </is>
      </c>
      <c r="C15" t="inlineStr">
        <is>
          <t>Amazon.com</t>
        </is>
      </c>
      <c r="D15" t="inlineStr">
        <is>
          <t>indeed</t>
        </is>
      </c>
      <c r="E15" t="inlineStr"/>
      <c r="F15" t="inlineStr"/>
      <c r="G15" t="inlineStr">
        <is>
          <t>Seattle, WA, US</t>
        </is>
      </c>
      <c r="H15" s="2"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in-30161487a29fa392</t>
        </is>
      </c>
      <c r="B16" t="inlineStr">
        <is>
          <t>Applied Scientist II, Prime Video - Personalization and Discovery Science, Personalization and Discovery Science</t>
        </is>
      </c>
      <c r="C16" t="inlineStr">
        <is>
          <t>Amazon.com</t>
        </is>
      </c>
      <c r="D16" t="inlineStr">
        <is>
          <t>indeed</t>
        </is>
      </c>
      <c r="E16" t="inlineStr"/>
      <c r="F16" t="inlineStr"/>
      <c r="G16" t="inlineStr">
        <is>
          <t>Sunnyvale, CA, US</t>
        </is>
      </c>
      <c r="H16" s="2"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in-a0bb4723ef1e95a8</t>
        </is>
      </c>
      <c r="B17" t="inlineStr">
        <is>
          <t>Applied Scientist II, Prime Video - Personalization and Discovery Science</t>
        </is>
      </c>
      <c r="C17" t="inlineStr">
        <is>
          <t>Amazon.com</t>
        </is>
      </c>
      <c r="D17" t="inlineStr">
        <is>
          <t>indeed</t>
        </is>
      </c>
      <c r="E17" t="inlineStr"/>
      <c r="F17" t="inlineStr"/>
      <c r="G17" t="inlineStr">
        <is>
          <t>Seattle, WA, US</t>
        </is>
      </c>
      <c r="H17" s="2" t="n">
        <v>45915</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in-9ba09f04d3842a36</t>
        </is>
      </c>
      <c r="B18" t="inlineStr">
        <is>
          <t>Applied Scientist II, Prime Video - Personalization and Discovery Science</t>
        </is>
      </c>
      <c r="C18" t="inlineStr">
        <is>
          <t>Amazon.com</t>
        </is>
      </c>
      <c r="D18" t="inlineStr">
        <is>
          <t>indeed</t>
        </is>
      </c>
      <c r="E18" t="inlineStr"/>
      <c r="F18" t="inlineStr"/>
      <c r="G18" t="inlineStr">
        <is>
          <t>Sunnyvale, CA, US</t>
        </is>
      </c>
      <c r="H18" s="2" t="n">
        <v>45915</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in-423b7607a4eaa83e</t>
        </is>
      </c>
      <c r="B19" t="inlineStr">
        <is>
          <t>Applied Scientist II, Prime Video - Personalization and Discovery Science</t>
        </is>
      </c>
      <c r="C19" t="inlineStr">
        <is>
          <t>Amazon.com</t>
        </is>
      </c>
      <c r="D19" t="inlineStr">
        <is>
          <t>indeed</t>
        </is>
      </c>
      <c r="E19" t="inlineStr"/>
      <c r="F19" t="inlineStr"/>
      <c r="G19" t="inlineStr">
        <is>
          <t>New York, NY, US</t>
        </is>
      </c>
      <c r="H19" s="2" t="n">
        <v>45915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in-a403943d45c100c7</t>
        </is>
      </c>
      <c r="B20" t="inlineStr">
        <is>
          <t>Sr. Applied Scientist, Prime Video - Personalization and Discovery Science</t>
        </is>
      </c>
      <c r="C20" t="inlineStr">
        <is>
          <t>Amazon.com</t>
        </is>
      </c>
      <c r="D20" t="inlineStr">
        <is>
          <t>indeed</t>
        </is>
      </c>
      <c r="E20" t="inlineStr"/>
      <c r="F20" t="inlineStr"/>
      <c r="G20" t="inlineStr">
        <is>
          <t>New York, NY, US</t>
        </is>
      </c>
      <c r="H20" s="2" t="n">
        <v>45914</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in-7a5c3b23a43fa68e</t>
        </is>
      </c>
      <c r="B21" t="inlineStr">
        <is>
          <t>Sr. Applied Scientist, Prime Video - Personalization and Discovery Science</t>
        </is>
      </c>
      <c r="C21" t="inlineStr">
        <is>
          <t>Amazon.com</t>
        </is>
      </c>
      <c r="D21" t="inlineStr">
        <is>
          <t>indeed</t>
        </is>
      </c>
      <c r="E21" t="inlineStr"/>
      <c r="F21" t="inlineStr"/>
      <c r="G21" t="inlineStr">
        <is>
          <t>Sunnyvale, CA, US</t>
        </is>
      </c>
      <c r="H21" s="2" t="n">
        <v>45914</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in-821034295eca9e85</t>
        </is>
      </c>
      <c r="B22" t="inlineStr">
        <is>
          <t>Sr. Applied Scientist, Prime Video - Personalization and Discovery Science</t>
        </is>
      </c>
      <c r="C22" t="inlineStr">
        <is>
          <t>Amazon.com</t>
        </is>
      </c>
      <c r="D22" t="inlineStr">
        <is>
          <t>indeed</t>
        </is>
      </c>
      <c r="E22" t="inlineStr"/>
      <c r="F22" t="inlineStr"/>
      <c r="G22" t="inlineStr">
        <is>
          <t>Seattle, WA, US</t>
        </is>
      </c>
      <c r="H22" s="2" t="n">
        <v>45914</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in-0d4d8049812bbbc4</t>
        </is>
      </c>
      <c r="B23" t="inlineStr">
        <is>
          <t>Sr. Applied Scientist, Prime Video - Personalization and Discovery Science</t>
        </is>
      </c>
      <c r="C23" t="inlineStr">
        <is>
          <t>Amazon.com</t>
        </is>
      </c>
      <c r="D23" t="inlineStr">
        <is>
          <t>indeed</t>
        </is>
      </c>
      <c r="E23" t="inlineStr"/>
      <c r="F23" t="inlineStr"/>
      <c r="G23" t="inlineStr">
        <is>
          <t>Sunnyvale, CA, US</t>
        </is>
      </c>
      <c r="H23" s="2"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in-99a71c795a925f70</t>
        </is>
      </c>
      <c r="B24" t="inlineStr">
        <is>
          <t>Sr. Applied Scientist, Prime Video - Personalization and Discovery Science</t>
        </is>
      </c>
      <c r="C24" t="inlineStr">
        <is>
          <t>Amazon.com</t>
        </is>
      </c>
      <c r="D24" t="inlineStr">
        <is>
          <t>indeed</t>
        </is>
      </c>
      <c r="E24" t="inlineStr"/>
      <c r="F24" t="inlineStr"/>
      <c r="G24" t="inlineStr">
        <is>
          <t>New York, NY, US</t>
        </is>
      </c>
      <c r="H24" s="2"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in-4f77f9957095d5a5</t>
        </is>
      </c>
      <c r="B25" t="inlineStr">
        <is>
          <t>Applied Scientist II, Prime Video - Personalization and Discovery Science</t>
        </is>
      </c>
      <c r="C25" t="inlineStr">
        <is>
          <t>Amazon.com</t>
        </is>
      </c>
      <c r="D25" t="inlineStr">
        <is>
          <t>indeed</t>
        </is>
      </c>
      <c r="E25" t="inlineStr"/>
      <c r="F25" t="inlineStr"/>
      <c r="G25" t="inlineStr">
        <is>
          <t>New York, NY, US</t>
        </is>
      </c>
      <c r="H25" s="2"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in-1952cfbb2cd6d3fe</t>
        </is>
      </c>
      <c r="B26" t="inlineStr">
        <is>
          <t>Sr. Applied Scientist, Prime Video - Personalization and Discovery Science</t>
        </is>
      </c>
      <c r="C26" t="inlineStr">
        <is>
          <t>Amazon.com</t>
        </is>
      </c>
      <c r="D26" t="inlineStr">
        <is>
          <t>indeed</t>
        </is>
      </c>
      <c r="E26" t="inlineStr"/>
      <c r="F26" t="inlineStr"/>
      <c r="G26" t="inlineStr">
        <is>
          <t>Seattle, WA, US</t>
        </is>
      </c>
      <c r="H26" s="2"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in-ffbf96a6c670883a</t>
        </is>
      </c>
      <c r="B27" t="inlineStr">
        <is>
          <t>Applied Scientist II, Prime Video - Personalization and Discovery Science</t>
        </is>
      </c>
      <c r="C27" t="inlineStr">
        <is>
          <t>Amazon.com</t>
        </is>
      </c>
      <c r="D27" t="inlineStr">
        <is>
          <t>indeed</t>
        </is>
      </c>
      <c r="E27" t="inlineStr"/>
      <c r="F27" t="inlineStr"/>
      <c r="G27" t="inlineStr">
        <is>
          <t>Seattle, WA, US</t>
        </is>
      </c>
      <c r="H27" s="2" t="n">
        <v>45881</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in-25b02d3d2462343b</t>
        </is>
      </c>
      <c r="B28" t="inlineStr">
        <is>
          <t>Applied Scientist II, Prime Video - Personalization and Discovery Science</t>
        </is>
      </c>
      <c r="C28" t="inlineStr">
        <is>
          <t>Amazon.com</t>
        </is>
      </c>
      <c r="D28" t="inlineStr">
        <is>
          <t>indeed</t>
        </is>
      </c>
      <c r="E28" t="inlineStr"/>
      <c r="F28" t="inlineStr"/>
      <c r="G28" t="inlineStr">
        <is>
          <t>Sunnyvale, CA, US</t>
        </is>
      </c>
      <c r="H28" s="2"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in-8d0911ff830fc05c</t>
        </is>
      </c>
      <c r="B29" t="inlineStr">
        <is>
          <t>Applied Scientist, Prime Video - Personalization and Discovery Science</t>
        </is>
      </c>
      <c r="C29" t="inlineStr">
        <is>
          <t>Amazon.com</t>
        </is>
      </c>
      <c r="D29" t="inlineStr">
        <is>
          <t>indeed</t>
        </is>
      </c>
      <c r="E29" t="inlineStr"/>
      <c r="F29" t="inlineStr"/>
      <c r="G29" t="inlineStr">
        <is>
          <t>Seattle, WA, US</t>
        </is>
      </c>
      <c r="H29" s="2" t="n">
        <v>45845</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in-6ef091250c91b1e3</t>
        </is>
      </c>
      <c r="B30" t="inlineStr">
        <is>
          <t>Applied Scientist, Prime Video - Personalization and Discovery Science</t>
        </is>
      </c>
      <c r="C30" t="inlineStr">
        <is>
          <t>Amazon.com</t>
        </is>
      </c>
      <c r="D30" t="inlineStr">
        <is>
          <t>indeed</t>
        </is>
      </c>
      <c r="E30" t="inlineStr"/>
      <c r="F30" t="inlineStr"/>
      <c r="G30" t="inlineStr">
        <is>
          <t>Sunnyvale, CA, US</t>
        </is>
      </c>
      <c r="H30" s="2" t="n">
        <v>45845</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in-f35f8561f71b21e5</t>
        </is>
      </c>
      <c r="B31" t="inlineStr">
        <is>
          <t>Applied Scientist, Prime Video - Personalization and Discovery Science</t>
        </is>
      </c>
      <c r="C31" t="inlineStr">
        <is>
          <t>Amazon.com</t>
        </is>
      </c>
      <c r="D31" t="inlineStr">
        <is>
          <t>indeed</t>
        </is>
      </c>
      <c r="E31" t="inlineStr"/>
      <c r="F31" t="inlineStr"/>
      <c r="G31" t="inlineStr">
        <is>
          <t>New York, NY, US</t>
        </is>
      </c>
      <c r="H31" s="2" t="n">
        <v>45845</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in-5eb07ce7315b93fb</t>
        </is>
      </c>
      <c r="B32" t="inlineStr">
        <is>
          <t>Applied Scientist, Amazon Special Projects</t>
        </is>
      </c>
      <c r="C32" t="inlineStr">
        <is>
          <t>Amazon.com</t>
        </is>
      </c>
      <c r="D32" t="inlineStr">
        <is>
          <t>indeed</t>
        </is>
      </c>
      <c r="E32" t="inlineStr"/>
      <c r="F32" t="inlineStr"/>
      <c r="G32" t="inlineStr">
        <is>
          <t>Seattle, WA, US</t>
        </is>
      </c>
      <c r="H32" s="2" t="n">
        <v>46026</v>
      </c>
      <c r="I3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in-54cfc61cd68078d2</t>
        </is>
      </c>
      <c r="B33" t="inlineStr">
        <is>
          <t>Applied Scientist, Amazon Special Projects</t>
        </is>
      </c>
      <c r="C33" t="inlineStr">
        <is>
          <t>Amazon.com</t>
        </is>
      </c>
      <c r="D33" t="inlineStr">
        <is>
          <t>indeed</t>
        </is>
      </c>
      <c r="E33" t="inlineStr"/>
      <c r="F33" t="inlineStr"/>
      <c r="G33" t="inlineStr">
        <is>
          <t>Boston, MA, US</t>
        </is>
      </c>
      <c r="H33" s="2" t="n">
        <v>46026</v>
      </c>
      <c r="I3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in-4c027fc72230a8f0</t>
        </is>
      </c>
      <c r="B34" t="inlineStr">
        <is>
          <t>Senior Applied Scientist, Sponsored Products and Brands, Off-Search</t>
        </is>
      </c>
      <c r="C34" t="inlineStr">
        <is>
          <t>Amazon.com</t>
        </is>
      </c>
      <c r="D34" t="inlineStr">
        <is>
          <t>indeed</t>
        </is>
      </c>
      <c r="E34" t="inlineStr"/>
      <c r="F34" t="inlineStr"/>
      <c r="G34" t="inlineStr">
        <is>
          <t>New York, NY, US</t>
        </is>
      </c>
      <c r="H34" s="2" t="n">
        <v>46017</v>
      </c>
      <c r="I3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in-84d01b5b4bc374a4</t>
        </is>
      </c>
      <c r="B35" t="inlineStr">
        <is>
          <t>Senior Applied Scientist, Sponsored Products and Brands, Off-Search</t>
        </is>
      </c>
      <c r="C35" t="inlineStr">
        <is>
          <t>Amazon.com</t>
        </is>
      </c>
      <c r="D35" t="inlineStr">
        <is>
          <t>indeed</t>
        </is>
      </c>
      <c r="E35" t="inlineStr"/>
      <c r="F35" t="inlineStr"/>
      <c r="G35" t="inlineStr">
        <is>
          <t>Seattle, WA, US</t>
        </is>
      </c>
      <c r="H35" s="2" t="n">
        <v>46017</v>
      </c>
      <c r="I3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in-75a3096ce866b9bf</t>
        </is>
      </c>
      <c r="B36" t="inlineStr">
        <is>
          <t>Sr. Applied Scientist, Amazon Ads</t>
        </is>
      </c>
      <c r="C36" t="inlineStr">
        <is>
          <t>Amazon.com</t>
        </is>
      </c>
      <c r="D36" t="inlineStr">
        <is>
          <t>indeed</t>
        </is>
      </c>
      <c r="E36" t="inlineStr"/>
      <c r="F36" t="inlineStr"/>
      <c r="G36" t="inlineStr">
        <is>
          <t>Seattle, WA,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in-a5d54aad66265f11</t>
        </is>
      </c>
      <c r="B37" t="inlineStr">
        <is>
          <t>Sr. Applied Scientist, Amazon Ads</t>
        </is>
      </c>
      <c r="C37" t="inlineStr">
        <is>
          <t>Amazon.com</t>
        </is>
      </c>
      <c r="D37" t="inlineStr">
        <is>
          <t>indeed</t>
        </is>
      </c>
      <c r="E37" t="inlineStr"/>
      <c r="F37" t="inlineStr"/>
      <c r="G37" t="inlineStr">
        <is>
          <t>Santa Monica,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in-5aef3812a81aea9c</t>
        </is>
      </c>
      <c r="B38" t="inlineStr">
        <is>
          <t>Sr. Applied Scientist, Amazon Ads</t>
        </is>
      </c>
      <c r="C38" t="inlineStr">
        <is>
          <t>Amazon.com</t>
        </is>
      </c>
      <c r="D38" t="inlineStr">
        <is>
          <t>indeed</t>
        </is>
      </c>
      <c r="E38" t="inlineStr"/>
      <c r="F38" t="inlineStr"/>
      <c r="G38" t="inlineStr">
        <is>
          <t>New York, NY,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in-34848068a2066afd</t>
        </is>
      </c>
      <c r="B39" t="inlineStr">
        <is>
          <t>Sr. Applied Scientist, Amazon Ads</t>
        </is>
      </c>
      <c r="C39" t="inlineStr">
        <is>
          <t>Amazon.com</t>
        </is>
      </c>
      <c r="D39" t="inlineStr">
        <is>
          <t>indeed</t>
        </is>
      </c>
      <c r="E39" t="inlineStr"/>
      <c r="F39" t="inlineStr"/>
      <c r="G39" t="inlineStr">
        <is>
          <t>Brooklyn, NY,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in-f140d4930d915ca1</t>
        </is>
      </c>
      <c r="B40" t="inlineStr">
        <is>
          <t>Sr. Applied Scientist, Amazon Ads</t>
        </is>
      </c>
      <c r="C40" t="inlineStr">
        <is>
          <t>Amazon.com</t>
        </is>
      </c>
      <c r="D40" t="inlineStr">
        <is>
          <t>indeed</t>
        </is>
      </c>
      <c r="E40" t="inlineStr"/>
      <c r="F40" t="inlineStr"/>
      <c r="G40" t="inlineStr">
        <is>
          <t>Boulder, CO,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in-e5c37ec907f6cee8</t>
        </is>
      </c>
      <c r="B41" t="inlineStr">
        <is>
          <t>Sr. Applied Scientist, Amazon Ads</t>
        </is>
      </c>
      <c r="C41" t="inlineStr">
        <is>
          <t>Amazon.com</t>
        </is>
      </c>
      <c r="D41" t="inlineStr">
        <is>
          <t>indeed</t>
        </is>
      </c>
      <c r="E41" t="inlineStr"/>
      <c r="F41" t="inlineStr"/>
      <c r="G41" t="inlineStr">
        <is>
          <t>Palo Alto, CA,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in-2723a52276b0340d</t>
        </is>
      </c>
      <c r="B42" t="inlineStr">
        <is>
          <t>Sr. Applied Scientist, Amazon Ads</t>
        </is>
      </c>
      <c r="C42" t="inlineStr">
        <is>
          <t>Amazon.com</t>
        </is>
      </c>
      <c r="D42" t="inlineStr">
        <is>
          <t>indeed</t>
        </is>
      </c>
      <c r="E42" t="inlineStr"/>
      <c r="F42" t="inlineStr"/>
      <c r="G42" t="inlineStr">
        <is>
          <t>Sunnyvale, CA,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in-bdf8f2ca2dbe1b6f</t>
        </is>
      </c>
      <c r="B43" t="inlineStr">
        <is>
          <t>Applied Scientist, ML Compiler</t>
        </is>
      </c>
      <c r="C43" t="inlineStr">
        <is>
          <t>Amazon Web Services</t>
        </is>
      </c>
      <c r="D43" t="inlineStr">
        <is>
          <t>indeed</t>
        </is>
      </c>
      <c r="E43" t="inlineStr"/>
      <c r="F43" t="inlineStr"/>
      <c r="G43" t="inlineStr">
        <is>
          <t>Cupertino, CA, US</t>
        </is>
      </c>
      <c r="H43" s="2" t="n">
        <v>45993</v>
      </c>
      <c r="I4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in-0e5d1ba6bef7f113</t>
        </is>
      </c>
      <c r="B44" t="inlineStr">
        <is>
          <t>Applied Scientist, ML Compiler</t>
        </is>
      </c>
      <c r="C44" t="inlineStr">
        <is>
          <t>Amazon Web Services</t>
        </is>
      </c>
      <c r="D44" t="inlineStr">
        <is>
          <t>indeed</t>
        </is>
      </c>
      <c r="E44" t="inlineStr"/>
      <c r="F44" t="inlineStr"/>
      <c r="G44" t="inlineStr">
        <is>
          <t>Seattle, WA, US</t>
        </is>
      </c>
      <c r="H44" s="2" t="n">
        <v>45993</v>
      </c>
      <c r="I4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in-4e6e6fe4b1a14b8b</t>
        </is>
      </c>
      <c r="B45" t="inlineStr">
        <is>
          <t>Senior Applied Scientist, Locomotion, Amazon Industrial Robotics</t>
        </is>
      </c>
      <c r="C45" t="inlineStr">
        <is>
          <t>Amazon.com</t>
        </is>
      </c>
      <c r="D45" t="inlineStr">
        <is>
          <t>indeed</t>
        </is>
      </c>
      <c r="E45" t="inlineStr"/>
      <c r="F45" t="inlineStr"/>
      <c r="G45" t="inlineStr">
        <is>
          <t>Reading, MA, US</t>
        </is>
      </c>
      <c r="H45" s="2" t="n">
        <v>45992</v>
      </c>
      <c r="I4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in-ca33fb1dad1216f1</t>
        </is>
      </c>
      <c r="B46" t="inlineStr">
        <is>
          <t>Senior Applied Scientist, Locomotion, Amazon Industrial Robotics</t>
        </is>
      </c>
      <c r="C46" t="inlineStr">
        <is>
          <t>Amazon.com</t>
        </is>
      </c>
      <c r="D46" t="inlineStr">
        <is>
          <t>indeed</t>
        </is>
      </c>
      <c r="E46" t="inlineStr"/>
      <c r="F46" t="inlineStr"/>
      <c r="G46" t="inlineStr">
        <is>
          <t>Reading, MA, US</t>
        </is>
      </c>
      <c r="H46" s="2" t="n">
        <v>45992</v>
      </c>
      <c r="I4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in-80afe8f2dd257380</t>
        </is>
      </c>
      <c r="B47" t="inlineStr">
        <is>
          <t>Sr. Applied Scientist, SPB Advertiser Guidance</t>
        </is>
      </c>
      <c r="C47" t="inlineStr">
        <is>
          <t>Amazon.com</t>
        </is>
      </c>
      <c r="D47" t="inlineStr">
        <is>
          <t>indeed</t>
        </is>
      </c>
      <c r="E47" t="inlineStr"/>
      <c r="F47" t="inlineStr"/>
      <c r="G47" t="inlineStr">
        <is>
          <t>Seattle, WA, US</t>
        </is>
      </c>
      <c r="H47" s="2" t="n">
        <v>45981</v>
      </c>
      <c r="I4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in-3c0ef4c20ba9c982</t>
        </is>
      </c>
      <c r="B48" t="inlineStr">
        <is>
          <t>Sr. Applied Scientist, SPB Advertiser Guidance</t>
        </is>
      </c>
      <c r="C48" t="inlineStr">
        <is>
          <t>Amazon.com</t>
        </is>
      </c>
      <c r="D48" t="inlineStr">
        <is>
          <t>indeed</t>
        </is>
      </c>
      <c r="E48" t="inlineStr"/>
      <c r="F48" t="inlineStr"/>
      <c r="G48" t="inlineStr">
        <is>
          <t>New York, NY, US</t>
        </is>
      </c>
      <c r="H48" s="2" t="n">
        <v>45981</v>
      </c>
      <c r="I4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in-92a884f933ed62a3</t>
        </is>
      </c>
      <c r="B49" t="inlineStr">
        <is>
          <t>Sr. Applied Scientist, SPB Advertiser Guidance</t>
        </is>
      </c>
      <c r="C49" t="inlineStr">
        <is>
          <t>Amazon.com</t>
        </is>
      </c>
      <c r="D49" t="inlineStr">
        <is>
          <t>indeed</t>
        </is>
      </c>
      <c r="E49" t="inlineStr"/>
      <c r="F49" t="inlineStr"/>
      <c r="G49" t="inlineStr">
        <is>
          <t>Palo Alto, CA, US</t>
        </is>
      </c>
      <c r="H49" s="2" t="n">
        <v>45981</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in-c7c8e606335f8a24</t>
        </is>
      </c>
      <c r="B50" t="inlineStr">
        <is>
          <t>Senior Applied Scientist, Artificial General Intelligence</t>
        </is>
      </c>
      <c r="C50" t="inlineStr">
        <is>
          <t>Amazon.com</t>
        </is>
      </c>
      <c r="D50" t="inlineStr">
        <is>
          <t>indeed</t>
        </is>
      </c>
      <c r="E50" t="inlineStr"/>
      <c r="F50" t="inlineStr"/>
      <c r="G50" t="inlineStr">
        <is>
          <t>Seattle, WA, US</t>
        </is>
      </c>
      <c r="H50" s="2" t="n">
        <v>45980</v>
      </c>
      <c r="I5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in-de0880d23d0206b5</t>
        </is>
      </c>
      <c r="B51" t="inlineStr">
        <is>
          <t>Senior Applied Scientist, Artificial General Intelligence</t>
        </is>
      </c>
      <c r="C51" t="inlineStr">
        <is>
          <t>Amazon.com</t>
        </is>
      </c>
      <c r="D51" t="inlineStr">
        <is>
          <t>indeed</t>
        </is>
      </c>
      <c r="E51" t="inlineStr"/>
      <c r="F51" t="inlineStr"/>
      <c r="G51" t="inlineStr">
        <is>
          <t>Boston, MA, US</t>
        </is>
      </c>
      <c r="H51" s="2" t="n">
        <v>45980</v>
      </c>
      <c r="I5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in-35ebee7cc37eaff8</t>
        </is>
      </c>
      <c r="B52" t="inlineStr">
        <is>
          <t>Senior Applied Scientist, Artificial General Intelligence</t>
        </is>
      </c>
      <c r="C52" t="inlineStr">
        <is>
          <t>Amazon.com</t>
        </is>
      </c>
      <c r="D52" t="inlineStr">
        <is>
          <t>indeed</t>
        </is>
      </c>
      <c r="E52" t="inlineStr"/>
      <c r="F52" t="inlineStr"/>
      <c r="G52" t="inlineStr">
        <is>
          <t>New York, NY, US</t>
        </is>
      </c>
      <c r="H52" s="2" t="n">
        <v>45980</v>
      </c>
      <c r="I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in-8adc6bb41f1eae40</t>
        </is>
      </c>
      <c r="B53" t="inlineStr">
        <is>
          <t>Senior Applied Scientist, Artificial General Intelligence</t>
        </is>
      </c>
      <c r="C53" t="inlineStr">
        <is>
          <t>Amazon.com</t>
        </is>
      </c>
      <c r="D53" t="inlineStr">
        <is>
          <t>indeed</t>
        </is>
      </c>
      <c r="E53" t="inlineStr"/>
      <c r="F53" t="inlineStr"/>
      <c r="G53" t="inlineStr">
        <is>
          <t>Sunnyvale, CA, US</t>
        </is>
      </c>
      <c r="H53" s="2" t="n">
        <v>45980</v>
      </c>
      <c r="I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in-99b959e1b6ad8c58</t>
        </is>
      </c>
      <c r="B54" t="inlineStr">
        <is>
          <t>Applied Scientist II, SPB Advertiser Guidance</t>
        </is>
      </c>
      <c r="C54" t="inlineStr">
        <is>
          <t>Amazon.com</t>
        </is>
      </c>
      <c r="D54" t="inlineStr">
        <is>
          <t>indeed</t>
        </is>
      </c>
      <c r="E54" t="inlineStr"/>
      <c r="F54" t="inlineStr"/>
      <c r="G54" t="inlineStr">
        <is>
          <t>Seattle, WA, US</t>
        </is>
      </c>
      <c r="H54" s="2" t="n">
        <v>45980</v>
      </c>
      <c r="I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in-38dc0988876b562b</t>
        </is>
      </c>
      <c r="B55" t="inlineStr">
        <is>
          <t>Applied Scientist II, SPB Advertiser Guidance</t>
        </is>
      </c>
      <c r="C55" t="inlineStr">
        <is>
          <t>Amazon.com</t>
        </is>
      </c>
      <c r="D55" t="inlineStr">
        <is>
          <t>indeed</t>
        </is>
      </c>
      <c r="E55" t="inlineStr"/>
      <c r="F55" t="inlineStr"/>
      <c r="G55" t="inlineStr">
        <is>
          <t>New York, NY, US</t>
        </is>
      </c>
      <c r="H55" s="2" t="n">
        <v>45980</v>
      </c>
      <c r="I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in-1d418191847ce96c</t>
        </is>
      </c>
      <c r="B56" t="inlineStr">
        <is>
          <t>Applied Scientist II, SPB Advertiser Guidance</t>
        </is>
      </c>
      <c r="C56" t="inlineStr">
        <is>
          <t>Amazon.com</t>
        </is>
      </c>
      <c r="D56" t="inlineStr">
        <is>
          <t>indeed</t>
        </is>
      </c>
      <c r="E56" t="inlineStr"/>
      <c r="F56" t="inlineStr"/>
      <c r="G56" t="inlineStr">
        <is>
          <t>Palo Alto, CA, US</t>
        </is>
      </c>
      <c r="H56" s="2" t="n">
        <v>45980</v>
      </c>
      <c r="I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in-5360abbc0877814b</t>
        </is>
      </c>
      <c r="B57" t="inlineStr">
        <is>
          <t>Principal Applied Scientist, Sponsored Products and Brands</t>
        </is>
      </c>
      <c r="C57" t="inlineStr">
        <is>
          <t>Amazon.com</t>
        </is>
      </c>
      <c r="D57" t="inlineStr">
        <is>
          <t>indeed</t>
        </is>
      </c>
      <c r="E57" t="inlineStr"/>
      <c r="F57" t="inlineStr"/>
      <c r="G57" t="inlineStr">
        <is>
          <t>New York, NY, US</t>
        </is>
      </c>
      <c r="H57" s="2" t="n">
        <v>45979</v>
      </c>
      <c r="I5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in-2b041c4e78538ba5</t>
        </is>
      </c>
      <c r="B58" t="inlineStr">
        <is>
          <t>Principal Applied Scientist, Sponsored Products and Brands</t>
        </is>
      </c>
      <c r="C58" t="inlineStr">
        <is>
          <t>Amazon.com</t>
        </is>
      </c>
      <c r="D58" t="inlineStr">
        <is>
          <t>indeed</t>
        </is>
      </c>
      <c r="E58" t="inlineStr"/>
      <c r="F58" t="inlineStr"/>
      <c r="G58" t="inlineStr">
        <is>
          <t>Seattle, WA, US</t>
        </is>
      </c>
      <c r="H58" s="2" t="n">
        <v>45979</v>
      </c>
      <c r="I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in-f9716bec2d7b4ec7</t>
        </is>
      </c>
      <c r="B59" t="inlineStr">
        <is>
          <t>Applied Scientist II, Robotics and ML, Amazon Industrial Robotics</t>
        </is>
      </c>
      <c r="C59" t="inlineStr">
        <is>
          <t>Amazon.com</t>
        </is>
      </c>
      <c r="D59" t="inlineStr">
        <is>
          <t>indeed</t>
        </is>
      </c>
      <c r="E59" t="inlineStr"/>
      <c r="F59" t="inlineStr"/>
      <c r="G59" t="inlineStr">
        <is>
          <t>Reading, MA, US</t>
        </is>
      </c>
      <c r="H59" s="2" t="n">
        <v>45975</v>
      </c>
      <c r="I5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in-76d0e7c36e128617</t>
        </is>
      </c>
      <c r="B60" t="inlineStr">
        <is>
          <t>Applied Scientist II, Robotics and ML, Amazon Industrial Robotics</t>
        </is>
      </c>
      <c r="C60" t="inlineStr">
        <is>
          <t>Amazon.com</t>
        </is>
      </c>
      <c r="D60" t="inlineStr">
        <is>
          <t>indeed</t>
        </is>
      </c>
      <c r="E60" t="inlineStr"/>
      <c r="F60" t="inlineStr"/>
      <c r="G60" t="inlineStr">
        <is>
          <t>Reading, MA, US</t>
        </is>
      </c>
      <c r="H60" s="2" t="n">
        <v>45975</v>
      </c>
      <c r="I6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in-62d77c496b9c0f8f</t>
        </is>
      </c>
      <c r="B61" t="inlineStr">
        <is>
          <t>Sr. Applied Scientist, Amazon Industrial Robotics</t>
        </is>
      </c>
      <c r="C61" t="inlineStr">
        <is>
          <t>Amazon.com</t>
        </is>
      </c>
      <c r="D61" t="inlineStr">
        <is>
          <t>indeed</t>
        </is>
      </c>
      <c r="E61" t="inlineStr"/>
      <c r="F61" t="inlineStr"/>
      <c r="G61" t="inlineStr">
        <is>
          <t>Reading, MA, US</t>
        </is>
      </c>
      <c r="H61" s="2" t="n">
        <v>45973</v>
      </c>
      <c r="I6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in-54265fe22a2ffc86</t>
        </is>
      </c>
      <c r="B62" t="inlineStr">
        <is>
          <t>Sr. Applied Scientist, Amazon Industrial Robotics</t>
        </is>
      </c>
      <c r="C62" t="inlineStr">
        <is>
          <t>Amazon.com</t>
        </is>
      </c>
      <c r="D62" t="inlineStr">
        <is>
          <t>indeed</t>
        </is>
      </c>
      <c r="E62" t="inlineStr"/>
      <c r="F62" t="inlineStr"/>
      <c r="G62" t="inlineStr">
        <is>
          <t>Reading, MA, US</t>
        </is>
      </c>
      <c r="H62" s="2" t="n">
        <v>45973</v>
      </c>
      <c r="I6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in-fc1293d9dfc5363f</t>
        </is>
      </c>
      <c r="B63" t="inlineStr">
        <is>
          <t>Senior Applied Scientist, Planning and Controls, Amazon Industrial Robotics</t>
        </is>
      </c>
      <c r="C63" t="inlineStr">
        <is>
          <t>Amazon.com</t>
        </is>
      </c>
      <c r="D63" t="inlineStr">
        <is>
          <t>indeed</t>
        </is>
      </c>
      <c r="E63" t="inlineStr"/>
      <c r="F63" t="inlineStr"/>
      <c r="G63" t="inlineStr">
        <is>
          <t>Reading, MA, US</t>
        </is>
      </c>
      <c r="H63" s="2" t="n">
        <v>45972</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in-e8c3503bb2e93c86</t>
        </is>
      </c>
      <c r="B64" t="inlineStr">
        <is>
          <t>Senior Applied Scientist, Planning and Controls, Amazon Industrial Robotics</t>
        </is>
      </c>
      <c r="C64" t="inlineStr">
        <is>
          <t>Amazon.com</t>
        </is>
      </c>
      <c r="D64" t="inlineStr">
        <is>
          <t>indeed</t>
        </is>
      </c>
      <c r="E64" t="inlineStr"/>
      <c r="F64" t="inlineStr"/>
      <c r="G64" t="inlineStr">
        <is>
          <t>Reading, MA, US</t>
        </is>
      </c>
      <c r="H64" s="2" t="n">
        <v>45972</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in-52d718236d17e28a</t>
        </is>
      </c>
      <c r="B65" t="inlineStr">
        <is>
          <t>Zappos Data Scientist III, Zappos/Shopbop Catalog Engineering</t>
        </is>
      </c>
      <c r="C65" t="inlineStr">
        <is>
          <t>Amazon.com</t>
        </is>
      </c>
      <c r="D65" t="inlineStr">
        <is>
          <t>indeed</t>
        </is>
      </c>
      <c r="E65" t="inlineStr"/>
      <c r="F65" t="inlineStr"/>
      <c r="G65" t="inlineStr">
        <is>
          <t>New York, NY, US</t>
        </is>
      </c>
      <c r="H65" s="2" t="n">
        <v>45965</v>
      </c>
      <c r="I65"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in-78efe0563d876afd</t>
        </is>
      </c>
      <c r="B66" t="inlineStr">
        <is>
          <t>Zappos Data Scientist III, Zappos/Shopbop Catalog Engineering</t>
        </is>
      </c>
      <c r="C66" t="inlineStr">
        <is>
          <t>Amazon.com</t>
        </is>
      </c>
      <c r="D66" t="inlineStr">
        <is>
          <t>indeed</t>
        </is>
      </c>
      <c r="E66" t="inlineStr"/>
      <c r="F66" t="inlineStr"/>
      <c r="G66" t="inlineStr">
        <is>
          <t>Madison, WI, US</t>
        </is>
      </c>
      <c r="H66" s="2" t="n">
        <v>45965</v>
      </c>
      <c r="I66"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in-a847661ef9829b35</t>
        </is>
      </c>
      <c r="B67" t="inlineStr">
        <is>
          <t>Principal Applied Scientist, Amazon AGI</t>
        </is>
      </c>
      <c r="C67" t="inlineStr">
        <is>
          <t>Amazon.com</t>
        </is>
      </c>
      <c r="D67" t="inlineStr">
        <is>
          <t>indeed</t>
        </is>
      </c>
      <c r="E67" t="inlineStr"/>
      <c r="F67" t="inlineStr"/>
      <c r="G67" t="inlineStr">
        <is>
          <t>Boston, MA, US</t>
        </is>
      </c>
      <c r="H67" s="2" t="n">
        <v>45964</v>
      </c>
      <c r="I6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in-5bb76ebb9f0a8357</t>
        </is>
      </c>
      <c r="B68" t="inlineStr">
        <is>
          <t>Principal Applied Scientist, Amazon AGI</t>
        </is>
      </c>
      <c r="C68" t="inlineStr">
        <is>
          <t>Amazon.com</t>
        </is>
      </c>
      <c r="D68" t="inlineStr">
        <is>
          <t>indeed</t>
        </is>
      </c>
      <c r="E68" t="inlineStr"/>
      <c r="F68" t="inlineStr"/>
      <c r="G68" t="inlineStr">
        <is>
          <t>San Francisco, CA, US</t>
        </is>
      </c>
      <c r="H68" s="2" t="n">
        <v>45964</v>
      </c>
      <c r="I6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in-7feab6d2925d7858</t>
        </is>
      </c>
      <c r="B69" t="inlineStr">
        <is>
          <t>Principal Applied Scientist, AWS Agentic AI Science</t>
        </is>
      </c>
      <c r="C69" t="inlineStr">
        <is>
          <t>Amazon Web Services</t>
        </is>
      </c>
      <c r="D69" t="inlineStr">
        <is>
          <t>indeed</t>
        </is>
      </c>
      <c r="E69" t="inlineStr"/>
      <c r="F69" t="inlineStr"/>
      <c r="G69" t="inlineStr">
        <is>
          <t>New York, NY, US</t>
        </is>
      </c>
      <c r="H69" s="2" t="n">
        <v>45963</v>
      </c>
      <c r="I69"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in-14cf87d4a71e92fd</t>
        </is>
      </c>
      <c r="B70" t="inlineStr">
        <is>
          <t>Principal Applied Scientist, AWS Agentic AI Science</t>
        </is>
      </c>
      <c r="C70" t="inlineStr">
        <is>
          <t>Amazon Web Services</t>
        </is>
      </c>
      <c r="D70" t="inlineStr">
        <is>
          <t>indeed</t>
        </is>
      </c>
      <c r="E70" t="inlineStr"/>
      <c r="F70" t="inlineStr"/>
      <c r="G70" t="inlineStr">
        <is>
          <t>Santa Clara, CA, US</t>
        </is>
      </c>
      <c r="H70" s="2" t="n">
        <v>45963</v>
      </c>
      <c r="I7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in-39b1c25589a2e0aa</t>
        </is>
      </c>
      <c r="B71" t="inlineStr">
        <is>
          <t>Sr. Applied Scientist, Sponsored Product Off-Search</t>
        </is>
      </c>
      <c r="C71" t="inlineStr">
        <is>
          <t>Amazon.com</t>
        </is>
      </c>
      <c r="D71" t="inlineStr">
        <is>
          <t>indeed</t>
        </is>
      </c>
      <c r="E71" t="inlineStr"/>
      <c r="F71" t="inlineStr"/>
      <c r="G71" t="inlineStr">
        <is>
          <t>Seattle, WA, US</t>
        </is>
      </c>
      <c r="H71" s="2" t="n">
        <v>45963</v>
      </c>
      <c r="I7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in-44ffab6083e22b62</t>
        </is>
      </c>
      <c r="B72" t="inlineStr">
        <is>
          <t>Sr. Applied Scientist, Sponsored Product Off-Search</t>
        </is>
      </c>
      <c r="C72" t="inlineStr">
        <is>
          <t>Amazon.com</t>
        </is>
      </c>
      <c r="D72" t="inlineStr">
        <is>
          <t>indeed</t>
        </is>
      </c>
      <c r="E72" t="inlineStr"/>
      <c r="F72" t="inlineStr"/>
      <c r="G72" t="inlineStr">
        <is>
          <t>New York, NY, US</t>
        </is>
      </c>
      <c r="H72" s="2" t="n">
        <v>45963</v>
      </c>
      <c r="I7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in-146c768be76c7482</t>
        </is>
      </c>
      <c r="B73" t="inlineStr">
        <is>
          <t>Applied Scientist, AWS Agentic AI</t>
        </is>
      </c>
      <c r="C73" t="inlineStr">
        <is>
          <t>Amazon Web Services</t>
        </is>
      </c>
      <c r="D73" t="inlineStr">
        <is>
          <t>indeed</t>
        </is>
      </c>
      <c r="E73" t="inlineStr"/>
      <c r="F73" t="inlineStr"/>
      <c r="G73" t="inlineStr">
        <is>
          <t>New York, NY, US</t>
        </is>
      </c>
      <c r="H73" s="2"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in-0772863a93066796</t>
        </is>
      </c>
      <c r="B74" t="inlineStr">
        <is>
          <t>Applied Scientist, AWS Agentic AI</t>
        </is>
      </c>
      <c r="C74" t="inlineStr">
        <is>
          <t>Amazon Web Services</t>
        </is>
      </c>
      <c r="D74" t="inlineStr">
        <is>
          <t>indeed</t>
        </is>
      </c>
      <c r="E74" t="inlineStr"/>
      <c r="F74" t="inlineStr"/>
      <c r="G74" t="inlineStr">
        <is>
          <t>Santa Clara, CA, US</t>
        </is>
      </c>
      <c r="H74" s="2"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in-492d344fab837358</t>
        </is>
      </c>
      <c r="B75" t="inlineStr">
        <is>
          <t>Applied Scientist, AWS Agentic AI</t>
        </is>
      </c>
      <c r="C75" t="inlineStr">
        <is>
          <t>Amazon Web Services</t>
        </is>
      </c>
      <c r="D75" t="inlineStr">
        <is>
          <t>indeed</t>
        </is>
      </c>
      <c r="E75" t="inlineStr"/>
      <c r="F75" t="inlineStr"/>
      <c r="G75" t="inlineStr">
        <is>
          <t>Seattle, WA, US</t>
        </is>
      </c>
      <c r="H75" s="2"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in-719ca1613b44d8d4</t>
        </is>
      </c>
      <c r="B76" t="inlineStr">
        <is>
          <t>Principal Applied Scientist, Advertiser Growth, Amazon Sponsored Products &amp; Brands</t>
        </is>
      </c>
      <c r="C76" t="inlineStr">
        <is>
          <t>Amazon.com</t>
        </is>
      </c>
      <c r="D76" t="inlineStr">
        <is>
          <t>indeed</t>
        </is>
      </c>
      <c r="E76" t="inlineStr"/>
      <c r="F76" t="inlineStr"/>
      <c r="G76" t="inlineStr">
        <is>
          <t>New York, NY,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in-d3e993f7e49891b0</t>
        </is>
      </c>
      <c r="B77" t="inlineStr">
        <is>
          <t>Principal Applied Scientist, Advertiser Growth, Amazon Sponsored Products &amp; Brands</t>
        </is>
      </c>
      <c r="C77" t="inlineStr">
        <is>
          <t>Amazon.com</t>
        </is>
      </c>
      <c r="D77" t="inlineStr">
        <is>
          <t>indeed</t>
        </is>
      </c>
      <c r="E77" t="inlineStr"/>
      <c r="F77" t="inlineStr"/>
      <c r="G77" t="inlineStr">
        <is>
          <t>Palo Alto, CA,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in-624a6f07ddc90893</t>
        </is>
      </c>
      <c r="B78" t="inlineStr">
        <is>
          <t>Principal Applied Scientist, Advertiser Growth, Amazon Sponsored Products &amp; Brands</t>
        </is>
      </c>
      <c r="C78" t="inlineStr">
        <is>
          <t>Amazon.com</t>
        </is>
      </c>
      <c r="D78" t="inlineStr">
        <is>
          <t>indeed</t>
        </is>
      </c>
      <c r="E78" t="inlineStr"/>
      <c r="F78" t="inlineStr"/>
      <c r="G78" t="inlineStr">
        <is>
          <t>Seattle, WA,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in-0fafcd2bdddedd79</t>
        </is>
      </c>
      <c r="B79" t="inlineStr">
        <is>
          <t>Sr. Applied Scientist, SPB Advertiser Guidance</t>
        </is>
      </c>
      <c r="C79" t="inlineStr">
        <is>
          <t>Amazon.com</t>
        </is>
      </c>
      <c r="D79" t="inlineStr">
        <is>
          <t>indeed</t>
        </is>
      </c>
      <c r="E79" t="inlineStr"/>
      <c r="F79" t="inlineStr"/>
      <c r="G79" t="inlineStr">
        <is>
          <t>New York, NY,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in-349d8afe62a414aa</t>
        </is>
      </c>
      <c r="B80" t="inlineStr">
        <is>
          <t>Sr. Applied Scientist, SPB Advertiser Guidance</t>
        </is>
      </c>
      <c r="C80" t="inlineStr">
        <is>
          <t>Amazon.com</t>
        </is>
      </c>
      <c r="D80" t="inlineStr">
        <is>
          <t>indeed</t>
        </is>
      </c>
      <c r="E80" t="inlineStr"/>
      <c r="F80" t="inlineStr"/>
      <c r="G80" t="inlineStr">
        <is>
          <t>Palo Alto, CA,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in-727a607112bcb7de</t>
        </is>
      </c>
      <c r="B81" t="inlineStr">
        <is>
          <t>Applied Scientist</t>
        </is>
      </c>
      <c r="C81" t="inlineStr">
        <is>
          <t>Amazon.com</t>
        </is>
      </c>
      <c r="D81" t="inlineStr">
        <is>
          <t>indeed</t>
        </is>
      </c>
      <c r="E81" t="inlineStr"/>
      <c r="F81" t="inlineStr"/>
      <c r="G81" t="inlineStr">
        <is>
          <t>Palo Alto, CA,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in-31fc28db8f9b9c2c</t>
        </is>
      </c>
      <c r="B82" t="inlineStr">
        <is>
          <t>Sr. Applied Scientist, SPB Advertiser Guidance</t>
        </is>
      </c>
      <c r="C82" t="inlineStr">
        <is>
          <t>Amazon.com</t>
        </is>
      </c>
      <c r="D82" t="inlineStr">
        <is>
          <t>indeed</t>
        </is>
      </c>
      <c r="E82" t="inlineStr"/>
      <c r="F82" t="inlineStr"/>
      <c r="G82" t="inlineStr">
        <is>
          <t>Seattle, WA,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in-55e060b57331c0af</t>
        </is>
      </c>
      <c r="B83" t="inlineStr">
        <is>
          <t>Applied Scientist</t>
        </is>
      </c>
      <c r="C83" t="inlineStr">
        <is>
          <t>Amazon.com</t>
        </is>
      </c>
      <c r="D83" t="inlineStr">
        <is>
          <t>indeed</t>
        </is>
      </c>
      <c r="E83" t="inlineStr"/>
      <c r="F83" t="inlineStr"/>
      <c r="G83" t="inlineStr">
        <is>
          <t>New York, NY, US</t>
        </is>
      </c>
      <c r="H83" s="2" t="n">
        <v>45939</v>
      </c>
      <c r="I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in-3d7a6062ee6804c7</t>
        </is>
      </c>
      <c r="B84" t="inlineStr">
        <is>
          <t>Applied Scientist</t>
        </is>
      </c>
      <c r="C84" t="inlineStr">
        <is>
          <t>Amazon.com</t>
        </is>
      </c>
      <c r="D84" t="inlineStr">
        <is>
          <t>indeed</t>
        </is>
      </c>
      <c r="E84" t="inlineStr"/>
      <c r="F84" t="inlineStr"/>
      <c r="G84" t="inlineStr">
        <is>
          <t>Seattle, WA,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in-d8c780f5da8668e7</t>
        </is>
      </c>
      <c r="B85" t="inlineStr">
        <is>
          <t>Principal Applied Scientist, Amazon - Sponsored Products</t>
        </is>
      </c>
      <c r="C85" t="inlineStr">
        <is>
          <t>Amazon.com</t>
        </is>
      </c>
      <c r="D85" t="inlineStr">
        <is>
          <t>indeed</t>
        </is>
      </c>
      <c r="E85" t="inlineStr"/>
      <c r="F85" t="inlineStr"/>
      <c r="G85" t="inlineStr">
        <is>
          <t>New York, NY, US</t>
        </is>
      </c>
      <c r="H85" s="2" t="n">
        <v>45924</v>
      </c>
      <c r="I85"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in-39d77efe57909ca6</t>
        </is>
      </c>
      <c r="B86" t="inlineStr">
        <is>
          <t>Principal Applied Scientist, Amazon - Sponsored Products</t>
        </is>
      </c>
      <c r="C86" t="inlineStr">
        <is>
          <t>Amazon.com</t>
        </is>
      </c>
      <c r="D86" t="inlineStr">
        <is>
          <t>indeed</t>
        </is>
      </c>
      <c r="E86" t="inlineStr"/>
      <c r="F86" t="inlineStr"/>
      <c r="G86" t="inlineStr">
        <is>
          <t>Seattle, WA, US</t>
        </is>
      </c>
      <c r="H86" s="2" t="n">
        <v>45924</v>
      </c>
      <c r="I8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in-e2b3689ed406f92c</t>
        </is>
      </c>
      <c r="B87" t="inlineStr">
        <is>
          <t>Principal Applied Scientist, Amazon - Sponsored Products</t>
        </is>
      </c>
      <c r="C87" t="inlineStr">
        <is>
          <t>Amazon.com</t>
        </is>
      </c>
      <c r="D87" t="inlineStr">
        <is>
          <t>indeed</t>
        </is>
      </c>
      <c r="E87" t="inlineStr"/>
      <c r="F87" t="inlineStr"/>
      <c r="G87" t="inlineStr">
        <is>
          <t>Palo Alto, CA, US</t>
        </is>
      </c>
      <c r="H87" s="2" t="n">
        <v>45924</v>
      </c>
      <c r="I8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in-bd8da05cb45a1b6a</t>
        </is>
      </c>
      <c r="B88" t="inlineStr">
        <is>
          <t>Senior Applied Scientist, Sponsored Products and Brands</t>
        </is>
      </c>
      <c r="C88" t="inlineStr">
        <is>
          <t>Amazon.com</t>
        </is>
      </c>
      <c r="D88" t="inlineStr">
        <is>
          <t>indeed</t>
        </is>
      </c>
      <c r="E88" t="inlineStr"/>
      <c r="F88" t="inlineStr"/>
      <c r="G88" t="inlineStr">
        <is>
          <t>New York, NY, US</t>
        </is>
      </c>
      <c r="H88" s="2" t="n">
        <v>45922</v>
      </c>
      <c r="I8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in-eb5c64d54ff99037</t>
        </is>
      </c>
      <c r="B89" t="inlineStr">
        <is>
          <t>Senior Applied Scientist, Sponsored Products and Brands</t>
        </is>
      </c>
      <c r="C89" t="inlineStr">
        <is>
          <t>Amazon.com</t>
        </is>
      </c>
      <c r="D89" t="inlineStr">
        <is>
          <t>indeed</t>
        </is>
      </c>
      <c r="E89" t="inlineStr"/>
      <c r="F89" t="inlineStr"/>
      <c r="G89" t="inlineStr">
        <is>
          <t>Seattle, WA, US</t>
        </is>
      </c>
      <c r="H89" s="2" t="n">
        <v>45922</v>
      </c>
      <c r="I8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in-92195daccf551992</t>
        </is>
      </c>
      <c r="B90" t="inlineStr">
        <is>
          <t>Applied Scientist, Workplace Health &amp; Safety</t>
        </is>
      </c>
      <c r="C90" t="inlineStr">
        <is>
          <t>Amazon.com</t>
        </is>
      </c>
      <c r="D90" t="inlineStr">
        <is>
          <t>indeed</t>
        </is>
      </c>
      <c r="E90" t="inlineStr"/>
      <c r="F90" t="inlineStr"/>
      <c r="G90" t="inlineStr">
        <is>
          <t>Bellevue, WA, US</t>
        </is>
      </c>
      <c r="H90" s="2" t="n">
        <v>45917</v>
      </c>
      <c r="I9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in-135860f82b07ab5a</t>
        </is>
      </c>
      <c r="B91" t="inlineStr">
        <is>
          <t>Applied Scientist, Workplace Health &amp; Safety</t>
        </is>
      </c>
      <c r="C91" t="inlineStr">
        <is>
          <t>Amazon.com</t>
        </is>
      </c>
      <c r="D91" t="inlineStr">
        <is>
          <t>indeed</t>
        </is>
      </c>
      <c r="E91" t="inlineStr"/>
      <c r="F91" t="inlineStr"/>
      <c r="G91" t="inlineStr">
        <is>
          <t>Nashville, TN, US</t>
        </is>
      </c>
      <c r="H91" s="2" t="n">
        <v>45917</v>
      </c>
      <c r="I9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in-486d1660760f840a</t>
        </is>
      </c>
      <c r="B92" t="inlineStr">
        <is>
          <t>Sr. Applied Scientist, Amazon Advertising</t>
        </is>
      </c>
      <c r="C92" t="inlineStr">
        <is>
          <t>Amazon.com</t>
        </is>
      </c>
      <c r="D92" t="inlineStr">
        <is>
          <t>indeed</t>
        </is>
      </c>
      <c r="E92" t="inlineStr"/>
      <c r="F92" t="inlineStr"/>
      <c r="G92" t="inlineStr">
        <is>
          <t>Seattle, WA,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in-d541011c06fba11d</t>
        </is>
      </c>
      <c r="B93" t="inlineStr">
        <is>
          <t>Sr. Applied Scientist, Amazon Advertising</t>
        </is>
      </c>
      <c r="C93" t="inlineStr">
        <is>
          <t>Amazon.com</t>
        </is>
      </c>
      <c r="D93" t="inlineStr">
        <is>
          <t>indeed</t>
        </is>
      </c>
      <c r="E93" t="inlineStr"/>
      <c r="F93" t="inlineStr"/>
      <c r="G93" t="inlineStr">
        <is>
          <t>Austin, TX,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in-39311c4f6d916ff9</t>
        </is>
      </c>
      <c r="B94" t="inlineStr">
        <is>
          <t>Sr. Applied Scientist, Amazon Advertising</t>
        </is>
      </c>
      <c r="C94" t="inlineStr">
        <is>
          <t>Amazon.com</t>
        </is>
      </c>
      <c r="D94" t="inlineStr">
        <is>
          <t>indeed</t>
        </is>
      </c>
      <c r="E94" t="inlineStr"/>
      <c r="F94" t="inlineStr"/>
      <c r="G94" t="inlineStr">
        <is>
          <t>Simi Valley, CA,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in-5be5dcdd5f24e536</t>
        </is>
      </c>
      <c r="B95" t="inlineStr">
        <is>
          <t>Sr. Applied Scientist, Amazon Advertising</t>
        </is>
      </c>
      <c r="C95" t="inlineStr">
        <is>
          <t>Amazon.com</t>
        </is>
      </c>
      <c r="D95" t="inlineStr">
        <is>
          <t>indeed</t>
        </is>
      </c>
      <c r="E95" t="inlineStr"/>
      <c r="F95" t="inlineStr"/>
      <c r="G95" t="inlineStr">
        <is>
          <t>Arlington, VA,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in-2e74a36d896049c4</t>
        </is>
      </c>
      <c r="B96" t="inlineStr">
        <is>
          <t>Sr. Applied Scientist, Amazon Advertising</t>
        </is>
      </c>
      <c r="C96" t="inlineStr">
        <is>
          <t>Amazon.com</t>
        </is>
      </c>
      <c r="D96" t="inlineStr">
        <is>
          <t>indeed</t>
        </is>
      </c>
      <c r="E96" t="inlineStr"/>
      <c r="F96" t="inlineStr"/>
      <c r="G96" t="inlineStr">
        <is>
          <t>Los Angeles, CA,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in-c5e218013fa0e785</t>
        </is>
      </c>
      <c r="B97" t="inlineStr">
        <is>
          <t>Sr. Applied Scientist, Amazon Advertising</t>
        </is>
      </c>
      <c r="C97" t="inlineStr">
        <is>
          <t>Amazon.com</t>
        </is>
      </c>
      <c r="D97" t="inlineStr">
        <is>
          <t>indeed</t>
        </is>
      </c>
      <c r="E97" t="inlineStr"/>
      <c r="F97" t="inlineStr"/>
      <c r="G97" t="inlineStr">
        <is>
          <t>Palo Alto,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in-bf25784b05a531b2</t>
        </is>
      </c>
      <c r="B98" t="inlineStr">
        <is>
          <t>Sr. Applied Scientist, Amazon Advertising</t>
        </is>
      </c>
      <c r="C98" t="inlineStr">
        <is>
          <t>Amazon.com</t>
        </is>
      </c>
      <c r="D98" t="inlineStr">
        <is>
          <t>indeed</t>
        </is>
      </c>
      <c r="E98" t="inlineStr"/>
      <c r="F98" t="inlineStr"/>
      <c r="G98" t="inlineStr">
        <is>
          <t>New York, NY,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in-9b644759bf45faa3</t>
        </is>
      </c>
      <c r="B99" t="inlineStr">
        <is>
          <t>Sr. Applied Scientist, Amazon Advertising</t>
        </is>
      </c>
      <c r="C99" t="inlineStr">
        <is>
          <t>Amazon.com</t>
        </is>
      </c>
      <c r="D99" t="inlineStr">
        <is>
          <t>indeed</t>
        </is>
      </c>
      <c r="E99" t="inlineStr"/>
      <c r="F99" t="inlineStr"/>
      <c r="G99" t="inlineStr">
        <is>
          <t>West Hollywood, CA,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in-4b840d97f04c98f2</t>
        </is>
      </c>
      <c r="B100" t="inlineStr">
        <is>
          <t>Senior Applied Scientist, Artificial General Intelligence</t>
        </is>
      </c>
      <c r="C100" t="inlineStr">
        <is>
          <t>Amazon.com</t>
        </is>
      </c>
      <c r="D100" t="inlineStr">
        <is>
          <t>indeed</t>
        </is>
      </c>
      <c r="E100" t="inlineStr"/>
      <c r="F100" t="inlineStr"/>
      <c r="G100" t="inlineStr">
        <is>
          <t>New York, NY, US</t>
        </is>
      </c>
      <c r="H100" s="2" t="n">
        <v>45838</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in-8fb79d7f246b6516</t>
        </is>
      </c>
      <c r="B101" t="inlineStr">
        <is>
          <t>Senior Applied Scientist, Artificial General Intelligence</t>
        </is>
      </c>
      <c r="C101" t="inlineStr">
        <is>
          <t>Amazon.com</t>
        </is>
      </c>
      <c r="D101" t="inlineStr">
        <is>
          <t>indeed</t>
        </is>
      </c>
      <c r="E101" t="inlineStr"/>
      <c r="F101" t="inlineStr"/>
      <c r="G101" t="inlineStr">
        <is>
          <t>Sunnyvale, CA, US</t>
        </is>
      </c>
      <c r="H101" s="2" t="n">
        <v>45838</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in-c761773a37bbcc15</t>
        </is>
      </c>
      <c r="B102" t="inlineStr">
        <is>
          <t>Senior Applied Scientist, Artificial General Intelligence</t>
        </is>
      </c>
      <c r="C102" t="inlineStr">
        <is>
          <t>Amazon.com</t>
        </is>
      </c>
      <c r="D102" t="inlineStr">
        <is>
          <t>indeed</t>
        </is>
      </c>
      <c r="E102" t="inlineStr"/>
      <c r="F102" t="inlineStr"/>
      <c r="G102" t="inlineStr">
        <is>
          <t>Boston, MA, US</t>
        </is>
      </c>
      <c r="H102" s="2" t="n">
        <v>45838</v>
      </c>
      <c r="I10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in-25baf3a9ec6bebae</t>
        </is>
      </c>
      <c r="B103" t="inlineStr">
        <is>
          <t>Sr. Applied Scientist, Sales AI</t>
        </is>
      </c>
      <c r="C103" t="inlineStr">
        <is>
          <t>Amazon.com</t>
        </is>
      </c>
      <c r="D103" t="inlineStr">
        <is>
          <t>indeed</t>
        </is>
      </c>
      <c r="E103" t="inlineStr"/>
      <c r="F103" t="inlineStr"/>
      <c r="G103" t="inlineStr">
        <is>
          <t>Sunnyvale, CA,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in-7cdf73e4e944ef45</t>
        </is>
      </c>
      <c r="B104" t="inlineStr">
        <is>
          <t>Sr. Applied Scientist, Sales AI</t>
        </is>
      </c>
      <c r="C104" t="inlineStr">
        <is>
          <t>Amazon.com</t>
        </is>
      </c>
      <c r="D104" t="inlineStr">
        <is>
          <t>indeed</t>
        </is>
      </c>
      <c r="E104" t="inlineStr"/>
      <c r="F104" t="inlineStr"/>
      <c r="G104" t="inlineStr">
        <is>
          <t>New York, NY, US</t>
        </is>
      </c>
      <c r="H104" s="2"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in-e514f58d6d8544a8</t>
        </is>
      </c>
      <c r="B105" t="inlineStr">
        <is>
          <t>Sr. Applied Scientist, Sales AI</t>
        </is>
      </c>
      <c r="C105" t="inlineStr">
        <is>
          <t>Amazon.com</t>
        </is>
      </c>
      <c r="D105" t="inlineStr">
        <is>
          <t>indeed</t>
        </is>
      </c>
      <c r="E105" t="inlineStr"/>
      <c r="F105" t="inlineStr"/>
      <c r="G105" t="inlineStr">
        <is>
          <t>Seattle, WA, US</t>
        </is>
      </c>
      <c r="H105" s="2" t="n">
        <v>45830</v>
      </c>
      <c r="I1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in-57b20def8e5d59c2</t>
        </is>
      </c>
      <c r="B106" t="inlineStr">
        <is>
          <t>Sr. Applied Scientist, AGI Info</t>
        </is>
      </c>
      <c r="C106" t="inlineStr">
        <is>
          <t>Amazon.com</t>
        </is>
      </c>
      <c r="D106" t="inlineStr">
        <is>
          <t>indeed</t>
        </is>
      </c>
      <c r="E106" t="inlineStr"/>
      <c r="F106" t="inlineStr"/>
      <c r="G106" t="inlineStr">
        <is>
          <t>Bellevue, WA, US</t>
        </is>
      </c>
      <c r="H106" s="2" t="n">
        <v>45811</v>
      </c>
      <c r="I10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in-f190d139ada9bd3b</t>
        </is>
      </c>
      <c r="B107" t="inlineStr">
        <is>
          <t>Sr. Applied Scientist, AGI Info</t>
        </is>
      </c>
      <c r="C107" t="inlineStr">
        <is>
          <t>Amazon.com</t>
        </is>
      </c>
      <c r="D107" t="inlineStr">
        <is>
          <t>indeed</t>
        </is>
      </c>
      <c r="E107" t="inlineStr"/>
      <c r="F107" t="inlineStr"/>
      <c r="G107" t="inlineStr">
        <is>
          <t>Sunnyvale, CA, US</t>
        </is>
      </c>
      <c r="H107" s="2" t="n">
        <v>45811</v>
      </c>
      <c r="I107"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in-ccb4142c1ed01b2f</t>
        </is>
      </c>
      <c r="B108" t="inlineStr">
        <is>
          <t>Principal Applied Scientist, Delivery Foundation Model</t>
        </is>
      </c>
      <c r="C108" t="inlineStr">
        <is>
          <t>Amazon.com</t>
        </is>
      </c>
      <c r="D108" t="inlineStr">
        <is>
          <t>indeed</t>
        </is>
      </c>
      <c r="E108" t="inlineStr"/>
      <c r="F108" t="inlineStr"/>
      <c r="G108" t="inlineStr">
        <is>
          <t>New York, NY, US</t>
        </is>
      </c>
      <c r="H108" s="2" t="n">
        <v>45810</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in-95ed31b96434852e</t>
        </is>
      </c>
      <c r="B109" t="inlineStr">
        <is>
          <t>Principal Applied Scientist, Delivery Foundation Model</t>
        </is>
      </c>
      <c r="C109" t="inlineStr">
        <is>
          <t>Amazon.com</t>
        </is>
      </c>
      <c r="D109" t="inlineStr">
        <is>
          <t>indeed</t>
        </is>
      </c>
      <c r="E109" t="inlineStr"/>
      <c r="F109" t="inlineStr"/>
      <c r="G109" t="inlineStr">
        <is>
          <t>Bellevue, WA, US</t>
        </is>
      </c>
      <c r="H109" s="2"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in-ed2ad38b503148ad</t>
        </is>
      </c>
      <c r="B110" t="inlineStr">
        <is>
          <t>Principal Applied Scientist, Delivery Foundation Model</t>
        </is>
      </c>
      <c r="C110" t="inlineStr">
        <is>
          <t>Amazon.com</t>
        </is>
      </c>
      <c r="D110" t="inlineStr">
        <is>
          <t>indeed</t>
        </is>
      </c>
      <c r="E110" t="inlineStr"/>
      <c r="F110" t="inlineStr"/>
      <c r="G110" t="inlineStr">
        <is>
          <t>Austin, TX,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in-50668401afe56706</t>
        </is>
      </c>
      <c r="B111" t="inlineStr">
        <is>
          <t>Principal Applied Scientist, Delivery Foundation Model</t>
        </is>
      </c>
      <c r="C111" t="inlineStr">
        <is>
          <t>Amazon.com</t>
        </is>
      </c>
      <c r="D111" t="inlineStr">
        <is>
          <t>indeed</t>
        </is>
      </c>
      <c r="E111" t="inlineStr"/>
      <c r="F111" t="inlineStr"/>
      <c r="G111" t="inlineStr">
        <is>
          <t>Santa Clara, CA, US</t>
        </is>
      </c>
      <c r="H111" s="2"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in-10141acd6379d399</t>
        </is>
      </c>
      <c r="B112" t="inlineStr">
        <is>
          <t>Senior Applied Scientist, Delivery Foundation Model</t>
        </is>
      </c>
      <c r="C112" t="inlineStr">
        <is>
          <t>Amazon.com</t>
        </is>
      </c>
      <c r="D112" t="inlineStr">
        <is>
          <t>indeed</t>
        </is>
      </c>
      <c r="E112" t="inlineStr"/>
      <c r="F112" t="inlineStr"/>
      <c r="G112" t="inlineStr">
        <is>
          <t>New York, NY, US</t>
        </is>
      </c>
      <c r="H112" s="2" t="n">
        <v>45806</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in-df5f2742e7695dc3</t>
        </is>
      </c>
      <c r="B113" t="inlineStr">
        <is>
          <t>Senior Applied Scientist, Delivery Foundation Model</t>
        </is>
      </c>
      <c r="C113" t="inlineStr">
        <is>
          <t>Amazon.com</t>
        </is>
      </c>
      <c r="D113" t="inlineStr">
        <is>
          <t>indeed</t>
        </is>
      </c>
      <c r="E113" t="inlineStr"/>
      <c r="F113" t="inlineStr"/>
      <c r="G113" t="inlineStr">
        <is>
          <t>Bellevue, WA, US</t>
        </is>
      </c>
      <c r="H113" s="2"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in-acf6509975fb04a0</t>
        </is>
      </c>
      <c r="B114" t="inlineStr">
        <is>
          <t>Senior Applied Scientist, Delivery Foundation Model</t>
        </is>
      </c>
      <c r="C114" t="inlineStr">
        <is>
          <t>Amazon.com</t>
        </is>
      </c>
      <c r="D114" t="inlineStr">
        <is>
          <t>indeed</t>
        </is>
      </c>
      <c r="E114" t="inlineStr"/>
      <c r="F114" t="inlineStr"/>
      <c r="G114" t="inlineStr">
        <is>
          <t>Santa Clara, CA, US</t>
        </is>
      </c>
      <c r="H114" s="2" t="n">
        <v>45806</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in-d0827f932bddbbde</t>
        </is>
      </c>
      <c r="B115" t="inlineStr">
        <is>
          <t>Sr. Applied Scientist - Privacy, Privacy Engineering</t>
        </is>
      </c>
      <c r="C115" t="inlineStr">
        <is>
          <t>Amazon.com</t>
        </is>
      </c>
      <c r="D115" t="inlineStr">
        <is>
          <t>indeed</t>
        </is>
      </c>
      <c r="E115" t="inlineStr"/>
      <c r="F115" t="inlineStr"/>
      <c r="G115" t="inlineStr">
        <is>
          <t>Seattle, WA, US</t>
        </is>
      </c>
      <c r="H115" s="2" t="n">
        <v>45787</v>
      </c>
      <c r="I11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in-8b0f110bafa0e085</t>
        </is>
      </c>
      <c r="B116" t="inlineStr">
        <is>
          <t>Sr. Applied Scientist - Privacy, Privacy Engineering</t>
        </is>
      </c>
      <c r="C116" t="inlineStr">
        <is>
          <t>Amazon.com</t>
        </is>
      </c>
      <c r="D116" t="inlineStr">
        <is>
          <t>indeed</t>
        </is>
      </c>
      <c r="E116" t="inlineStr"/>
      <c r="F116" t="inlineStr"/>
      <c r="G116" t="inlineStr">
        <is>
          <t>San Francisco, CA, US</t>
        </is>
      </c>
      <c r="H116" s="2" t="n">
        <v>45787</v>
      </c>
      <c r="I11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in-bc2138f8ae948f60</t>
        </is>
      </c>
      <c r="B117" t="inlineStr">
        <is>
          <t>Sr. Applied Scientist - Privacy, Privacy Engineering</t>
        </is>
      </c>
      <c r="C117" t="inlineStr">
        <is>
          <t>Amazon.com</t>
        </is>
      </c>
      <c r="D117" t="inlineStr">
        <is>
          <t>indeed</t>
        </is>
      </c>
      <c r="E117" t="inlineStr"/>
      <c r="F117" t="inlineStr"/>
      <c r="G117" t="inlineStr">
        <is>
          <t>Sunnyvale, CA, US</t>
        </is>
      </c>
      <c r="H117" s="2" t="n">
        <v>45787</v>
      </c>
      <c r="I11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in-381e41b87e43fdb4</t>
        </is>
      </c>
      <c r="B118" t="inlineStr">
        <is>
          <t>Sr. Applied Scientist - Privacy, Privacy Engineering</t>
        </is>
      </c>
      <c r="C118" t="inlineStr">
        <is>
          <t>Amazon.com</t>
        </is>
      </c>
      <c r="D118" t="inlineStr">
        <is>
          <t>indeed</t>
        </is>
      </c>
      <c r="E118" t="inlineStr"/>
      <c r="F118" t="inlineStr"/>
      <c r="G118" t="inlineStr">
        <is>
          <t>Santa Clara, CA, US</t>
        </is>
      </c>
      <c r="H118" s="2" t="n">
        <v>45787</v>
      </c>
      <c r="I11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in-894ec7f92c728cec</t>
        </is>
      </c>
      <c r="B119" t="inlineStr">
        <is>
          <t>Principal Applied Scientist, Delivery Foundation Model</t>
        </is>
      </c>
      <c r="C119" t="inlineStr">
        <is>
          <t>Amazon.com</t>
        </is>
      </c>
      <c r="D119" t="inlineStr">
        <is>
          <t>indeed</t>
        </is>
      </c>
      <c r="E119" t="inlineStr"/>
      <c r="F119" t="inlineStr"/>
      <c r="G119" t="inlineStr">
        <is>
          <t>Santa Clara, CA, US</t>
        </is>
      </c>
      <c r="H119" s="2" t="n">
        <v>45757</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in-37d27b3381bcbbcf</t>
        </is>
      </c>
      <c r="B120" t="inlineStr">
        <is>
          <t>Principal Applied Scientist, Delivery Foundation Model</t>
        </is>
      </c>
      <c r="C120" t="inlineStr">
        <is>
          <t>Amazon.com</t>
        </is>
      </c>
      <c r="D120" t="inlineStr">
        <is>
          <t>indeed</t>
        </is>
      </c>
      <c r="E120" t="inlineStr"/>
      <c r="F120" t="inlineStr"/>
      <c r="G120" t="inlineStr">
        <is>
          <t>Bellevue, WA, US</t>
        </is>
      </c>
      <c r="H120" s="2"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in-5cf3bb0b2fcb1091</t>
        </is>
      </c>
      <c r="B121" t="inlineStr">
        <is>
          <t>Principal Applied Scientist, Delivery Foundation Model</t>
        </is>
      </c>
      <c r="C121" t="inlineStr">
        <is>
          <t>Amazon.com</t>
        </is>
      </c>
      <c r="D121" t="inlineStr">
        <is>
          <t>indeed</t>
        </is>
      </c>
      <c r="E121" t="inlineStr"/>
      <c r="F121" t="inlineStr"/>
      <c r="G121" t="inlineStr">
        <is>
          <t>New York, NY, US</t>
        </is>
      </c>
      <c r="H121" s="2" t="n">
        <v>45757</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in-b0cb5d6084956a4a</t>
        </is>
      </c>
      <c r="B122" t="inlineStr">
        <is>
          <t>Principal Applied Scientist, FAR (Frontier AI &amp; Robotics)</t>
        </is>
      </c>
      <c r="C122" t="inlineStr">
        <is>
          <t>Amazon.com</t>
        </is>
      </c>
      <c r="D122" t="inlineStr">
        <is>
          <t>indeed</t>
        </is>
      </c>
      <c r="E122" t="inlineStr"/>
      <c r="F122" t="inlineStr"/>
      <c r="G122" t="inlineStr">
        <is>
          <t>San Francisco, CA, US</t>
        </is>
      </c>
      <c r="H122" s="2" t="n">
        <v>45740</v>
      </c>
      <c r="I12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in-2c9900d28a9b8089</t>
        </is>
      </c>
      <c r="B123" t="inlineStr">
        <is>
          <t>Principal Applied Scientist, FAR (Frontier AI &amp; Robotics)</t>
        </is>
      </c>
      <c r="C123" t="inlineStr">
        <is>
          <t>Amazon.com</t>
        </is>
      </c>
      <c r="D123" t="inlineStr">
        <is>
          <t>indeed</t>
        </is>
      </c>
      <c r="E123" t="inlineStr"/>
      <c r="F123" t="inlineStr"/>
      <c r="G123" t="inlineStr">
        <is>
          <t>Seattle, WA, US</t>
        </is>
      </c>
      <c r="H123" s="2" t="n">
        <v>45740</v>
      </c>
      <c r="I1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in-bfe91af31a73bbe4</t>
        </is>
      </c>
      <c r="B124" t="inlineStr">
        <is>
          <t>Applied Scientist, Special Projects</t>
        </is>
      </c>
      <c r="C124" t="inlineStr">
        <is>
          <t>Amazon.com</t>
        </is>
      </c>
      <c r="D124" t="inlineStr">
        <is>
          <t>indeed</t>
        </is>
      </c>
      <c r="E124" t="inlineStr"/>
      <c r="F124" t="inlineStr"/>
      <c r="G124" t="inlineStr">
        <is>
          <t>Seattle, WA, US</t>
        </is>
      </c>
      <c r="H124" s="2" t="n">
        <v>46028</v>
      </c>
      <c r="I12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in-700c412af26e39bf</t>
        </is>
      </c>
      <c r="B125" t="inlineStr">
        <is>
          <t>Applied Scientist, Special Projects</t>
        </is>
      </c>
      <c r="C125" t="inlineStr">
        <is>
          <t>Amazon.com</t>
        </is>
      </c>
      <c r="D125" t="inlineStr">
        <is>
          <t>indeed</t>
        </is>
      </c>
      <c r="E125" t="inlineStr"/>
      <c r="F125" t="inlineStr"/>
      <c r="G125" t="inlineStr">
        <is>
          <t>Boston, MA, US</t>
        </is>
      </c>
      <c r="H125" s="2" t="n">
        <v>46028</v>
      </c>
      <c r="I12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in-9e5ece26349fcec3</t>
        </is>
      </c>
      <c r="B126" t="inlineStr">
        <is>
          <t>Applied Scientist, Last Mile Delivery Automation</t>
        </is>
      </c>
      <c r="C126" t="inlineStr">
        <is>
          <t>Amazon.com</t>
        </is>
      </c>
      <c r="D126" t="inlineStr">
        <is>
          <t>indeed</t>
        </is>
      </c>
      <c r="E126" t="inlineStr"/>
      <c r="F126" t="inlineStr"/>
      <c r="G126" t="inlineStr">
        <is>
          <t>Santa Clara, CA, US</t>
        </is>
      </c>
      <c r="H126" s="2" t="n">
        <v>46026</v>
      </c>
      <c r="I12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in-3e258f2439577fc3</t>
        </is>
      </c>
      <c r="B127" t="inlineStr">
        <is>
          <t>Applied Scientist, Last Mile Delivery Automation</t>
        </is>
      </c>
      <c r="C127" t="inlineStr">
        <is>
          <t>Amazon.com</t>
        </is>
      </c>
      <c r="D127" t="inlineStr">
        <is>
          <t>indeed</t>
        </is>
      </c>
      <c r="E127" t="inlineStr"/>
      <c r="F127" t="inlineStr"/>
      <c r="G127" t="inlineStr">
        <is>
          <t>Bellevue, WA, US</t>
        </is>
      </c>
      <c r="H127" s="2" t="n">
        <v>46026</v>
      </c>
      <c r="I12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in-7fff0ee14b3e20d1</t>
        </is>
      </c>
      <c r="B128" t="inlineStr">
        <is>
          <t>Applied Scientist, Personalization, DTx Science</t>
        </is>
      </c>
      <c r="C128" t="inlineStr">
        <is>
          <t>Amazon.com</t>
        </is>
      </c>
      <c r="D128" t="inlineStr">
        <is>
          <t>indeed</t>
        </is>
      </c>
      <c r="E128" t="inlineStr"/>
      <c r="F128" t="inlineStr"/>
      <c r="G128" t="inlineStr">
        <is>
          <t>New York, NY, US</t>
        </is>
      </c>
      <c r="H128" s="2" t="n">
        <v>45979</v>
      </c>
      <c r="I12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29">
      <c r="A129" t="inlineStr">
        <is>
          <t>in-02b279086ba0d48b</t>
        </is>
      </c>
      <c r="B129" t="inlineStr">
        <is>
          <t>Applied Scientist, Personalization, DTx Science</t>
        </is>
      </c>
      <c r="C129" t="inlineStr">
        <is>
          <t>Amazon.com</t>
        </is>
      </c>
      <c r="D129" t="inlineStr">
        <is>
          <t>indeed</t>
        </is>
      </c>
      <c r="E129" t="inlineStr"/>
      <c r="F129" t="inlineStr"/>
      <c r="G129" t="inlineStr">
        <is>
          <t>Seattle, WA, US</t>
        </is>
      </c>
      <c r="H129" s="2" t="n">
        <v>45979</v>
      </c>
      <c r="I12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0">
      <c r="A130" t="inlineStr">
        <is>
          <t>in-40dc001666c7587a</t>
        </is>
      </c>
      <c r="B130" t="inlineStr">
        <is>
          <t>Mid-Level -Data Scientist- Gen Ai - ML</t>
        </is>
      </c>
      <c r="C130" t="inlineStr">
        <is>
          <t>Capgemini</t>
        </is>
      </c>
      <c r="D130" t="inlineStr">
        <is>
          <t>indeed</t>
        </is>
      </c>
      <c r="E130">
        <f>HYPERLINK("https://www.indeed.com/viewjob?jk=40dc001666c7587a", "https://www.indeed.com/viewjob?jk=40dc001666c7587a")</f>
        <v/>
      </c>
      <c r="F130">
        <f>HYPERLINK("https://www.capgemini.com/jobs/396217-en_GB+sap_btp/", "https://www.capgemini.com/jobs/396217-en_GB+sap_btp/")</f>
        <v/>
      </c>
      <c r="G130" t="inlineStr">
        <is>
          <t>Seattle, WA, US</t>
        </is>
      </c>
      <c r="H130" s="3" t="n">
        <v>46046</v>
      </c>
      <c r="I130" t="inlineStr">
        <is>
          <t>Seattle, WA
Mid\-Level \-Data Scientist\- Gen Ai \- ML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Description**About the job you’re considering**: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is:$120,000 TO $145,000\.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396217\-en\_GB
Posted on
25 Jan 2026
Experience level
Experienced Professionals
Contract type
Permanent
Location
Seattle, WA
Business unit
I and D Global Business Line
Brand
Capgemini
Professional communities
Data \&amp; AI</t>
        </is>
      </c>
    </row>
    <row r="131">
      <c r="A131" t="inlineStr">
        <is>
          <t>in-0a32e062e4540a9c</t>
        </is>
      </c>
      <c r="B131" t="inlineStr">
        <is>
          <t>Data Scientist</t>
        </is>
      </c>
      <c r="C131" t="inlineStr">
        <is>
          <t>Skyworks Solutions</t>
        </is>
      </c>
      <c r="D131" t="inlineStr">
        <is>
          <t>indeed</t>
        </is>
      </c>
      <c r="E131">
        <f>HYPERLINK("https://www.indeed.com/viewjob?jk=0a32e062e4540a9c", "https://www.indeed.com/viewjob?jk=0a32e062e4540a9c")</f>
        <v/>
      </c>
      <c r="F131">
        <f>HYPERLINK("https://careers.skyworksinc.com/job/Irvine-Data-Scientist-CA-92602/1312137500/?feedId=177100&amp;utm_source=Indeed&amp;utm_campaign=Skyworks_Indeed", "https://careers.skyworksinc.com/job/Irvine-Data-Scientist-CA-92602/1312137500/?feedId=177100&amp;utm_source=Indeed&amp;utm_campaign=Skyworks_Indeed")</f>
        <v/>
      </c>
      <c r="G131" t="inlineStr">
        <is>
          <t>Irvine, CA, US</t>
        </is>
      </c>
      <c r="H131" s="3" t="n">
        <v>46046</v>
      </c>
      <c r="I131"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75764
**Description**
---------------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Stay up\-to\-date with current trends in ML, especially those relevant to semiconductor, signal processing, or high\-dimensional time\-series data.  
* 
**Required Experience and Skills**
----------------------------------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\#LI\-JR1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li-4354017699</t>
        </is>
      </c>
      <c r="B2" t="inlineStr">
        <is>
          <t>Data Scientist / Big Data Engineer</t>
        </is>
      </c>
      <c r="C2" t="inlineStr">
        <is>
          <t>Jobs via Dice</t>
        </is>
      </c>
      <c r="D2" t="inlineStr">
        <is>
          <t>linkedin</t>
        </is>
      </c>
      <c r="E2" t="inlineStr"/>
      <c r="F2" t="inlineStr"/>
      <c r="G2" t="inlineStr">
        <is>
          <t>Austin, TX</t>
        </is>
      </c>
      <c r="H2" t="inlineStr"/>
      <c r="I2" t="inlineStr">
        <is>
          <t>**Overview**
**JOB TITLE:**
 Data Scientist / Big Data Engineer
**CAYUSE COMPANY:**
 Cayuse Civil Services, LLC
**LOCATION**
 Austin, TX \- Hybrid (3 day remote \| Mon \&amp; Fri Onsite)
**SALARY:**
 Based on experience and position level
 \*\*This position is posted for future opportunities. Please submit your application to be considered for similar upcoming roles\*\*
**Responsibilities**
**The Work**
 The Data Scientist(Big Data Engineer) makes value out ofdata. They will proactively fetch information from various sources and analyze it for a better understanding about how the business performs. They will then use that information to build AI tools that automate certain processes within the company.
 T his position performs all duties and responsibilities in accordance with the Mission, Vision, and Core Values of Cayuse.
**Key Responsibilities**
* Perform data mining, exploration, and analysis.
* Design, train, evaluate, and implement machine learning algorithms and predictive models.
* Work with stakeholders to identify opportunities for improving business processes and addressing current pain points, using data insights, forecasts, and analytics.
* Develop and implement analytics\-enabled solutions to improve business processes , generate insights, and support business goals.
* Develop Key Performance Indicators (KPIs), metrics, trend tracking, prediction, and forecasting models.
* Evaluate and understand complex issues from business partners and recommend solutions.
* Work closely with team throughout all phases of projects: requirements definition, design, development, test and evaluation, demonstration, and deployment.
* Build, implement, and maintain predictive models throughout their full lifecycle.
* Identify patterns and trends in data and provide insights to enhance business decision making.
* Set up and monitor monthly model recalibration process.
* Generate complex ad\-hoc analyses combining disparate concepts or creating new approaches .
* Design and create new analytic procedures and automation .
* Other duties as assigned .
**Qualifications**
**Qualifications \- Here's What You Need**
 The qualifications and skills listed below are intended to provide a general overview of the requirements for this position. However, due to the anticipated nature of the contract and the absence of a finalized task order from the client, this list should not be considered all\-encompassing. Additional qualifications, certifications, skills, or experience specific to the client's requirements may be identified and requested upon award of the task order. Candidates should demonstrate flexibility and a willingness to adapt to evolving responsibilities as outlined by the client.
* Level 1: 1\-3 years of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
* Level 2: 4\-7 years of experience in the field or in a related area. Familiar with standard concepts, practices, and procedures within a particular field. Relies on limited experience and judgment to plan and accomplish goals . A certain degree of creativity and latitude is required . Works under limited supervision with considerable latitude for the use of initiative and independent judgment .
* Level 3: 8 or more years of experience, relies on experience and judgment to plan and accomplish goals, independently performs a variety of complicated tasks; may lead and direct the work of others . A wide degree of creativity and latitude is expected.
* All Levels
* Demonstrated expertise in constructing distributed machine learning pipeline from scratch
* Demonstrated experience performing end\-to\-end project delivery, including data visualization, performing research, and conducting presentations for non\-technical audiences.
* Strong documentation, organizational, and time management skills.
* Strong verbal and written communication skills to effectively collaborate with team members and stakeholders.
* Must be able to pass a background check. May require additional background checks as required by projects and/or clients at any time during employment.
**Minimum Skills:**
* Experience with machine learning frameworks and techniques, including regression, classification, neural networks, and feature engineering.
* Experience with Azure ML, Power BI, or similar analytics platforms.
* Skilled in web scraping, handling large\-scale multi\-source datasets, and managing ambiguous data environments.
* Strong knowledge of statistical methods for experimentation (e.g., randomization, t\-tests , and confidence intervals).
* Proven track record of managing and delivering high\-volume analytics or experimentation projects across multiple stakeholders.
* Ability to translate analytical insights into actionable business recommendations.
* Strong analytical and problem\-solving skills with keen attention to detail.
* Excellent communication and collaboration skills, with the ability to effectively interact with both technical and business stakeholders.
**Desired Qualifications:**
* Bachelor's or master's degree in Computer Science , Information Technology, Data Science or related field.
* Proficiency in Python (pandas, numpy , scipy ) and SQL for data manipulation, analysis, and pipeline development.
* Knowledge of data science toolkits such as NumPy, Pandas and MatLab .
* Experience with Azure and Databricks platforms.
**Our Commitment To You / Overview Of Benefits**
*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 Professional office environment , with the ability to work on \- site in the main office .
* Must reside in the Austin area.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sit for long periods of time looking at a computer screen .
* May be asked to work a flexible schedule which may include holidays.
* May be asked to travel for business or professional development purposes.
* May be asked to work hours outside of normal business hours.
* T ravel costs, per diem, and other related expenses must be pre\-approved in compliance with State of Texas travel guidelines.
**Other Duties:** 
 Please note this job description is not designed to cover or contain a comprehensive list of activities, duties or responsibilities that are required of the employee for this job .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$120,000\.00 \- USD $175,000\.00 /Yr.</t>
        </is>
      </c>
    </row>
    <row r="3">
      <c r="A3" t="inlineStr">
        <is>
          <t>li-4365749903</t>
        </is>
      </c>
      <c r="B3" t="inlineStr">
        <is>
          <t>Data Scientist</t>
        </is>
      </c>
      <c r="C3" t="inlineStr">
        <is>
          <t>Airbnb</t>
        </is>
      </c>
      <c r="D3" t="inlineStr">
        <is>
          <t>linkedin</t>
        </is>
      </c>
      <c r="E3" t="inlineStr"/>
      <c r="F3" t="inlineStr"/>
      <c r="G3" t="inlineStr"/>
      <c r="H3" t="inlineStr"/>
      <c r="I3" t="inlineStr">
        <is>
          <t>**About The Company**
 Airbnb was founded in 2007 when two hosts welcomed three guests to their San Francisco home. Since then, the company has experienced remarkable growth and now boasts over 5 million hosts worldwide. Airbnb has facilitated more than 2 billion guest arrivals across nearly every country, offering unique stays and experiences that foster authentic connections between guests and local communities. The company's mission is to create a world where anyone can belong anywhere by providing extraordinary travel experiences and building a global community centered on trust, belonging, and shared experiences.
**About The Role**
 We are seeking a highly skilled and innovative Staff Data Scientist to join our Listing Understanding Data Science team. In this role, you will leverage advanced machine learning techniques, particularly in Computer Vision and multimodal data integration, to enhance how listings are understood and presented to guests. Your work will directly impact the guest and host experience by improving the quality and relevance of listings through sophisticated image analysis and data\-driven insights. You will collaborate cross\-functionally with product, engineering, and design teams to develop and execute strategic roadmaps, prototype new features, and measure the impact of technological innovations on business outcomes. This position offers a unique opportunity to influence core product experiences at Airbnb, utilizing cutting\-edge AI and ML methodologies to foster trust and engagement within our global community.
**Qualifications**
* 9\+ years of industry experience in applied Machine Learning, with a focus on Computer Vision
* Proficiency with CV models such as CLIP and ViT
* Expertise in causal inference, preferably within marketplace or platform environments
* Advanced degree in Computer Science, Statistics, Econometrics, or a related field
* Strong programming skills in Python or R, with familiarity in SQL
* Experience developing proof\-of\-concept prototypes
* Deep understanding of ML best practices, including feature engineering, model selection, and evaluation
* Knowledge of algorithms such as gradient\-boosted trees, neural networks, and deep learning frameworks
* Excellent communication skills for cross\-functional collaboration with product, engineering, and design teams
* Proven track record of success in both collaborative and independent work environments
* Engagement with the technical community and a passion for AI and emerging technologies
**Responsibilities**
* Size and prioritize business opportunities related to CV and multimodal listing understanding enhancements
* Leverage visual and structured data to build and improve listing understanding models continuously
* Develop causal models to analyze how photos influence guest search behavior, bookings, and trip quality
* Prototype and iterate on machine learning product features in collaboration with engineering, product, and design teams
* Design and implement assessment frameworks to ensure the safety, robustness, and effectiveness of CV and multimodal models
* Measure the business impact of innovations through experimentation, A/B testing, and causal analysis
* Stay current with state\-of\-the\-art models and techniques, integrating new advancements into product development
* Guide data\-driven decision\-making processes and contribute to the strategic roadmap for listing understanding capabilities
**Benefits**
* Competitive salary and performance\-based bonuses
* Equity options and stock grants
* Comprehensive health, dental, and vision insurance plans
* Flexible work arrangements, including remote work eligibility
* Paid time off, holidays, and parental leave policies
* Professional development opportunities and continuous learning support
* Employee travel credits and wellness programs
 Equal Opportunity
 Airbnb is committed to fostering an inclusive and diverse environment. We are proud to be an equal opportunity employer and do not discriminate based on race, color, religion, gender, gender identity or expression, sexual orientation, national origin, genetics, disability, age, or veteran status. All qualified applicants are encouraged to apply. We also strive to provide a disability\-inclusive application and interview process.</t>
        </is>
      </c>
    </row>
    <row r="4">
      <c r="A4" t="inlineStr">
        <is>
          <t>li-4365761801</t>
        </is>
      </c>
      <c r="B4" t="inlineStr">
        <is>
          <t>Data Scientist</t>
        </is>
      </c>
      <c r="C4" t="inlineStr">
        <is>
          <t>Target</t>
        </is>
      </c>
      <c r="D4" t="inlineStr">
        <is>
          <t>linkedin</t>
        </is>
      </c>
      <c r="E4" t="inlineStr"/>
      <c r="F4" t="inlineStr"/>
      <c r="G4" t="inlineStr"/>
      <c r="H4" t="inlineStr"/>
      <c r="I4" t="inlineStr">
        <is>
          <t>**About The Company**
 Join Target, a leading retail corporation committed to helping families discover the joy of everyday life. With a strong emphasis on innovation, customer satisfaction, and community engagement, Target has established itself as a trusted name in the retail industry. The company fosters a culture of continuous improvement, diversity, and inclusion, aiming to deliver exceptional value and experiences to its guests. Through its extensive network of stores and digital platforms, Target offers a seamless shopping experience that caters to the evolving needs of its customers.
**About The Role**
 We are seeking a highly skilled Lead Data Scientist to join our Last Mile Operations Design team. In this pivotal role, you will be instrumental in accelerating omni\-channel experimentation and fostering a culture of continuous innovation at Target. Your primary focus will be to leverage data science, operations research, simulation, and machine learning to optimize supply chain decisions, enhance guest and carrier experiences, and drive business performance. You will serve as an advocate for a data\-driven culture across Product, Business Operations, and Engineering teams, helping them utilize insights to prioritize high\-impact initiatives. This position offers an exciting opportunity to lead the development of predictive and prescriptive algorithms, design analytical solutions, and create self\-service tools that empower stakeholders to make faster, more informed decisions. The role demands a strategic thinker with a passion for data, feature experimentation, and real\-world problem solving, contributing directly to Target's mission of delivering more value at lower costs.
**Qualifications**
* PhD or MS in Operations Research, Industrial Engineering, Computer Science, Mathematics, Statistics, Physics, or a related quantitative field
* 5\+ years of experience leading large\-scale supply chain optimization, simulation, and machine learning implementations
* Proficiency in programming languages such as Python, R, Kotlin, or Java
* Experience deploying algorithms in production environments with high\-performance code
* Strong knowledge of predictive and prescriptive analytics, including ML Ops practices
* Experience working with large event\-driven distributed systems and multi\-threaded applications
* Hands\-on experience with SQL, Hive, or similar data querying and data pipeline tools
* Familiarity with application/software architecture, process modeling, and data instrumentation
* Proven ability to solve complex, real\-world problems using advanced statistical techniques (regression, clustering, PCA, forecasting, etc.)
* Exceptional communication skills with the ability to tell compelling data stories through visualizations and narratives
* Self\-motivated, results\-oriented, and capable of working under tight deadlines
* Collaborative team player with effective cross\-functional partnership skills
**Responsibilities**
* Serve as a champion for a data\-driven culture across Product, Business Operations, and Engineering teams, promoting the use of insights to influence strategic initiatives
* Develop and deploy scalable predictive and prescriptive algorithms to optimize supply chain operations, including inventory placement, transportation, sourcing, and fulfillment
* Formulate clear problem statements, conduct comprehensive data analysis, and synthesize results into compelling narratives for stakeholders
* Design and execute in\-product experiments, analyze outcomes, and provide strategic recommendations to enhance operations and customer experience
* Partner with Product Owners and business teams to identify gaps, define KPIs, and implement data collection strategies for new features and initiatives
* Optimize queries on large datasets to support operations research and decision\-making processes
* Create and maintain self\-service dashboards and visualization tools that deliver actionable insights to non\-technical partners
* Democratize data access and insights by developing tools that enable partners to make data\-informed decisions quickly
* Collaborate across teams to continuously improve analytics processes, data quality, and modeling techniques
* Stay abreast of industry best practices and emerging technologies in data science and supply chain optimization
**Benefits**
* Competitive salary package commensurate with experience
* Comprehensive health, dental, and vision insurance plans
* Retirement savings plan with company matching contributions
* Paid time off and holiday leave
* Flexible work arrangements, including hybrid and remote options
* Opportunities for professional development and continuous learning
* Inclusive and collaborative work environment
* Employee discounts and wellness programs
 Equal Opportunity
 Target is an equal opportunity employer committed to fostering an inclusive environment for all employees. We celebrate diversity and are dedicated to providing equal employment opportunities regardless of race, gender, age, religion, national origin, disability, sexual orientation, gender identity, or any other protected status. We believe that a diverse workforce enhances our ability to serve our guests and innovate continuously.</t>
        </is>
      </c>
    </row>
    <row r="5">
      <c r="A5" t="inlineStr">
        <is>
          <t>li-4365766397</t>
        </is>
      </c>
      <c r="B5" t="inlineStr">
        <is>
          <t>Data Scientist, L/S Equity Fund Pod</t>
        </is>
      </c>
      <c r="C5" t="inlineStr">
        <is>
          <t>Coda Search│Staffing</t>
        </is>
      </c>
      <c r="D5" t="inlineStr">
        <is>
          <t>linkedin</t>
        </is>
      </c>
      <c r="E5" t="inlineStr"/>
      <c r="F5" t="inlineStr"/>
      <c r="G5" t="inlineStr">
        <is>
          <t>New York, NY</t>
        </is>
      </c>
      <c r="H5" t="inlineStr"/>
      <c r="I5" t="inlineStr">
        <is>
          <t>We are currently partnered with a top multistate quant fund that is looking to expand their L/S Equity business by adding a Data Scientist to their portfolio management team. This firm has a top global reputation of a being a top performing quant fund year in and year out.
 You will be responsible for transforming massive, unstructured datasets into actionable market insights. Your work will directly influence sector\-specific research, market positioning, and the monitoring of critical KPIs that drive P\&amp;L.
*Key Responsibilities* 
* **Alpha Generation:** 
 Source, clean, and analyze proprietary and alternative datasets to identify non\-consensus investment signals.
* **Sector Intelligence:** 
 Build and maintain automated trackers for sector\-specific KPIs to predict earnings surprises and inflection points.
* **Portfolio Support:** 
 Conduct ad\-hoc technical analysis on market positioning and factor exposures to optimize risk\-adjusted returns.
* **Tool Development:** 
 Design and deploy high\-performance Python\-based tools and interactive dashboards (Tableau/Streamlit) for real\-time decision\-making by the PM.
* **Collaboration:** 
 Bridge the gap between data engineering and fundamental research, translating complex statistical findings into clear, commercial "buy/sell" narratives.
*Technical Requirements* 
* **Python Mastery:** 
 Expert\-level proficiency in the PyData stack (Pandas, NumPy, Scikit\-learn, SciPy). Experience with time\-series analysis and back\-testing is essential.
* **Database Management:** 
 Advanced SQL skills; ability to architect complex queries and manage large\-scale relational databases.
* **Data Visualization:** 
 Proven ability to communicate complex data through clear, intuitive visualizations (Tableau, PowerBI, or Plotly).
* **Quantitative Rigor:** 
 Strong grasp of statistics (regression, hypothesis testing, machine learning) with a focus on avoiding over\-fitting and look\-ahead bias.
*Preferred Qualifications* 
* **Pedigree:** 
 1–5 years of experience within a Top\-Tier Investment Bank (Equity Research, Quant Strategy) or a Leading Hedge Fund.
* **Domain Knowledge:** 
 Solid understanding of financial markets, corporate balance sheets, and macroeconomic drivers.
* **Education:** 
 Master’s or PhD in a quantitative field (Computer Science, Mathematics, Physics, Engineering) or Finance/Economics from a leading institution.</t>
        </is>
      </c>
    </row>
    <row r="6">
      <c r="A6" t="inlineStr">
        <is>
          <t>li-4321348829</t>
        </is>
      </c>
      <c r="B6" t="inlineStr">
        <is>
          <t>Data Scientist</t>
        </is>
      </c>
      <c r="C6" t="inlineStr">
        <is>
          <t>RemoteHunter</t>
        </is>
      </c>
      <c r="D6" t="inlineStr">
        <is>
          <t>linkedin</t>
        </is>
      </c>
      <c r="E6" t="inlineStr"/>
      <c r="F6" t="inlineStr"/>
      <c r="G6" t="inlineStr"/>
      <c r="H6" t="inlineStr"/>
      <c r="I6"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
      <c r="A7" t="inlineStr">
        <is>
          <t>li-4365763796</t>
        </is>
      </c>
      <c r="B7" t="inlineStr">
        <is>
          <t>Data Scientist, Marketing</t>
        </is>
      </c>
      <c r="C7" t="inlineStr">
        <is>
          <t>Thumbtack</t>
        </is>
      </c>
      <c r="D7" t="inlineStr">
        <is>
          <t>linkedin</t>
        </is>
      </c>
      <c r="E7" t="inlineStr"/>
      <c r="F7" t="inlineStr"/>
      <c r="G7" t="inlineStr"/>
      <c r="H7" t="inlineStr"/>
      <c r="I7" t="inlineStr">
        <is>
          <t>**About The Company** 
 Thumbtack is a leading platform dedicated to helping millions of individuals confidently care for their homes. The company offers a comprehensive app that provides personalized guidance, AI tools, and a seamless hiring experience to facilitate home improvement projects. Every day, across every county in the United States, homeowners turn to Thumbtack to address urgent repairs, seasonal maintenance, and larger renovation projects. The platform connects homeowners with a growing community of over 300,000 local service businesses, empowering users to make informed decisions about which projects to undertake, when to do them, and whom to hire. With a mission to build an impactful and innovative home care ecosystem, Thumbtack continually strives to enhance its services and expand its capabilities.
**About The Role** 
 As a Staff Marketing Data Scientist at Thumbtack, you will be a key member of the Data Science team, responsible for advancing the company's channel measurement capabilities. Your role involves designing scalable methodologies, frameworks, and tools that enable the Marketing and Data Science teams to operate with increased speed, rigor, and confidence. You will lead efforts to develop innovative approaches grounded in data science and modern analytical techniques to evaluate marketing effectiveness comprehensively. Your work will directly influence strategic decision\-making, optimize marketing spend, and enhance overall business growth. This position offers an exciting opportunity to serve as a technical leader, mentor team members, and shape the long\-term measurement strategies at Thumbtack.
**Qualifications** 
* 4\+ years of experience in data science, analytics, or economics.
* Bachelor’s, Master’s, or Doctoral degree in Statistics, Engineering, Analytics, Math, Computer Science, Economics, or a related technical field.
* Minimum of 0\-5 years of industry, consulting, government, or academic research experience; candidates with more extensive experience are also encouraged to apply.
* Proficiency with analytical tools such as Python and SQL.
* Excellent ability to work in a fast\-paced, dynamic business environment.
* Strong communication skills with the ability to build cross\-functional relationships and influence decision\-making through data\-driven insights.
**Responsibilities** 
* Lead the development and enhancement of measurement methodologies to evaluate marketing effectiveness beyond traditional approaches.
* Create frameworks, tools, and processes that make measurement systematic, scalable, and adaptable across various marketing channels.
* Improve existing modeling approaches to provide robust and actionable insights for marketing optimization.
* Iterate and refine measurement strategies for marketing initiatives such as channel incrementality and return on ad spend maximization.
* Collaborate closely with cross\-functional teams to align measurement insights with broader business strategies and growth objectives.
* Serve as a technical mentor, elevating analytical standards and guiding team members in advanced data science techniques.
* Identify new opportunities where innovative analytics or methodologies can unlock additional impact and efficiency.
**Benefits** 
* Competitive salary range based on location and experience.
* Comprehensive health insurance plans including medical, dental, and vision coverage.
* Flexible work arrangements, including remote work options.
* Paid time off and holidays to support work\-life balance.
* Professional development opportunities and continuous learning support.
* Inclusive and diverse workplace environment that values different perspectives and backgrounds.
 Equal Opportunity
 Thumbtack is an equal opportunity employer committed to fostering an inclusive environment. We do not discriminate on the basis of sex, race, color, age, pregnancy, sexual orientation, gender identity or expression, religion, national origin, ancestry, citizenship, marital status, military or veteran status, genetic information, disability, or any other characteristic protected by law.</t>
        </is>
      </c>
    </row>
    <row r="8">
      <c r="A8" t="inlineStr">
        <is>
          <t>li-4365773160</t>
        </is>
      </c>
      <c r="B8" t="inlineStr">
        <is>
          <t>Data Scientist</t>
        </is>
      </c>
      <c r="C8" t="inlineStr">
        <is>
          <t>Professional Solutions, LLC</t>
        </is>
      </c>
      <c r="D8" t="inlineStr">
        <is>
          <t>linkedin</t>
        </is>
      </c>
      <c r="E8" t="inlineStr"/>
      <c r="F8" t="inlineStr"/>
      <c r="G8" t="inlineStr">
        <is>
          <t>Camp Lejeune, NC</t>
        </is>
      </c>
      <c r="H8" t="inlineStr"/>
      <c r="I8" t="inlineStr">
        <is>
          <t>**Summary**
 Candidate will conduct exploratory data analysis, statistical analysis, and concept studies to define requirements, evaluate alternative analytical approaches, and estimate the value associated with data\-driven projects.in support of 2d MarDiv.
 The candidate must have the ability to operate effectively under pressure adhering to the ProSol Core Values of
 *Agility:* 
 rapid adaptation to the changing requirements and environment of our clients;
 *Excellence:* 
 Service quality that exceeds the expectations of our clients;
 *Integrity:* 
 Accountability and honesty−always doing the right thing; and
 *Long\-Term Commitment:* 
 Unquestioned loyalty and dedication to our clients, partners and employees.
**Responsibilities**
* Assist in applying various validation techniques to demonstrate that a model, algorithm, or analytical system performs according to the objectives outlined in the original design.
* Clean, aggregate, and transform large, structured, and unstructured datasets to prepare them for analysis.
* Assist the division in identifying promising internal and external data sources that could be integrated and utilized to enhance operational effectiveness and efficiency.
* Assist the division in data science project management to ensure key development milestones (e.g., data acquisition, model training, validation, deployment) are planned for, executed, and documented.
* Analyze the division’s existing data infrastructure and processes to identify opportunities for improvement and to assess readiness for advanced analytical models.
* Possess a detailed understanding of the organizational structure, command relationships, and missions within the division, as well as the knowledge of how these organizations collaborate to achieve data\-driven objectives.
* Typical associated tasks include, but are not limited to requirements analysis, developing machine learning models, statistical modeling, data visualization, organizational performance assessment, special studies, and analysis, cost\-performance trade\-off analysis, feasibility analysis, regulatory compliance support, conceptual data model designs, and training.
* Conduct training sessions for uniformed members of the division on the use of various data science, analytics, and AI/ML tools and methodologies to improve data literacy and operational effectiveness across the force.
* Given a list of operational objectives, the Data Scientist shall develop and apply statistical and machine learning models to generate insights and predictive forecasts. Results and methodologies shall be presented to the division.
* Provide programmatic information regarding the data sources, analytical tools, and modeling techniques used, including (if available) model performance metrics, limitations, and potential for operational integration. This information will enable the component to render an informed decision on the appropriate level of interest and trust in the analytical product.
* Attend various meetings and conferences to articulate validated division data requirements and to recommend division perspectives on data and AI/ML development efforts.
* Provide the division with required market research on emerging data science technologies and a detailed analysis of alternatives for analytical tools and platforms.
* Shall be capable of providing detailed recommendations on model design, prototype development, algorithm development, and technical and combat evaluation activities for the division
**Education \&amp; Experience**
* Minimum 3\+ years’ experience
* Minimum BS in a computer related degree
* Master’s preferred
**Clearance:** 
 Secret required
**Work Days:** 
 Monday\-Friday
**Core hours:** 
 8\-hour days 7:30\-4:30
**Travel:** 
 TBD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**Additional Information**
 ProSol is an equal opportunity employer, all interested qualified applicants are encouraged to apply, EEO/D/M/V/F. ProSol welcomes and encourages diversity in the workforce. All your information will be kept confidential according to EEO guidelines.</t>
        </is>
      </c>
    </row>
    <row r="9">
      <c r="A9" t="inlineStr">
        <is>
          <t>li-4355423499</t>
        </is>
      </c>
      <c r="B9" t="inlineStr">
        <is>
          <t>Data Scientist</t>
        </is>
      </c>
      <c r="C9" t="inlineStr">
        <is>
          <t>UST</t>
        </is>
      </c>
      <c r="D9" t="inlineStr">
        <is>
          <t>linkedin</t>
        </is>
      </c>
      <c r="E9" t="inlineStr"/>
      <c r="F9" t="inlineStr"/>
      <c r="G9" t="inlineStr">
        <is>
          <t>Washington, United States</t>
        </is>
      </c>
      <c r="H9" t="inlineStr"/>
      <c r="I9" t="inlineStr">
        <is>
          <t>**Role Description**
**Data Scientist**
**Associate III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Data Scientist with good programming skills in Python and experience with Spark for data processing and analytics
**The Opportunity**
* Play a role in designing, developing, and implementing data pipelines and data integration solutions using Python and Google Cloud Platform services.
* Collaborate with cross\-functional teams to understand data requirements and design data solutions that meet business needs.
* Develop, construct, test and maintain data acquisition pipelines for large volumes of structured and unstructured data. This includes batch and real\-time processing
* Develop and maintain data pipelines and ETL processes using Python.
* Design, build, and optimize data models and data architecture for efficient data processing and storage
* Implement data integration and data transformation workflows to ensure data quality and consistency
* Monitor and troubleshoot data pipelines to ensure data availability and reliability
* Conduct performance tuning and optimization of data processing systems for improved efficiency and scalability
* Work closely with data analysts to provide them with the necessary data sets and tools for analysis and reporting
 This position description identifies the responsibilities and tasks typically associated with the performance of the position. Other relevant essential functions may be required.
**What You Need**
* 8\+ years of experience
* Experience with scripting languages like Shell, Perl etc.
* Design and build an ingestion pipeline using Rest API.
* Experience with data modeling, data integration, and ETL processes
* Strong knowledge of SQL and database systems
* Familiarity with managing cloud\-native databases.
* Understanding of security integration in CI/CD pipelines.
* Understanding of data warehousing concepts and best practices
* Proficiency in working with large\-scale data sets and distributed computing frameworks
* Strong problem\-solving and analytical skills
* Excellent communication and teamwork abilities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Washington**
**Compensation Range** 
 : $74,000\-$111,000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**Skills**
 data science,data pipelines,etl,ci/cd,python,google cloud platform</t>
        </is>
      </c>
    </row>
    <row r="10">
      <c r="A10" t="inlineStr">
        <is>
          <t>li-4354256700</t>
        </is>
      </c>
      <c r="B10" t="inlineStr">
        <is>
          <t>Data Scientist</t>
        </is>
      </c>
      <c r="C10" t="inlineStr">
        <is>
          <t>UST</t>
        </is>
      </c>
      <c r="D10" t="inlineStr">
        <is>
          <t>linkedin</t>
        </is>
      </c>
      <c r="E10" t="inlineStr"/>
      <c r="F10" t="inlineStr"/>
      <c r="G10" t="inlineStr">
        <is>
          <t>Hartford, CT</t>
        </is>
      </c>
      <c r="H10" t="inlineStr"/>
      <c r="I10" t="inlineStr">
        <is>
          <t>**Role Description**
**Data Scientist**
**Lead 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looking for talented Data Scientists who have experience building data\-based solutions powered by the advancement of Machine Learning algorithms and Deep Learning networks.
**The Opportunity**
* Communicate data insights to all organizational levels,
* Concluding, defining recommended actions, and reporting results across stakeholders.
* Work on integrating data from different data sources.
* Working on pre\-processing large datasets to build machine learning models, automating, deploying, and maintaining them into production.
* Understand how the deployed models run correctly.
* Develop, test, and deploy data structures using Entity\-Relationship Diagramming, and data modeling tools.
 This position description identifies the responsibilities and tasks typically associated with the performance of the position. Other relevant essential functions may be required.
**What You Need**
* 1\+ years of hands\-on experience on Flask and Rest\-API, model deployment.
* 3\+ years of hands\-on experience with Python, MySQL, and SAS (SAS Enterprise), R, Tableau, SPSS, STATA.
* 5\+ years of experience in data science specialization, including statistical data analysis and/or machine learning in an enterprise\-scale environment.
* Deep understanding of common database technologies, such as SQL Database/Server, SQL Data Warehouse, Oracle, DB2, Netezza, MySQL, and other data sources, such as Azure Data Lake Storage and Azure Blob Storage.
* Experience working with distributed computing tools (Hadoop, Hive, Spark, etc.)
* Expert in Docker, CI/CD deployment, writing YMAL files to implement code and functions as service.
* Experience with Cloud Platforms using GCP/Azure/AWS.
* Hands\-on experience with real\-time streaming processing as well as high volume batch processing, and skilled in Advanced SQL, Amazon S3, Apache Kafka, Data\-Lakes, etc.
* Experience with Tableau is a plus.
* Experience with large scale data mining tools such as Spark
* Advanced understanding of best practices for structuring and organizing Data Lake file systems for large volumes of data.
* Experience with ML models automation and deployment to production.
* Experience performing advanced data pipelines, data structure and modeling, data processing, data extraction, joining, manipulation cleaning, analysis, and presentation for medium to large datasets.
* Experience developing models for forecasting, classification, clustering, regression analysis, recommendations, variable selections, and natural language processing.
* Experience with scientific computing and analysis packages such as NumPy, Pandas, Scikit\-Learn, SciPy, and ggplot2\.
* Experience with Deep Learning frameworks like PyTorch, TensorFlow, and Keras.
* Experience with automated feature engineering/feature extraction and reduction.
* Experience with data visualization libraries such as Matplotlib, Seaborn Pyplot, ggplot2\.
* Strong grasp of experimental design, A/B testing, and advanced statistical analysis
* Experience with Git, GitHub, and Linux administration.
* Experience leading end\-to\-end data science project implementation including training, testing, and deploying machine learning models in production environments.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 $98,000\-$147,000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science,tableau,machine learning,deep learning,python,mysql,sas,sql,stata,spss,oracle,db2,netezza,hadoop</t>
        </is>
      </c>
    </row>
    <row r="11">
      <c r="A11" t="inlineStr">
        <is>
          <t>li-4351236836</t>
        </is>
      </c>
      <c r="B11" t="inlineStr">
        <is>
          <t>Data Scientist</t>
        </is>
      </c>
      <c r="C11" t="inlineStr">
        <is>
          <t>UST</t>
        </is>
      </c>
      <c r="D11" t="inlineStr">
        <is>
          <t>linkedin</t>
        </is>
      </c>
      <c r="E11" t="inlineStr"/>
      <c r="F11" t="inlineStr"/>
      <c r="G11" t="inlineStr">
        <is>
          <t>Hartford, CT</t>
        </is>
      </c>
      <c r="H11" t="inlineStr"/>
      <c r="I11" t="inlineStr">
        <is>
          <t>**Role Description**
**Data Scientist**
**Specialist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looking for talented Data Scientists who have experience building data\-based solutions powered by the advancement of Machine Learning algorithms and Deep Learning networks.
**The Opportunity**
* Communicate data insights to all organizational levels, concluding, defining recommended actions, and reporting results across stakeholders.
* Work on integrating data from different data sources.
* Work on pre\-processing large datasets to build machine learning models, automating, deploying, and maintaining them into production.
* Understand how the deployed models run correctly.
* Develop, test, and deploy data structures using Entity\-Relationship Diagramming, and data modeling tools.
 This position description identifies the responsibilities and tasks typically associated with the performance of the position. Other relevant essential functions may be required.
**What You Need**
* 1\+ years of hands\-on experience on Flask and Rest\-API, model deployment.
* 3\+ years of hands\-on experience with Python, MySQL, and SAS (SAS Enterprise), R, Tableau, SPSS, STATA.
* 5\+ years of experience in data science specialization, including statistical data analysis and/or machine learning in an enterprise\-scale environment.
* Deep understanding of common database technologies, such as SQL Database/Server, SQL Data Warehouse, Oracle, DB2, Netezza, MySQL, and other data sources, such as Azure Data Lake Storage and Azure Blob Storage.
* Experience working with distributed computing tools (Hadoop, Hive, Spark, etc.)
* Expert in Docker, CI/CD deployment, writing YMAL files to implement code and functions as service.
* Experience with Cloud Platforms using GCP/Azure/AWS.
* Hands\-on experience with real\-time streaming processing as well as high volume batch processing, and skilled in Advanced SQL, Amazon S3, Apache Kafka, Data\-Lakes, etc.
* Experience with Tableau is a plus.
* Experience with large scale data mining tools such as Spark
* Advanced understanding of best practices for structuring and organizing Data Lake file systems for large volumes of data.
* Experience with ML models automation and deployment to production.
* Experience performing advanced data pipelines, data structure and modeling, data processing, data extraction, joining, manipulation cleaning, analysis, and presentation for medium to large datasets.
* Experience developing models for forecasting, classification, clustering, regression analysis, recommendations, variable selections, and natural language processing.
* Experience with scientific computing and analysis packages such as NumPy, Pandas, Scikit\-Learn, SciPy, and ggplot2\.
* Experience with Deep Learning frameworks like PyTorch, TensorFlow, and Keras.
* Experience with automated feature engineering/feature extraction and reduction.
* Experience with data visualization libraries such as Matplotlib, Seaborn Pyplot, ggplot2\.
* Strong grasp of experimental design, A/B testing, and advanced statistical analysis
* Experience with Git, GitHub, and Linux administration.
* Experience leading end\-to\-end data science project implementation including training, testing, and deploying machine learning models in production environments.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 $113,000\-$170,000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science,machine learning,python,mysql,sas,tableau,stata,spss,deep learning</t>
        </is>
      </c>
    </row>
    <row r="12">
      <c r="A12" t="inlineStr">
        <is>
          <t>li-4306148856</t>
        </is>
      </c>
      <c r="B12" t="inlineStr">
        <is>
          <t>Associate Data Scientist, Taste Ingredient Discovery - San Diego, CA</t>
        </is>
      </c>
      <c r="C12" t="inlineStr">
        <is>
          <t>dsm-firmenich</t>
        </is>
      </c>
      <c r="D12" t="inlineStr">
        <is>
          <t>linkedin</t>
        </is>
      </c>
      <c r="E12" t="inlineStr"/>
      <c r="F12" t="inlineStr"/>
      <c r="G12" t="inlineStr">
        <is>
          <t>San Diego, CA</t>
        </is>
      </c>
      <c r="H12" t="inlineStr"/>
      <c r="I12" t="inlineStr">
        <is>
          <t>Associate Scientist Data Science
 Location: San Diego, CA
 We are seeking a highly skilled data scientist specialized in machine learning, genomics and metabolic modeling applied to ingredient discovery to help discover next\-generation taste ingredients. The candidate would join dsm\-firmenich's Data Science Ingredient Modeling unit and work with a talented team of data scientists, chemists and biologists mapping our sense of taste. Our team is at the forefront of leveraging protein and molecular AI and bioinformatics applied to taste receptor biology to uncover new possibilities in taste and health for our clients and their customers.
 This role offers the opportunity to contribute to interdisciplinary science projects that integrate the latest advances in computational biology, data science, AI and receptor science while working in close collaboration with leading domain experts.
**Your Key Responsibilities**
* Use data science, ML/AI, genomics and metabolic modeling to drive a fast\-paced ingredient discovery pipeline that generates maximum value for dsm\-firmenich’s taste, texture and health segments.
* Develop and implement accurate bioinformatics\- ML/AI based methods to explore biological diversity and the chemical space of natural products for discovery of natural taste ingredients.
* Use existing, and generate new, virtual libraries, to assist in silico screening of taste receptors.
* Contribute to the development and adoption of best practices and common computational tools by our global community of data scientists and scientists.
* Stay up to date on the latest advancements in computational biology, protein and molecular AI and modeling approaches.
* Apply modern software development and machine learning tools and practices in your daily work, including a high level of proficiency in python. Familiarity with good use of coding agents preferred.
* Team\-up with other data scientists and life science experts around the globe to drive project success
**We Bring**
* Opportunity to join a dynamic and thriving team applying ML and other modeling techniques to biology and chemistry.
* Highly motivated, professional and committed multicultural and interdisciplinary team.
* Opportunity to put your scientific skills into practice with innovations in health, nutrition and beauty.
* Grow and develop your skills through our in\-house training courses.
* Being a part of company shaping a strong legacy heritage through industrial innovations and cutting\-edge technology.
* A commitment to science\-based innovations with 2000 scientists and 700 MM annual S\&amp;R investments.
**You Bring**
* Master’s degree in Cheminformatics, Bioinformatics, Computer Science, Artificial Intelligence, or a related field.
* 3\-5 years of additional academic (e.g. PhD studies) or industry work experience in ML/AI and bioinformatics applied to ingredients, or small molecule discovery, ideally in the chemosensory biology field.
* Record of accomplishments demonstrating high drive and keen entrepreneurial innovation.
* Strong skills in a combination of computational biology, genomics, retrobiosynthesis and metabolic modeling, including hands\-on experience with development, deployment and benchmarking of ML/AI based tools applied to those problem fields.
* Ideally, understanding of structural and receptor biology, especially chemosensory receptors, including GPCRs and ion channels.
* Proficiency in modern ML, python, good code management/version control such as Git, and working with Continuous Integration/Continuous Delivery/Deployment (CI/CD) pipelines.
* Excellent problem\-solving skills and proven ability to work both independently and collaboratively.
* Effective communication and collaboration skills with the ability to convey complex concepts to non\-experts.
 The salary or hourly wage scale provided reflects the pay range dsm\-firmenich expects to pay the successful candidate for the position. Individual pay offered will be based on the applicant’s job\-related skills, experience, relevant education, or training, and primary work location. This position is also eligible for bonuses and benefits, which are not included in the pay scale provided. Salary $97,000 \-$139,000\.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
**The application process**
 Interested in this position? Please apply online by uploading your resume in English.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row>
    <row r="13">
      <c r="A13" t="inlineStr">
        <is>
          <t>li-4363790381</t>
        </is>
      </c>
      <c r="B13" t="inlineStr">
        <is>
          <t>GenAI Consultant/AI Engineer/Data Scientist</t>
        </is>
      </c>
      <c r="C13" t="inlineStr">
        <is>
          <t>NeerInfo Solutions</t>
        </is>
      </c>
      <c r="D13" t="inlineStr">
        <is>
          <t>linkedin</t>
        </is>
      </c>
      <c r="E13" t="inlineStr"/>
      <c r="F13" t="inlineStr"/>
      <c r="G13" t="inlineStr">
        <is>
          <t>Richardson, TX</t>
        </is>
      </c>
      <c r="H13" t="inlineStr"/>
      <c r="I13" t="inlineStr">
        <is>
          <t>Role : Gen
 **AI Consultant** 
 Fulltime role
 Location : Austin Texas/ Raleigh, NC, Indianapolis, IN, Phoenix AZ, Richardson, TX or Hartford CT
**seeking a AI Consultant with Generative AI, Agentic AI, Machine Learning (ML), AI and Python experience. Ideal candidate is expected to have prior experience in end\-to\-end implementation of Gen AI and Agentic AI based solution, fine tuning large language models, Machine Learning models that includes identification of ‘right’ problem, designing ‘optimum’ solution, implementing using ‘best in class’ practices and deploying the models to production. Will work in alignment with data strategy at various clients, using multiple technologies and platforms.** 
**Required Data Scientist Qualifications:** 
* Bachelor’s Degree or foreign equivalent will also consider three years of progressive experience in the specialty in lieu of every year of education.
* At least 6 years of Information Technology experience
* At least 4 years of hands\-on GenAI / Agentic AI/ data science with machine learning
* Strong proficiency in Python programming.
* Experience of deploying the Gen AI applications with one of the Agent Frameworks like LangGraph, AutoGen or Crew AI.
* Experience in deploying the Gen AI stack/services provided by various platforms such as AWS, GCP, Azure, IBM Watson
* Experience in Generative AI and working with multiple Large Language Models and implementing Advanced RAG based solutions.
* Experience in processing/ingesting unstructured data from PDFs, HTML, Image files, audio to text etc.
* Experience with Hybrid Retrieval, Semantic Chunking, Metadata Filtering and Vector Search Optimization
* Experience with Advanced LLM concepts like Prompt Compression, Fine\-Tuning, Caching, etc.
* Experience working with multimodal models integrating image, text, or audio into GenAI workflows.
* Experience working with Vector Databases (such as FAISS, Pinecone, Weaviate, or Azure AI Search).
* Experience in Model evaluation tools like DeepEval, FMeval, RAGAS , Bedrock model evaluation, including human\-in\-the\-loop feedback loops.
* Experience with LLMOps practices including prompt versioning, caching, observability, cost tracking, and production deployment of LLMs.
* Strong understanding of AI governance (like GDPR, explainability), data privacy, model safety (e.g., hallucination, toxicity, bias), and enterprise\-grade compliance requirements.
* Experience with data gathering, data quality, system / microservices architecture, coding best practices
**Preferred Data Scientist Qualifications:** 
* 5\+ years of hands\-on experience with more than one programming language; Java, Python, R, Scala, Java, SQL
* Hands\-on experience with CI/CD pipelines and DevOps tools like Jenkins, GitHub Actions, or Terraform.
* Proficiency in NoSQL and SQL databases (PostgreSQL, MongoDB, CosmosDB, DynamoDB).
* Deep Learning experience with CNNs, RNN, LSTMs and the latest research trends
* Experience in Python AI/ML frameworks such as TensorFlow, PyTorch, or LangChain.
* Strong understanding and experience of LLM fine\-tuning, local deployment of open\-source models
* Proficiency in building RESTful APIs using FastAPI, Flask, or Django.
* Experience in Model evaluation tools like DeepEval, FMeval, RAGAS , Bedrock model evaluation.
* Experience with perception (e.g. computer vision), time series data (e.g. text analysis)</t>
        </is>
      </c>
    </row>
    <row r="14">
      <c r="A14" t="inlineStr">
        <is>
          <t>li-4341864954</t>
        </is>
      </c>
      <c r="B14" t="inlineStr">
        <is>
          <t>Data Scientist</t>
        </is>
      </c>
      <c r="C14" t="inlineStr">
        <is>
          <t>UST</t>
        </is>
      </c>
      <c r="D14" t="inlineStr">
        <is>
          <t>linkedin</t>
        </is>
      </c>
      <c r="E14" t="inlineStr"/>
      <c r="F14" t="inlineStr"/>
      <c r="G14" t="inlineStr">
        <is>
          <t>Bentonville, AR</t>
        </is>
      </c>
      <c r="H14" t="inlineStr"/>
      <c r="I14" t="inlineStr">
        <is>
          <t>**Role Description**
**Data Scientist**
**Specialist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A skilled
 **Data Scientist** 
 with strong data analysis capabilities and basic experience with Google Cloud Platform (GCP) to support our growing e\-commerce analytics team. In this role, you will analyze customer behaviour, optimize product performance, and help drive data\-driven decisions across marketing, operations, pricing, and merchandising.
**The Opportunity**
* Analyze customer journeys, purchase patterns, and product performance to uncover trends and opportunities in the e\-commerce environment.
* Perform exploratory data analysis (EDA) on large datasets from multiple e\-commerce sources (web analytics, CRM, marketing platforms, transactional data).
* Create clear dashboards and reports using visualization tools to communicate insights to product, marketing, and business teams.
* Work with engineering and data teams to ensure proper data collection, quality, and structure for analysis.
* Conduct A/B testing for marketing campaigns, pricing strategies, website changes, and product recommendations.
* Use GCP tools (BigQuery, Cloud Storage, Looker Studio) for data querying, processing, and reporting.
 This position description identifies the responsibilities and tasks typically associated with the performance of the position. Other relevant essential functions may be required.
**What You Need**
* 7 – 10 years of experience
* Experience with data visualization tools such as Tableau, Power BI, or matplotlib/seaborn.
* Experience working with databases, APIs, or data pipelines.
* Basic to intermediate experience with GCP (BigQuery, Cloud Storage, Dataflow or similar).
* Familiarity with big data tools (Spark, Hadoop).
* Proficiency in Python or R, with strong experience in data analysis libraries (e.g., pandas, NumPy, SciPy, dplyr).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**Arkansas**
**Compensation Range:** 
 $94,000\-$141,000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Science,Python,Data Analysis</t>
        </is>
      </c>
    </row>
    <row r="15">
      <c r="A15" t="inlineStr">
        <is>
          <t>li-4354182191</t>
        </is>
      </c>
      <c r="B15" t="inlineStr">
        <is>
          <t>Senior Data Scientist</t>
        </is>
      </c>
      <c r="C15" t="inlineStr">
        <is>
          <t>UST</t>
        </is>
      </c>
      <c r="D15" t="inlineStr">
        <is>
          <t>linkedin</t>
        </is>
      </c>
      <c r="E15" t="inlineStr"/>
      <c r="F15" t="inlineStr"/>
      <c r="G15" t="inlineStr">
        <is>
          <t>Washington, United States</t>
        </is>
      </c>
      <c r="H15" t="inlineStr"/>
      <c r="I15" t="inlineStr">
        <is>
          <t>**Role Description**
**Senior Data Scientist**
**Specialist 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 highly skilled Senior Data Scientist with expertise in Machine Learning, Artificial Intelligence, Large Language Models (LLMs), foundation models, and fine\-tuning techniques.
**The Opportunity**
* Design, build, and optimize Generative AI, LLM, and multimodal foundation models for enterprise fintech applications.
* Fine\-tune or adapt open\-source and proprietary models
* Build high\-performance models for NLP, document intelligence, anomaly detection, risk scoring, predictive analytics, and decisioning use cases.
* Lead experimentation to evaluate model accuracy, scalability, and fairness.
* Partner with engineering teams to deploy models on cloud\-based ML pipelines (Azure, AWS) \&amp; data platforms (Databricks \&amp; Snowflake)
* Work with large\-scale structured and unstructured datasets across the payments and financial ecosystem.
* Implement model monitoring, drift detection, and continuous retraining strategies.
* Evaluate and operationalize new AI technologies, foundation model architectures, responsible AI frameworks, and emerging research.
 This position description identifies the responsibilities and tasks typically associated with the performance of the position. Other relevant essential functions may be required.
**What You Need**
* Master’s or PhD in Computer Science, Data Science, Machine Learning, AI, or related field.
* 10\+ years of hands\-on experience building and deploying machine learning models in production.
* Proven expertise with LLMs, transformer architectures, transfer learning, and model fine\-tuning.
* Strong proficiency in Python, PyTorch or TensorFlow, and ML libraries such as Transformers.
* Experience with cloud ML platforms, containerization (Docker/Kubernetes), and MLOps tools.
* Solid understanding of statistical modeling, optimization, and evaluation methodologies.
* Strong communication skills and ability to collaborate in cross\-functional, fast\-paced environments.
* Preferred Qualifications
* Experience working in fintech, payments, banking, or fraud/risk environments.
* Background in vector databases, RAG pipelines, and knowledge graph integration.
* Experience with data privacy, model governance, and Responsible AI frameworks.
* Contributions to open\-source AI/ML communities or research publications.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Washington**
**Compensation Range** 
 : $130,000\-$195,000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science,machine learning,big data,artificial intelligence,</t>
        </is>
      </c>
    </row>
    <row r="16">
      <c r="A16" t="inlineStr">
        <is>
          <t>li-4353940940</t>
        </is>
      </c>
      <c r="B16" t="inlineStr">
        <is>
          <t>Senior Data Scientist</t>
        </is>
      </c>
      <c r="C16" t="inlineStr">
        <is>
          <t>UST</t>
        </is>
      </c>
      <c r="D16" t="inlineStr">
        <is>
          <t>linkedin</t>
        </is>
      </c>
      <c r="E16" t="inlineStr"/>
      <c r="F16" t="inlineStr"/>
      <c r="G16" t="inlineStr">
        <is>
          <t>Alpharetta, GA</t>
        </is>
      </c>
      <c r="H16" t="inlineStr"/>
      <c r="I16" t="inlineStr">
        <is>
          <t>**Role Description**
**Senior Data Scientist**
**Specialist I \- ML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 highly skilled Senior Data Scientist with expertise in Machine Learning, Artificial Intelligence, Large Language Models (LLMs), foundation models, and fine\-tuning techniques.
**The Opportunity**
* Design, build, and optimize Generative AI, LLM, and multimodal foundation models for enterprise fintech applications.
* Fine\-tune or adapt open\-source and proprietary models
* Build high\-performance models for NLP, document intelligence, anomaly detection, risk scoring, predictive analytics, and decisioning use cases.
* Lead experimentation to evaluate model accuracy, scalability, and fairness.
* Partner with engineering teams to deploy models on cloud\-based ML pipelines (Azure, AWS) \&amp; data platforms (Databricks \&amp; Snowflake)
* Work with large\-scale structured and unstructured datasets across the payments and financial ecosystem.
 This position description identifies the responsibilities and tasks typically associated with the performance of the position. Other relevant essential functions may be required.
**What You Need**
* Master’s or PhD in Computer Science, Data Science, Machine Learning, AI, or related field.
* 10 \+ years of hands\-on experience building and deploying machine learning models in production.
* Proven expertise with LLMs, transformer architectures, transfer learning, and model fine\-tuning.
* Strong proficiency in Python, PyTorch or TensorFlow, and ML libraries such as Transformers.
* Experience with cloud ML platforms, containerization (Docker/Kubernetes), and MLOps tools.
* Solid understanding of statistical modeling, optimization, and evaluation methodologies.
* Strong communication skills and ability to collaborate in cross\-functional, fast\-paced environments.
* Preferred Qualifications:
* Experience working in fintech, payments, banking, or fraud/risk environments.
* Background in vector databases, RAG pipelines, and knowledge graph integration.
* Experience with data privacy, model governance, and Responsible AI frameworks.
* Contributions to open\-source AI/ML communities or research publications.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Georgia**
**Compensation Range** 
 : $122,000\-$183,000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science,deep learning,artificial intelligence,machine learning,data governance,</t>
        </is>
      </c>
    </row>
    <row r="17">
      <c r="A17" t="inlineStr">
        <is>
          <t>li-4362105702</t>
        </is>
      </c>
      <c r="B17" t="inlineStr">
        <is>
          <t>Data Scientist</t>
        </is>
      </c>
      <c r="C17" t="inlineStr">
        <is>
          <t>Jobs via Dice</t>
        </is>
      </c>
      <c r="D17" t="inlineStr">
        <is>
          <t>linkedin</t>
        </is>
      </c>
      <c r="E17" t="inlineStr"/>
      <c r="F17" t="inlineStr"/>
      <c r="G17" t="inlineStr">
        <is>
          <t>Vienna, VA</t>
        </is>
      </c>
      <c r="H17" t="inlineStr"/>
      <c r="I17" t="inlineStr">
        <is>
          <t>**Overview**
 The Data Analytics and Reporting team at NFFG develops scalable analytics solutions that support investment strategy, member engagement, and business performance. This role involves building predictive models and applying mathematical optimization to improve targeting and decision\-making. Responsibilities also include automating data pipelines and workflows, developing interactive dashboards, and producing recurring reports that deliver clear, actionable insights. Success in this role requires strong technical skills, business understanding, and the ability to communicate analytical findings effectively across teams
**Responsibilities**
* Develop and deploy predictive models (classification, regression, clustering, time series) to support investment behavior analysis and member targeting.
* Automate data pipelines and modeling workflows for scalable deployment across data channels.
* Develop interactive dashboards to visualize key trends and model insights
* Apply mathematical optimization to improve portfolio strategy, and campaign effectiveness.
* Conduct deep\-dive analyses on member behavior, transactions, and product adoption to guide data\-driven decisions.
* Collaborate with cross\-functional teams to align analytics with business objectives.
* Present findings clearly to technical and non\-technical audiences
* Model monitoring and documentation
**Qualifications**
* 2\-3 years of experience with requisite competencies
* Proficient in Python, SQL, PySpark, Power BI (or Tableau)
* Hands\-on experience with statistics, machine learning, time series forecasting, and mathematical optimization
* Strong communication, collaboration and presentation and problem\-solving skills
* Experience with cloud platforms (e.g., Azure Databricks)
* Research skills
* Independent judgment
* Data storytelling and technical presentation skills
* Problem solving and critical thinking
* Bachelor's Degree in Computers Science, Engineering, Statistics, Operations Research, Mathematics, or degrees in similar quantitative fields
**Desired Qualifications**
* Master's Degree in Data Science, Statistics, Mathematics, Computer Science, or Engineering
* 3\+ years of experience with requisite competencies
**Hours:** 
 Monday \- Friday, 8:00AM \- 4:30PM Hybrid
**Location:** 
 820 Follin Lane, Vienna, VA 22180
 This position is eligible for the TalentQuest employee referral program. If an employee referred you for this job, please apply using the system\-generated link that was sent to you.
**Navy Federal Credit Union currently does not provide sponsorship for this role. Applicants must be authorized to work in the United States without the need for current or future sponsorship.**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Yello and WayUp Top 100 Internship Programs
 Computerworld Best Places to Work in IT
 Newsweek Most Loved Workplaces
 2025 PEOPLE Companies That Care
 Newsweek Most Trustworthy Companies in America
 Military Times 2025 Best for Vets Employers
 Best Companies for Latinos to Work for 2024
 Forbes 2025 America's Best Large Employers
 Forbes 2025 America's Best Employers for New Grads
 Forbes 2025 America's Best Employers for Tech Workers
 2025 RippleMatch Campus Forward Award Winner for Overall Excellence
 Military.com Top Military Spouse Employers 2025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18">
      <c r="A18" t="inlineStr">
        <is>
          <t>li-4361947794</t>
        </is>
      </c>
      <c r="B18" t="inlineStr">
        <is>
          <t>Data Scientist</t>
        </is>
      </c>
      <c r="C18" t="inlineStr">
        <is>
          <t>Jobs via Dice</t>
        </is>
      </c>
      <c r="D18" t="inlineStr">
        <is>
          <t>linkedin</t>
        </is>
      </c>
      <c r="E18" t="inlineStr"/>
      <c r="F18" t="inlineStr"/>
      <c r="G18" t="inlineStr">
        <is>
          <t>Maryland Heights, MO</t>
        </is>
      </c>
      <c r="H18" t="inlineStr"/>
      <c r="I18" t="inlineStr">
        <is>
          <t>**Description:**
*5 days onsite in Maryland Heights, MO*
 Our client is an American telecommunications and mass media company providing connectivity services to consumers and businesses under a national brand. It serves over 26 million customers across 41 states and operates as one of the largest cable and pay TV providers in the United States.
*Due to client requirements, applicants must be willing and able to work on a w2 basis. For our w2 consultants, we offer a great benefits package that includes Medical, Dental, and Vision benefits, 401k with company matching, and life insurance.*
 Rate: $53\.00 to $63\.00/hr. w2
**Responsibilities:**
**Responsibilities**
* Build and improve forecasting and predictive models.
* Analyze historical data to identify patterns and trends.
* Collaborate with stakeholders to translate business problems into data solutions.
* Evaluate and improve model performance over time.
* Support deployment and monitoring of models in production.
**Experience Requirements:**
**Experience Requirements**
* Strong experience with Python, SQL, and data analysis.
* Hands\-on experience with predictive modeling.
* Understanding of time\-based data and forecasting concepts.
* Experience with statistical or machine learning models.
* Ability to work with real\-world, messy datasets.
* Exposure to ML model deployment.
* Cloud or big data experience.
**Education Requirements:**
* Bachelor's Degree in related field is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9">
      <c r="A19" t="inlineStr">
        <is>
          <t>li-4362162483</t>
        </is>
      </c>
      <c r="B19" t="inlineStr">
        <is>
          <t>Gen AI (Data Scientist/ ML Engineer)</t>
        </is>
      </c>
      <c r="C19" t="inlineStr">
        <is>
          <t>Jobs via Dice</t>
        </is>
      </c>
      <c r="D19" t="inlineStr">
        <is>
          <t>linkedin</t>
        </is>
      </c>
      <c r="E19" t="inlineStr"/>
      <c r="F19" t="inlineStr"/>
      <c r="G19" t="inlineStr"/>
      <c r="H19" t="inlineStr"/>
      <c r="I19" t="inlineStr">
        <is>
          <t>**Lead AI Engineer with 15\+ Years of experience**
**Experience required :\- 15\+ years !**
**Mandatory Skills:** 
 Python,LLM,GenAI,Semantic Search,Re\-Ranking,AWS,Search Engineer
**Job Description:**
 We are looking for an
 **AI Engineer** 
 to modernize and enhance our existing
 **regex/keyword\-based** 
 by integrating
 **state\-of\-the\-art semantic search, dense retrieval, and LLM\-powered ranking** 
 techniques.
 This role will drive the transformation of traditional search into an
 **intelligent, context\-aware, personalized, and high\-precision search experience** 
 .
 The ideal candidate has hands\-on experience with ,
 **information retrieval (IR)** 
 ,
 **embedding\-based search** 
 ,
 **BM25** 
 ,
 **re\-ranking** 
 ,
 **LLM\-based retrieval pipelines** 
 , and
 **AWS cloud deployment** 
 .
 Roles \&amp; Responsibilities
**Modernizing the Search Platform** 
* Analyze limitations in current regex \&amp; keyword\-only search implementation on ElasticSearch.
* Enhance search relevance using:
+ BM25 tuning
+ Synonyms, analyzers, custom tokenizers
+ Boosting strategies and scoring optimization
* Introduce semantic / vector\-based search using dense embeddings.
* LLM\-Driven Search \&amp; RAG Integration
* Implement LLM\-powered search workflows including:
+ Query rewriting and expansion
+ Embedding generation (OpenAI, Cohere, Sentence Transformers, etc.)
+ Hybrid retrieval (BM25 \+ vector search)
+ Re\-ranking using cross\-encoders or LLM evaluators
* Build RAG (Retrieval Augmented Generation) flows using ElasticSearch vectors, OpenSearch, or AWS\-native tools.
* Search Infrastructure Engineering
* Build and optimize search APIs for latency, relevance, and throughput.
* Design scalable pipelines for:
+ Indexing structured and unstructured text
+ Maintaining embedding stores
+ Real\-time incremental updates
* Implement caching, failover, and search monitoring dashboards.
* AWS Cloud Delivery
* Deploy and operate solutions on AWS, leveraging:
+ OpenSearch Service or EC2\-managed ElasticSearch
+ Lambda, ECS/EKS, API Gateway, SQS/SNS
+ SageMaker for embedding generation or re\-ranking models
* Implement CI/CD for search models and pipelines.
* Evaluation \&amp; Continuous Improvement
* Develop search evaluation metrics (nDCG, MRR, precision@k, recall).
* Conduct A/B experiments to measure improvements.
* Tune ranking functions and hybrid search scoring.
* Partner with product teams to refine search behaviors with real usage patterns.
**Required Skills \&amp; Qualifications** 
* 5–10 years of experience in AI/ML, NLP, or IR systems, with hands\-on search engineering.
* Strong expertise in ElasticSearch/OpenSearch: analyzers, mappings, scoring, BM25, aggregations, vectors.
* Experience with semantic search:
+ Embeddings (BERT, SBERT, Llama, GPT\-based, Cohere)
+ Vector databases or ES vector fields
+ Approximate nearest neighbor (ANN) techniques
* Working knowledge of LLM\-based retrieval and RAG architectures.
* Proficient in Python; familiarity with Java/Scala is a plus.
* Hands\-on AWS experience (OpenSearch, SageMaker, Lambda, ECS/EKS, EC2, S3, IAM).
* Experience building and deploying APIs using FastAPI/Flask and containerizing with Docker.
* Familiar with typical IR metrics and search evaluation frameworks.
**Preferred Skills**
* Knowledge of cross\-encoder and bi\-encoder architectures for re\-ranking.
* Experience with query understanding, spell correction, autocorrect, and autocomplete features.
* Exposure to LLMOps / MLOps in search use cases.
* Understanding of multi\-modal search (text \+ images) is a plus.
* Experience with knowledge graphs or metadata\-aware search.</t>
        </is>
      </c>
    </row>
    <row r="20">
      <c r="A20" t="inlineStr">
        <is>
          <t>li-4362547204</t>
        </is>
      </c>
      <c r="B20" t="inlineStr">
        <is>
          <t>(CW) Data Scientist</t>
        </is>
      </c>
      <c r="C20" t="inlineStr">
        <is>
          <t>Jobs via Dice</t>
        </is>
      </c>
      <c r="D20" t="inlineStr">
        <is>
          <t>linkedin</t>
        </is>
      </c>
      <c r="E20" t="inlineStr"/>
      <c r="F20" t="inlineStr"/>
      <c r="G20" t="inlineStr">
        <is>
          <t>Novato, CA</t>
        </is>
      </c>
      <c r="H20" t="inlineStr"/>
      <c r="I20" t="inlineStr">
        <is>
          <t>**Job Title:** 
 Data Scientist, RBQM (Clinical Trials)
**Location:** 
 Novato, CA
**Hours/Schedule:** 
 Monday\-Friday, 8 am to 5 pm
**Compensation:** 
 $72\.00\-$79\.00 hourly, DOQ
**Type:** 
 Contract
* We cannot work C2C with any other agency \- must be US based\*\*
**Overview**
 The Data Scientist, RBQM supports central monitoring and risk\-based quality management activities for clinical trials by delivering robust, SAS\-driven analytics across multiple studies. This role partners closely with Data Management, Biostatistics, and Clinical Operations to implement key risk indicators and ensure high\-quality, analysis\-ready clinical data.
**Responsibilities**
* Implement and maintain pre\-defined KRIs, QTLs, and triggers using scalable SAS programs and macros across clinical studies.
* Extract, transform, and integrate data from EDC systems and other clinical data sources into analysis\-ready datasets.
* Produce routine and ad hoc RBQM and central monitoring outputs, including tables, listings, extracts, and dashboard feeds.
* Perform quality control, validation, and troubleshooting of SAS programs to ensure accuracy and efficiency.
* Maintain technical documentation, including specifications, validation records, and change logs.
* Collaborate with Central Monitoring, Data Management, Biostatistics, and Study Operations to clarify requirements and ensure correct implementation of RBQM metrics.
* Support data\-driven signal detection and study oversight activities throughout the clinical trial lifecycle.
 Qualifications Must Have
* PhD, MS, or BA/BS in statistics, biostatistics, computer science, data science, life sciences, or a related field.
* Relevant clinical development experience (programming, RBM/RBQM, or Data Management):
* PhD: 3\+ years
* MS: 5\+ years
* BA/BS: 8\+ years
 Benefits
* Advanced SAS programming expertise in a clinical trials environment (Base SAS, Macro, SAS SQL).
* Hands\-on experience working with large, complex clinical trial datasets.
* Proficiency with Microsoft Word, Excel, and PowerPoint. Nice to Have
* Experience with RAVE EDC.
* Working knowledge of CDISC standards, including CDASH and SDTM.
* Exposure to R, Python, or JavaScript.
* Experience with clinical data visualization tools or platforms.
* Knowledge of Google Cloud Platform, ICH, and FDA guidance related to clinical trials and risk\-based monitoring.
 System One offers eligible employees health and welfare benefits coverage options, including medical, dental, vision, spending accounts, life insurance, voluntary plans, and participation in a 401(k) plan.
 Ref: \#568\-Clinical</t>
        </is>
      </c>
    </row>
    <row r="21">
      <c r="A21" t="inlineStr">
        <is>
          <t>li-4365789134</t>
        </is>
      </c>
      <c r="B21" t="inlineStr">
        <is>
          <t>Data Scientist (REMOTE)</t>
        </is>
      </c>
      <c r="C21" t="inlineStr">
        <is>
          <t>Lensa</t>
        </is>
      </c>
      <c r="D21" t="inlineStr">
        <is>
          <t>linkedin</t>
        </is>
      </c>
      <c r="E21">
        <f>HYPERLINK("https://www.linkedin.com/jobs/view/4365789134", "https://www.linkedin.com/jobs/view/4365789134")</f>
        <v/>
      </c>
      <c r="F21" t="inlineStr"/>
      <c r="G21" t="inlineStr">
        <is>
          <t>Austin, TX</t>
        </is>
      </c>
      <c r="H21" t="inlineStr"/>
      <c r="I2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\#IT
 \#informationtechnology
 \#Datascience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22">
      <c r="A22" t="inlineStr">
        <is>
          <t>li-4365803503</t>
        </is>
      </c>
      <c r="B22" t="inlineStr">
        <is>
          <t>Data Scientist</t>
        </is>
      </c>
      <c r="C22" t="inlineStr">
        <is>
          <t>ImpetusIT</t>
        </is>
      </c>
      <c r="D22" t="inlineStr">
        <is>
          <t>linkedin</t>
        </is>
      </c>
      <c r="E22">
        <f>HYPERLINK("https://www.linkedin.com/jobs/view/4365803503", "https://www.linkedin.com/jobs/view/4365803503")</f>
        <v/>
      </c>
      <c r="F22" t="inlineStr"/>
      <c r="G22" t="inlineStr">
        <is>
          <t>Orlando, FL</t>
        </is>
      </c>
      <c r="H22" t="inlineStr"/>
      <c r="I22" t="inlineStr">
        <is>
          <t>One of our staffing partners is helping a retail client hire a
 **Data Scientist** 
 Salary offered $60\-70k per year
 Direct applicants only no c2c or company candidates due to low margins. The staffing company or client will reach directly to the applicants.
**Responsibilities:** 
* Design, train, and fine\-tune Large Language Models (LLMs) for various applications
* Deploy, monitor, and optimize AI models in cloud environments
* Collaborate with cross\-functional teams to integrate AI into real\-world applications
* Analyze and preprocess massive datasets for AI\-driven insights
* Strong background in
 **Machine Learning, Deep Learning, and NLP**
* Hands\-on experience with LLMs (GPT, Llama, PaLM, or similar)
* Knowledge of transformer architectures, attention mechanisms, and reinforcement learning
* Experience with fine\-tuning and optimizing foundation models
* Experience with AI model deployment and optimization techniques</t>
        </is>
      </c>
    </row>
    <row r="23">
      <c r="A23" t="inlineStr">
        <is>
          <t>li-4365799086</t>
        </is>
      </c>
      <c r="B23" t="inlineStr">
        <is>
          <t>Mid-Level -Data Scientist- Gen Ai - ML</t>
        </is>
      </c>
      <c r="C23" t="inlineStr">
        <is>
          <t>Capgemini</t>
        </is>
      </c>
      <c r="D23" t="inlineStr">
        <is>
          <t>linkedin</t>
        </is>
      </c>
      <c r="E23">
        <f>HYPERLINK("https://www.linkedin.com/jobs/view/4365799086", "https://www.linkedin.com/jobs/view/4365799086")</f>
        <v/>
      </c>
      <c r="F23" t="inlineStr"/>
      <c r="G23" t="inlineStr">
        <is>
          <t>Seattle, WA</t>
        </is>
      </c>
      <c r="H23" t="inlineStr"/>
      <c r="I2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**About the job you’re considering** 
 :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is:$120,000 TO $145,000\.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4">
      <c r="A24" t="inlineStr">
        <is>
          <t>li-4365797022</t>
        </is>
      </c>
      <c r="B24" t="inlineStr">
        <is>
          <t>Data Scientist</t>
        </is>
      </c>
      <c r="C24" t="inlineStr">
        <is>
          <t>Shanghai Yanfu Investments Co., Ltd.</t>
        </is>
      </c>
      <c r="D24" t="inlineStr">
        <is>
          <t>linkedin</t>
        </is>
      </c>
      <c r="E24">
        <f>HYPERLINK("https://www.linkedin.com/jobs/view/4365797022", "https://www.linkedin.com/jobs/view/4365797022")</f>
        <v/>
      </c>
      <c r="F24" t="inlineStr"/>
      <c r="G24" t="inlineStr">
        <is>
          <t>New York, United States</t>
        </is>
      </c>
      <c r="H24" t="inlineStr"/>
      <c r="I24" t="inlineStr">
        <is>
          <t>岗位：数据科学家
**工作地点：上海市，中国，线下办公** 
 关于我们：
 上海衍复投资管理有限公司成立于2019年，是一家用量化方法从事投资管理的科技公司。公司的策略团队多元化，包括海外头部对冲基金工作多年的行家里手，美国大学任教职后回归业界的学者派和国内外顶级学府毕业后在衍复成长起来的中坚派；工程团队核心成员均来自清北交复等顶级院校，大部分有一线互联网公司的工作经历，团队具有丰富的技术经验和良好的技术氛围。公司致力于通过10\-20年的时间，把衍复打造为投资人广泛认可的头部资管品牌。
 衍复鼓励充分交流合作，我们相信自由开放的文化是优秀的人才发挥创造力的土壤。我们希望每位员工都可以在友善的合作氛围中充分实现自己的职业发展潜力。
 【工作职责】
 1\. 深入探索和分析原始数据，发现潜在的业务机会和数据价值
 2\. 针对不同类型的数据，选择合理的建模方法，产出具有业务逻辑的数据结果
 3\. 关注前沿数据分析与建模技术，评估其可行性并在实际工作中创新应用
 【任职资格】
 1\. 国内外知名院校理工科相关专业，博士优先
 2\. 深入理解不同模型的特性，具备模型选型和应用优化的实践能力
 3\. 了解数据科学在量化投资中的实践应用，有相关项目经验优先
 4\. 对数据科学工作充满热情，自驱力强，逻辑严谨，善于合作
 5\. 熟练使用 Linux、Python、SQL 进行数据分析和建模
 衍复提供：
 强竞争力的薪酬
 新人的全方位培训
 不设限的发展空间
 About the job
 Data Scientist
**Working Location: Shanghai, China, onsite** 
 About our team
 YanFu is a quantitative hedge fund with a strong academic atmosphere and research orientation. We are committed to establishing an engineering culture and believe that a free and open culture can make excellent talents give full play to their creativity. Our founder has always been active in the front line of strategy development, training new members. State\-of\-the\-art level skills of quantitative investments can be cultivated in YanFu.
 We believe that a free and open culture allows talented people to be creative at their best. In the meantime, the company will regularly organize seminars to promote technical exchanges within the company and communication between different departments. We truly care about the needs and feelings of every employee, and hope team members can fully realize their career development potential in a friendly working environment.
**Job Responsibilities** 
1. Delve into and analyze raw data to identify potential business opportunities and extract data\-driven value.
2. Select appropriate modeling methods for different types of data to produce data results aligned with business logic.
3. Stay updated on cutting\-edge data analysis and modeling technologies, assess their feasibility, and innovatively apply them in practical work.
**Qualifications** 
1. A degree in a STEM\-related field from a reputable university, with a Ph.D. preferred.
2. Deep understanding of the characteristics of different models, with practical ability in model selection and application optimization.
3. Familiarity with the practical application of data science in quantitative investing, with relevant project experience preferred.
4. Passion for data science, strong self\-motivation, rigorous logical thinking, and excellent collaboration skills.
5. Proficiency in using Linux, Python, and SQL for data analysis and modeling.
 【Language Requirement】: Mandarin And English
 What we offer:
 Highly competitive salary package
 Full training for new members
 Unlimited development space</t>
        </is>
      </c>
    </row>
    <row r="25">
      <c r="A25" t="inlineStr">
        <is>
          <t>li-4354752674</t>
        </is>
      </c>
      <c r="B25" t="inlineStr">
        <is>
          <t>Senior Data Scientist, Ecosystems</t>
        </is>
      </c>
      <c r="C25" t="inlineStr">
        <is>
          <t>Patreon</t>
        </is>
      </c>
      <c r="D25" t="inlineStr">
        <is>
          <t>linkedin</t>
        </is>
      </c>
      <c r="E25">
        <f>HYPERLINK("https://www.linkedin.com/jobs/view/4354752674", "https://www.linkedin.com/jobs/view/4354752674")</f>
        <v/>
      </c>
      <c r="F25" t="inlineStr"/>
      <c r="G25" t="inlineStr">
        <is>
          <t>San Francisco, CA</t>
        </is>
      </c>
      <c r="H25" t="inlineStr"/>
      <c r="I25"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**Senior Data Scientist** 
 to support our mission.
*This role is based in
 **New York or San Francisco** 
 and open to those who are able to be in\-office 2 days per week on a hybrid work model.*
**About The Role**
* You’ll work in lock step with your cross\-functional team to build product features that help creators improve their membership monetization.
* You’ll conduct quantitative research to inform product strategy and opportunities, design metrics to help track goals and make decisions, devise learning methods (including experiments) to test hypotheses, and work closely with our machine learning and data engineering teams on building MVP user\-facing data products.
* You'll translate data into actionable insights and communicate your technical work to the data team, your cross\-functional partners, executive leadership, and the rest of the company.
* You’ll be a cultural and technical leader on the data science team.
**About You**
* Bachelor's degree in Statistics, Economics, Engineering, Mathematics, a related quantitative field, or equivalent practical experience.
* You have a wealth of experience helping product teams make great decisions with data.
* You are an experimentation expert and possess a very strong statistical inference skillset.
* You have solid analytical thinking. You ask the right questions and strive to see beyond the numbers to understand what an analysis represents in terms of real\-world applications.
* You have experience making tradeoffs between speed and accuracy.
* You are a SQL expert and have experience in Python or R to perform statistical analyses.
* You have a track record of building strong relationships with product, engineering, research, and design teammates.
* You have a growth mindset and aspire to continuously improve your soft and technical skills.
* You are an expert communicator with a love for clarity and simplicity.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accomodations@patreon.*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26">
      <c r="A26" t="inlineStr">
        <is>
          <t>li-4326271156</t>
        </is>
      </c>
      <c r="B26" t="inlineStr">
        <is>
          <t>Ice Cream Customer Analytics Data Scientist</t>
        </is>
      </c>
      <c r="C26" t="inlineStr">
        <is>
          <t>The Magnum Ice Cream Company</t>
        </is>
      </c>
      <c r="D26" t="inlineStr">
        <is>
          <t>linkedin</t>
        </is>
      </c>
      <c r="E26">
        <f>HYPERLINK("https://www.linkedin.com/jobs/view/4326271156", "https://www.linkedin.com/jobs/view/4326271156")</f>
        <v/>
      </c>
      <c r="F26">
        <f>HYPERLINK("https://unilever.wd3.myworkdayjobs.com/TMICC/job/Englewood-Cliffs-NJ/Ice-Cream-Customer-Analytics-Data-Scientist_R-1169672-2?source=LinkedIn&amp;urlHash=Mhf1", "https://unilever.wd3.myworkdayjobs.com/TMICC/job/Englewood-Cliffs-NJ/Ice-Cream-Customer-Analytics-Data-Scientist_R-1169672-2?source=LinkedIn&amp;urlHash=Mhf1")</f>
        <v/>
      </c>
      <c r="G26" t="inlineStr">
        <is>
          <t>Englewood Cliffs, NJ</t>
        </is>
      </c>
      <c r="H26" t="inlineStr"/>
      <c r="I26" t="inlineStr">
        <is>
          <t>**Scope:** 
 US, Customer Development
**Location:** 
 Englewood Cliffs, NJ \- Hybrid (Minimum 2 Days in Office)
**Terms \&amp; Conditions:** 
 Full time, International sponsorship or relocation not supported
 If you are in the Ice Cream business or consider choosing to work for the The Magnum Ice Cream Company Ice Cream business, you will work for the Global, leading Ice Cream player with €7\.9bn Turn Over in 2023\. The Ice Cream business is operating in a highly attractive category, as we are part of the 1 trillion snacking and refreshment industry, growing consistently at high pace. We have strong brands equities: 5 of top 10 selling brands including Magnum and Ben \&amp; Jerry’s. We are investing to unlock the full growth potential of Ice Cream as a standalone entity, once we separate from Unilever, which happened in December of 2025\.
 Ice Cream has distinct characteristics from TMICC’s other operating businesses and the growth potential of Ice Cream will be better delivered under a different ownership structure. As an Ice Cream company we are committed to developing and nurturing talent within. You will have ample options for career growth and exploration, allowing you for you to explore roles and opportunities across the new organization. Your career development will be a priority for us, and we are dedicated to supporting your growth journey within the new company. We hope that you will want to build the new chapter of our Ice Cream history together with us.
**ABOUT ICE CREAM: Life Tastes Better with Ice Cream**
 TMICC Ice Cream is the largest global Ice Cream Company in the world, with over 100 years of experience delivering a diverse range of indulgent, yet responsible, craft food experiences and treats delighting consumers. Committed to innovation, quality, and sustainability we have 35 brands, including 3 one billion Euro brands (Magnum, Wall’s, Ben \&amp; Jerry’s), a strong presence in over 60 countries, generating annual revenue of over $8 billion. All brands are driven to transform moments into memories through indulgent yet responsibly made and marketed products. We have a well\-developed strategy to deliver growth and value creation which is clear on where to play and how to win.
 We turn the ordinary into the extraordinary by designing unique and innovative Ice Cream experiences that make life taste better, creating joyful experiences. In our Ice Cream business, we’re crafting the future through innovation and imaginative minds, creating unique products. We spark moments of happiness for people and within the communities where we operate. However, it is not as simple as it may seem. As Ice Cream makers we are serious about happiness. With warm hearts, we create the coolest products.
**Job Purpose**
 The Customer Analytics Data Scientist will report to the Associate Director of CD Analytics and Insights and will be responsible for developing advanced analytical models and insights that empower the US Customer Development function to achieve its sales ambitions. In this role, you will have the opportunity to design and implement predictive and prescriptive analytics solutions that drive decision\-making across sales, category management, shopper marketing, and channel strategy.
 This is a hands\-on technical role with strong business integration. The ideal candidate not only has deep expertise in statistical modeling and machine learning but also thrives on partnering with commercial and customer development teams to translate complex data into actionable business stories. You will collaborate closely with data engineering to ensure models are seamlessly operationalized within our data ecosystem and brought to life through visualization and stakeholder engagement.
**Key Responsibilities**
* Work closely with business stakeholders to translate needs into well designed and executed technology products that are embedded into daily decision\-making, with a focus on promotion optimization, syndicated and retailer data, demand forecasting, shopper marketing, digital commerce, and sales reporting
* Develop predictive and forecasting models (e.g., forecasting demand, pricing, promotions optimization, customer/shopper behavior) that drive commercial decision\-making and business performance.
* Collaborate with data engineering to define consistent business logic and unified data definitions, consistent with how the business operates, that enable self\-service analytics and integration across data products.
* Build advanced analytics capabilities including demand forecasting, promotion performance, assortment optimization, and shopper behavior modeling.
* Liase with local and global business and technology teams to define, manage, and enhance Magnum’s Customer Development analytics capabilities
* Conduct advanced analytics analyses using data science, machine learning, and AI to uncover insights that generate tangible business value
* Communicate and deliver engaging data visualizations and data narratives that bring data to life for both technical \&amp; non\-technical audiences, simplifying complex concepts and enabling decision\-making across commercial teams
* Guide and lead squads or project teams, driving adoption of data science principles and best\-in\-class analytics approaches to deliver impactful solutions.
**What You Need To Succeed**
* Technical aptitude and the ability to lead teams toward business\-value focused technology solutions
* 6\+ years of experience with cloud data platforms (Azure, AWS, GCP) and Databricks, with strong proficiency in SQL, PySpark, Python, and DAX for building high\-performance data transformations and pipelines.
* Hands\-on experience with Databricks, Azure Data Factory, Delta Lake, Power BI, Alteryx and related cloud data technologies.
* Proficient in machine learning frameworks and libraries including scikit\-learn, TensorFlow, PyTorch, XGBoost
* Experience with data visualization tools like PowerBI, Tableau.
* Strong ability to communicate technical findings to non\-technical audiences, turning data into actionable business narratives.
* Intellectual curiosity and strong analytic ability
* Preparedness to develop a deep understanding of business operations and needs for the Customer Development function
* Excellent planning, organization, and project estimation skills
* Strong understanding of the use and management of retailer and syndicated data
* Ability to work collaboratively with cross functional teams both locally and globally
* Ability to communicate and present complex topics clearly and compellingly to business stakeholders
**Skills**
* Strong understanding of data science principles and data visualization approaches
* Solid understanding of data modelling to support analytics and reporting use cases.
* Proficiency in coding languages such as Python, PySpark, DAX and SQL
* Ability to collect business requirements and translate into technical solutions
* Experience using tools like Databricks, Azure Data Factory, Power BI, and Alteryx
* Experience leveraging data sources such as Circana, Nielsen, panel data, and retailer data
* Ability to design intuitive and compelling front end business applications
* Data Engineering, Computer Science or study in related field.
**Required**
**EXPERIENCES \&amp; QUALIFICATIONS:**
* Experience applying data science, machine learning, and AI to business problems in Consumer Goods organizations
* Experience designing and implementing end\-to\-end data analyses and capabilities for a business focused audience
* Experience creating data visualization dashboards in tools such as PowerBI or Tableau
* Experience collecting business requirements and translating them into technology projects
* Experience working in a consumer goods organization
* Experience with the use and management of retailer and syndicated data (such as Circana, Nielsen)
**Preferred**
* Experience in a consumer goods Customer Development function
* Experience with retailer data platforms such as Scintilla, SymphonyAI, 1010data and 84\.51 Stratum
* Familiarity with Digital Commerce and Shopper Marketing data solutions
* Experience managing analytics teams
**Pay:** 
 The pay range for this position is $99,760 to $149,640\. TMICC takes into consideration a wide range of factors that are utilized in making compensation decisions including, but not limited to, skill sets, experience and training, licensure and certifications, qualifications and education, and other business and organizational needs.
**Bonus:** 
 This position is bonus eligible.
**Long\-Term Incentive (LTI):** 
 This position is LTI eligible.
**Benefits:** 
 TMICC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\#TMICC
 \#TMICC
**About The Magnum Ice Cream Company**
 With 19\.000 expert ice cream colleagues and iconic brands like Wall’s, Cornetto and Ben \&amp; Jerry’s, loved in 76 countries, we are the world’s largest Ice Cream company leading the industry We have been taking pleasure seriously for more than 100 years, serving happiness with every lick or scoop of ice cream for generations.
**About**
 The Magnum Ice Cream Company (formerly part of Unilever) is all about growth. Growing our business. Growing our customers’ businesses. Growing our people’s careers. Growth begins with empowerment. So we free our people to be innovative, responsible entrepreneurs, driven and equipped to give our consumers more amazing products and unforgettable moments – and having fun doing it. Here’s what defines success in our organization :
* We are all about growth
* We operate with speed and simplicity
* We win together with fun
* We boldly innovate to disrupt our industry
* We care and challenge
* We are experts in the Ice Cream Category
**ARE YOU EXCITED TO CRAFT THE ICE CREAM FUTURE?**
 Please apply online and do not forget to upload your CV. Your application will be reviewed against the requirements, and we will be in touch shortly after the closing date, with an update on the status of your application.
 The Magnum Ice Cream Company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protected veteran status, or any other characteristic protected by local, state, or federal law and will not be discriminated against on the basis of disability.
 For more information about your Federal rights, please see Know Your Rights: Workplace Discrimination is Illegal and Pay Transparency Non discrimination Provision.
 Employment is subject to verification of pre\-screening tests, which may include drug screening, background check, credit check and DMV check.
 If you are an individual with a disability in need of assistance at any time during our recruitment process, please contact your recruiter. Please note: This email is reserved for individuals with disabilities in need of assistance and is not a means of inquiry about positions or application statuses. The Protected Veterans or Individuals with Disabilities AAP narratives are available for inspection by any employee or applicant for employment Monday through Friday during normal business hours at establishment.</t>
        </is>
      </c>
    </row>
    <row r="27">
      <c r="A27" t="inlineStr">
        <is>
          <t>li-4321513082</t>
        </is>
      </c>
      <c r="B27" t="inlineStr">
        <is>
          <t>AI/ML &amp; Data Scientist SME</t>
        </is>
      </c>
      <c r="C27" t="inlineStr">
        <is>
          <t>Zachary Piper Solutions</t>
        </is>
      </c>
      <c r="D27" t="inlineStr">
        <is>
          <t>linkedin</t>
        </is>
      </c>
      <c r="E27">
        <f>HYPERLINK("https://www.linkedin.com/jobs/view/4321513082", "https://www.linkedin.com/jobs/view/4321513082")</f>
        <v/>
      </c>
      <c r="F27" t="inlineStr"/>
      <c r="G27" t="inlineStr">
        <is>
          <t>Washington, DC</t>
        </is>
      </c>
      <c r="H27" t="inlineStr"/>
      <c r="I27" t="inlineStr">
        <is>
          <t>Zachary Piper Solutions is seeking an
 **AI/ML \&amp; Data Scientist SME** 
 to support
 **hybrid** 
 operations in
 **Washington, DC** 
 . This role will analyze data, build clear visualizations, and automate cloud‑based workflows to deliver actionable insights.
**Responsibilities for the AI/ML \&amp; Data Scientist SME include:**
* Analyze complex datasets and deliver actionable insights using BI, AI/ML, and predictive analytics.
* Create clear, impactful Tableau/Power BI dashboards and communicate findings effectively.
* Perform SQL\-based ETL, manage relational databases, and ensure data quality through governance best practices.
* Use AWS and Power Automate to modernize data workflows and automate scalable processes.
**Qualifications for the AI/ML \&amp; Data Scientist SME include:**
* Bachelor’s degree (Master’s preferred) and 6\+ years in AI/ML, data analysis, and visualization
* Proficient in Python, SQL, and automated data workflows/pipelines
* Strong Tableau/Power BI dashboard and reporting expertise
* Familiar with AWS cloud services and Collibra Data Governance
* Active DHS or Top Secret clearance
**Compensation for the AI/ML \&amp; Data Scientist SME include:**
* Salary Range: $120,000 \- $140,000 based on years of experience
* Benefits: Medical, Dental, Vision, 401k Plan, PTO (Paid Time Off), Holidays, Sick leave as required by law
**This job opens for applications on 1/20/2025\. Applications for this job will be accepted for at least 30 days from the posting date**
**Keywords:** 
 AI/ML, data analytics, data visualization, Power BI, Tableau, SQL, ETL, Python, AWS, S3, EC2, RDS, Lambda, automation, Power Automate, data governance, Collibra, dashboards, reporting, predictive analytics, generative AI, data modeling, business intelligence, cloud computing, data pipelines, workflow automation, Oracle, PostgreSQL, MySQL, data quality, data integrity, data lineage, stakeholder engagement, insights, analytics solutions, data storytelling, relational databases, cloud modernization, analytics engineering, data processing, data extraction, KPI reporting, communication skills, cross\-functional collaboration, technical analysis, data\-driven decision\-making, performance metrics, analytics strategy, enterprise data, trends and patterns</t>
        </is>
      </c>
    </row>
    <row r="28">
      <c r="A28" t="inlineStr">
        <is>
          <t>li-4321483237</t>
        </is>
      </c>
      <c r="B28" t="inlineStr">
        <is>
          <t>Experienced Data Scientist</t>
        </is>
      </c>
      <c r="C28" t="inlineStr">
        <is>
          <t>Jobs via Dice</t>
        </is>
      </c>
      <c r="D28" t="inlineStr">
        <is>
          <t>linkedin</t>
        </is>
      </c>
      <c r="E28">
        <f>HYPERLINK("https://www.linkedin.com/jobs/view/4321483237", "https://www.linkedin.com/jobs/view/4321483237")</f>
        <v/>
      </c>
      <c r="F28" t="inlineStr"/>
      <c r="G28" t="inlineStr">
        <is>
          <t>Hialeah, FL</t>
        </is>
      </c>
      <c r="H28" t="inlineStr"/>
      <c r="I28" t="inlineStr">
        <is>
          <t>**Company:**
 Boeing Distribution, Inc.
**Boeing Global Services,** 
**Distribution Business,** 
 is looking for an
 **Experienced Data Scientist** 
 to join our team in
 **Hialeah, FL.**
 The Senior Data Scientist will operate in a lead role, developing and building next generation Artificial Intelligence (AI) and Machine Learning (ML) products and services.
 This position will work effectively with cross\-functional teams and technical leads to determining, defining, and deploying analytics solutions to meet business goals.
 At Boeing, we are already making a difference across the industry using AI and ML to deliver superior product experience to our internal functions and commercial and government customers. We are expanding and growing in all areas in the frontier of the aerospace industry. We already have some of the best minds and talents in this field, and we're looking for someone with applied experience in AI and ML (including Natural Language Processing, Deep Learning, Conversational AI, and Computer Vision) to join our team in this senior data scientist role.
**Position Responsibilities:**
* Evaluate business objectives, determine stakeholder needs, and identify requirements
* Choose best fit methods, define algorithms, validate, and deploy models to achieve business results
* Perform necessary data preparation and enhancements to models
* Interface directly with senior business leaders and stakeholders to architect and lead the development of advanced analytics solutions supporting Aircraft operations, Engineering, Manufacturing, Quality, and Safety
* Working with data scientists leads across domains to ensure functional excellence in this technical field and will provide mentoring, technical leadership, and training to the data scientist community to accelerate and develop this talent base
* Provide thought leadership for machine learning and advanced analytics methods at Boeing and externally
* Engage with stakeholders across the business to identify applications across the enterprise, beyond the initial use case, and lead the implementation of these applications to capture business value
* Evaluate technologies, assist in identifying capabilities gaps, develop and teach best practices and technology standards, and work alongside the rest of the global data scientists and technical leads in Analytics organization
* Ensure analytics solutions meet the business requirements and are implemented in a timely manner to validate business value
* Work effectively with cross\-functional teams in the analysis of highly complex data sets using advanced analytics techniques such as machine learning, advanced statistical analysis, visual analysis, text analysis, mathematical optimization, and simulation
* Identify modeling attributes and parameters
* Follow best practices and standard processes for model validation and refinement as per business requirements
* Assess performance of models and analysis and confirm that business objectives were met
* Work with business unit stakeholders to develop and sustain analytics solutions
**Basic Qualifications (Required Skills/Experience):**
* 5\+ years of experience working with projects, teams, and/or leaders in the analytics and/or data science space
* 5\+ years of experience researching and applying large language and generative AI models
* 5\+ years of experience with various machine learning methods such as regression, clustering, classification, decision trees, natural language processing, ensemble methods, support vector machines (SVM), deep learning, reinforcement learning, etc.
* 5\+ years of experience in designing and implementing Natural Language Processing (NLP) models using machine learning techniques including neural networks, deep learning and transformer architectures
**Preferred Qualifications (Desired Skills/Experience):**
* Bachelor's degree or equivalent work or military experience
* Master's degree in data science or equivalent
* Experience in supply chain domain
* Experience in agile and product\-oriented development
* Experience in building ML models and bring into full production use within the industry
* Experience training machine learning models in a cloud computing environment such as: Amazon Web Services, Google Cloud Platform, Microsoft Azure, etc.
* Experience programming in one or more of the following: C, C\+\+, Java, Python, Scala
* Experience with statistical software (e.g., R, MATLAB) and database languages (e.g., SQL)
* Experience with SAP (ERP)
* Experience in advanced statistics (e.g., probability theory and distributions, descriptive statistics, matrix algebra, multivariate statistics, polynomial analysis, parametric and non\-parametric methods, etc.)
**Conflict of Interest:**
* Successful candidates for this job must satisfy the Company's Conflict of Interest (COI) assessment process.
**Travel:**
 This position may require traveling 25% of the time.
**Drug Free Workplace:**
 Boeing is a Drug Free Workplace where post offer applicants and employees are subject to testing for marijuana, cocaine, opioids, amphetamines, PCP, and alcohol when criteria are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$134,000\.00 \- $191,000\.00
**Language Requirements:**
 Not Applicable
**Education:**
 Not Applicable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does not require a Security Clearance.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29">
      <c r="A29" t="inlineStr">
        <is>
          <t>li-4365801930</t>
        </is>
      </c>
      <c r="B29" t="inlineStr">
        <is>
          <t>Senior Applied Scientist - AI Safety and Security</t>
        </is>
      </c>
      <c r="C29" t="inlineStr">
        <is>
          <t>Jobs via Dice</t>
        </is>
      </c>
      <c r="D29" t="inlineStr">
        <is>
          <t>linkedin</t>
        </is>
      </c>
      <c r="E29">
        <f>HYPERLINK("https://www.linkedin.com/jobs/view/4365801930", "https://www.linkedin.com/jobs/view/4365801930")</f>
        <v/>
      </c>
      <c r="F29">
        <f>HYPERLINK("https://click.appcast.io/t/XzB4nyb_yXmspfBGXsPYhP9N0ElP7itzxDG6huww-eU=&amp;urlHash=j5El", "https://click.appcast.io/t/XzB4nyb_yXmspfBGXsPYhP9N0ElP7itzxDG6huww-eU=&amp;urlHash=j5El")</f>
        <v/>
      </c>
      <c r="G29" t="inlineStr">
        <is>
          <t>Redmond, WA</t>
        </is>
      </c>
      <c r="H29" t="inlineStr"/>
      <c r="I2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seeking a Senior Applied Scientist \- AI Safety and Security to join a high impact team sitting at the intersection of cybersecurity and generative AI. As an applied scientist on this team, you will research, conduct experiments, train models, and develop technical innovation for detection of AI abuse as well as mitigations for threats like prompt injection attacks. You will work towards implementing and shipping state\-of\-the\-art techniques for things like metacognition and mechanistic interpretability, partnering closely with our engineering and security research teams to help defend Microsoft's flagship AI systems and Agentic products.
 We are the Artificial Generative Intelligence Security (AeGIS) team, and we are charged with ensuring justified confidence in the safety and security of Microsoft's generative AI products. This encompasses providing infrastructure for AI safety and security; serving as a coordination point for all things AI incident response; researching the quickly evolving threat landscape; red teaming AI systems for failures; and empowering Microsoft with this knowledge. We are a mission\-driven team intent on delivering trustworthy AI and response processes when it does not live up to those standards. We are always learning. Insatiably curious. We lean into uncertainty, take risks, and learn quickly from our mistakes. Together we make a difference for all of our customers, from end users to Fortune 50 enterprises. Our team has people from a wide variety of backgrounds, previous work histories, and life experiences, and we are eager to maintain and grow that diversity. Our diversity of backgrounds and experiences enables us to create innovative solutions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Advance the science: Design and run experiments, train models, and develop techniques and pipelines in areas like reinforcement learning, fingerprinting, meta\-cognition, and mechanistic interpretability \- all while upholding best practices in Responsible AI and Privacy\-Preserving ML.
* Push state\-of\-the\-art detection and threat hunting capabilities: explore and optimize detection approaches that enable investigators to do sophisticated searches for attack signature similarity and large\-scale pattern matching or anomaly detection.
* Drive AI Safety and Security innovation: Partner with Engineering and PM to translate research into product and security platform vision, experimenting with new mitigation approaches like model activation analysis or drift detection.
* Collaborate across Microsoft: Work closely with Microsoft Research, Defender, Azure, AI platform teams, and product groups to bring cutting\-edge AI into real\-world applications.
* Stay ahead: Keep up with the latest research and foster a thriving applied science culture. Publishing is encouraged, though not required.
 Embody our Culture and Values
**Qualifications**
 Required/minimum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**Other Requirements**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 Experience training or fine\-tuning models and building ML experimentation systems. Technical experience with ML tools like PyTorch and data toos like Spark.
* Experience with synthetic data generation and data management for evaluation/training
* Experience publishing research papers and/or obtaining patents
* Deep motivation for user\-centric AI safety and security, and interest in detections and mitigations
* Experience with large\-scale embedding models and transformer architectures.
* Familiarity with advanced concepts in AI safety, such as metacognition and mechanistic interpretability.
 \#MSFT Security \#MSECAI \#AI \#RAI \#Safety \#Security \#MSECAI \#AEGIS \#AIIR \#AISP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2026-01-26T05:25:43Z</dcterms:created>
  <dcterms:modified xsi:type="dcterms:W3CDTF">2026-01-26T05:25:43Z</dcterms:modified>
</cp:coreProperties>
</file>