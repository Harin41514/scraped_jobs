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in-fa2622cc7c537100</t>
        </is>
      </c>
      <c r="B2" t="inlineStr">
        <is>
          <t>Data Engineer</t>
        </is>
      </c>
      <c r="C2" t="inlineStr">
        <is>
          <t>Apple</t>
        </is>
      </c>
      <c r="D2" t="inlineStr">
        <is>
          <t>indeed</t>
        </is>
      </c>
      <c r="E2" t="inlineStr"/>
      <c r="F2" t="inlineStr"/>
      <c r="G2" t="inlineStr">
        <is>
          <t>Cupertino, CA, US</t>
        </is>
      </c>
      <c r="H2" s="2" t="n">
        <v>46046</v>
      </c>
      <c r="I2" t="inlineStr">
        <is>
          <t>Apple's Audio and Media Technologies Group (AMT) is looking for a talented and dedicated big data engineer to join our Data Engineering team. The Data Engineering team within Apple's Audio and Media Technologies (AMT) organization plays a critical role in supporting data\-driven analytics by providing data collection, warehousing, and analytics at big data scale. Our team provides the infrastructure to power numerous trend and operational dashboards as well as other ad\-hoc use cases in support of services like Apple TV, Apple Music, and FaceTime. We are leveraging Generative AI and Machine Learning technologies to provide best\-in\-class data analytics and monitoring.  
This role offers the opportunity to help design, enhance, and develop our very\-high\-volume processing pipeline. You'll work with talented engineers within our team as well as cross\-functional teams in an agile and dynamic environment that values engineering excellence, creativity, and innovation, and you will be a key contributor to our next generation of processing pipeline and data analytics platform.  
**Description**  
Our team leverages modern Data Engineering, Generative AI and Machine Learning technologies to deliver actionable insights. You will be:  
* Collaborating with data scientists across functional teams to define and enhance performance metrics that provide valuable insights for stakeholders
* Building and maintaining:
* Ingestion pipelines for real\-time data processing
* Real\-time applications driving operational monitoring
* Batch ETL/ELT applications populating our data warehouse
* Applying Generative AI and Retrieval Augmented Generation (RAG) techniques to enhance data analytics capabilities
* Applying Machine Learning technologies for anomaly detection","responsibilities":"Tuning and scaling Apache Kafka producer/consumer, Spark Structured Streaming and Flink applications running in cloud environment
Managing and monitoring large scale data collection and analytics pipelines at the application level  
Performing capacity planning to scale infrastructure and applications running on Kubernetes  
Troubleshooting production issues and conducting performance analysis of distributed systems  
Collaborating with cross\-functional teams to ensure high availability and reliability of data pipelines  
Keeping up with the latest data engineering trends and applying the corresponding technologies  
**Preferred Qualifications**  
Production experience with Apache Kafka, Spark, or Flink  
Working knowledge of Trino or similar distributed query engines  
Experience building multi\-agent AI systems or agentic workflows  
Familiarity with Retrieval Augmented Generation (RAG) techniques working in conjunction with LLMs  
Experience with creating and consuming Model Context Protocol (MCP) services  
**Minimum Qualifications**  
Bachelor's degree in Computer Science or equivalent professional experience  
Experience in building large scale distributed systems in Java/Python or similar languages  
Proficient in SQL  
Experience with data warehouse architectures and dimensional modeling  
Demonstrated ability to conduct performance analysis and troubleshoot large scale distributed systems  
Strong collaboration skills with ability to understand complex architectures and work effectively across teams  
Hands\-on experience with Docker and Kubernetes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
      <c r="A3" t="inlineStr">
        <is>
          <t>in-7ca5f9c537031129</t>
        </is>
      </c>
      <c r="B3" t="inlineStr">
        <is>
          <t>Data Engineer</t>
        </is>
      </c>
      <c r="C3" t="inlineStr">
        <is>
          <t>Amazon.com</t>
        </is>
      </c>
      <c r="D3" t="inlineStr">
        <is>
          <t>indeed</t>
        </is>
      </c>
      <c r="E3" t="inlineStr"/>
      <c r="F3" t="inlineStr"/>
      <c r="G3" t="inlineStr">
        <is>
          <t>San Francisco, CA, US</t>
        </is>
      </c>
      <c r="H3" s="2" t="n">
        <v>46001</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in-d86ceec798063136</t>
        </is>
      </c>
      <c r="B4" t="inlineStr">
        <is>
          <t>Data Engineer</t>
        </is>
      </c>
      <c r="C4" t="inlineStr">
        <is>
          <t>Amazon.com</t>
        </is>
      </c>
      <c r="D4" t="inlineStr">
        <is>
          <t>indeed</t>
        </is>
      </c>
      <c r="E4" t="inlineStr"/>
      <c r="F4" t="inlineStr"/>
      <c r="G4" t="inlineStr">
        <is>
          <t>Seattle, WA, US</t>
        </is>
      </c>
      <c r="H4" s="2" t="n">
        <v>46001</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in-5bcbaf73e383dd22</t>
        </is>
      </c>
      <c r="B5" t="inlineStr">
        <is>
          <t>Delivery Consultant - Data Engineer, Data and Machine Learning, WWPS US Federal</t>
        </is>
      </c>
      <c r="C5" t="inlineStr">
        <is>
          <t>Amazon Web Services</t>
        </is>
      </c>
      <c r="D5" t="inlineStr">
        <is>
          <t>indeed</t>
        </is>
      </c>
      <c r="E5" t="inlineStr"/>
      <c r="F5" t="inlineStr"/>
      <c r="G5" t="inlineStr">
        <is>
          <t>Herndon, VA, US</t>
        </is>
      </c>
      <c r="H5" s="2" t="n">
        <v>45991</v>
      </c>
      <c r="I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in-b676c4054de2e0d6</t>
        </is>
      </c>
      <c r="B6" t="inlineStr">
        <is>
          <t>Delivery Consultant - Data Engineer, Data and Machine Learning, WWPS US Federal</t>
        </is>
      </c>
      <c r="C6" t="inlineStr">
        <is>
          <t>Amazon Web Services</t>
        </is>
      </c>
      <c r="D6" t="inlineStr">
        <is>
          <t>indeed</t>
        </is>
      </c>
      <c r="E6" t="inlineStr"/>
      <c r="F6" t="inlineStr"/>
      <c r="G6" t="inlineStr">
        <is>
          <t>Arlington, VA, US</t>
        </is>
      </c>
      <c r="H6" s="2" t="n">
        <v>45991</v>
      </c>
      <c r="I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in-9848a76b9ca01865</t>
        </is>
      </c>
      <c r="B7" t="inlineStr">
        <is>
          <t>Sr. Security Analytics Engineer - Rules (HYBRID)</t>
        </is>
      </c>
      <c r="C7" t="inlineStr">
        <is>
          <t>GEICO</t>
        </is>
      </c>
      <c r="D7" t="inlineStr">
        <is>
          <t>indeed</t>
        </is>
      </c>
      <c r="E7">
        <f>HYPERLINK("https://www.indeed.com/viewjob?jk=9848a76b9ca01865", "https://www.indeed.com/viewjob?jk=9848a76b9ca01865")</f>
        <v/>
      </c>
      <c r="F7">
        <f>HYPERLINK("https://click.appcast.io/t/HbpPP7pAZk4L0KEqm7vCr8CVkn773IiAGWBxxFyrQEg=", "https://click.appcast.io/t/HbpPP7pAZk4L0KEqm7vCr8CVkn773IiAGWBxxFyrQEg=")</f>
        <v/>
      </c>
      <c r="G7" t="inlineStr">
        <is>
          <t>Chevy Chase, MD, US</t>
        </is>
      </c>
      <c r="H7" s="3" t="n">
        <v>46046</v>
      </c>
      <c r="I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**GEICO**is looking for a highly skilled **Security Analytics Engineer** to join our security team. In this role, you will be responsible for building and optimizing our Security Data Platform and Data Lake, leveraging advanced analytics, data engineering, and AI/ML for security use cases. You will work with cutting\-edge SIEM solutions (Google Chronicle) and other data analytics tools to drive insights, threat detection, and security intelligence.
 **Key Responsibilities:**
* Develop and optimize queries using **Kusto Query Language (KQL), Yara\-L and SQL** for data analysis and security insights.
* Collaborate with **security analysts, data engineers, and software developers** to ensure the security data ecosystem meets organizational needs.
**Required Skills \&amp; Experience:*** Strong knowledge of **security concepts**, including **TCP/UDP protocols**, secure data transmission, and encryption techniques.
* Experience with **system design \&amp; architecture** for security data platforms.
* Experience with **Kusto Query Language (KQL), SQL**, and other data query languages.
* Hands\-on experience with **SIEM platforms (Google Chronicle preferred)**.
**Nice to have:*** Eager and ability to learn \&amp; leverage **AI/ML for security use cases**.
* Strong problem\-solving skills and ability to work in a fast\-paced environment.
**Preferred Qualifications:*** Prior experience in **security analytics, detection engineering, or threat intelligence**.
* Familiarity with **big data processing tools and cloud\-based security analytics platforms**.
* Experience working in **large\-scale security data environments**.
**Why Join Us?*** Work with cutting\-edge **security analytics technologies**.
* Be part of a team building an advanced **Security Data Platform ground up.**
* Opportunity to leverage **AI/ML for security innovations**.
* Competitive salary, benefits, and career growth opportunities.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
      <c r="A8" t="inlineStr">
        <is>
          <t>in-65a7c03977f6149c</t>
        </is>
      </c>
      <c r="B8" t="inlineStr">
        <is>
          <t>Sr. Security Analytics Engineer - Rules (HYBRID)</t>
        </is>
      </c>
      <c r="C8" t="inlineStr">
        <is>
          <t>GEICO</t>
        </is>
      </c>
      <c r="D8" t="inlineStr">
        <is>
          <t>indeed</t>
        </is>
      </c>
      <c r="E8">
        <f>HYPERLINK("https://www.indeed.com/viewjob?jk=65a7c03977f6149c", "https://www.indeed.com/viewjob?jk=65a7c03977f6149c")</f>
        <v/>
      </c>
      <c r="F8">
        <f>HYPERLINK("https://click.appcast.io/t/BR-VJQD8Gd65x3xlAUlOm925-rMtvMRw0BdO_-_cxKQ=", "https://click.appcast.io/t/BR-VJQD8Gd65x3xlAUlOm925-rMtvMRw0BdO_-_cxKQ=")</f>
        <v/>
      </c>
      <c r="G8" t="inlineStr">
        <is>
          <t>Seattle, WA, US</t>
        </is>
      </c>
      <c r="H8" s="3" t="n">
        <v>46046</v>
      </c>
      <c r="I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**GEICO**is looking for a highly skilled **Security Analytics Engineer** to join our security team. In this role, you will be responsible for building and optimizing our Security Data Platform and Data Lake, leveraging advanced analytics, data engineering, and AI/ML for security use cases. You will work with cutting\-edge SIEM solutions (Google Chronicle) and other data analytics tools to drive insights, threat detection, and security intelligence.
 **Key Responsibilities:**
* Develop and optimize queries using **Kusto Query Language (KQL), Yara\-L and SQL** for data analysis and security insights.
* Collaborate with **security analysts, data engineers, and software developers** to ensure the security data ecosystem meets organizational needs.
**Required Skills \&amp; Experience:*** Strong knowledge of **security concepts**, including **TCP/UDP protocols**, secure data transmission, and encryption techniques.
* Experience with **system design \&amp; architecture** for security data platforms.
* Experience with **Kusto Query Language (KQL), SQL**, and other data query languages.
* Hands\-on experience with **SIEM platforms (Google Chronicle preferred)**.
**Nice to have:*** Eager and ability to learn \&amp; leverage **AI/ML for security use cases**.
* Strong problem\-solving skills and ability to work in a fast\-paced environment.
**Preferred Qualifications:*** Prior experience in **security analytics, detection engineering, or threat intelligence**.
* Familiarity with **big data processing tools and cloud\-based security analytics platforms**.
* Experience working in **large\-scale security data environments**.
**Why Join Us?*** Work with cutting\-edge **security analytics technologies**.
* Be part of a team building an advanced **Security Data Platform ground up.**
* Opportunity to leverage **AI/ML for security innovations**.
* Competitive salary, benefits, and career growth opportunities.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
      <c r="A9" t="inlineStr">
        <is>
          <t>in-32e52268a49451f5</t>
        </is>
      </c>
      <c r="B9" t="inlineStr">
        <is>
          <t>Staff Engineer - Finance Data Engineer (Hybrid)</t>
        </is>
      </c>
      <c r="C9" t="inlineStr">
        <is>
          <t>GEICO</t>
        </is>
      </c>
      <c r="D9" t="inlineStr">
        <is>
          <t>indeed</t>
        </is>
      </c>
      <c r="E9">
        <f>HYPERLINK("https://www.indeed.com/viewjob?jk=32e52268a49451f5", "https://www.indeed.com/viewjob?jk=32e52268a49451f5")</f>
        <v/>
      </c>
      <c r="F9">
        <f>HYPERLINK("https://click.appcast.io/t/e-M5dyWS57LkA3ctDXIKB3i5jbE7XYg-HBrERZKx9LE=", "https://click.appcast.io/t/e-M5dyWS57LkA3ctDXIKB3i5jbE7XYg-HBrERZKx9LE=")</f>
        <v/>
      </c>
      <c r="G9" t="inlineStr">
        <is>
          <t>Palo Alto, CA, US</t>
        </is>
      </c>
      <c r="H9" s="3" t="n">
        <v>46046</v>
      </c>
      <c r="I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**Job Description: Staff Engineer – Finance Data Specialist**
GEICO is seeking **Finance Data specialists** to support the build out of a **Finance Data Warehouse/Lake** by partnering with both Finance and Technology teams to redesign the way they use their technologies in managing GEICO's business. This individual must have strong functional and technical Finance Systems background to partner with the Business ensuring effective discussions to drive the capture, transformation, and utilization of Finance data to meet Business goals.
The **Staff Engineer, Finance Data Specialist** will report to the Senior Manager of Finance Data \&amp; Analytics and will provide solutions on how to build out, maintain, and support a Finance Data repository to support FP\&amp;A processing and analytics while also supporting the larger Finance organization’s need for Finance data. The Finance Data Specialist will work with multiple Finance and Technology leaders to support the build out the company’s Finance Data Warehouse/Lake to provide a central repository for all Financial related transactions so it can be a reconciled source of truth for processing and the source for Revenue and Expense analytics. This role is also accountable to support the delivery of technology solutions that will support FP\&amp;A Planning/Budgeting, financial reporting, Revenue/Expense Analytics, and the build out of the Finance Data Warehouse to become a reconciled source to allow the GL to become a “thin” ledger.
The ideal candidate has deep Finance Systems experience across multiple companies, a **background in ERP and Finance Data Warehouses** from both technical and functional aspects and has supported the deployment of best practices leveraging their broad knowledge of various **ERPs (e.g. Oracle; Workday; SAP or PeopleSoft**). Prior Financial Systems experience is needed to be considered.
**Position Responsibilities**
As a **Staff Engineer, Finance Data Specialist** supporting Finance functions you will:
* Leverage your strong Functional and Technical systems expertise to drive towards the right solution to support the department and GEICO’s current and future needs
* Engage in cross\-functional collaboration throughout the entire software lifecycle
* Support design sessions with peers to ensure systems are well designed, efficient, and meet Business expectations
* Collaborate with Finance Leaders within the FP\&amp;A, Controllers, Financial Reporting, and Finance QA \&amp; Systems team along with the Data Engineering and Finance Technology leaders to ensure organizational goals are met
* Have a deep understanding of a few Finance functions to support the establishment of a vision and technology roadmap to build out a Finance Data Lake/Warehouse
* Have a good understanding of finance data lake/mart with Data processing/data transformation using ETL/ELT tools such as Informatica, DBT, etc.
* Experience with designing, developing, implementing, and maintaining solutions for data ingestion and transformation projects
* Experience working with cloud data solutions (Delta Lake, Iceberg, Hudi, Snowflake, Redshift or equivalent)
* Support the development of a roadmap and then work towards implementing Revenue and Expense Analytical solutions
* Support and try to influence customers and stakeholders, and work through divergent expectations
* Support the implementation of a strong control and governance framework and maintain it for SOX and Audit reviews
* Support Business and Technology discussions at various levels to ensure alignment towards long term goals of Finance and Technology
* Analyze and translate business and functional specifications and change requests into technical specifications
* Share best practices and improve processes within and across teams
**Qualifications**
* 15\+ years of Finance Systems experience with industry leading ERP solutions (e.g. implementing and supporting Oracle; Workday; SAP or PeopleSoft)
* 3\+ years of experience in implementing and supporting FP\&amp;A applications (Preferred)
* 3\+ years working with or supporting a Finance Data Lake/Warehouse/Mart along with various Financial Reporting tools
* Good understanding of Dimensional Data Modeling
* Strong working knowledge of Data processing/data transformation using ETL/ELT tools such as Informatica, DBT, etc.
* Strong working knowledge of SQL and the ability to write, debug and optimize SQL queries and ETL jobs
* Experience working with Financials via the major vendors (e.g. PeopleSoft; Oracle EBS; Oracle Cloud; Workday; or SAP)
* Finance domain expertise to be able to work with senior Finance leaders to interpret their process and functional needs into system solutions
* Good understanding of FP\&amp;A Budgeting, Planning, and forecasting processes
* Experience in implementing or supporting Revenue or Expense analytical solutions via tools such as Power BI, Tableau, etc.
* Good understanding of accounting process and reporting expectations to partner with Finance teams
* Ability to communicate and work directly with users across Technology and Finance
* Sound understanding of project management techniques, methodologies, and best practices
* Strong problem\-solving abilities
* Ability to excel in a fast\-paced environment
* Knowledge and experience with the software development life cycle
* Ability to work independently and in a team\-oriented collaborative environment
**Education**
* Bachelor’s degree in Computer Science, Information Systems, Engineering, Business Administration, or equivalent education or work experience
 **Annual Salary**
$110,000\.00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
      <c r="A10" t="inlineStr">
        <is>
          <t>in-92f353683ab6ca84</t>
        </is>
      </c>
      <c r="B10" t="inlineStr">
        <is>
          <t>Staff Engineer - Finance BI Engineer (Hybrid)</t>
        </is>
      </c>
      <c r="C10" t="inlineStr">
        <is>
          <t>GEICO</t>
        </is>
      </c>
      <c r="D10" t="inlineStr">
        <is>
          <t>indeed</t>
        </is>
      </c>
      <c r="E10">
        <f>HYPERLINK("https://www.indeed.com/viewjob?jk=92f353683ab6ca84", "https://www.indeed.com/viewjob?jk=92f353683ab6ca84")</f>
        <v/>
      </c>
      <c r="F10">
        <f>HYPERLINK("https://click.appcast.io/t/samtp-X-9jVJ0ncZNf9YFObZB-ZfYOKjzzRzZcqTQ6c=", "https://click.appcast.io/t/samtp-X-9jVJ0ncZNf9YFObZB-ZfYOKjzzRzZcqTQ6c=")</f>
        <v/>
      </c>
      <c r="G10" t="inlineStr">
        <is>
          <t>San Francisco, CA, US</t>
        </is>
      </c>
      <c r="H10" s="3" t="n">
        <v>46046</v>
      </c>
      <c r="I1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**Hybrid: PaloAlto, CA and Dallas, TX**
GEICO is seeking **Finance Data specialists** to support the build out of a **Finance Data Warehouse/Lake** by partnering with both Finance and Technology teams to redesign the way they use their technologies in managing GEICO's business. This individual must have strong functional and technical Finance Systems background to partner with the Business ensuring effective discussions to drive the capture, transformation, and analytics\-driven utilization of Finance data to meet Business goals.
The **Staff Engineer, Finance Data BI Specialist** will report to the Senior Manager of Finance Data \&amp; Analytics and will provide solutions on how to build out, maintain, and support a Finance Data repository to support FP\&amp;A processing and business intelligence analytics while also supporting the larger Finance organization’s need for Finance data and analytics. The Finance Data Specialist will work with multiple Finance and Technology leaders to support the build out the company’s Finance Data Warehouse/Lake to provide a central repository for all Financial related transactions so it can be a reconciled source of truth for processing and the source for Revenue and Expense analytics. This role is also accountable to support the delivery of technology solutions that will support FP\&amp;A Planning/Budgeting, financial reporting, Revenue/Expense Analytics, and the build out of the Finance Data Warehouse to become a reconciled source to allow the GL to become a “thin” ledger.
The ideal candidate has deep Finance Systems experience across multiple companies; a **background in ERP and Finance Data Warehouses** from both technical and functional aspects; and has supported the deployment of best practices leveraging their broad knowledge of various **ERPs (e.g. Oracle; Workday; SAP or PeopleSoft**). Prior Financial Systems experience is required for consideration.
**Position Responsibilities**
As a **Staff Engineer, Finance Data BI Specialist** supporting Finance functions you will:
* Leverage your strong Functional and Technical systems expertise to drive towards the right solutions to support Finance’s current and future needs
* Collaborate with Finance Leaders within the FP\&amp;A, Controllers, Financial Reporting, and Finance QA \&amp; Systems team along with the Data Engineering and Finance Technology leaders to ensure organizational goals are met
* Have a deep understanding of a few Finance functions to support the establishment of a vision and technology roadmap to build out a Finance Data Lake/Warehouse
* Have a good understanding of finance data lake/mart technologies, and approaches for data transformation using ETL/ELT tools such as Informatica, DBT, etc.
* Experience working with cloud data solutions (Delta Lake, Iceberg, Hudi, Snowflake, Redshift or equivalent)
* Develop high\-quality, accurate data visualizations and reports using tools like Power BI and Apache Superset to support data\-driven business decisions
* Support the implementation of a strong control and governance framework and maintain it for SOX and Audit reviews
* Support Business and Technology discussions at various levels to ensure alignment towards long term goals of Finance and Technology
* Analyze and translate business and functional specifications and change requests into technical specifications
* Share best practices and improve processes within and across teams
* **Qualifications**
* 15\+ years of Finance Systems experience with industry leading ERP solutions (e.g. implementing and supporting Oracle; Workday; SAP or PeopleSoft)
* 3\+ years of experience in implementing and supporting FP\&amp;A applications (Preferred)
* 3\+ years working with or supporting a Finance Data Lake/Warehouse/Mart along with various Financial Reporting tools
* Good understanding of Dimensional Data Modeling
* Deep knowledge of Power BI administration (workspaces, capacities, security, governance) and Power Platform administration (environments, Dataverse, flows, apps)
* Advanced knowledge of business intelligence tools (strong preference for Power BI) and ETL tools (strong preference for DBT)
* Strong understanding of identity, access management, and compliance in Microsoft 365 and Azure AD
* Experience architecting CI/CD pipelines for Power BI solutions (Azure DevOps or GitHub)
* Strong understanding of identity, access management, and compliance in Microsoft 365 and Azure AD.
* Experience with enterprise orchestration tools such as Airflow is preferred
* Finance domain expertise to be able to work with senior Finance leaders to interpret their process and functional needs into system solutions
* Good understanding of FP\&amp;A Budgeting, Planning, and forecasting processes
* Good understanding of accounting process and reporting expectations to partner with Finance teams
**Education**
* Bachelor’s degree in Computer Science, Information Systems, Engineering, Business Administration, or equivalent education or work experience
 **Annual Salary**
$115,000\.00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
      <c r="A11" t="inlineStr">
        <is>
          <t>in-09693e6b10f81205</t>
        </is>
      </c>
      <c r="B11" t="inlineStr">
        <is>
          <t>Sr. Security Analytics Engineer - Rules (HYBRID)</t>
        </is>
      </c>
      <c r="C11" t="inlineStr">
        <is>
          <t>GEICO</t>
        </is>
      </c>
      <c r="D11" t="inlineStr">
        <is>
          <t>indeed</t>
        </is>
      </c>
      <c r="E11">
        <f>HYPERLINK("https://www.indeed.com/viewjob?jk=09693e6b10f81205", "https://www.indeed.com/viewjob?jk=09693e6b10f81205")</f>
        <v/>
      </c>
      <c r="F11">
        <f>HYPERLINK("https://click.appcast.io/t/X0KO09PKY7wVKRf7GkMoTl1whEP4mqP3rC24vec3tG0=", "https://click.appcast.io/t/X0KO09PKY7wVKRf7GkMoTl1whEP4mqP3rC24vec3tG0=")</f>
        <v/>
      </c>
      <c r="G11" t="inlineStr">
        <is>
          <t>Austin, TX, US</t>
        </is>
      </c>
      <c r="H11" s="3" t="n">
        <v>46046</v>
      </c>
      <c r="I1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**GEICO**is looking for a highly skilled **Security Analytics Engineer** to join our security team. In this role, you will be responsible for building and optimizing our Security Data Platform and Data Lake, leveraging advanced analytics, data engineering, and AI/ML for security use cases. You will work with cutting\-edge SIEM solutions (Google Chronicle) and other data analytics tools to drive insights, threat detection, and security intelligence.
 **Key Responsibilities:**
* Develop and optimize queries using **Kusto Query Language (KQL), Yara\-L and SQL** for data analysis and security insights.
* Collaborate with **security analysts, data engineers, and software developers** to ensure the security data ecosystem meets organizational needs.
**Required Skills \&amp; Experience:*** Strong knowledge of **security concepts**, including **TCP/UDP protocols**, secure data transmission, and encryption techniques.
* Experience with **system design \&amp; architecture** for security data platforms.
* Experience with **Kusto Query Language (KQL), SQL**, and other data query languages.
* Hands\-on experience with **SIEM platforms (Google Chronicle preferred)**.
**Nice to have:*** Eager and ability to learn \&amp; leverage **AI/ML for security use cases**.
* Strong problem\-solving skills and ability to work in a fast\-paced environment.
**Preferred Qualifications:*** Prior experience in **security analytics, detection engineering, or threat intelligence**.
* Familiarity with **big data processing tools and cloud\-based security analytics platforms**.
* Experience working in **large\-scale security data environments**.
**Why Join Us?*** Work with cutting\-edge **security analytics technologies**.
* Be part of a team building an advanced **Security Data Platform ground up.**
* Opportunity to leverage **AI/ML for security innovations**.
* Competitive salary, benefits, and career growth opportunities.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
      <c r="A12" t="inlineStr">
        <is>
          <t>in-ee18998fa7413fcd</t>
        </is>
      </c>
      <c r="B12" t="inlineStr">
        <is>
          <t>Data engineer</t>
        </is>
      </c>
      <c r="C12" t="inlineStr">
        <is>
          <t>Stacklogy</t>
        </is>
      </c>
      <c r="D12" t="inlineStr">
        <is>
          <t>indeed</t>
        </is>
      </c>
      <c r="E12">
        <f>HYPERLINK("https://www.indeed.com/viewjob?jk=ee18998fa7413fcd", "https://www.indeed.com/viewjob?jk=ee18998fa7413fcd")</f>
        <v/>
      </c>
      <c r="F12">
        <f>HYPERLINK("https://stacklogy.com/career/", "https://stacklogy.com/career/")</f>
        <v/>
      </c>
      <c r="G12" t="inlineStr">
        <is>
          <t>US</t>
        </is>
      </c>
      <c r="H12" s="3" t="n">
        <v>46046</v>
      </c>
      <c r="I1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li-4365770204</t>
        </is>
      </c>
      <c r="B2" t="inlineStr">
        <is>
          <t>Data Engineer</t>
        </is>
      </c>
      <c r="C2" t="inlineStr">
        <is>
          <t>Stefanini Group</t>
        </is>
      </c>
      <c r="D2" t="inlineStr">
        <is>
          <t>linkedin</t>
        </is>
      </c>
      <c r="E2" t="inlineStr"/>
      <c r="F2" t="inlineStr"/>
      <c r="G2" t="inlineStr">
        <is>
          <t>San Francisco, CA</t>
        </is>
      </c>
      <c r="H2" t="inlineStr"/>
      <c r="I2" t="inlineStr">
        <is>
          <t>**Job Description**
**Stefanini Group is hiring!**
**Stefanini is looking for a Data Engineer for various location across USA (Hybrid).**
**For quick apply, please connect with Prakhar Goel: 248 263 5255/ Prakhar.goel@stefanini.com**
**W2 Candidates Only!**
**Position Summary**
 We currently have multiple openings for Contract Workers to join us in Data Engineer roles for one year assignments to implement and manage data products, ensuring that our data pipelines are scalable, secure, and efficient. We are working to modernize how we manage and leverage it. The Common Data Platform (CDP) is an exciting new, multi\-district program to create a cloud based, end\-to\-end data management platform to reduce data cost and improve user experience. Initially CDP was developed in partnership with the Supervision and Regulation business, but this system is now positioned to become 'the standard' data management platform.
 As a Data Engineer, this CW will be responsible for collecting, parsing, managing, analyzing, and visualizing large sets of data to turn information into actionable insights. They will work across multiple platforms to ensure that data pipelines are scalable, repeatable, and secure, capable of serving multiple users.
**Responsibilities**
* Design, develop, and maintain robust and efficient data pipelines to ingest, transform, catalog, and deliver curated, trusted, and quality data from disparate sources into our Common Data Platform.
* Actively participate in Agile rituals and follow Scaled Agile processes as set forth by the CDP Program team.
* Deliver high\-quality data products and services following Safe Agile Practices.
* Proactively identify and resolve issues with data pipelines and analytical data stores.
* Deploy monitoring and alerting for data pipelines and data stores, implementing auto\-remediation where possible to ensure system availability and reliability.
* Employ a security\-first, testing, and automation strategy, adhering to data engineering best practices.
* Collaborate with cross\-functional teams, including product management, data scientists, analysts, and business stakeholders, to understand their data requirements and provide them with the necessary infrastructure and tools.
* Keep up with the latest trends and technologies, evaluating and recommending new tools, frameworks, and technologies to improve data engineering processes and efficiencies.
**Qualifications**
* Bachelor's degree in Computer Science, Information Systems, or a related field, or equivalent experience.
* Our ideal candidate would have all of these skills but as many as possible will suffice: Databricks \- PySpark, SQL (Starburst is a bonus), Gitlab, \-CI/CD Pipelines, Python, and Tableau.
* 2\+ years' experience with tools such as Databricks, Collibra, and Starburst.
* 3\+ years' experience with Python and PySpark.
* Experience using Jupyter notebooks, including coding and unit testing.
* Recent accomplishments working with relational and NoSQL data stores, methods, and approaches (STAR, Dimensional Modeling).
* 2\+ years of experience with a modern data stack (Object stores like S3, Spark, Airflow, Lakehouse architectures, real\-time databases) and cloud data warehouses such as RedShift, Snowflake.
* Overall data engineering experience across traditional ETL \&amp; Big Data, either on\-prem or Cloud.
* Data engineering experience in AWS (any CFS2/EDS) highlighting the services/tools used.
* Experience building end\-to\-end data pipelines to ingest and process unstructured and semi\-structured data using Spark architecture.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t>
        </is>
      </c>
    </row>
    <row r="3">
      <c r="A3" t="inlineStr">
        <is>
          <t>li-4365755818</t>
        </is>
      </c>
      <c r="B3" t="inlineStr">
        <is>
          <t>Data Engineer II</t>
        </is>
      </c>
      <c r="C3" t="inlineStr">
        <is>
          <t>BD</t>
        </is>
      </c>
      <c r="D3" t="inlineStr">
        <is>
          <t>linkedin</t>
        </is>
      </c>
      <c r="E3" t="inlineStr"/>
      <c r="F3" t="inlineStr"/>
      <c r="G3" t="inlineStr"/>
      <c r="H3" t="inlineStr"/>
      <c r="I3" t="inlineStr">
        <is>
          <t>**About The Company**
 Becton, Dickinson, and Company (BD) is a global medical technology company dedicated to advancing the world of health. With a rich history of innovation, BD focuses on developing and manufacturing medical devices, instrument systems, and reagents that help improve patient outcomes. The company operates in a dynamic environment that emphasizes quality, integrity, and continuous improvement. BD’s commitment to fostering a diverse and inclusive workplace ensures that employees are empowered to bring their authentic selves to work, driving innovation and excellence across all functions.
**About The Role**
 We are seeking a highly skilled Data Engineer to join our team. In this role, you will be responsible for designing, building, and maintaining scalable and efficient data pipelines and architectures. Your expertise will support the integration of large datasets from diverse sources into cloud platforms, ensuring data quality, security, and accessibility. You will leverage scripting tools such as Python and Matlab to automate data standardization processes, optimize data delivery, and develop modern data warehouse solutions. This position offers an exciting opportunity to work with cutting\-edge cloud technologies in a fast\-paced healthcare environment, contributing to data\-driven decision\-making and innovation.
**Qualifications**
* 4\+ years of experience in data processing, transformation, and workload management
* Advanced proficiency in MATLAB
* Advanced proficiency in Python
* Experience in signal processing techniques
* Strong SQL skills and experience working with relational databases
* Working knowledge of databases such as Redshift, Synapse, Snowflake, or Postgres
* Good understanding of data integration and ETL processes
* Strong analytical skills for working with structured and unstructured datasets
**Responsibilities**
* Develop standardization code using Python and Matlab to facilitate integration of large datasets from various sources into cloud platforms
* Automate and optimize data standardization and ingestion processes to improve efficiency and reliability
* Design and implement audit mechanisms for data ingestion to ensure data integrity and compliance
* Create, build, and maintain modern data pipelines and data streams leveraging scripting tools such as Python and Matlab
* Design and implement scalable Data Warehouse solutions utilizing cloud services like AWS, Azure, or GCP
* Collaborate with cross\-functional teams to translate business requirements into technical solutions
* Monitor and troubleshoot data pipelines, ensuring high performance and availability
* Document data architecture, workflows, and processes for future reference and compliance
**Benefits**
* Competitive salary package aligned with industry standards
* Health, dental, and vision insurance plans
* Retirement savings plans with company contributions
* Opportunities for professional development and continuous learning
* Work with innovative cloud technologies and data solutions
* Collaborative and inclusive work environment
* Flexible work arrangements where applicable
 Equal Opportunity
 Becton, Dickinson, and Company is an Equal Opportunity Employer. We evaluate applicants without regard to race, color, religion, age, sex, creed, national origin, ancestry, citizenship status, marital or domestic union status, familial status, sexual orientation, gender identity or expression, genetics, disability, military status, or veteran status. We are committed to fostering an inclusive environment that values diversity and promotes equal opportunity for all employees and applicants.</t>
        </is>
      </c>
    </row>
    <row r="4">
      <c r="A4" t="inlineStr">
        <is>
          <t>li-4321423251</t>
        </is>
      </c>
      <c r="B4" t="inlineStr">
        <is>
          <t>Data Engineer - Data Platform</t>
        </is>
      </c>
      <c r="C4" t="inlineStr">
        <is>
          <t>TikTok</t>
        </is>
      </c>
      <c r="D4" t="inlineStr">
        <is>
          <t>linkedin</t>
        </is>
      </c>
      <c r="E4" t="inlineStr"/>
      <c r="F4" t="inlineStr"/>
      <c r="G4" t="inlineStr">
        <is>
          <t>San Jose, CA</t>
        </is>
      </c>
      <c r="H4" t="inlineStr"/>
      <c r="I4" t="inlineStr">
        <is>
          <t>**Responsibilities**
 As a data engineer in the data platform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Responsibilities \- What You'll Do
 • Design and build data transformations efficiently and reliably for different purposes (e.g. reporting, growth analysis, multi\-dimensional analysis);
 • Design and implement reliable, scalable, robust and extensible big data systems that support core products and business;
 • Establish solid design and best engineering practice for engineers as well as non\-technical people.
**Qualifications**
 Minimum Qualifications:
 • BS or MS degree in Computer Science or related technical field or equivalent practical experience;
 • Experience in the Big Data technologies(Hadoop, M/R, Hive, Spark, Metastore, Presto, Flume, Kafka, ClickHouse, Flink etc.);
 • Experience with performing data analysis, data ingestion and data integration;
 • Experience with ETL(Extraction, Transformation \&amp; Loading) and architecting data systems;
 • Experience with schema design, data modeling and SQL queries;
 • Passionate and self\-motivated about technologies in the Big Data area.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$438000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5">
      <c r="A5" t="inlineStr">
        <is>
          <t>li-4348510607</t>
        </is>
      </c>
      <c r="B5" t="inlineStr">
        <is>
          <t>Data Engineer</t>
        </is>
      </c>
      <c r="C5" t="inlineStr">
        <is>
          <t>UST</t>
        </is>
      </c>
      <c r="D5" t="inlineStr">
        <is>
          <t>linkedin</t>
        </is>
      </c>
      <c r="E5" t="inlineStr"/>
      <c r="F5" t="inlineStr"/>
      <c r="G5" t="inlineStr">
        <is>
          <t>Atlanta, GA</t>
        </is>
      </c>
      <c r="H5" t="inlineStr"/>
      <c r="I5" t="inlineStr">
        <is>
          <t>**Role Description**
**Data Engineer**
**Lead II \- Data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looking for an experienced Data Engineer with strong expertise in AWS cloud services and modern data engineering frameworks. The role involves designing, developing, and optimizing large\-scale data pipelines, securing data flows, and enabling analytics across diverse business use cases.
**The Opportunity**
* Hybrid: In office/remote
* Architect, build, and maintain scalable and reliable data pipelines using AWS and distributed processing frameworks.
* Develop ETL/ELT processes using Python, PySpark, and AWS services such as Glue and Lambda.
* Implement workflow orchestration using Airflow and AWS\-native automation tools.
* Optimize data storage, querying, and processing using Athena and other AWS analytics services.
* Create and manage infrastructure\-as\-code components with Terraform (basic proficiency expected).
* Work closely with data architects, analysts, and application teams to deliver robust data solutions.
* Ensure best practices for data quality, security, governance, and monitoring across the data ecosystem.
 This position description identifies the responsibilities and tasks typically associated with the performance of the position. Other relevant essential functions may be required.
**What You Need**
* AWS Lambda
* AWS Glue
* PySpark
* Python
* Airflow
* Athena
* Terraform (Basic)
* Good\-to\-Have Skills:
* AWS Step Functions
* DynamoDB
* Nice\-to\-Have Skills
* ECS
* EKS
* OpenSearch
* Kinesis
* SNS / SQS
* Lake Formation
* Preferred Experience:
* Building and optimizing data lakes and real\-time/streaming data solutions.
* Working in cloud\-native architectures with strong emphasis on automation.
* Implementing CI/CD pipelines for data engineering workloads.
* Experience with distributed systems and performance tuning.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Georgia**
**Compensation Range** 
 : $76,500\-$112,500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Aws Cloud,Aws Lambda,Python</t>
        </is>
      </c>
    </row>
    <row r="6">
      <c r="A6" t="inlineStr">
        <is>
          <t>li-4365776342</t>
        </is>
      </c>
      <c r="B6" t="inlineStr">
        <is>
          <t>Azure Data Engineer</t>
        </is>
      </c>
      <c r="C6" t="inlineStr">
        <is>
          <t>Capgemini</t>
        </is>
      </c>
      <c r="D6" t="inlineStr">
        <is>
          <t>linkedin</t>
        </is>
      </c>
      <c r="E6" t="inlineStr"/>
      <c r="F6" t="inlineStr"/>
      <c r="G6" t="inlineStr">
        <is>
          <t>Chicago, IL</t>
        </is>
      </c>
      <c r="H6" t="inlineStr"/>
      <c r="I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Atlanta, GA/ Chicago, IL**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
**Job Responsibilities**
 Design, develop, and maintain scalable data pipelines and ETL processes using Databricks.
 Design an develop Python scripts for data transformation, automation, and integration tasks.
 Develop and optimize SQL queries for data extraction, transformation, and loading.
 Collaborate with data scientists, analysts, and business stakeholders
 Ensure data integrity, security, and compliance with organizational standards.
 Participate in code reviews and contribute to best practices in data engineering
**Required Skills**
 5\-10 years of professional experience in data engineering or related roles.
 Strong proficiency in Databricks (including Spark\-based data processing).
 Strong programming skills in Python
 Advanced knowledge of SQL for querying and data modeling.
 Familiarity with Azure cloud and ADF
 Understanding of ETL frameworks, data governance, and performance tuning.
 Knowledge of CI/CD practices and version control (Git).
 Exposure to BI tools (Power BI, Tableau) for data visualization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
 Disaster Relief
 The base compensation range for this role in the posted location is: $103330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7">
      <c r="A7" t="inlineStr">
        <is>
          <t>li-4354115946</t>
        </is>
      </c>
      <c r="B7" t="inlineStr">
        <is>
          <t>Senior Data Engineer</t>
        </is>
      </c>
      <c r="C7" t="inlineStr">
        <is>
          <t>UST</t>
        </is>
      </c>
      <c r="D7" t="inlineStr">
        <is>
          <t>linkedin</t>
        </is>
      </c>
      <c r="E7" t="inlineStr"/>
      <c r="F7" t="inlineStr"/>
      <c r="G7" t="inlineStr">
        <is>
          <t>San Jose, CA</t>
        </is>
      </c>
      <c r="H7" t="inlineStr"/>
      <c r="I7" t="inlineStr">
        <is>
          <t>**Role Description**
**Senior Data Engineer**
**Lead I \- Data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You will be responsible for creating and maintaining optimal data pipeline architecture. Gathering large and complex datasets that meet business, functional, and non\-functional requirements.
**The Opportunity**
* Identifying, designing, and implementing internal process improvements: auditing the root causes of problems, indicating improvements to components or applications, and proposing better models for recurring issues.
* Creating analytics tools that utilize the data pipeline to provide actionable insights into customer acquisition, operational efficiency, and other key business performance metrics.
* Working with stakeholders, including executive, product, and data consumer teams, to assist with data\-related technical issues and support their data consumption needs.
* Working with data and analytics experts to strive for greater functionality in our data systems.
 This position description identifies the responsibilities and tasks typically associated with the performance of the position. Other relevant essential functions may be required.
**What You Need**
* Minimum of 4 years of experience as a Data Engineer, degree in computer science, statistics, information systems, or a related field.
* Advanced knowledge of SQL and experience working with relational and non\-relational databases, as well as familiarity with a variety of databases.
* Experience in creating and optimizing data pipelines, architectures, and big data sets.
* Experience performing root cause analysis on internal and external data and processes to answer specific business questions and identify opportunities for improvement.
* Experience and analytical skills related to working with unstructured data sets.
* Experience managing message queues, flow processing, and highly scalable data warehouses.
* Experience supporting and working with cross\-functional teams in a dynamic environment.
* Solid experience using software tools such as Haddop, Spark, Kafka, etc.
* Experience with SQL and NoSQL relational models
* Experience with Azure Cloud and services such as Cosmos DB, Azure Data Lake, and Azure SQL
* Experience managing streaming processing systems like Storm and Spark Streaming
* Experience with object\-oriented languages such as Python, Scala, C\+\+, Java, and Go Experience with Continuous Integration/Continuous Delivery (CI/CD)
* Experience managing software containers and automation using Docker/Kubernetes and Ansible/Puppet
* Experience using data flow and extraction tools such as Airflow and BigQuery
* Experience with agile frameworks
* English B1\-B2
**Benefits**
 Employees receive eleven (11\) paid holidays, two (2\) weeks of paid vacation per year, and are eligible for health, dental, disability and life insurance.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**An Equal Opportunity Workplace, Free of Discrimination and Harassment**
 At UST, we strive to provide a work environment free of discrimination and harassment. We are an equal opportunity employer and employment decisions are based on merit and business needs. Our Human Rights Policy further illustrates our stand on this. We are committed to following fair employment practices that provide equal opportunities to all employees. We do not discriminate or allow harassment on the basis of race, color, religion, disability, gender, national origin, sexual orientation, gender identity, gender expression, age, genetic information, military status, or any other legally protected status. At UST, we value diversity and believe that a diverse workplace builds a competitive advantage.
**Un lugar de trabajo con igualdad de oportunidades y libre de discriminación y acoso**
 En UST, nos esforzamos por proporcionar un ambiente de trabajo libre de discriminación y acoso. Somos un empleador que ofrece igualdad de oportunidades y basa las decisiones de empleo en los méritos y las necesidades del negocio. Estamos comprometidos a seguir prácticas de empleo justas que brinden igualdad de oportunidades a todos los empleados. No discriminamos ni permitimos el acoso por motivos de raza, color, religión, discapacidad, género, origen nacional, orientación sexual, identidad de género, expresión de género, edad, información genética, estado militar o cualquier otro estado legalmente protegido. En UST, valoramos la diversidad y creemos que un lugar de trabajo diverso construye una ventaja competitiva.
 UST reserves the right to periodically redefine your roles and responsibilities based on the requirements of the organization and/or your performance.
 \#UST
**Skills**
 data engineering,sql,big data,data transformation,metadata</t>
        </is>
      </c>
    </row>
    <row r="8">
      <c r="A8" t="inlineStr">
        <is>
          <t>li-4321482697</t>
        </is>
      </c>
      <c r="B8" t="inlineStr">
        <is>
          <t>Analytics Engineer</t>
        </is>
      </c>
      <c r="C8" t="inlineStr">
        <is>
          <t>RemoteHunter</t>
        </is>
      </c>
      <c r="D8" t="inlineStr">
        <is>
          <t>linkedin</t>
        </is>
      </c>
      <c r="E8" t="inlineStr"/>
      <c r="F8" t="inlineStr"/>
      <c r="G8" t="inlineStr"/>
      <c r="H8" t="inlineStr"/>
      <c r="I8"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
      <c r="A9" t="inlineStr">
        <is>
          <t>li-4321502643</t>
        </is>
      </c>
      <c r="B9" t="inlineStr">
        <is>
          <t>Data Engineer</t>
        </is>
      </c>
      <c r="C9" t="inlineStr">
        <is>
          <t>Haystack</t>
        </is>
      </c>
      <c r="D9" t="inlineStr">
        <is>
          <t>linkedin</t>
        </is>
      </c>
      <c r="E9" t="inlineStr"/>
      <c r="F9" t="inlineStr"/>
      <c r="G9" t="inlineStr"/>
      <c r="H9" t="inlineStr"/>
      <c r="I9" t="inlineStr">
        <is>
          <t>**Data Engineer \| Honolulu, HI \| Remote\-Friendly \| $77,600 \- 176,000** 
 We're working with Booz Allen Hamilton on this exciting opportunity.
 Join Booz Allen Hamilton as a Data Engineer to revolutionize mission\-critical projects using Palantir Foundry. Develop scalable data pipelines, build robust applications with TypeScript and Python, and integrate diverse data sources to drive impactful decisions. Be a part of a team that's shaping the future of data engineering.
**The Role** 
 • Develop and maintain Palantir Foundry pipelines using Pipeline Builder for data ingestion, transformation, and integration.
 • Build modular applications and workflows utilizing TypeScript, Python, and Foundry AIP.
 • Collaborate with data engineers, analysts, and stakeholders to refine data models and ontology mapping.
 • Manage development efforts and version control using Git\-based code repositories.
 • Support testing, debugging, and performance tuning of Foundry applications in an Agile environment.
**What You'll Need** 
 • 2\+ years of hands\-on experience with Palantir Foundry.
 • Proficiency in Python or TypeScript for application development.
 • Experience with Pipeline Builder, AIP, and Foundry's application development ecosystem.
 • Strong understanding of Git\-based code repositories and CI/CD workflows.
 • Ability to thrive in fast\-paced, Agile development environments.
 • Active Secret clearance is required.
**What's On Offer** 
 • Contribute to mission\-critical projects with real\-world impact.
 • Opportunities for continuous learning and professional development.
 • Comprehensive benefits package, including health, life, and disability.
 • Work\-life programs and paid leave to support your well\-being.
**Apply via Haystack today!**</t>
        </is>
      </c>
    </row>
    <row r="10">
      <c r="A10" t="inlineStr">
        <is>
          <t>li-4365783309</t>
        </is>
      </c>
      <c r="B10" t="inlineStr">
        <is>
          <t>Senior Data Engineer</t>
        </is>
      </c>
      <c r="C10" t="inlineStr">
        <is>
          <t>Motion Recruitment</t>
        </is>
      </c>
      <c r="D10" t="inlineStr">
        <is>
          <t>linkedin</t>
        </is>
      </c>
      <c r="E10" t="inlineStr"/>
      <c r="F10" t="inlineStr"/>
      <c r="G10" t="inlineStr">
        <is>
          <t>Chicago, IL</t>
        </is>
      </c>
      <c r="H10" t="inlineStr"/>
      <c r="I10" t="inlineStr">
        <is>
          <t>One of the largest and most stable e\-commerce platforms in North America with over 4\.5 million customers and more than $16\.5B in annual revenue is hiring a Senior Data Engineer. Their digital platform has grown rapidly since the pandemic and continues to scale without the volatility seen across much of tech. Consistently recognized as a top workplace in Chicago and nationally for career growth, inclusion, and culture, this company offers the rare combination of enterprise scale, long\-term stability, and meaningful technical impact. This senior\-level Data Engineering role sits at the center of major enterprise initiatives, giving the chance to design and build systems that support a massive, highly visible data ecosystem.
 The team is deeply technical and hands\-on, and this role is intentionally split roughly 50/50 between solution design and development. This Senior Data Engineer will work across stakeholders to build new ETL and ingestion pipelines, modernize data lake architecture, and help shape how data flows across the organization. While there is an initial ramp period with a technical lead, they’re looking for someone who can move quickly, think independently, and contribute with minimal hand\-holding.
 This is a strong fit for a senior data engineer who enjoys ownership, architectural thinking, and staying close to the code. Apply for more info!
**Required Skills \&amp; Experience**
* BS in CS or related field
* 5\+ years of hands\-on Data Engineering experience
* Ability to design and implement new ETL solutions
* Strong Python and SQL abilities
* Experience with Snowflake
* Ability to communicate well and collaborate with a team
**Desired Skills \&amp; Experience**
* Experience with Databricks
* Strong cloud experience
* eCommerce industry experience
**What You Will Be Doing**
 Tech Breakdown
* Python
* SQL
* Snowflake
 Daily Responsibilities
* 50% Hands On Implementation
* 50% Solutioning
**The Offer**
* 10% Bonus eligible
**You Will Receive The Following Benefits**
* Medical, Dental, and Vision Insurance
* Generous PTO
* 6% 401k contribution that vests immediately
* Hybrid schedule with 2 days in office, 3 days work from home
 Applicants must be currently authorized to work in the US on a full\-time basis now and in the future.
**Posted By:** 
 Destiny Kuczak</t>
        </is>
      </c>
    </row>
    <row r="11">
      <c r="A11" t="inlineStr">
        <is>
          <t>li-4355332845</t>
        </is>
      </c>
      <c r="B11" t="inlineStr">
        <is>
          <t>Senior Data Engineer – Azure Databricks Lakehouse</t>
        </is>
      </c>
      <c r="C11" t="inlineStr">
        <is>
          <t>UST</t>
        </is>
      </c>
      <c r="D11" t="inlineStr">
        <is>
          <t>linkedin</t>
        </is>
      </c>
      <c r="E11" t="inlineStr"/>
      <c r="F11" t="inlineStr"/>
      <c r="G11" t="inlineStr">
        <is>
          <t>North Carolina, United States</t>
        </is>
      </c>
      <c r="H11" t="inlineStr"/>
      <c r="I11" t="inlineStr">
        <is>
          <t>**Role Description**
**Senior Data Engineer – Azure Databricks Lakehouse**
**Lead II \- Data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seeking a highly skilled Senior Data Engineer ( 6\-8 years of experience) to join our data platform team operating in an Azure \+ Databricks Lakehouse environment. The ideal candidate will have strong hands\-on experience designing, building, and optimizing scalable data pipelines using Azure services, Databricks, and Spark.
**The Opportunity**
* Design, develop, and maintain scalable data pipelines leveraging Azure Databricks and Spark (PySpark, Spark SQL).
* Build and orchestrate workflows using Azure Data Factory (ADF).
* Manage data storage and lifecycle using Azure Data Lake Storage (ADLS).
* Develop and maintain CI/CD pipelines using Azure DevOps, following standard SDLC practices across dev, test, and prod environments.
* Write and maintain PowerShell scripts for automation, deployments, and operational tasks.
* Develop and optimize SQL code across platforms including T\-SQL and PostgreSQL.
* Work extensively with Parquet and Delta Lake formats to ensure efficient storage and processing.
* Optimize data pipelines for performance by analyzing Spark DAGs and identifying resource\-intensive operations.
* Implement best practices around indexing, partitioning, and query optimization.
* Write idempotent, repeatable code that consistently produces the same end state, aligned with a custom SQL deployment framework.
* Participate in peer code reviews and contribute to continuous improvement of engineering standards.
 This position description identifies the responsibilities and tasks typically associated with the performance of the position. Other relevant essential functions may be required.
**What You Need**
* Azure Cloud Platform
* Azure Data Factory (ADF) – orchestration
* Azure Data Lake Storage (ADLS) – storage
* Azure DevOps – CI/CD and source control
* Databricks \&amp; Spark
* Strong hands\-on experience with Databricks compute and ETL
* Expertise in PySpark and Spark SQL
* Ability to analyze Spark execution plans and DAGs
* Scripting \&amp; Programming
* Strong proficiency in PowerShell
* Advanced SQL skills (T\-SQL, PostgreSQL)
* Data Formats
* Proficiency with Parquet and Delta Lake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Remote**
**Compensation Range** 
 : $92,000\-$138,000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data engineering,business process analysis,data profiling,technical documentation,</t>
        </is>
      </c>
    </row>
    <row r="12">
      <c r="A12" t="inlineStr">
        <is>
          <t>li-4321329232</t>
        </is>
      </c>
      <c r="B12" t="inlineStr">
        <is>
          <t>Senior Data Engineer</t>
        </is>
      </c>
      <c r="C12" t="inlineStr">
        <is>
          <t>Tata Consultancy Services</t>
        </is>
      </c>
      <c r="D12" t="inlineStr">
        <is>
          <t>linkedin</t>
        </is>
      </c>
      <c r="E12" t="inlineStr"/>
      <c r="F12" t="inlineStr"/>
      <c r="G12" t="inlineStr">
        <is>
          <t>Bellevue, WA</t>
        </is>
      </c>
      <c r="H12" t="inlineStr"/>
      <c r="I12" t="inlineStr">
        <is>
          <t>**Job Description**
**Must Have Technical/Functional Skills:**
 PowerShell; ADF; Kusto; PL/SQL; Azure; Azure VM
**Roles \&amp; Responsibilities**
 Run the various template\-based campaign on regular basis on various VMs/VMSS to emulate real\-world attacker behaviours using automated bot
 Analyse the campaign logs that includes all the actions logging, and analyse the detection coverage limitations and plans for improvement
 Troubleshooting the issue if any campaign fails
 Go through the various logs generated by campaign
 Analyse the data stored in the Kusto, write the KQL, handle complex KQL to extract meaningful data
 Generate various report and dashboard
**Skills**
 Experience in PowerShell (5\.1 and later), JSON
 Kusto and ADX report
 Hands on writing/handling complex KQL, knowledge of SQL
 Data orchestration using ADF, lens reporting
 Good in Microsoft Azure technologies like Azure VM, VMSS, Runbook, Azure PS
 Programming Techniques and Concepts; RDBMS Concepts; Good written/oral communication skills; Good Analytical and Troubleshooting skills
**Good To Have**
 Knowledge of Azure Security engineering
 Azure security monitoring, S360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$64,000\-$99,000 a year</t>
        </is>
      </c>
    </row>
    <row r="13">
      <c r="A13" t="inlineStr">
        <is>
          <t>li-4362136631</t>
        </is>
      </c>
      <c r="B13" t="inlineStr">
        <is>
          <t>Data Engineer</t>
        </is>
      </c>
      <c r="C13" t="inlineStr">
        <is>
          <t>Jobs via Dice</t>
        </is>
      </c>
      <c r="D13" t="inlineStr">
        <is>
          <t>linkedin</t>
        </is>
      </c>
      <c r="E13" t="inlineStr"/>
      <c r="F13" t="inlineStr"/>
      <c r="G13" t="inlineStr">
        <is>
          <t>Almont, CO</t>
        </is>
      </c>
      <c r="H13" t="inlineStr"/>
      <c r="I13" t="inlineStr">
        <is>
          <t>**Description:**
*Remote*
 Our client is a global food manufacturer based in the Northeastern United States. The organization delivers consumer products at scale and invests in modern data capabilities to support decision making.
*Due to client requirements, applicants must be willing and able to work on a w2 basis. For our w2 consultants, we offer a great benefits package that includes Medical, Dental, and Vision benefits, 401k with company matching, and life insurance.*
 Rate: $65\.00 to $80\.00/hr. w2
**Responsibilities:**
**Responsibilities**
* Design, build, and maintain scalable data pipelines using Databricks and Azure Data Factory.
* Develop and optimize Snowflake data models following data warehousing best practices.
* Implement ELT and ETL processes to transform raw data into analysis\-ready formats.
* Create and maintain dimensional models and semantic layers for business analytics.
* Build and maintain Python backend APIs for data access and integration.
* Write clean, production\-ready Python code with documentation and tests.
* Develop RESTful APIs that connect data infrastructure to applications and tools.
* Implement data validation, quality checks, and monitoring solutions.
* Leverage Azure services including Data Lake, SQL, and Functions for data solutions.
* Implement CI/CD pipelines and infrastructure as code for data workflows.
* Manage and optimize cloud resources for cost and performance.
* Ensure data security, governance, and compliance standards.
* Partner with analysts, scientists, and business stakeholders to gather requirements.
* Translate business needs into technical data solutions.
* Document pipelines, processes, and architecture.
* Participate in code reviews and promote engineering best practices.
**Experience Requirements:**
**Experience Requirements**
* 3 to 5\+ years as a Data Engineer or similar role.
* Proficiency in Python for data engineering and backend development.
* Extensive experience with Databricks including PySpark, Delta Lake, and workflows.
* Hands\-on Snowflake experience with data modeling, optimization, and SnowSQL.
* Experience with Azure services such as ADF, ADLS, and Azure SQL.
* Strong SQL skills and relational database expertise.
* Experience with Git and collaborative development.
* Deep understanding of data modeling, data warehousing, and ETL/ELT patterns.
* Knowledge of data formats such as Parquet, Avro, and Delta and their use cases.
* Experience building and optimizing data pipelines at scale.
* Understanding of data quality, governance, and security principles.
* Experience with dbt for transformation workflows (preferred).
* Knowledge of streaming technologies such as Kafka, Event Hubs, or Databricks Streaming (preferred).
* Familiarity with orchestration tools such as Airflow or Azure Data Factory (preferred).
* Experience with data visualization tools such as Power BI, Tableau, or Looker (preferred).
* Understanding of DataOps and agile methodologies (preferred).
* Experience with infrastructure as code such as Terraform or ARM templates (preferred).
* Knowledge of data mesh or data lakehouse architectures (preferred).
**Education Requirements:**
**Education Requirements**
* Azure certifications such as Azure Data Engineer Associate or Databricks certifications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14">
      <c r="A14" t="inlineStr">
        <is>
          <t>li-4354027675</t>
        </is>
      </c>
      <c r="B14" t="inlineStr">
        <is>
          <t>Data Engineer</t>
        </is>
      </c>
      <c r="C14" t="inlineStr">
        <is>
          <t>Jobs via Dice</t>
        </is>
      </c>
      <c r="D14" t="inlineStr">
        <is>
          <t>linkedin</t>
        </is>
      </c>
      <c r="E14" t="inlineStr"/>
      <c r="F14" t="inlineStr"/>
      <c r="G14" t="inlineStr">
        <is>
          <t>Webster, NY</t>
        </is>
      </c>
      <c r="H14" t="inlineStr"/>
      <c r="I14" t="inlineStr">
        <is>
          <t>**Description**
**The Data Engineering \&amp; Platform Administrator** 
 plays a central role in building, maintaining, and optimizing the organization's data ecosystem. This position combines hands\-on data engineering with the administration of key data platforms, ensuring reliable data pipelines, scalable infrastructure, and high\-quality data models that support analytics and business decision\-making.
 Key Responsibilities
 Platform Administration \&amp; Automation
**Manage and administer Informatica, Snowflake, and DBT environments, ensuring availability, performance, and security.**
**Develop automation and tooling to streamline platform operations, reduce manual effort, and improve developer productivity.**
**Oversee user access, configuration, environment management, and operational monitoring across all supported platforms.**
 Partner with infrastructure and security teams to maintain compliance and optimize resource usage.
**Data Pipeline Development \&amp; Operations**
 Design, build, and maintain scalable ETL/ELT pipelines to support ingestion, transformation, and delivery of data across the organization.
 Monitor and troubleshoot pipeline performance, ensuring timely and accurate data flow.
 Implement best practices for version control, CI/CD, testing, and observability within the data pipeline ecosystem.
 Collaborate with cross\-functional teams to understand data requirements and deliver reliable solutions.
**Data Modeling \&amp; Analysis**
 Develop and maintain logical and physical data models that support analytics, reporting, and operational use cases.
 Conduct data profiling, quality checks, and root\-cause analysis to ensure data accuracy and consistency.
 Work closely with analysts, data scientists, and business stakeholders to translate requirements into well\-structured datasets and semantic layers.
 Document data structures, lineage, and transformation logic to support transparency and governance.
**Qualifications**
 Experience administering Informatica, Snowflake, and DBT in production environments.
 Strong experience in ETL/ELT development and data pipeline orchestration.
 Proficiency in SQL and familiarity with modern data modeling techniques (e.g., dimensional modeling, data vault, semantic modeling).
 Understanding of cloud data architectures and DevOps practices.
 Excellent problem\-solving skills and the ability to work collaboratively across technical and business teams.
**Skills**
 Data, Sql, Data warehouse, Azure, Etl, Cloud, Python, Snowflake
**Top Skills Details**
 Data,Sql,Data warehouse,Azure,Etl,Cloud,Python
**Additional Skills \&amp; Qualifications**
 None
**Experience Level**
 Intermediate/Advanced Level
**Job Type \&amp; Location**
 This is a Contract position based out of Webster, NY.
**Pay And Benefits**
 The pay range for this position is $60\.00 \- $75\.00/hr.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Jan 24,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5">
      <c r="A15" t="inlineStr">
        <is>
          <t>li-4365780160</t>
        </is>
      </c>
      <c r="B15" t="inlineStr">
        <is>
          <t>Systems Engineer/Senior Data Engineer - Splunk, ServiceNow &amp; AppDynamics</t>
        </is>
      </c>
      <c r="C15" t="inlineStr">
        <is>
          <t>KDA CONSULTING INC</t>
        </is>
      </c>
      <c r="D15" t="inlineStr">
        <is>
          <t>linkedin</t>
        </is>
      </c>
      <c r="E15" t="inlineStr"/>
      <c r="F15" t="inlineStr"/>
      <c r="G15" t="inlineStr">
        <is>
          <t>Herndon, VA</t>
        </is>
      </c>
      <c r="H15" t="inlineStr"/>
      <c r="I15" t="inlineStr">
        <is>
          <t>**\*\*\*Security Clearance:** 
 Must possess an active TS/SCI with Full Scope Polygraph\*\*\*
**KDA** 
 is seeking a highly skilled and experienced Systems Engineer/Senior Data Engineer with a strong background in designing, implementing, and optimizing data pipelines and solutions for critical security and operational platforms, specifically Splunk, ServiceNow, and AppDynamics. The ideal candidate will be a proactive, problem\-solving individual with a proven track record of managing complex data ingestion, normalization, and correlation processes within highly visible, operationally driven environments. This role requires an individual who thrives in a collaborative setting, possesses excellent communication skills, and is dedicated to continuous improvement and innovation.
**Key Responsibilities**
* Splunk Data Engineering:
* Design, engineer, and maintain robust Splunk infrastructures, including clustered environments, for large\-scale data ingestion, correlation, and reporting.
* Automate complex data ingestion methods (e.g., S3, syslog, JSON, APIs) from diverse sources across multiple enclaves.
* Develop and implement methods for data tagging and cataloging to ensure compliance with evolving security standards and facilitate efficient data discovery.
* Optimize data ingest performance and efficiency across various network environments. Familiar with Technical Add\-ons.
* Parse and normalize non\-standard data sets to enable comprehensive analysis and correlation within Splunk.
* Develop and refine Splunk queries, dashboards, and reports to visualize security events, infrastructure health, and operational metrics.
* Collaborate with IT operations and cyber security teams to enrich data sets, ascertain cyber threats, and bolster security posture.
* Maintain ITSI and SIEM\-like tools and custom content within virtualized environments.
* Perform tuning and filtering of events and information, creating custom views and content.
* Familiar with UBA and Splunk.
* Collaborate with cross\-functional teams to design and implement data integrations between various security and operational tools (including Splunk and AppDynamics) and ServiceNow.
* Develop and maintain data pipelines to ensure accurate and timely flow of security incidents, alerts, and operational metrics into ServiceNow for incident management, problem management, and reporting.
* Assist in defining and implementing data models within ServiceNow to support security operations and compliance initiatives.
* Work with third\-party services for design review and optimal deployment configuration for enterprise cloud service utilization (relevant to integrations).
* Design and implement data collection strategies for AppDynamics, ensuring comprehensive monitoring of application performance and infrastructure.
* Integrate AppDynamics data with Splunk for centralized visibility and correlation with other security and operational logs.
* Troubleshoot problematic service deployments and data flows, utilizing forensic tools and audit log review (relevant to monitoring and analysis).
* Develop methods to leverage AppDynamics data for identifying potential risks and optimizing application performance.
**General Data Engineering \&amp; Systems Expertise:**
* Collaborate with mission partners to develop long\-term enterprise audit solutions and normalize non\-standard data sets.
* Engineer and maintain secure virtualized and cloud environments for data platforms.
* Deploy and harden servers running Linux OS in accordance with CIS and other STIG guidelines.
* Develop runbooks, SOPs, and documentation for new processes and systems.
* Perform liaison duties between service providers and clients to bridge communication gaps and ensure adherence to SLAs.
* Review and evaluate data integrity and develop use cases for various data sets.
* Maintain system baselines and configuration management for data engineering tools.
* Contribute to the development of plans to safeguard data against unauthorized modification, destruction, or disclosure.
* Strong understanding of cyber security principles and experience with various security tools (e.g., Next\-Gen Firewalls, IPS/IDS, Tenable Nessus, Rapid7 Nexpose, McAfee EPO, Symantec SEP).
**Required Skills \&amp; Experience**
* 20\+ years of progressive experience in Information Technology and Security, with a strong focus on data engineering and systems integration.
* Security Clearance: Candidate must possess an active TS/SCI with Full Scope Polygraph
* Demonstrated expertise in engineering and maintaining large\-scale Splunk environments, including data ingestion, parsing, normalization, and content development.
* Experience with automating complex data ingestion methods (e.g., S3, syslog, JSON, APIs).
* Strong understanding of data tagging, cataloging, and data governance best practices.
* Proficiency with Linux OS administration and hardening.
* Familiarity with cloud security principles and deploying commercial services into protected/secured enclaves (e.g., AWS).
* Experience with SIEM solutions and their implementation, configuration, and maintenance.
* Strong scripting skills (e.g., BASH, Python, PowerShell).
* Excellent collaboration and communication skills, with the ability to work effectively in small teams and large collaborative efforts.
* Ability to troubleshoot complex technical issues and perform root cause analysis.
* Proven ability to develop and maintain documentation (runbooks, SOPs).
**Desired Skills (Plus, But Not Required)**
* Experience with ServiceNow platform administration, development, or integration.
* Experience with AppDynamics for application performance monitoring and data collection.
* Experience with configuration management tools \- Git, Ansible</t>
        </is>
      </c>
    </row>
    <row r="16">
      <c r="A16" t="inlineStr">
        <is>
          <t>li-4362179418</t>
        </is>
      </c>
      <c r="B16" t="inlineStr">
        <is>
          <t>Data Engineer</t>
        </is>
      </c>
      <c r="C16" t="inlineStr">
        <is>
          <t>Jobs via Dice</t>
        </is>
      </c>
      <c r="D16" t="inlineStr">
        <is>
          <t>linkedin</t>
        </is>
      </c>
      <c r="E16" t="inlineStr"/>
      <c r="F16" t="inlineStr"/>
      <c r="G16" t="inlineStr">
        <is>
          <t>Birmingham, AL</t>
        </is>
      </c>
      <c r="H16" t="inlineStr"/>
      <c r="I16" t="inlineStr">
        <is>
          <t>This Jobot Job is hosted by: Merwan Zattam
 Are you a fit? Easy Apply now by clicking the "Apply Now" button and sending us your resume.
 Salary: $100,000 \- $140,000 per year
**A bit about us:**
 We exist to make better buildings faster. We are part of a larger framework \- Design Manufacture Construct (DMC) \- that guide building design so that construction can leverage manufacturing productivity. We're made up of smart architects, engineers, manufacturers, programmers, and other generalists that are united by the notion that to make great things intelligently is a worthy pursuit. We are seeking a talented and energetic Architects to join our design group. Job description: As a Program Architect, you will work with project teams in a dynamic, rapid\-growth work environment with bright and talented engineers, architects, designers, builders, crafters, and manufacturers to improve and deploy a prototype building program and to build an alternative to the traditional construction industry. From desk to factory floor to job sites and client meetings, you will be challenged to develop your skills in a new field, taking a critical role in project delivery via the DMC methodology
**Why join us?**
 We offer the full spectrum of comprehensive benefits including: health, dental, and vision insurance. We also offer flexible spending accounts, paid time off, short term disability, long term disability, life insurance and a 401k plan.
**Job Details**
**Overview**
 The Data Analyst within the Estimating Department plays a critical role in transforming raw data into actionable insights that enhance cost modeling, forecasting, and strategic decision\-making. This position supports the development and continuous improvement of cost estimation systems, leveraging data analytics, automation, and AI to improve accuracy, efficiency, and cross\-departmental collaboration. The ideal candidate blends technical expertise in analytics with a strong understanding of construction, manufacturing, and cost estimating workflows.
 Key Responsibilities
 Develop and maintain comprehensive cost databases, integrating Bills of Materials, historical cost benchmarks, and market pricing data across multiple U.S. regions.
 Support the creation of ground\-up and comparative cost models through advanced data analysis and visualization techniques.
 Leverage AI, machine learning, and statistical modeling to identify trends, enhance estimate accuracy, and optimize value engineering processes.
 Partner with Estimating, Design, Manufacturing, Construction, Supply Chain, and Finance teams to integrate cost, schedule, and risk data into enterprise platforms.
 Design and automate data pipelines (ETL/ELT) to streamline cost reporting, performance tracking, and KPI dashboards.
 Prepare and analyze conceptual, schematic, and GMP estimate data to support preconstruction and client engagement activities.
 Develop and communicate risk analyses, pricing strategies, and value\-driven insights to support leadership decision\-making.
 Continuously improve data integrity, estimation accuracy, and reporting capabilities through feedback loops and predictive analytics.
**Skills \&amp; Abilities**
 Core Competencies
 Advanced proficiency in Excel and BI tools for data visualization and analytics.
 Strong understanding of cost modeling, estimating methodologies, and financial principles.
 Ability to interpret CAD, Revit, and SolidWorks outputs to extract data for analytical use.
 Experience working with manufacturing or industrial data; familiarity with mechanical/electrical systems a plus.
 Strong collaboration and communication skills to translate complex data into meaningful insights for technical and non\-technical stakeholders.
**Technical Excellence (Preferred But Valuable)**
 Programming \&amp; Data: Python, SQL, and data modeling; experience with distributed computing (Spark, Ray).
 Analytics \&amp; AI: Statistical modeling, predictive analytics, machine learning, and retrieval\-augmented generation (RAG).
 Data Engineering: ETL/ELT processes, schema evolution, data validation, and integration with enterprise systems.
 Visualization: Development of interactive dashboards and reports using Power BI, Tableau, or similar tools.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7">
      <c r="A17" t="inlineStr">
        <is>
          <t>li-4362596884</t>
        </is>
      </c>
      <c r="B17" t="inlineStr">
        <is>
          <t>Data engineer</t>
        </is>
      </c>
      <c r="C17" t="inlineStr">
        <is>
          <t>Jobs via Dice</t>
        </is>
      </c>
      <c r="D17" t="inlineStr">
        <is>
          <t>linkedin</t>
        </is>
      </c>
      <c r="E17" t="inlineStr"/>
      <c r="F17" t="inlineStr"/>
      <c r="G17" t="inlineStr">
        <is>
          <t>San Francisco, CA</t>
        </is>
      </c>
      <c r="H17" t="inlineStr"/>
      <c r="I17" t="inlineStr">
        <is>
          <t>**One of the HOTTEST and FASTEST growing companies in the US is adding to their team**
 This Jobot Job is hosted by: Adam Bennett
 Are you a fit? Easy Apply now by clicking the "Apply Now" button and sending us your resume.
 Salary: $140,000 \- $170,000 per year
**A bit about us:**
 We are a data and AI services company that has been growing tremendously over the last 10 years. We anticipate growing 50\+% yoy over the next 5 years and are looking to bring on data engineers who have worked with enterprise customers to build out applications and utilize data in a more efficient way.
**Why join us?**
 Join us for growth! You'll grow in responsibility, skill, and compensation!
 This is 100% remote with light travel that will fluctuate between 0 \- 40% depending on the client engagement.
**Job Details**
 To be considered for this role, you'll need the following:
* 5 \- 30 years of data engineering experience
* Must have experience working on one of the major cloud providers, AWS, Google Cloud Platform, Azure
* Must have experience working with Databricks or Snowflake
* Ideally, have used DBT
 Depending on your level of experience with the above platforms and tools, we can figure out which level to consider you for. If you have the above experience, you can send an email to \_source\=Dice directly with a resume.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8">
      <c r="A18" t="inlineStr">
        <is>
          <t>li-4355237352</t>
        </is>
      </c>
      <c r="B18" t="inlineStr">
        <is>
          <t>Lead Data Engineer – Azure Databricks Lakehouse</t>
        </is>
      </c>
      <c r="C18" t="inlineStr">
        <is>
          <t>UST</t>
        </is>
      </c>
      <c r="D18" t="inlineStr">
        <is>
          <t>linkedin</t>
        </is>
      </c>
      <c r="E18" t="inlineStr"/>
      <c r="F18" t="inlineStr"/>
      <c r="G18" t="inlineStr">
        <is>
          <t>Bellevue, WA</t>
        </is>
      </c>
      <c r="H18" t="inlineStr"/>
      <c r="I18" t="inlineStr">
        <is>
          <t>**Role Description**
**Lead Data Engineer – Azure Databricks Lakehouse**
**Associate Data Architect I**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seeking a highly skilled Senior Data Engineer ( 8\-12 years of exp ) to join our data platform team operating in an Azure \+ Databricks Lakehouse environment. The ideal candidate will have strong hands\-on experience designing, building, and optimizing scalable data pipelines using Azure services, Databricks, and Spark.
**The Opportunity**
* Design, develop, and maintain scalable data pipelines leveraging Azure Databricks and Spark (PySpark, Spark SQL).
* Build and orchestrate workflows using Azure Data Factory (ADF).
* Manage data storage and lifecycle using Azure Data Lake Storage (ADLS).
* Develop and maintain CI/CD pipelines using Azure DevOps, following standard SDLC practices across dev, test, and prod environments.
* Write and maintain PowerShell scripts for automation, deployments, and operational tasks.
* Develop and optimize SQL code across platforms including T\-SQL and PostgreSQL.
* Work extensively with Parquet and Delta Lake formats to ensure efficient storage and processing.
* Optimize data pipelines for performance by analyzing Spark DAGs and identifying resource\-intensive operations.
* Implement best practices around indexing, partitioning, and query optimization.
* Write idempotent, repeatable code that consistently produces the same end state, aligned with a custom SQL deployment framework.
* Participate in peer code reviews and contribute to continuous improvement of engineering standards.
 This position description identifies the responsibilities and tasks typically associated with the performance of the position. Other relevant essential functions may be required.
**What You Need**
* Azure Cloud Platform
* Azure Data Factory (ADF) – orchestration
* Azure Data Lake Storage (ADLS) – storage
* Azure DevOps – CI/CD and source control
* Databricks \&amp; Spark
* Strong hands\-on experience with Databricks compute and ETL
* Expertise in PySpark and Spark SQL
* Ability to analyze Spark execution plans and DAGs
* Scripting \&amp; Programming
* Strong proficiency in PowerShell
* Advanced SQL skills (T\-SQL, PostgreSQL)
* Data Formats
* Proficiency with Parquet and Delta Lake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Remote**
**Compensation Range** 
 : $106,000\-$159,000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data engineering,business process analysis,data profiling,technical documentation,</t>
        </is>
      </c>
    </row>
    <row r="19">
      <c r="A19" t="inlineStr">
        <is>
          <t>li-4362143956</t>
        </is>
      </c>
      <c r="B19" t="inlineStr">
        <is>
          <t>Databricks Data Engineer Developer</t>
        </is>
      </c>
      <c r="C19" t="inlineStr">
        <is>
          <t>Jobs via Dice</t>
        </is>
      </c>
      <c r="D19" t="inlineStr">
        <is>
          <t>linkedin</t>
        </is>
      </c>
      <c r="E19" t="inlineStr"/>
      <c r="F19" t="inlineStr"/>
      <c r="G19" t="inlineStr">
        <is>
          <t>Winston-Salem, NC</t>
        </is>
      </c>
      <c r="H19" t="inlineStr"/>
      <c r="I19" t="inlineStr">
        <is>
          <t>* NO REMOTE WORK ONLY LOCAL CANDIDATES APPLY \*\*\*\*
**Description**
 Our Client is seeking a Databricks Data Engineer to help in building a pricing data application moving from a legacy platform to a new system for pricing decision making. The selected candidate will help manage a large data team and focus on ensuring coordination between application and data teams. We are looking for an individual who can build modern data systems that are resilient to change and flexible for future machine learning usage. This role is driving the solution via coding/ETL/hands on technical engineering where the data environment is new, but will use historical, complex data to help build future needs for pricing and working toward full data automation.
 Requirements:
 Experience with ETL tools, preferably Databricks
 Experience with AWS
 Proficiency in Python, Pyspark, SQL
 Experience with building new data systems
**Preferred Experience With Medallion Data Architectures**
 To be considered, email resumes in the MS Word format with all\-inclusive W2 hourly contract rate to work onsite in Winston\-Salem, NC. Selected candidate must be willing to submit to a pre\-employment, post\-offer background check and drug test.
**Job Type \&amp; Location**
 This is a Contract position based out of Winston\-Salem, NC.
**Pay And Benefits**
 The pay range for this position is $45\.00 \- $73\.00/hr.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Winston\-Salem,NC.
**Application Deadline**
 This position is anticipated to close on Jan 28,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0">
      <c r="A20" t="inlineStr">
        <is>
          <t>li-4362134549</t>
        </is>
      </c>
      <c r="B20" t="inlineStr">
        <is>
          <t>Senior Data Engineer</t>
        </is>
      </c>
      <c r="C20" t="inlineStr">
        <is>
          <t>Jobs via Dice</t>
        </is>
      </c>
      <c r="D20" t="inlineStr">
        <is>
          <t>linkedin</t>
        </is>
      </c>
      <c r="E20" t="inlineStr"/>
      <c r="F20" t="inlineStr"/>
      <c r="G20" t="inlineStr">
        <is>
          <t>Stamford, CT</t>
        </is>
      </c>
      <c r="H20" t="inlineStr"/>
      <c r="I20" t="inlineStr">
        <is>
          <t>RESPONSIBILITIES:
 Kforce has a client in Stamford, CT that is seeking a Senior Data Engineer with 3\-7 years of experience working on modern cloud data platforms. In this role, the Senior Data Engineer design, build, and optimize our data environment, with a strong focus on Snowflake. You will develop scalable data pipelines, support analytics use cases, and enable future ML/AI capabilities. This position does not involve BI report development or people management.
 What You'll Do:
* Build and maintain cloud data platform components, including storage, compute, security, and integrations
* Develop and orchestrate data ingestion and transformation pipelines
* Implement best practices for data operations, automation, and CI/CD workflows
* Support ML/AI\-ready data structures and assist teams consuming curated datasets
* Partner with business and technical stakeholders to translate requirements into usable data models
 REQUIREMENTS:
* 3\-7 years with modern cloud data platforms, including strong Snowflake experience
* Hands\-on experience with SQL, data ingestion (batch/streaming), and transformation tools (e.g., dbt)
* Familiarity with AWS and DevOps practices for data platforms
* Experience supporting analytics or ML\-adjacent environments
* Strong communication, collaboration, and problem\-solving skills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1">
      <c r="A21" t="inlineStr">
        <is>
          <t>li-4362512849</t>
        </is>
      </c>
      <c r="B21" t="inlineStr">
        <is>
          <t>Senior Data Engineer</t>
        </is>
      </c>
      <c r="C21" t="inlineStr">
        <is>
          <t>Jobs via Dice</t>
        </is>
      </c>
      <c r="D21" t="inlineStr">
        <is>
          <t>linkedin</t>
        </is>
      </c>
      <c r="E21" t="inlineStr"/>
      <c r="F21" t="inlineStr"/>
      <c r="G21" t="inlineStr">
        <is>
          <t>New York, NY</t>
        </is>
      </c>
      <c r="H21" t="inlineStr"/>
      <c r="I21"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3\+ years in database engineering with expertise in Oracle and PostgreSQL
* Proven experience with Oracle GoldenGate bidirectional replication and pglogical
* Strong background in Oracle on NetApp storage (ONTAP, SnapMirror, SnapVault).
* Proficiency in SQL, PL/SQL, Shell scripting, and automation using Ansible
* Experience with incident management, root cause analysis, and performance tuning
* Familiarity with infrastructure automation tools (Ansible, Terraform) and monitoring solutions
* Bachelor's degree in Computer Science or related field
* Experience supporting Mapr and migration of Mapr
* Experience supporting Abinitio and migration of Abinitio
 We'd Love to See:
* PostgreSQL or Oracle certifications preferred
**Impact You'll Make:**
 We are seeking a highly skilled Data Engineer to join the SRE Data Engineering team, specializing in Oracle, PostgreSQL, Oracle GoldenGate, Ab Initio, and related data infrastructure technologies. The ideal candidate will have a strong foundation in database engineering, replication, and automation, with proven experience in large\-scale migrations and operational support.
**Responsibilities**
* Serve as a subject matter expert for Oracle and PostgreSQL database operations, including performance tuning, troubleshooting, and root cause analysis.
* Manage Oracle and PostgreSQL database activities such as Installation,patching, upgrades, and migrations.
* Design and implement backup, replication, and disaster recovery strategies for PostgreSQL and Oracle.
* Provide expertise in Oracle on NetApp storage and related implementations.
* Collaborate with DevOps and SRE teams to automate database operations and integrate with CI/CD pipelines.
* Partner with application teams for schema changes, query optimization, and deployment processes.
* Drive the database modernization roadmap, focusing on PostgreSQL adoption and pglogical replication.
* Ensure compliance with security, audit, and governance standards.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****Pay Scale Information** 
**:****
 The U.S. base salary range for this position is $78,750\.00 \- $131,250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Engineer, Database Engineering
 Company:
 TransUnion LLC</t>
        </is>
      </c>
    </row>
    <row r="22">
      <c r="A22" t="inlineStr">
        <is>
          <t>li-4362029342</t>
        </is>
      </c>
      <c r="B22" t="inlineStr">
        <is>
          <t>Principal Data Engineer</t>
        </is>
      </c>
      <c r="C22" t="inlineStr">
        <is>
          <t>Jobs via Dice</t>
        </is>
      </c>
      <c r="D22" t="inlineStr">
        <is>
          <t>linkedin</t>
        </is>
      </c>
      <c r="E22" t="inlineStr"/>
      <c r="F22" t="inlineStr"/>
      <c r="G22" t="inlineStr">
        <is>
          <t>Irving, TX</t>
        </is>
      </c>
      <c r="H22" t="inlineStr"/>
      <c r="I22" t="inlineStr">
        <is>
          <t>If you have what it takes to become part of the Vistra family and would like to start a promising career with a global leader, take a look at the exciting employment opportunities that are currently available and apply online.
**Job Summary**
 We are seeking a highly skilled and experienced Principal Data Engineer to join our team. As a Principal Data Engineer, you will be responsible for architecting, designing, and implementing scalable and robust data solutions that enable efficient data processing, storage, and retrieval. You will provide technical leadership, drive innovation, and ensure the integrity and reliability of our data infrastructure. This is a senior\-level position that requires exceptional technical expertise, strong leadership capabilities, and a proven track record of successfully delivering complex data engineering projects.
**Job Description**
 Key Accountabilities
* Lead the design and development of scalable and reliable data pipelines, including data ingestion, processing, storage, and retrieval.
* Develop data models and schemas that support efficient data storage, retrieval, and analytics, employing optimization techniques to enhance query performance and scalability.
* Leverage big data technologies and frameworks (e.g., Hadoop, Spark, Hive) to process and analyze large volumes of data, enabling advanced analytics and machine learning initiatives.
* Manage and optimize data infrastructure, including cloud\-based platforms, containerization technologies, and distributed computing environments.
* Work closely with other teams, including Data Science, Analytics, and Product, to understand their data needs and requirements.
* Develop and implement best practices for data modeling, storage, and retrieval.
* Ensure the security and privacy of our data and compliance with relevant regulations.
* Develop and maintain documentation for all data processes and systems.
* Evaluate new technologies and tools for data processing, storage, and retrieval and recommend solutions to improve the efficiency and scalability of our data infrastructure.
* Propose and lead continuous improvement opportunities.
* Mentor team members to develop their technical and leadership skills.
**Education, Experience, \&amp; Skill Requirements**
* 9\-11 years of experience in data engineering, including experience in designing and building data pipelines
* Strong proficiency in data engineering technologies, such as ETL frameworks, big data processing, and SQL and NoSQL databases.
* Deep understanding of database systems, data modeling, and data warehousing.
* Experience with cloud\-based data storage and processing technologies, such as AWS, Azure, or Google Cloud.
 Key Metrics
* Understanding of data privacy and data governance policies.
* Strong problem\-solving and analytical skills.
* Ability to work collaboratively in a team environment.
* Strong communication and interpersonal skills.
* Ability to lead and manage projects.
* Experience in leading a team of data engineers and managing complex projects.
* Strong problem\-solving skills and ability to work in a fast\-paced environment.
* Excellent communication skills and ability to work collaboratively with cross\-functional teams.
* Experience with agile software development methodologies.
 \#Dice
**Job Family**
 Data Analytics
**Company**
 Vistra Corporate Services Company
**Locations**
 Irving, Texas
 Texas
**We are a company of people committed to: Exceeding Customer Expectations, Great People, Teamwork, Competitive Spirit and Effective Communication. If this describes you, then apply today!**
****If you currently work for Vistra or its subsidiaries, please apply via the internal career site.****
**It is the policy of the Company to comply with all employment laws and to afford equal employment opportunity to individuals in all aspects of employment, including in selection for job opportunities, without regard to race, color, religion, sex, sexual orientation, gender identity, pregnancy, national origin, age, disability, genetic information, military service, protected veteran status, or any other consideration protected by federal, state or local laws.**
**If you are an individual with a disability and need assistance submitting an application or would like to request an accommodation, please email us at to make a request.**</t>
        </is>
      </c>
    </row>
    <row r="23">
      <c r="A23" t="inlineStr">
        <is>
          <t>li-4354017699</t>
        </is>
      </c>
      <c r="B23" t="inlineStr">
        <is>
          <t>Data Scientist / Big Data Engineer</t>
        </is>
      </c>
      <c r="C23" t="inlineStr">
        <is>
          <t>Jobs via Dice</t>
        </is>
      </c>
      <c r="D23" t="inlineStr">
        <is>
          <t>linkedin</t>
        </is>
      </c>
      <c r="E23" t="inlineStr"/>
      <c r="F23" t="inlineStr"/>
      <c r="G23" t="inlineStr">
        <is>
          <t>Austin, TX</t>
        </is>
      </c>
      <c r="H23" t="inlineStr"/>
      <c r="I23" t="inlineStr">
        <is>
          <t>**Overview**
**JOB TITLE:**
 Data Scientist / Big Data Engineer
**CAYUSE COMPANY:**
 Cayuse Civil Services, LLC
**LOCATION**
 Austin, TX \- Hybrid (3 day remote \| Mon \&amp; Fri Onsite)
**SALARY:**
 Based on experience and position level
 \*\*This position is posted for future opportunities. Please submit your application to be considered for similar upcoming roles\*\*
**Responsibilities**
**The Work**
 The Data Scientist(Big Data Engineer) makes value out ofdata. They will proactively fetch information from various sources and analyze it for a better understanding about how the business performs. They will then use that information to build AI tools that automate certain processes within the company.
 T his position performs all duties and responsibilities in accordance with the Mission, Vision, and Core Values of Cayuse.
**Key Responsibilities**
* Perform data mining, exploration, and analysis.
* Design, train, evaluate, and implement machine learning algorithms and predictive models.
* Work with stakeholders to identify opportunities for improving business processes and addressing current pain points, using data insights, forecasts, and analytics.
* Develop and implement analytics\-enabled solutions to improve business processes , generate insights, and support business goals.
* Develop Key Performance Indicators (KPIs), metrics, trend tracking, prediction, and forecasting models.
* Evaluate and understand complex issues from business partners and recommend solutions.
* Work closely with team throughout all phases of projects: requirements definition, design, development, test and evaluation, demonstration, and deployment.
* Build, implement, and maintain predictive models throughout their full lifecycle.
* Identify patterns and trends in data and provide insights to enhance business decision making.
* Set up and monitor monthly model recalibration process.
* Generate complex ad\-hoc analyses combining disparate concepts or creating new approaches .
* Design and create new analytic procedures and automation .
* Other duties as assigned .
**Qualifications**
**Qualifications \- Here's What You Need**
 The qualifications and skills listed below are intended to provide a general overview of the requirements for this position. However, due to the anticipated nature of the contract and the absence of a finalized task order from the client, this list should not be considered all\-encompassing. Additional qualifications, certifications, skills, or experience specific to the client's requirements may be identified and requested upon award of the task order. Candidates should demonstrate flexibility and a willingness to adapt to evolving responsibilities as outlined by the client.
* Level 1: 1\-3 years of experience in the field or in a related area. Has knowledge of commonly used concepts, practices, and procedures within a particular field. Relies on instructions and pre\-established guidelines to perform the functions of the job. Primary job functions do not typically require exercising independent judgment .
* Level 2: 4\-7 years of experience in the field or in a related area. Familiar with standard concepts, practices, and procedures within a particular field. Relies on limited experience and judgment to plan and accomplish goals . A certain degree of creativity and latitude is required . Works under limited supervision with considerable latitude for the use of initiative and independent judgment .
* Level 3: 8 or more years of experience, relies on experience and judgment to plan and accomplish goals, independently performs a variety of complicated tasks; may lead and direct the work of others . A wide degree of creativity and latitude is expected.
* All Levels
* Demonstrated expertise in constructing distributed machine learning pipeline from scratch
* Demonstrated experience performing end\-to\-end project delivery, including data visualization, performing research, and conducting presentations for non\-technical audiences.
* Strong documentation, organizational, and time management skills.
* Strong verbal and written communication skills to effectively collaborate with team members and stakeholders.
* Must be able to pass a background check. May require additional background checks as required by projects and/or clients at any time during employment.
**Minimum Skills:**
* Experience with machine learning frameworks and techniques, including regression, classification, neural networks, and feature engineering.
* Experience with Azure ML, Power BI, or similar analytics platforms.
* Skilled in web scraping, handling large\-scale multi\-source datasets, and managing ambiguous data environments.
* Strong knowledge of statistical methods for experimentation (e.g., randomization, t\-tests , and confidence intervals).
* Proven track record of managing and delivering high\-volume analytics or experimentation projects across multiple stakeholders.
* Ability to translate analytical insights into actionable business recommendations.
* Strong analytical and problem\-solving skills with keen attention to detail.
* Excellent communication and collaboration skills, with the ability to effectively interact with both technical and business stakeholders.
**Desired Qualifications:**
* Bachelor's or master's degree in Computer Science , Information Technology, Data Science or related field.
* Proficiency in Python (pandas, numpy , scipy ) and SQL for data manipulation, analysis, and pipeline development.
* Knowledge of data science toolkits such as NumPy, Pandas and MatLab .
* Experience with Azure and Databricks platforms.
**Our Commitment To You / Overview Of Benefits**
* Medical, Dental and Vision Insurance; Wellness Program
* Flexible Spending Accounts (Healthcare, Dependent Care, Commuter)
* Short\-Term and Long\-Term Disability options
* Basic Life and AD\&amp;D Insurance (Company Provided)
* Voluntary Life and AD\&amp;D options
* 401(k) Retirement Savings Plan with matching after one year
* Paid Time Off
**Reports to:** 
 Program Manager
**Working Conditions**
* Professional office environment , with the ability to work on \- site in the main office .
* Must reside in the Austin area.
* Must be physically and mentally able to perform duties for extended periods of time.
* Ability to use a computer and other office productivity tools with sufficient speed to meet the demands of this position.
* Must be able to establish a productive and professional workspace.
* Must be able to sit for long periods of time looking at a computer screen .
* May be asked to work a flexible schedule which may include holidays.
* May be asked to travel for business or professional development purposes.
* May be asked to work hours outside of normal business hours.
* T ravel costs, per diem, and other related expenses must be pre\-approved in compliance with State of Texas travel guidelines.
**Other Duties:** 
 Please note this job description is not designed to cover or contain a comprehensive list of activities, duties or responsibilities that are required of the employee for this job .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
**Pay Range**
 USD $120,000\.00 \- USD $175,000\.00 /Yr.</t>
        </is>
      </c>
    </row>
    <row r="24">
      <c r="A24" t="inlineStr">
        <is>
          <t>li-4362552582</t>
        </is>
      </c>
      <c r="B24" t="inlineStr">
        <is>
          <t>Senior Data Engineer</t>
        </is>
      </c>
      <c r="C24" t="inlineStr">
        <is>
          <t>Jobs via Dice</t>
        </is>
      </c>
      <c r="D24" t="inlineStr">
        <is>
          <t>linkedin</t>
        </is>
      </c>
      <c r="E24" t="inlineStr"/>
      <c r="F24" t="inlineStr"/>
      <c r="G24" t="inlineStr">
        <is>
          <t>Pennsylvania, United States</t>
        </is>
      </c>
      <c r="H24" t="inlineStr"/>
      <c r="I24"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3\+ years in database engineering with expertise in Oracle and PostgreSQL
* Proven experience with Oracle GoldenGate bidirectional replication and pglogical
* Strong background in Oracle on NetApp storage (ONTAP, SnapMirror, SnapVault).
* Proficiency in SQL, PL/SQL, Shell scripting, and automation using Ansible
* Experience with incident management, root cause analysis, and performance tuning
* Familiarity with infrastructure automation tools (Ansible, Terraform) and monitoring solutions
* Bachelor's degree in Computer Science or related field
* Experience supporting Mapr and migration of Mapr
* Experience supporting Abinitio and migration of Abinitio
 We'd Love to See:
* PostgreSQL or Oracle certifications preferred
**Impact You'll Make:**
 We are seeking a highly skilled Data Engineer to join the SRE Data Engineering team, specializing in Oracle, PostgreSQL, Oracle GoldenGate, Ab Initio, and related data infrastructure technologies. The ideal candidate will have a strong foundation in database engineering, replication, and automation, with proven experience in large\-scale migrations and operational support.
**Responsibilities**
* Serve as a subject matter expert for Oracle and PostgreSQL database operations, including performance tuning, troubleshooting, and root cause analysis.
* Manage Oracle and PostgreSQL database activities such as Installation,patching, upgrades, and migrations.
* Design and implement backup, replication, and disaster recovery strategies for PostgreSQL and Oracle.
* Provide expertise in Oracle on NetApp storage and related implementations.
* Collaborate with DevOps and SRE teams to automate database operations and integrate with CI/CD pipelines.
* Partner with application teams for schema changes, query optimization, and deployment processes.
* Drive the database modernization roadmap, focusing on PostgreSQL adoption and pglogical replication.
* Ensure compliance with security, audit, and governance standards.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****Pay Scale Information** 
**:****
 The U.S. base salary range for this position is $78,750\.00 \- $131,250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Engineer, Database Engineering
 Company:
 TransUnion LLC</t>
        </is>
      </c>
    </row>
    <row r="25">
      <c r="A25" t="inlineStr">
        <is>
          <t>li-4362552579</t>
        </is>
      </c>
      <c r="B25" t="inlineStr">
        <is>
          <t>Senior Data Engineer</t>
        </is>
      </c>
      <c r="C25" t="inlineStr">
        <is>
          <t>Jobs via Dice</t>
        </is>
      </c>
      <c r="D25" t="inlineStr">
        <is>
          <t>linkedin</t>
        </is>
      </c>
      <c r="E25" t="inlineStr"/>
      <c r="F25" t="inlineStr"/>
      <c r="G25" t="inlineStr">
        <is>
          <t>Boca Raton, FL</t>
        </is>
      </c>
      <c r="H25" t="inlineStr"/>
      <c r="I25"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3\+ years in database engineering with expertise in Oracle and PostgreSQL
* Proven experience with Oracle GoldenGate bidirectional replication and pglogical
* Strong background in Oracle on NetApp storage (ONTAP, SnapMirror, SnapVault).
* Proficiency in SQL, PL/SQL, Shell scripting, and automation using Ansible
* Experience with incident management, root cause analysis, and performance tuning
* Familiarity with infrastructure automation tools (Ansible, Terraform) and monitoring solutions
* Bachelor's degree in Computer Science or related field
* Experience supporting Mapr and migration of Mapr
* Experience supporting Abinitio and migration of Abinitio
 We'd Love to See:
* PostgreSQL or Oracle certifications preferred
**Impact You'll Make:**
 We are seeking a highly skilled Data Engineer to join the SRE Data Engineering team, specializing in Oracle, PostgreSQL, Oracle GoldenGate, Ab Initio, and related data infrastructure technologies. The ideal candidate will have a strong foundation in database engineering, replication, and automation, with proven experience in large\-scale migrations and operational support.
**Responsibilities**
* Serve as a subject matter expert for Oracle and PostgreSQL database operations, including performance tuning, troubleshooting, and root cause analysis.
* Manage Oracle and PostgreSQL database activities such as Installation,patching, upgrades, and migrations.
* Design and implement backup, replication, and disaster recovery strategies for PostgreSQL and Oracle.
* Provide expertise in Oracle on NetApp storage and related implementations.
* Collaborate with DevOps and SRE teams to automate database operations and integrate with CI/CD pipelines.
* Partner with application teams for schema changes, query optimization, and deployment processes.
* Drive the database modernization roadmap, focusing on PostgreSQL adoption and pglogical replication.
* Ensure compliance with security, audit, and governance standards.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****Pay Scale Information** 
**:****
 The U.S. base salary range for this position is $78,750\.00 \- $131,250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Engineer, Database Engineering
 Company:
 TransUnion LLC</t>
        </is>
      </c>
    </row>
    <row r="26">
      <c r="A26" t="inlineStr">
        <is>
          <t>li-4362512848</t>
        </is>
      </c>
      <c r="B26" t="inlineStr">
        <is>
          <t>Senior Data Engineer</t>
        </is>
      </c>
      <c r="C26" t="inlineStr">
        <is>
          <t>Jobs via Dice</t>
        </is>
      </c>
      <c r="D26" t="inlineStr">
        <is>
          <t>linkedin</t>
        </is>
      </c>
      <c r="E26" t="inlineStr"/>
      <c r="F26" t="inlineStr"/>
      <c r="G26" t="inlineStr">
        <is>
          <t>Reston, VA</t>
        </is>
      </c>
      <c r="H26" t="inlineStr"/>
      <c r="I26"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3\+ years in database engineering with expertise in Oracle and PostgreSQL
* Proven experience with Oracle GoldenGate bidirectional replication and pglogical
* Strong background in Oracle on NetApp storage (ONTAP, SnapMirror, SnapVault).
* Proficiency in SQL, PL/SQL, Shell scripting, and automation using Ansible
* Experience with incident management, root cause analysis, and performance tuning
* Familiarity with infrastructure automation tools (Ansible, Terraform) and monitoring solutions
* Bachelor's degree in Computer Science or related field
* Experience supporting Mapr and migration of Mapr
* Experience supporting Abinitio and migration of Abinitio
 We'd Love to See:
* PostgreSQL or Oracle certifications preferred
**Impact You'll Make:**
 We are seeking a highly skilled Data Engineer to join the SRE Data Engineering team, specializing in Oracle, PostgreSQL, Oracle GoldenGate, Ab Initio, and related data infrastructure technologies. The ideal candidate will have a strong foundation in database engineering, replication, and automation, with proven experience in large\-scale migrations and operational support.
**Responsibilities**
* Serve as a subject matter expert for Oracle and PostgreSQL database operations, including performance tuning, troubleshooting, and root cause analysis.
* Manage Oracle and PostgreSQL database activities such as Installation,patching, upgrades, and migrations.
* Design and implement backup, replication, and disaster recovery strategies for PostgreSQL and Oracle.
* Provide expertise in Oracle on NetApp storage and related implementations.
* Collaborate with DevOps and SRE teams to automate database operations and integrate with CI/CD pipelines.
* Partner with application teams for schema changes, query optimization, and deployment processes.
* Drive the database modernization roadmap, focusing on PostgreSQL adoption and pglogical replication.
* Ensure compliance with security, audit, and governance standards.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****Pay Scale Information** 
**:****
 The U.S. base salary range for this position is $78,750\.00 \- $131,250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Engineer, Database Engineering
 Company:
 TransUnion LLC</t>
        </is>
      </c>
    </row>
    <row r="27">
      <c r="A27" t="inlineStr">
        <is>
          <t>li-4362532641</t>
        </is>
      </c>
      <c r="B27" t="inlineStr">
        <is>
          <t>Senior Data Engineer</t>
        </is>
      </c>
      <c r="C27" t="inlineStr">
        <is>
          <t>Jobs via Dice</t>
        </is>
      </c>
      <c r="D27" t="inlineStr">
        <is>
          <t>linkedin</t>
        </is>
      </c>
      <c r="E27" t="inlineStr"/>
      <c r="F27" t="inlineStr"/>
      <c r="G27" t="inlineStr">
        <is>
          <t>Chicago, IL</t>
        </is>
      </c>
      <c r="H27" t="inlineStr"/>
      <c r="I27"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3\+ years in database engineering with expertise in Oracle and PostgreSQL
* Proven experience with Oracle GoldenGate bidirectional replication and pglogical
* Strong background in Oracle on NetApp storage (ONTAP, SnapMirror, SnapVault).
* Proficiency in SQL, PL/SQL, Shell scripting, and automation using Ansible
* Experience with incident management, root cause analysis, and performance tuning
* Familiarity with infrastructure automation tools (Ansible, Terraform) and monitoring solutions
* Bachelor's degree in Computer Science or related field
* Experience supporting Mapr and migration of Mapr
* Experience supporting Abinitio and migration of Abinitio
 We'd Love to See:
* PostgreSQL or Oracle certifications preferred
**Impact You'll Make:**
 We are seeking a highly skilled Data Engineer to join the SRE Data Engineering team, specializing in Oracle, PostgreSQL, Oracle GoldenGate, Ab Initio, and related data infrastructure technologies. The ideal candidate will have a strong foundation in database engineering, replication, and automation, with proven experience in large\-scale migrations and operational support.
**Responsibilities**
* Serve as a subject matter expert for Oracle and PostgreSQL database operations, including performance tuning, troubleshooting, and root cause analysis.
* Manage Oracle and PostgreSQL database activities such as Installation,patching, upgrades, and migrations.
* Design and implement backup, replication, and disaster recovery strategies for PostgreSQL and Oracle.
* Provide expertise in Oracle on NetApp storage and related implementations.
* Collaborate with DevOps and SRE teams to automate database operations and integrate with CI/CD pipelines.
* Partner with application teams for schema changes, query optimization, and deployment processes.
* Drive the database modernization roadmap, focusing on PostgreSQL adoption and pglogical replication.
* Ensure compliance with security, audit, and governance standards.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****Pay Scale Information** 
**:****
 The U.S. base salary range for this position is $78,750\.00 \- $131,250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Engineer, Database Engineering
 Company:
 TransUnion LLC</t>
        </is>
      </c>
    </row>
    <row r="28">
      <c r="A28" t="inlineStr">
        <is>
          <t>li-4362503241</t>
        </is>
      </c>
      <c r="B28" t="inlineStr">
        <is>
          <t>Senior Data Engineer</t>
        </is>
      </c>
      <c r="C28" t="inlineStr">
        <is>
          <t>Jobs via Dice</t>
        </is>
      </c>
      <c r="D28" t="inlineStr">
        <is>
          <t>linkedin</t>
        </is>
      </c>
      <c r="E28" t="inlineStr"/>
      <c r="F28" t="inlineStr"/>
      <c r="G28" t="inlineStr">
        <is>
          <t>White Plains, NY</t>
        </is>
      </c>
      <c r="H28" t="inlineStr"/>
      <c r="I28"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3\+ years in database engineering with expertise in Oracle and PostgreSQL
* Proven experience with Oracle GoldenGate bidirectional replication and pglogical
* Strong background in Oracle on NetApp storage (ONTAP, SnapMirror, SnapVault).
* Proficiency in SQL, PL/SQL, Shell scripting, and automation using Ansible
* Experience with incident management, root cause analysis, and performance tuning
* Familiarity with infrastructure automation tools (Ansible, Terraform) and monitoring solutions
* Bachelor's degree in Computer Science or related field
* Experience supporting Mapr and migration of Mapr
* Experience supporting Abinitio and migration of Abinitio
 We'd Love to See:
* PostgreSQL or Oracle certifications preferred
**Impact You'll Make:**
 We are seeking a highly skilled Data Engineer to join the SRE Data Engineering team, specializing in Oracle, PostgreSQL, Oracle GoldenGate, Ab Initio, and related data infrastructure technologies. The ideal candidate will have a strong foundation in database engineering, replication, and automation, with proven experience in large\-scale migrations and operational support.
**Responsibilities**
* Serve as a subject matter expert for Oracle and PostgreSQL database operations, including performance tuning, troubleshooting, and root cause analysis.
* Manage Oracle and PostgreSQL database activities such as Installation,patching, upgrades, and migrations.
* Design and implement backup, replication, and disaster recovery strategies for PostgreSQL and Oracle.
* Provide expertise in Oracle on NetApp storage and related implementations.
* Collaborate with DevOps and SRE teams to automate database operations and integrate with CI/CD pipelines.
* Partner with application teams for schema changes, query optimization, and deployment processes.
* Drive the database modernization roadmap, focusing on PostgreSQL adoption and pglogical replication.
* Ensure compliance with security, audit, and governance standards.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****Pay Scale Information** 
**:****
 The U.S. base salary range for this position is $78,750\.00 \- $131,250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Engineer, Database Engineering
 Company:
 TransUnion LLC</t>
        </is>
      </c>
    </row>
    <row r="29">
      <c r="A29" t="inlineStr">
        <is>
          <t>li-4365778891</t>
        </is>
      </c>
      <c r="B29" t="inlineStr">
        <is>
          <t>REMOTE- Junior Data Engineer</t>
        </is>
      </c>
      <c r="C29" t="inlineStr">
        <is>
          <t>Lensa</t>
        </is>
      </c>
      <c r="D29" t="inlineStr">
        <is>
          <t>linkedin</t>
        </is>
      </c>
      <c r="E29">
        <f>HYPERLINK("https://www.linkedin.com/jobs/view/4365778891", "https://www.linkedin.com/jobs/view/4365778891")</f>
        <v/>
      </c>
      <c r="F29">
        <f>HYPERLINK("https://lensa.com/cgw/8dff252ce3e2435695d42466c2d8b00dtjo1?jpsi=directemployers_no_redirect&amp;publisher_preference=easier_apply&amp;utm_campaign=Computer%20Occupations&amp;utm_medium=slot&amp;utm_source=linkedin&amp;utm_term=jse&amp;urlHash=uqzF", "https://lensa.com/cgw/8dff252ce3e2435695d42466c2d8b00dtjo1?jpsi=directemployers_no_redirect&amp;publisher_preference=easier_apply&amp;utm_campaign=Computer%20Occupations&amp;utm_medium=slot&amp;utm_source=linkedin&amp;utm_term=jse&amp;urlHash=uqzF")</f>
        <v/>
      </c>
      <c r="G29" t="inlineStr">
        <is>
          <t>Fort Worth, TX</t>
        </is>
      </c>
      <c r="H29" t="inlineStr"/>
      <c r="I2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30">
      <c r="A30" t="inlineStr">
        <is>
          <t>li-4361294764</t>
        </is>
      </c>
      <c r="B30" t="inlineStr">
        <is>
          <t>Data Engineer I</t>
        </is>
      </c>
      <c r="C30" t="inlineStr">
        <is>
          <t>Cox Automotive Inc.</t>
        </is>
      </c>
      <c r="D30" t="inlineStr">
        <is>
          <t>linkedin</t>
        </is>
      </c>
      <c r="E30">
        <f>HYPERLINK("https://www.linkedin.com/jobs/view/4361294764", "https://www.linkedin.com/jobs/view/4361294764")</f>
        <v/>
      </c>
      <c r="F30" t="inlineStr"/>
      <c r="G30" t="inlineStr">
        <is>
          <t>Austin, TX</t>
        </is>
      </c>
      <c r="H30" t="inlineStr"/>
      <c r="I30" t="inlineStr">
        <is>
          <t>Cox Automotive seeks a Data Engineer to join AI \&amp; Data Delivery Platform organization in Austin, TX
 **.**
**Our Teams**
 Cox Automotive is the market\-leading provider of technology services to the automotive industry. Our engineering organization takes pride in building innovative products that make our customers successful. We are passionate about building great software while having fun doing it. The result is an award\-winning culture where everyone is approachable, ideas are judged on merits, and empowered people drive transformative technology.
**Job Summary**
 Are you passionate about data? Join Cox Automotive as a Data Engineer I! You'll design high\-performance queries, work with diverse data sources, and drive data solutions. Collaborate with data delivery teams to build applications using Python and maintain data pipelines, models, and queries in cloud environments using technologies like Snowflake, NoSQL databases, ETL tools, and AWS services (ECS, Lambdas, SQS, DynamoDB, Step Functions, RDS). Contribute throughout the SDLC, from design to CI/CD operations. Make a significant impact in the automotive industry with your data engineering skills!
**What You'll Do**
 Role Overview:
* Collaborate with Product and Engineering to understand data needs and deliver high\-quality data solutions.
* Develop and manage scalable data pipelines and architectures.
* Engage with your agile delivery team to build a culture of passion, trust, and creativity.
* Learn and leverage the automotive digital marketing domain to change how the world buys, sells, and uses cars.
**Who You Are**
 Required Experience:
* Applicants must currently be authorized to work in the United States for any employer without current or future sponsorship. No OPT, CPT, STEM/OPT or visa sponsorship now or in future.
* Required BA/BS or higher degree in a related discipline with a focus in Data Engineering or Software Engineering
* 1 to 3 years of related professional work experience in Data Engineering
* MUST live within a commutable distance to Cox Automotive's Austin TX office and work in a hybrid\-onsite setting
* Experience with cloud\-based application development, support and DevOps (ideally AWS)
* Object\-oriented design experience, including applied use of design patterns.
* Experience with programming languages such as Python
* Ability to work independently, to design, develop, and deploy solutions, and to deliver projects on time with moderate direction.
* Ability to collaborate with other developers to build the best solution for the customer.
* Database development skills, including using database technologies and logical and physical data modeling.
* Please include links to any side projects you've worked on in your Github profile
**Preferred AI\-Related Skills**
* Exposure to AI/ML workflows and data preparation for model training
* Experience with AI\-assisted development tools (e.g., GitHub Copilot)
* Familiarity with vector databases, LLM integration, or prompt engineering
* Understanding of MLOps practices and cloud\-based AI infrastructure
* Commitment to ethical AI practices and data governance
 USD 73,800\.00 \- 110,800\.00 per year
**Compensation**
 Compensation includes a base salary of $73,800\.00 \- $110,800\.00\.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31">
      <c r="A31" t="inlineStr">
        <is>
          <t>li-4365767830</t>
        </is>
      </c>
      <c r="B31" t="inlineStr">
        <is>
          <t>Software Developer/Data Engineer - Entry Level</t>
        </is>
      </c>
      <c r="C31" t="inlineStr">
        <is>
          <t>Lensa</t>
        </is>
      </c>
      <c r="D31" t="inlineStr">
        <is>
          <t>linkedin</t>
        </is>
      </c>
      <c r="E31">
        <f>HYPERLINK("https://www.linkedin.com/jobs/view/4365767830", "https://www.linkedin.com/jobs/view/4365767830")</f>
        <v/>
      </c>
      <c r="F31" t="inlineStr"/>
      <c r="G31" t="inlineStr">
        <is>
          <t>Atlanta, GA</t>
        </is>
      </c>
      <c r="H31" t="inlineStr"/>
      <c r="I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Georgia, Atlanta
**Position ID:** 
 J0825\-1339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Atlanta, GA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32">
      <c r="A32" t="inlineStr">
        <is>
          <t>li-4365774897</t>
        </is>
      </c>
      <c r="B32" t="inlineStr">
        <is>
          <t>Healthcare Data Engineer - REMOTE</t>
        </is>
      </c>
      <c r="C32" t="inlineStr">
        <is>
          <t>Lensa</t>
        </is>
      </c>
      <c r="D32" t="inlineStr">
        <is>
          <t>linkedin</t>
        </is>
      </c>
      <c r="E32">
        <f>HYPERLINK("https://www.linkedin.com/jobs/view/4365774897", "https://www.linkedin.com/jobs/view/4365774897")</f>
        <v/>
      </c>
      <c r="F32" t="inlineStr"/>
      <c r="G32" t="inlineStr">
        <is>
          <t>Irvine, CA</t>
        </is>
      </c>
      <c r="H32" t="inlineStr"/>
      <c r="I3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NTT America. Clicking "Apply Now" or "Read more" on Lensa redirects you to the job board/employer site. Any information collected there is subject to their terms and privacy notice.
**Req ID:** 
 354633
 NTT DATA strives to hire exceptional, innovative and passionate individuals who want to grow with us. If you want to be part of an inclusive, adaptable, and forward\-thinking organization, apply now.
 We are currently seeking a Healthcare Data Engineer \- REMOTE to join our team in Irvine, California (US\-CA), United States (US).
**Day To Day Responsibilities**
* Uses a working knowledge of the solutions or services and caregiver experience(s) to contribute to innovative feature area solution or service designs.
* Provides feedback on the solutions or service designs that appeal to the caregiver's sense of style, fun, and aesthetics, as well as their functional needs.
* Helps define their own role in the delivery of the solutions or service designs.
* Enhances existing or designs new features of solutions or services that consider the iteration and change required by the needs of the business.
* Develops complete designs and test interfaces that solve classes of problems, enable integration across groups of components, improve reuse, and satisfy business, caregiver, engineering and operational requirements.
* In some cases, drives design reviews, defines interfaces between code modules, and applies existing technology to designs.
* Considers diagnosability, portability/monitoring, reliability, and maintainability, and understands when their code is ready to be shared and delivered.
* Applies coding patterns, best practices and a data driven approach to their work.
* Uses data and insights from caregivers and solutions to contribute to some technical design and implementation decisions.
* Considers performance, testability, and maintainability in their design and coding.
* Writes unit tests for all their components. Exposes test coverage issues, organizes and implements integration tests, and resolves problem areas.
* Acquires technical knowledge of feature area design and code to identify risks and prevent bugs.
* Presents adequate conclusions that describe defects, their impact to feature areas, caregiver scenarios, and quality targets.
* Demonstrates some knowledge of data \- knows what data is needed, how to find new or missing data, describes defects, and their relevance to solution and service targets (within scope of the job).
* Uses an understanding of the engineering lifecycle and previous release experience to advocate for improvements over successive iterations.
* In some cases, drives design and code reviews and shares best practices across the team.
* Uses an understanding of the engineering lifecycle to propose lifecycle improvements, over successive iterations.
* Participates in design and code reviews and shares best practices.
* Has a sense of pride, commitment and personal accountability for the end\-to\-end solution or service quality, completeness, and resulting user experience for the life of the solution or service.
* Consistently and strongly demonstrates a sense of personal accountability for the quality and completeness of the entire solution or service and resulting caregiver experience. Maintains a sense of pride and craftsmanship that yields output with aesthetic, as well as technical value in the solutions that are developed.
**Basic Qualifications**
* 5\+ yrs experience in the healthcare technologies, including HL7 and FHIR
* 5\+ years experience with object\-oriented programming in C\#, Java, Python or equivalent.
* 5\+ years experience with source code control systems such as Git
* 5\+ years SQL integration development experience using SQL/NoSQL.
* 5\+ years experience with agile methodologies and tools such as Azure DevOps, TFS, and Jira
**Preferred Skills**
* 3\+ years engineering experience with Intersystems Suite of Applications
 Where required by law, NTT DATA provides a reasonable range of compensation for specific roles. The starting pay range for this remote role is $68,904 \- $143,550\. This range reflects the minimum and maximum target compensation for the position across all US locations. Actual compensation will depend on a number of factors, including the candidate's actual work location, relevant experience, technical skills, and other qualifications.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
***NTT DATA endeavors to make***
***https://us.nttdata.com***
***accessible to any and all users. If you would like to contact us regarding the accessibility of our website or need assistance completing the application process, please contact us at***
***https://us.nttdata.com/en/contact\-us***
***.***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(http://us.nttdata.com/en/compliance\#eeos) . If you'd like more information on your EEO rights under the law, please click here (http://us.nttdata.com/en/compliance\#know\-your\-rights) . For Pay Transparency information, please click here (http://us.nttdata.com/en/compliance\#ppnp) .*
 If you have questions about this posting, please contact support@lensa.com</t>
        </is>
      </c>
    </row>
    <row r="33">
      <c r="A33" t="inlineStr">
        <is>
          <t>li-4365773891</t>
        </is>
      </c>
      <c r="B33" t="inlineStr">
        <is>
          <t>Software Developer/Data Engineer - Entry Level</t>
        </is>
      </c>
      <c r="C33" t="inlineStr">
        <is>
          <t>Lensa</t>
        </is>
      </c>
      <c r="D33" t="inlineStr">
        <is>
          <t>linkedin</t>
        </is>
      </c>
      <c r="E33">
        <f>HYPERLINK("https://www.linkedin.com/jobs/view/4365773891", "https://www.linkedin.com/jobs/view/4365773891")</f>
        <v/>
      </c>
      <c r="F33">
        <f>HYPERLINK("https://lensa.com/cgw/34ecc578835f421bafe1ebc57afaf23atjo1?jpsi=directemployers&amp;publisher_preference=easier_apply&amp;utm_campaign=Computer%20Occupations&amp;utm_medium=slot&amp;utm_source=linkedin&amp;utm_term=jse&amp;urlHash=Zepf", "https://lensa.com/cgw/34ecc578835f421bafe1ebc57afaf23atjo1?jpsi=directemployers&amp;publisher_preference=easier_apply&amp;utm_campaign=Computer%20Occupations&amp;utm_medium=slot&amp;utm_source=linkedin&amp;utm_term=jse&amp;urlHash=Zepf")</f>
        <v/>
      </c>
      <c r="G33" t="inlineStr">
        <is>
          <t>Nashville, TN</t>
        </is>
      </c>
      <c r="H33" t="inlineStr"/>
      <c r="I3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34">
      <c r="A34" t="inlineStr">
        <is>
          <t>li-4321389259</t>
        </is>
      </c>
      <c r="B34" t="inlineStr">
        <is>
          <t>Sr Data Engineer – SAP</t>
        </is>
      </c>
      <c r="C34" t="inlineStr">
        <is>
          <t>Jack Link's Protein Snacks</t>
        </is>
      </c>
      <c r="D34" t="inlineStr">
        <is>
          <t>linkedin</t>
        </is>
      </c>
      <c r="E34">
        <f>HYPERLINK("https://www.linkedin.com/jobs/view/4321389259", "https://www.linkedin.com/jobs/view/4321389259")</f>
        <v/>
      </c>
      <c r="F34" t="inlineStr"/>
      <c r="G34" t="inlineStr">
        <is>
          <t>Minneapolis, MN</t>
        </is>
      </c>
      <c r="H34" t="inlineStr"/>
      <c r="I34" t="inlineStr">
        <is>
          <t>When it comes to being wild, we know a thing or two. We’re not afraid of trying something new or the hard work it takes to make it happen. It’s in our DNA. We’ve turned a family recipe into a new snacking category. And the wilderness into the world’s largest meat snack business, that’s still proudly family owned and operated.
 We’re a company built by innovators, and are driven to not only satisfy your hunger, but to also feed your journey – whether that journey is on the road, on the run, at the campground, at the playground, in the office or in the moment. It’s a journey we share with you. It’s the journey forward of our people, of our communities, of our category…with a reverence for quality and an irreverence for the status quo.
 At Jack Link’s Protein Snacks, we see every moment of every day as an opportunity to move forward, to forge new ground. To realize our vision of becoming the World’s \#1 Protein Snack Company. We never give up. You never give up. Together, we keep going. Are you wild enough to join us?
 Jack Link’s Protein Snacks is a global leader in snacking and the No. 1 meat snack manufacturer worldwide. Family\-owned and operated with headquarters in Minong, Wisconsin, Jack Link’s Protein Snacks also has a large corporate hub in Downtown Minneapolis, Minnesota. The company is made up of over 4,000 passionate team members, across 11 countries, who share an uncompromising commitment to delivering awesome products and feeding the journey of those who move things forward. The Jack Link’s Protein Snacks portfolio of brands includes, Jack Link’s, Lorissa’s Kitchen, MATADOR Jerky, BiFi and Peperami.
**Job Description**
**JOB SUMMARY**
 This role is responsible for delivering high\-quality, governed, analytics\-ready data products that support enterprise reporting, advanced analytics, and AI\-driven use cases.
 Beyond traditional data engineering, this position requires strategic thinking and strong business acumen. You will collaborate with product owners and business stakeholders to understand operational and commercial processes, translate data and diagnostic requirements into technical specifications, and communicate complex technical concepts back to non\-technical teams in clear, accessible language. This role is supported by a strong ecosystem of IT and Analytics experts, including product owners, business relationship managers, data engineers, data architects, BI developers, data scientists, and platform specialists.
 In addition to SAP data engineering, you will design, develop, and orchestrate AI\-powered automation solutions to optimize workflows and processes within SAP environments. Your work will enable advanced analytics, intelligent automation, and seamless integration across enterprise systems.
**KEY RESPONSIBILITIES**
 Build \&amp; Operate SAP Datasphere Data Pipelines
* Design and manage enterprise data pipelines within SAP Datasphere.
* Implement scalable ingestion using ODP, SLT, SDA/SDI, CDS extraction, APIs, and files.
* Engineer reliable delta handling, orchestration, and reconciliation.
 Design Enterprise HANA \&amp; Analytical Data Models
* Build HANA\-based analytical models and business\-ready datasets.
* Develop semantic layers aligned to Finance, Supply Chain, Manufacturing, and Sales.
* Optimize models for SAC, Power BI, and downstream platforms.
 Develop in SAP Datasphere \&amp; Enterprise HANA
* Develop transformations using Datasphere flows, SQL, and SQLScript.
* Manage Datasphere Spaces, compute allocation, access, and lifecycle.
* Architect virtualization vs replication strategies.
 Integrate SAP Source Systems
* Integrate SAP S/4HANA and SAP BW on HANA datasets into Datasphere.
* Leverage CDS Views, extractors, Open ODS Views, and BW InfoProviders.
* Design hybrid SAP and non\-SAP integration patterns.
 Ensure Data Quality, Governance \&amp; Security
* Implement validation, reconciliation, lineage, and metadata frameworks.
* Enforce security, PII masking, and regulatory compliance.
 Performance Optimization \&amp; Cost Management
* Tune models, transformation logic, and analytical queries.
* Monitor performance, storage, and compute efficiency.
 Automate \&amp; Operationalize
* Develop reusable automation frameworks using SQL, scripting, and SAP\-specific tools to streamline data workflows and system integrations.
* Design and implement SAP automation solutions leveraging SAP Joule and AI\-powered orchestration to optimize business processes and reduce manual effort.
* Integrate intelligent agents for predictive and prescriptive automation within SAP environments, enabling proactive issue resolution and process optimization.
* Support CI/CD pipelines, version control, and operational monitoring to ensure reliability and scalability of automation solutions.
 Enable Advanced Analytics \&amp; AI
* Deliver analytics\-ready feature\-engineered datasets.
* Partner with data science teams to support AI/ML pipelines.
 Collaborate, Communicate \&amp; Mentor
* Work closely with product owners and business stakeholders to translate business requirements and diagnostic issues into technical solutions, and communicate technical concepts back in clear, non\-technical language.
* Partner with SAP functional, architecture, and analytics teams.
* Mentor junior engineers and promote best practices.
* Perform additional duties as assigned.
**WORK ENVIRONMENT**
 The work environment characteristics described here are representative of those an employee encounters while performing the essential functions of this job. The work environment is a plant/office setting with varying degrees of temperatures and noise levels. Exposure to manufacturing equipment movement and wet/slippery floors. However, the vast amount of work is conducted in a climate\-controlled office. Travel may be required.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sit, use hands to finger, handle, or feel and talk or hear. The employee is occasionally required to stand, walk and reach with hands and arms. The employee must occasionally lift and/or more up to 25 pounds. Specific vision abilities required by this job include close vision.
**Qualifications**
**QUALIFICATIONS**
* 7\+ years in Data Engineering or SAP Analytics Engineering.
* 3\+ years of primary hands\-on SAP Datasphere experience.
* Strong expertise in Enterprise SAP HANA, SAP BW on HANA, SQL/SQLScript.
* Deep understanding of SAP S/4HANA data models and CDS views.
* Experience in analytical modeling, semantic layers, and governance.
* Strong communication and product\-oriented team collaboration skills.
* Strategic Thinking \&amp; Business Acumen: Ability to understand general operations and commercial processes, work closely with product owners and business stakeholders to translate data and analytics requirements and diagnostic issues into clear technical specifications, and communicate technical concepts back to non\-technical teams in an accessible way
**Preferred Qualifications**
* Experience with SAP Datasphere as a strategic analytics platform.
* Experience designing, developing, and deploying AI agents in SAP ecosystem.
* Integration with SAP Analytics Cloud and enterprise BI platforms.
* SAP BTP governance and security exposure.
* Manufacturing, CPG, or supply chain industry experience.
* CI/CD and Git\-based transport automation experience.
**Additional Information**
*The salary range for this role is $135* 
 ,000 – $165,000
 *(Annually). Actual salaries will vary based on several factors, including but not limited to external market data, internal equity, location, and candidate skill set and experience. Base pay is just one component of Jack Link’s Total Rewards package for Team Members. Other rewards may include annual incentive and program\-specific awards. Jack Link’s provides a variety of benefits to eligible Team Members, including medical, dental and vision benefits, life and disability insurance, 401k participation, paid holidays, and paid time off.*
**EQUAL EMPLOYMENT OPPORTUNITY EMPLOYER:**
 Jack Link’s provides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that is protected by federal, state or local law.
**E\-VERIFY:**
 Jack Link’s is participant in the federal E\-Verify program to confirm the identity and employment authorization of all newly hired employees. For information about the E\-Verify program, please visit: http://www.uscis.gov/e\-verify/employees
 All your information will be kept confidential according to EEO guidelines.</t>
        </is>
      </c>
    </row>
    <row r="35">
      <c r="A35" t="inlineStr">
        <is>
          <t>li-4365783955</t>
        </is>
      </c>
      <c r="B35" t="inlineStr">
        <is>
          <t>Senior Data Engineer</t>
        </is>
      </c>
      <c r="C35" t="inlineStr">
        <is>
          <t>Healthy Together</t>
        </is>
      </c>
      <c r="D35" t="inlineStr">
        <is>
          <t>linkedin</t>
        </is>
      </c>
      <c r="E35">
        <f>HYPERLINK("https://www.linkedin.com/jobs/view/4365783955", "https://www.linkedin.com/jobs/view/4365783955")</f>
        <v/>
      </c>
      <c r="F35" t="inlineStr"/>
      <c r="G35" t="inlineStr">
        <is>
          <t>Draper, UT</t>
        </is>
      </c>
      <c r="H35" t="inlineStr"/>
      <c r="I35" t="inlineStr">
        <is>
          <t>We are hiring a Senior Data Engineer to help us design, build and maintain our end\-to\-end data infrastructure, from defining the data architecture to implementing data models, pipelines, monitoring and quality assurance frameworks. We're looking for seasoned data engineers who are excited to work closely with data science and data analysts to make information more available and easier to use across the organization.
 In this role you will be a key contributor in designing and building our data platform that consumes, transforms and delivers data, for analytics and forecasts. You will own the data infrastructure and develop, optimize, and maintain our training pipelines. The ideal candidate will have a strong background in Python and AWS.
 If this role sounds like a good fit, we welcome you to apply and meet the team.
 Responsibilities
* Design and implement software and systems for capturing, transforming, storing and delivering data
* Build data ingestion infrastructure and integrations with third parties
* Automate evolving/ongoing validation of data quality
* Collaborate closely with data scientists, analysts, and the entire product team
* Assist data scientists and analysts with SQL and Python
* Own and maintain data pipelines
 Required Skills and Experience
* 5\+ years of experience in data engineering or as a software engineer covering data engineering duties or working closely with data engineering building data warehouses and data pipelines.
* Comprehensive experience with AWS (EC2, S3, EMR, RDS, Lambda, Redshift, Kinesis)
* Successfully built and scaled data driven applications including elements like batch data aggregation \&amp; processing, data modeling, data cleaning, anomaly detection and bulk ingestion
* Strong software development skills with an emphasis on clean code
* Extensive experience with SQL
* Experience designing and writing robust ETL jobs and pipelines (Airflow, Luigi).
 Bonus Qualifications
* Experienced working with medical/health data
* Experience working with government data
* Knowledge with ML Frameworks such as Pytorch or Tensorflow
* Experience in a DevOps or adjacent role with emphasis in AWS and IaC</t>
        </is>
      </c>
    </row>
    <row r="36">
      <c r="A36" t="inlineStr">
        <is>
          <t>li-4365774787</t>
        </is>
      </c>
      <c r="B36" t="inlineStr">
        <is>
          <t>Data Engineer - Databricks (Remote)</t>
        </is>
      </c>
      <c r="C36" t="inlineStr">
        <is>
          <t>Lumenalta</t>
        </is>
      </c>
      <c r="D36" t="inlineStr">
        <is>
          <t>linkedin</t>
        </is>
      </c>
      <c r="E36">
        <f>HYPERLINK("https://www.linkedin.com/jobs/view/4365774787", "https://www.linkedin.com/jobs/view/4365774787")</f>
        <v/>
      </c>
      <c r="F36" t="inlineStr"/>
      <c r="G36" t="inlineStr">
        <is>
          <t>Raleigh, NC</t>
        </is>
      </c>
      <c r="H36" t="inlineStr"/>
      <c r="I36" t="inlineStr">
        <is>
          <t>**About the Role** 
 We work with global enterprises to design and build data platforms that power digital products used by millions of users. Our projects involve large\-scale datasets, complex distributed pipelines, and real business impact.
 We’re looking for a
 **Senior Data Engineer** 
 to join our remote team and take ownership of building and scaling data solutions using
 **Databricks on AWS** 
 . This is a hands\-on senior IC role with strong influence on architecture and implementation.
**What You'll Do** 
* Design, build, and maintain
 **scalable ETL / ELT pipelines** 
 using
 **Databricks, PySpark, and AWS**
* Work with
 **large, complex datasets** 
 in production environments
* Write clean, efficient, and maintainable
 **Python and advanced SQL**
* Build pipelines
 **from scratch** 
 , not just maintain existing ones
* Ensure data quality, performance, reliability, and cost efficiency
* Collaborate closely with product, analytics, and engineering teams to translate business needs into technical solutions
* Contribute to architectural decisions and data engineering best practices
**What We’re Looking For** 
* **7\+ years** 
 of experience as a
 **Data Engineer**
* Strong, hands\-on experience with:
 **Python, SQL (advanced), PySpark, Databricks (production experience required) and AWS**
* Proven experience designing and building
 **end\-to\-end data pipelines**
* Solid understanding of
 **distributed data processing** 
 and data modeling
* Strong communication skills
* **Fluent English** 
 , both written and spoken
**Salary** 
 Salary range: $60,000 \- $110,000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37">
      <c r="A37" t="inlineStr">
        <is>
          <t>li-4365781678</t>
        </is>
      </c>
      <c r="B37" t="inlineStr">
        <is>
          <t>Data Engineer - Databricks (Remote)</t>
        </is>
      </c>
      <c r="C37" t="inlineStr">
        <is>
          <t>Lumenalta</t>
        </is>
      </c>
      <c r="D37" t="inlineStr">
        <is>
          <t>linkedin</t>
        </is>
      </c>
      <c r="E37">
        <f>HYPERLINK("https://www.linkedin.com/jobs/view/4365781678", "https://www.linkedin.com/jobs/view/4365781678")</f>
        <v/>
      </c>
      <c r="F37">
        <f>HYPERLINK("https://lumenalta.com/jobs/data-engineer-data-engineer-databricks-588/apply?utm_source=linkedin&amp;utm_medium=social&amp;urlHash=Biaw", "https://lumenalta.com/jobs/data-engineer-data-engineer-databricks-588/apply?utm_source=linkedin&amp;utm_medium=social&amp;urlHash=Biaw")</f>
        <v/>
      </c>
      <c r="G37" t="inlineStr"/>
      <c r="H37" t="inlineStr"/>
      <c r="I37" t="inlineStr">
        <is>
          <t>**About the Role** 
 We work with global enterprises to design and build data platforms that power digital products used by millions of users. Our projects involve large\-scale datasets, complex distributed pipelines, and real business impact.
 We’re looking for a
 **Senior Data Engineer** 
 to join our remote team and take ownership of building and scaling data solutions using
 **Databricks on AWS** 
 . This is a hands\-on senior IC role with strong influence on architecture and implementation.
**What You'll Do** 
* Design, build, and maintain
 **scalable ETL / ELT pipelines** 
 using
 **Databricks, PySpark, and AWS**
* Work with
 **large, complex datasets** 
 in production environments
* Write clean, efficient, and maintainable
 **Python and advanced SQL**
* Build pipelines
 **from scratch** 
 , not just maintain existing ones
* Ensure data quality, performance, reliability, and cost efficiency
* Collaborate closely with product, analytics, and engineering teams to translate business needs into technical solutions
* Contribute to architectural decisions and data engineering best practices
**What We’re Looking For** 
* **7\+ years** 
 of experience as a
 **Data Engineer**
* Strong, hands\-on experience with:
 **Python, SQL (advanced), PySpark, Databricks (production experience required) and AWS**
* Proven experience designing and building
 **end\-to\-end data pipelines**
* Solid understanding of
 **distributed data processing** 
 and data modeling
* Strong communication skills
* **Fluent English** 
 , both written and spoken
**Salary** 
 Salary range: $60,000 \- $110,000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38">
      <c r="A38" t="inlineStr">
        <is>
          <t>li-4321329232</t>
        </is>
      </c>
      <c r="B38" t="inlineStr">
        <is>
          <t>Senior Data Engineer</t>
        </is>
      </c>
      <c r="C38" t="inlineStr">
        <is>
          <t>Tata Consultancy Services</t>
        </is>
      </c>
      <c r="D38" t="inlineStr">
        <is>
          <t>linkedin</t>
        </is>
      </c>
      <c r="E38">
        <f>HYPERLINK("https://www.linkedin.com/jobs/view/4321329232", "https://www.linkedin.com/jobs/view/4321329232")</f>
        <v/>
      </c>
      <c r="F38" t="inlineStr"/>
      <c r="G38" t="inlineStr">
        <is>
          <t>Bellevue, WA</t>
        </is>
      </c>
      <c r="H38" t="inlineStr"/>
      <c r="I38" t="inlineStr">
        <is>
          <t>**Job Description**
**Must Have Technical/Functional Skills:**
 PowerShell; ADF; Kusto; PL/SQL; Azure; Azure VM
**Roles \&amp; Responsibilities**
 Run the various template\-based campaign on regular basis on various VMs/VMSS to emulate real\-world attacker behaviours using automated bot
 Analyse the campaign logs that includes all the actions logging, and analyse the detection coverage limitations and plans for improvement
 Troubleshooting the issue if any campaign fails
 Go through the various logs generated by campaign
 Analyse the data stored in the Kusto, write the KQL, handle complex KQL to extract meaningful data
 Generate various report and dashboard
**Skills**
 Experience in PowerShell (5\.1 and later), JSON
 Kusto and ADX report
 Hands on writing/handling complex KQL, knowledge of SQL
 Data orchestration using ADF, lens reporting
 Good in Microsoft Azure technologies like Azure VM, VMSS, Runbook, Azure PS
 Programming Techniques and Concepts; RDBMS Concepts; Good written/oral communication skills; Good Analytical and Troubleshooting skills
**Good To Have**
 Knowledge of Azure Security engineering
 Azure security monitoring, S360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$64,000\-$99,000 a year</t>
        </is>
      </c>
    </row>
    <row r="39">
      <c r="A39" t="inlineStr">
        <is>
          <t>li-4321542815</t>
        </is>
      </c>
      <c r="B39" t="inlineStr">
        <is>
          <t>Sr. Security Analytics Engineer - Rules (HYBRID)</t>
        </is>
      </c>
      <c r="C39" t="inlineStr">
        <is>
          <t>GEICO</t>
        </is>
      </c>
      <c r="D39" t="inlineStr">
        <is>
          <t>linkedin</t>
        </is>
      </c>
      <c r="E39">
        <f>HYPERLINK("https://www.linkedin.com/jobs/view/4321542815", "https://www.linkedin.com/jobs/view/4321542815")</f>
        <v/>
      </c>
      <c r="F39">
        <f>HYPERLINK("https://click.appcast.io/t/yPKIF6zVmMu-9YZeUf2WhL1DBMrAjuyCMU9VwPH5QfQ=?source=LinkedIn&amp;urlHash=HrA0", "https://click.appcast.io/t/yPKIF6zVmMu-9YZeUf2WhL1DBMrAjuyCMU9VwPH5QfQ=?source=LinkedIn&amp;urlHash=HrA0")</f>
        <v/>
      </c>
      <c r="G39" t="inlineStr">
        <is>
          <t>Seattle, WA</t>
        </is>
      </c>
      <c r="H39" t="inlineStr"/>
      <c r="I3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highly skilled
 **Security Analytics Engineer** 
 to join our security team. In this role, you will be responsible for building and optimizing our Security Data Platform and Data Lake, leveraging advanced analytics, data engineering, and AI/ML for security use cases. You will work with cutting\-edge SIEM solutions (Google Chronicle) and other data analytics tools to drive insights, threat detection, and security intelligence.
**Key Responsibilities**
* Develop and optimize queries using Kusto Query Language (KQL), Yara\-L and SQL for data analysis and security insights.
* Collaborate with security analysts, data engineers, and software developers to ensure the security data ecosystem meets organizational needs.
**Required Skills \&amp; Experience**
* Strong knowledge of security concepts, including TCP/UDP protocols, secure data transmission, and encryption techniques.
* Experience with system design \&amp; architecture for security data platforms.
* Experience with Kusto Query Language (KQL), SQL, and other data query languages.
* Hands\-on experience with SIEM platforms (Google Chronicle preferred).
**Nice To Have**
* Eager and ability to learn \&amp; leverage AI/ML for security use cases.
* Strong problem\-solving skills and ability to work in a fast\-paced environment.
**Preferred Qualifications**
* Prior experience in security analytics, detection engineering, or threat intelligence.
* Familiarity with big data processing tools and cloud\-based security analytics platforms.
* Experience working in large\-scale security data environments.
**Why Join Us?**
* Work with cutting\-edge security analytics technologies.
* Be part of a team building an advanced Security Data Platform ground up.
* Opportunity to leverage AI/ML for security innovations.
* Competitive salary, benefits, and career growth opportunities.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0">
      <c r="A40" t="inlineStr">
        <is>
          <t>li-4321502952</t>
        </is>
      </c>
      <c r="B40" t="inlineStr">
        <is>
          <t>Sr. Security Analytics Engineer - Rules (HYBRID)</t>
        </is>
      </c>
      <c r="C40" t="inlineStr">
        <is>
          <t>GEICO</t>
        </is>
      </c>
      <c r="D40" t="inlineStr">
        <is>
          <t>linkedin</t>
        </is>
      </c>
      <c r="E40">
        <f>HYPERLINK("https://www.linkedin.com/jobs/view/4321502952", "https://www.linkedin.com/jobs/view/4321502952")</f>
        <v/>
      </c>
      <c r="F40">
        <f>HYPERLINK("https://click.appcast.io/t/yPKIF6zVmMu-9YZeUf2WhL1DBMrAjuyCMU9VwPH5QfQ=?source=LinkedIn&amp;urlHash=HrA0", "https://click.appcast.io/t/yPKIF6zVmMu-9YZeUf2WhL1DBMrAjuyCMU9VwPH5QfQ=?source=LinkedIn&amp;urlHash=HrA0")</f>
        <v/>
      </c>
      <c r="G40" t="inlineStr">
        <is>
          <t>Austin, TX</t>
        </is>
      </c>
      <c r="H40" t="inlineStr"/>
      <c r="I4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highly skilled
 **Security Analytics Engineer** 
 to join our security team. In this role, you will be responsible for building and optimizing our Security Data Platform and Data Lake, leveraging advanced analytics, data engineering, and AI/ML for security use cases. You will work with cutting\-edge SIEM solutions (Google Chronicle) and other data analytics tools to drive insights, threat detection, and security intelligence.
**Key Responsibilities**
* Develop and optimize queries using Kusto Query Language (KQL), Yara\-L and SQL for data analysis and security insights.
* Collaborate with security analysts, data engineers, and software developers to ensure the security data ecosystem meets organizational needs.
**Required Skills \&amp; Experience**
* Strong knowledge of security concepts, including TCP/UDP protocols, secure data transmission, and encryption techniques.
* Experience with system design \&amp; architecture for security data platforms.
* Experience with Kusto Query Language (KQL), SQL, and other data query languages.
* Hands\-on experience with SIEM platforms (Google Chronicle preferred).
**Nice To Have**
* Eager and ability to learn \&amp; leverage AI/ML for security use cases.
* Strong problem\-solving skills and ability to work in a fast\-paced environment.
**Preferred Qualifications**
* Prior experience in security analytics, detection engineering, or threat intelligence.
* Familiarity with big data processing tools and cloud\-based security analytics platforms.
* Experience working in large\-scale security data environments.
**Why Join Us?**
* Work with cutting\-edge security analytics technologies.
* Be part of a team building an advanced Security Data Platform ground up.
* Opportunity to leverage AI/ML for security innovations.
* Competitive salary, benefits, and career growth opportunities.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1">
      <c r="A41" t="inlineStr">
        <is>
          <t>li-4365795086</t>
        </is>
      </c>
      <c r="B41" t="inlineStr">
        <is>
          <t>Lead Data Engineer - Databricks (Remote)</t>
        </is>
      </c>
      <c r="C41" t="inlineStr">
        <is>
          <t>Lumenalta</t>
        </is>
      </c>
      <c r="D41" t="inlineStr">
        <is>
          <t>linkedin</t>
        </is>
      </c>
      <c r="E41">
        <f>HYPERLINK("https://www.linkedin.com/jobs/view/4365795086", "https://www.linkedin.com/jobs/view/4365795086")</f>
        <v/>
      </c>
      <c r="F41" t="inlineStr"/>
      <c r="G41" t="inlineStr">
        <is>
          <t>Raleigh, NC</t>
        </is>
      </c>
      <c r="H41" t="inlineStr"/>
      <c r="I41" t="inlineStr">
        <is>
          <t>**What We’re Building** 
 We partner with global enterprises to design and scale data platforms that power products used by millions of users. Our work involves large\-scale data systems, complex pipelines, and high\-impact business use cases across multiple industries.
 This role focuses on
 **technical leadership** 
 , architectural ownership, and
 **mentoring** 
 while remaining hands\-on.
**Your Role as a Tech Lead** 
 As a
 **Tech Lead, Data Engineering** 
 , you will own the technical direction of data initiatives while remaining hands\-on. You’ll act as the bridge between architecture, execution, and people leadership.
**What You’ll Do** 
* **Own the technical direction and architecture** 
 of data engineering projects
* Design and build
 **scalable, production\-grade data pipelines** 
 using
 **Databricks, PySpark, AWS, and SQL**
* Lead by example with
 **hands\-on development** 
 , code reviews, and technical decision\-making
* **Mentor and guide data engineers** 
 , promoting best practices, clean code, and high engineering standards
* Drive architectural discussions, trade\-offs, and long\-term technical vision
* Collaborate closely with
 **product, data, and engineering stakeholders**
* Tackle
 **enterprise\-scale data challenges** 
 with real\-world business impact business outcomes
**What We’re Looking For** 
* **10\+ years of experience** 
 in Data Engineering or related roles
* **Proven experience as a Tech Lead, Lead Data Engineer, or similar role**
* Strong hands\-on expertise with:
 **Python \&amp; SQL, PySpark, Databricks and AWS**
* Solid background in
 **data architecture, pipeline design, and distributed systems**
* Experience mentoring engineers and leading technical initiatives
* Strong communication skills and the ability to influence technical decisions
* Fluent in English (spoken and written)
**Salary** 
 Salary range: $65,000 \- $130\.000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42">
      <c r="A42" t="inlineStr">
        <is>
          <t>li-4321523883</t>
        </is>
      </c>
      <c r="B42" t="inlineStr">
        <is>
          <t>Google Senior Data Engineer</t>
        </is>
      </c>
      <c r="C42" t="inlineStr">
        <is>
          <t>Accenture</t>
        </is>
      </c>
      <c r="D42" t="inlineStr">
        <is>
          <t>linkedin</t>
        </is>
      </c>
      <c r="E42">
        <f>HYPERLINK("https://www.linkedin.com/jobs/view/4321523883", "https://www.linkedin.com/jobs/view/4321523883")</f>
        <v/>
      </c>
      <c r="F42">
        <f>HYPERLINK("https://www.accenture.com/us-en/careers/jobdetails?id=R00306799_en&amp;src=LINKEDINJP&amp;urlHash=1MeR", "https://www.accenture.com/us-en/careers/jobdetails?id=R00306799_en&amp;src=LINKEDINJP&amp;urlHash=1MeR")</f>
        <v/>
      </c>
      <c r="G42" t="inlineStr">
        <is>
          <t>Albany, NY</t>
        </is>
      </c>
      <c r="H42" t="inlineStr"/>
      <c r="I42"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3">
      <c r="A43" t="inlineStr">
        <is>
          <t>li-4321502951</t>
        </is>
      </c>
      <c r="B43" t="inlineStr">
        <is>
          <t>Sr. Security Analytics Engineer - Rules (HYBRID)</t>
        </is>
      </c>
      <c r="C43" t="inlineStr">
        <is>
          <t>GEICO</t>
        </is>
      </c>
      <c r="D43" t="inlineStr">
        <is>
          <t>linkedin</t>
        </is>
      </c>
      <c r="E43">
        <f>HYPERLINK("https://www.linkedin.com/jobs/view/4321502951", "https://www.linkedin.com/jobs/view/4321502951")</f>
        <v/>
      </c>
      <c r="F43">
        <f>HYPERLINK("https://click.appcast.io/t/yPKIF6zVmMu-9YZeUf2WhL1DBMrAjuyCMU9VwPH5QfQ=?source=LinkedIn&amp;urlHash=HrA0", "https://click.appcast.io/t/yPKIF6zVmMu-9YZeUf2WhL1DBMrAjuyCMU9VwPH5QfQ=?source=LinkedIn&amp;urlHash=HrA0")</f>
        <v/>
      </c>
      <c r="G43" t="inlineStr">
        <is>
          <t>Chevy Chase, MD</t>
        </is>
      </c>
      <c r="H43" t="inlineStr"/>
      <c r="I4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highly skilled
 **Security Analytics Engineer** 
 to join our security team. In this role, you will be responsible for building and optimizing our Security Data Platform and Data Lake, leveraging advanced analytics, data engineering, and AI/ML for security use cases. You will work with cutting\-edge SIEM solutions (Google Chronicle) and other data analytics tools to drive insights, threat detection, and security intelligence.
**Key Responsibilities**
* Develop and optimize queries using Kusto Query Language (KQL), Yara\-L and SQL for data analysis and security insights.
* Collaborate with security analysts, data engineers, and software developers to ensure the security data ecosystem meets organizational needs.
**Required Skills \&amp; Experience**
* Strong knowledge of security concepts, including TCP/UDP protocols, secure data transmission, and encryption techniques.
* Experience with system design \&amp; architecture for security data platforms.
* Experience with Kusto Query Language (KQL), SQL, and other data query languages.
* Hands\-on experience with SIEM platforms (Google Chronicle preferred).
**Nice To Have**
* Eager and ability to learn \&amp; leverage AI/ML for security use cases.
* Strong problem\-solving skills and ability to work in a fast\-paced environment.
**Preferred Qualifications**
* Prior experience in security analytics, detection engineering, or threat intelligence.
* Familiarity with big data processing tools and cloud\-based security analytics platforms.
* Experience working in large\-scale security data environments.
**Why Join Us?**
* Work with cutting\-edge security analytics technologies.
* Be part of a team building an advanced Security Data Platform ground up.
* Opportunity to leverage AI/ML for security innovations.
* Competitive salary, benefits, and career growth opportunities.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4">
      <c r="A44" t="inlineStr">
        <is>
          <t>li-4334869750</t>
        </is>
      </c>
      <c r="B44" t="inlineStr">
        <is>
          <t>Senior Data Engineer / Based in Chicago, IL</t>
        </is>
      </c>
      <c r="C44" t="inlineStr">
        <is>
          <t>Motion Recruitment</t>
        </is>
      </c>
      <c r="D44" t="inlineStr">
        <is>
          <t>linkedin</t>
        </is>
      </c>
      <c r="E44">
        <f>HYPERLINK("https://www.linkedin.com/jobs/view/4334869750", "https://www.linkedin.com/jobs/view/4334869750")</f>
        <v/>
      </c>
      <c r="F44" t="inlineStr"/>
      <c r="G44" t="inlineStr">
        <is>
          <t>Chicago, IL</t>
        </is>
      </c>
      <c r="H44" t="inlineStr"/>
      <c r="I44" t="inlineStr">
        <is>
          <t>The fastest\-growing energy brokerage firm is hiring a full\-time Senior Data Engineer to join their rapidly expanding team. In this role, you’ll be responsible for maintaining robust data infrastructure and systems that power the organization’s decision\-making.
 This position blends architecture, development, deployment, and client\-facing work, where you will design, build, and maintain scalable data pipelines while implementing comprehensive data quality controls, governance standards, and privacy frameworks. You will also build and maintain MLOps infrastructure to support model development, deployment, and monitoring. This role is ideal for someone who enjoys working at the intersection of product, engineering, and business.
**Required Skills \&amp; Experience**
* 7\+ years of experience in data engineering
* Experience with cloud services such as containerization, IaaS, observability systems, and multi\-environment architecture
* Strong knowledge of data architecture principles, data modeling, ETL processes, privacy frameworks, governance standards, and quality controls
* Proficiency in Python, SQL, NoSQL, PostgreSQL, Airbyte, Airflow, dbt, and Spark
**Desired Skills \&amp; Experience**
* Experience working directly with stakeholder
* Experience mentoring team members on engineering best practices
* Proven collaboration and leadership skills
**What You Will Be Doing**
**Tech Breakdown**
* 35% Data Architecture \&amp; Governance
* 30% Data Engineering \&amp; Modern Data Stack
* 25% Cloud Infrastructure
* 10% Integration \&amp; System Optimization
**Daily Responsibilities**
* Implement and monitor data quality controls, governance standards, and privacy frameworks to ensure reliable, compliant datasets
* Manage and optimize cloud environments, containers, and observability tools to support efficient, secure data operations
* Design, build, and maintain scalable data pipeline
* Mentor junior engineers and promote data best practices
* Develop and maintain MLOps systems
**The Offer**
* Competitive salary \+ bonus
* Health, Dental, Vision, and Life Insurance
* Employer 401(k) contribution up to 5% of salary
* PTO \+ all major holidays off
* Wednesday catered lunches \+ gym membership at onsite fitness facilities
* 4\-day hybrid schedule in the River North office \+ 20 work\-from\-home days per year
 Applicants must be authorized to work in the US on a full\-time basis now and in the future.
 \#LT\-1
**Posted By:** 
 Lam Tru</t>
        </is>
      </c>
    </row>
    <row r="45">
      <c r="A45" t="inlineStr">
        <is>
          <t>li-4365791109</t>
        </is>
      </c>
      <c r="B45" t="inlineStr">
        <is>
          <t>Lead Data Engineer - Databricks (Remote)</t>
        </is>
      </c>
      <c r="C45" t="inlineStr">
        <is>
          <t>Lumenalta</t>
        </is>
      </c>
      <c r="D45" t="inlineStr">
        <is>
          <t>linkedin</t>
        </is>
      </c>
      <c r="E45">
        <f>HYPERLINK("https://www.linkedin.com/jobs/view/4365791109", "https://www.linkedin.com/jobs/view/4365791109")</f>
        <v/>
      </c>
      <c r="F45">
        <f>HYPERLINK("https://lumenalta.com/jobs/data-engineer-tech-lead/apply?utm_source=linkedin&amp;utm_medium=social&amp;urlHash=hmy4", "https://lumenalta.com/jobs/data-engineer-tech-lead/apply?utm_source=linkedin&amp;utm_medium=social&amp;urlHash=hmy4")</f>
        <v/>
      </c>
      <c r="G45" t="inlineStr"/>
      <c r="H45" t="inlineStr"/>
      <c r="I45" t="inlineStr">
        <is>
          <t>**What We’re Building** 
 We partner with global enterprises to design and scale data platforms that power products used by millions of users. Our work involves large\-scale data systems, complex pipelines, and high\-impact business use cases across multiple industries.
 This role focuses on
 **technical leadership** 
 , architectural ownership, and
 **mentoring** 
 while remaining hands\-on.
**Your Role as a Tech Lead** 
 As a
 **Tech Lead, Data Engineering** 
 , you will own the technical direction of data initiatives while remaining hands\-on. You’ll act as the bridge between architecture, execution, and people leadership.
**What You’ll Do** 
* **Own the technical direction and architecture** 
 of data engineering projects
* Design and build
 **scalable, production\-grade data pipelines** 
 using
 **Databricks, PySpark, AWS, and SQL**
* Lead by example with
 **hands\-on development** 
 , code reviews, and technical decision\-making
* **Mentor and guide data engineers** 
 , promoting best practices, clean code, and high engineering standards
* Drive architectural discussions, trade\-offs, and long\-term technical vision
* Collaborate closely with
 **product, data, and engineering stakeholders**
* Tackle
 **enterprise\-scale data challenges** 
 with real\-world business impact business outcomes
**What We’re Looking For** 
* **10\+ years of experience** 
 in Data Engineering or related roles
* **Proven experience as a Tech Lead, Lead Data Engineer, or similar role**
* Strong hands\-on expertise with:
 **Python \&amp; SQL, PySpark, Databricks and AWS**
* Solid background in
 **data architecture, pipeline design, and distributed systems**
* Experience mentoring engineers and leading technical initiatives
* Strong communication skills and the ability to influence technical decisions
* Fluent in English (spoken and written)
**Salary** 
 Salary range: $65,000 \- $130\.000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2026-01-26T05:25:43Z</dcterms:created>
  <dcterms:modified xsi:type="dcterms:W3CDTF">2026-01-26T05:25:43Z</dcterms:modified>
</cp:coreProperties>
</file>