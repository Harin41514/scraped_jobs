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in-52f2795d2629ef36</t>
        </is>
      </c>
      <c r="B2" t="inlineStr">
        <is>
          <t>Analytics Engineer (hybrid)</t>
        </is>
      </c>
      <c r="C2" t="inlineStr">
        <is>
          <t>Aeroflow Health</t>
        </is>
      </c>
      <c r="D2" t="inlineStr">
        <is>
          <t>indeed</t>
        </is>
      </c>
      <c r="E2" t="inlineStr"/>
      <c r="F2" t="inlineStr"/>
      <c r="G2" t="inlineStr">
        <is>
          <t>Asheville, NC, US</t>
        </is>
      </c>
      <c r="H2" s="2" t="n">
        <v>46038</v>
      </c>
      <c r="I2" t="inlineStr">
        <is>
          <t>**Aeroflow Health – Analytics Engineer**
Aeroflow Health is made up of creative and talented associates who are transforming the home medical equipment industry. Our patient\-centric business model is founded on innovation through technology and cutting\-edge delivery platforms. We have grown to be a leader in the home medical equipment segment of the healthcare industry, are among the fastest\-growing healthcare companies in the country and recognized on Inc. 5000’s list of fastest\-growing companies in the U.S.
As Aeroflow has grown, our needs to curate an amazing employee environment and experience have grown as well. We’re working hard to ensure that Aeroflow remains a premier employer in Western North Carolina by making constant improvements to our office spaces, thus bettering the everyday lives of the employees that work so hard to service our patients.
**The Opportunity**
Within Aeroflow, the Data Operations team is comprised of a small but mighty team of data professionals. Our engineers work alongside our business stakeholders, product owners, technical leads, and QA specialists to help facilitate quality data products for our internal customers.
For this role, you will be joining our Data Operations team. This team is a group of passionate data practitioners and innovators dedicated to building cutting\-edge solutions using the latest in ELT technologies, including Airbyte, DBT, Snowflake and Sigma. You will play a pivotal role in designing, developing, and deploying models in our Data Warehouse. You will collaborate with cross\-functional teams to bring innovative ideas to life, leveraging your expertise in ELT and Data Warehouses to maximize the value of Aeroflow’s data.
Key objectives for this position include partnering with our internal stakeholders to create high value data products to drive growth, efficiency, and opportunity.
**Your Primary Responsibilities**
We are currently seeking an Analytics Engineer. The Engineer is typically responsible for
* Data Modeling: Design, develop, and maintain a robust and scalable data model within the Snowflake data warehouse, ensuring data accuracy, consistency, and performance.
* Data Pipelines: Build and optimize data pipelines using Airbyte to efficiently extract, transform, and load data into the Snowflake data warehouse.
* dbt Development: Create, manage, and optimize dbt models to transform raw data into actionable insights.
* Semantic Layer: Develop a comprehensive semantic layer to provide a unified view of the data for business users and analysts.
* Data Quality: Implement data quality checks and monitoring to ensure data integrity and reliability.
* Collaboration: Work closely with data analysts, SQL engineers, and business stakeholders to understand data requirements and deliver solutions.
* Employee has an individual responsibility for knowledge of and compliance with laws, regulations, and policies.
* Compliance is a condition of employment and is considered an element of job performance
* Maintain HIPAA/patient confidentiality
* Regular and reliable attendance as assigned by your schedule
* Other job duties assigned
**Skills for Success**
* Data Engineering: Strong proficiency in data engineering concepts, including data modeling, ELT processes, and data warehousing.
* SQL: Expert\-level SQL skills for data manipulation and analysis.
* dbt: In\-depth knowledge of dbt for building and managing data transformations.
* Airbyte: Experience with Airbyte or Fivetran for data ingestion and pipeline management.
* Cloud Platforms: Familiarity with cloud platforms (e.g., AWS, GCP, Azure) and cloud data warehousing.
* Data Quality: Understanding of data quality concepts and tools.
* Problem Solving: Ability to analyze complex data challenges and develop effective solutions.
**Required Qualifications**
* Bachelor's degree in Computer Science, Statistics, or a related field.
* 3\+ years of experience in data engineering or a related role.
* Proven experience with data modeling and ETL processes.
* Strong SQL skills and proficiency in Python or other scripting languages.
* Experience with data warehousing platforms (Snowflake preferred).
* Knowledge of data quality best practices.
* **ETC**
**What we look for**
We are seeking a highly analytical and detail\-oriented individual with a passion for data. The ideal candidate will have a strong foundation in data engineering and a proven ability to build efficient and reliable data pipelines. We value a collaborative and problem\-solving mindset, as well as a strong desire to drive data\-driven decision making.
**What Aeroflow Offers**
Competitive Pay, Health Plans with FSA or HSA options, Dental, and Vision Insurance, Optional Life Insurance, 401K with Company Match, 12 weeks of parental leave for birthing parent/ 4 weeks leave for non\-birthing parent(s), Additional Parental benefits to include fertility stipends, free diapers, breast pump, Paid Holidays, PTO Accrual from day one, Employee Assistance Programs and SO MUCH MORE!!
Here at Aeroflow, we are proud of our commitment to all of our employees. Aeroflow Health has been recognized both locally and nationally for the following achievements:
* **Family Forward Certified**
* **Great Place to Work Certified**
* **Inc. 5000 Best Place to Work award winner**
* **HME Excellence Award**
* **Sky High Growth Award**
If you’ve been looking for an opportunity that will allow you to make an impact, and an organization with unlimited growth potential, we want to hear from you!
Aeroflow Health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t>
        </is>
      </c>
    </row>
    <row r="3">
      <c r="A3" t="inlineStr">
        <is>
          <t>in-d8f81ad636c72e30</t>
        </is>
      </c>
      <c r="B3" t="inlineStr">
        <is>
          <t>Data Engineer, Dynamic Messaging</t>
        </is>
      </c>
      <c r="C3" t="inlineStr">
        <is>
          <t>Electronic Arts</t>
        </is>
      </c>
      <c r="D3" t="inlineStr">
        <is>
          <t>indeed</t>
        </is>
      </c>
      <c r="E3" t="inlineStr"/>
      <c r="F3" t="inlineStr"/>
      <c r="G3" t="inlineStr">
        <is>
          <t>Austin, TX, US</t>
        </is>
      </c>
      <c r="H3" s="2" t="n">
        <v>46037</v>
      </c>
      <c r="I3" t="inlineStr">
        <is>
          <t>### **General Information**
**Locations**: Austin, Texas, United States of America
* Location: Vancouver \- Great Northern Way
* Country: Canada
Role ID
212167
Worker Type
Regular Employee
Studio/Department
Marketing
Work Model
Hybrid
### **Description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**Data Engineer, Dynamic Messaging**
**Hybrid \- Austin, TX or Great Northern Way Vancouver, BC**
------------------------------------------------------------
Electronic Arts creates next\-level entertainment experiences that inspire players and fans around the world. Here, everyone is part of the story. Part of a community that connects across the globe. We create a place where creativity is paramount, we invite new perspectives, and we make ideas matter. A team where everyone makes play happen.
The Dynamic Messaging Data Engineer will report to the Manager, Messaging Insights \&amp; Diagnostics. This is a hybrid role (3 days in office per week).
**EA Experiences oCXO CRM**
The Email \&amp; Dynamic Messaging (EDM) team sits within the CRM group, responsible for email as a channel, and for developing products that improve the way we implement strategies at scale.
Our team focuses on core metrics that improve incremental growth for the business, while maintaining the health of the channel and creating positive experiences for the Player.
As a Dynamic Messaging Data Engineer, you will manage the daily targeting, matching, performance, and measurement processes within our data pipelines. You will work with other teams across CRM and the broader organization to ensure successful outcomes for Players. You have a background in data analytics, marketing, and data engineering.
**Responsibilities**
* Investigate \&amp; Improve: Dive deep into data systems to uncover insights, troubleshoot issues, and design scalable databases and models that power high\-volume, low\-latency applications.
* ETL Development: Maintain ETL pipelines, ensuring best performance and reliability.
* Plan for Scale: Influence planning, and scalability strategies to meet evolving business needs.
* Collaborate \&amp; Align: Inform requirements for developers, product managers, solution architects, and strategists to deliver impactful outcomes.
* Technical Expertise: Act as a trusted consultant to architects and business partners, managing dependencies and guiding best practices.
* Stay Curious: Embrace change, learn new technologies, and apply fresh skillsets to ensure team and company success.
* Secure \&amp; Comply: Uphold database security standards and ensure compliance with policies and regulations.
**Qualifications**
* Experience: Minimum 3\+ years in enterprise environments managing relational and non\-relational databases.
* CRM Expertise: Knowledge of CRM concepts, marketing data, and marketing technologies.
* Programming: SQL, Python (or Scala/Java).
* Databases: Relational (PostgreSQL, MySQL) \&amp; NoSQL (DynamoDB).
* Pipeline Expertise: Experience building and scaling ETL/data pipelines for high\-volume, low\-latency applications.
* Version Control: Experience with Git, GitHub, GitLab
* Data Science Concepts: Understanding data lifecycle, analysis principles.
* System Design: Basic concepts of distributed systems, scalability.
**Preferred Qualifications**
* Governance Knowledge: Familiarity with data governance, privacy regulations, and security best practices.
* ETL/ELT Tools: Experience with tools like Apache Airflow
* Big Data: Familiarity with Spark, Hadoop, Kafka.
* Cloud Platforms: Experience with AWS, Azure, or Google Cloud.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\*$83,000 \- $116,400 CAD  
Pay is just one part of the overall compensation at EA.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4">
      <c r="A4" t="inlineStr">
        <is>
          <t>in-5630d3e8a427a42c</t>
        </is>
      </c>
      <c r="B4" t="inlineStr">
        <is>
          <t>Data Engineer- SME</t>
        </is>
      </c>
      <c r="C4" t="inlineStr">
        <is>
          <t>SOSi</t>
        </is>
      </c>
      <c r="D4" t="inlineStr">
        <is>
          <t>indeed</t>
        </is>
      </c>
      <c r="E4" t="inlineStr"/>
      <c r="F4" t="inlineStr"/>
      <c r="G4" t="inlineStr">
        <is>
          <t>Huntsville, AL, US</t>
        </is>
      </c>
      <c r="H4" s="2" t="n">
        <v>46038</v>
      </c>
      <c r="I4" t="inlineStr">
        <is>
          <t>**Company Description**  
Founded in 1989, SOSi is among the largest private, founder\-owned technology and services integrators in the defense and government services industry. We deliver tailored solutions, tested leadership, and trusted results to enable national security missions worldwide.
 **Job Description** **Overview**
SOSi is seeking an expert Data Engineer to join our analytics team working on an innovative MLOps workload leveraging cutting\-edge technologies and supporting a government customer in Huntsville, Alabama.This role will be responsible for delivering automation to key national security missions interacting with petabyte\-scale data on supercomputing resources.
In this role, you will construct data analytical infrastructure, data engineering, data mining, exploratory analysis, predictive analysis, and statistical analysis. You will leverage scientific techniques to transform petabyte\-scale data into insightful data products to enable data\-driven decisions. You will partner with Data Scientists to refactor manual workflows to produce highly automated MLOPs based workloads. You will perform using Scrumban techniques and be embedded with end users.
The team will work with technologies including:
* Open source, commercial, and government software packages such as PyTorch, TensorFlow, GitLab, Atlassian Suite, Linux, and Microsoft Suite
* SQL and NOSQL databases such as PostgreSQL, Wevaiate, Neo4j, and MongoDB
* Microservice architecture and containerization with Docker and Kubernetes
* Apache products such as Kafka, Airflow, and Spark
* Leverage GitOps patterns and CI/CD with tools like GitLab, Argo, and Harness
**Essential Job Duties**
* Build and maintain data pipelines, ETL processes, and storage systems
* Design end\-to\-end data architectures and infrastructure
* Lead teams building complex data pipelines and ML systems
* Develop services and extend infrastructure to enable machine learning workflows
* Integrate software components into functional data systems
* Write clean, testable, maintainable code in Python and other languages
* Implement CI/CD pipelines and DevSecOps best practices
* Create technical documentation for software systems
* Collaborate across teams to share knowledge and leading practices
**Qualifications** **Minimum Requirements**
* Top Secret Security Clearance with SCI eligibility
* At least 7 years of experience as a Data Engineer/Scientist or advanced analytical role
* Experience in data engineering and/or software development
* Expertise with Python, GIT, YAML, Docker, and SQL
* Knowledge of CI/CD and Agile methodologies
* Experience developing back\-end systems and services
* Understanding of software design and system integration
**Preferred Qualifications**
* Significant Experience with Petabyte scale data sets
* Significant Experience with large\-scale, multi\-INT analytics
* BS or MS in Computer Science, Statistics, Mathematics, Physics or a quantitative field
**Additional Information** **Work Environment**
* Working conditions are normal for an office environment.
* Fast paced, deadline\-oriented environment.
* May require periods of non\-traditional working hours including consecutive nights or weekends (if applicable).
**Working at SOSi**
All interested individuals will receive consideration and will not be discriminated against for any reason.</t>
        </is>
      </c>
    </row>
    <row r="5">
      <c r="A5" t="inlineStr">
        <is>
          <t>in-d73ebbc341ead72b</t>
        </is>
      </c>
      <c r="B5" t="inlineStr">
        <is>
          <t>Data Engineer</t>
        </is>
      </c>
      <c r="C5" t="inlineStr">
        <is>
          <t>Kuvare Holdings LLC</t>
        </is>
      </c>
      <c r="D5" t="inlineStr">
        <is>
          <t>indeed</t>
        </is>
      </c>
      <c r="E5" t="inlineStr"/>
      <c r="F5" t="inlineStr"/>
      <c r="G5" t="inlineStr">
        <is>
          <t>Rosemont, IL, US</t>
        </is>
      </c>
      <c r="H5" s="2" t="n">
        <v>46038</v>
      </c>
      <c r="I5" t="inlineStr">
        <is>
          <t>**About Kuvare**
Kuvare is on a mission to serve hardworking consumers overwhelmed by the complexities of retirement and is built from the ground up to do so. Our unified financial hub protects the retirement of everyday Americans and the distributors, carriers and investors that serve them. We create life insurance and annuity products that protect consumers’ retirements, and are simplified for distributor partners and financial professionals to sell and service.  
Kuvare family of companies:  
Retail Annuity and Life Insurance Solutions:  
* United Life Insurance Company
* Guaranty Income Life Insurance Company
* Lincoln Benefit Life
Institutional Insurance:  
* Kuvare Life Re
Bespoke Insurance Solutions:  
* Ignite Partners
 **About the role**
The Kuvare Data Engineer is responsible for the retrieval, storage, and distribution of data across varied platforms and data stores, including modern ETL/ELT pipelines such as Azure Data Factory, as well as modern models such as data mesh and event streaming architectures like Azure Event Hub or Kafka. The individual will rely on broad experience in data modeling, including relational and dimensional models as well as semi\-structured and unstructured data forms such as JSON, YAML, and PDF. This role has a direct business impact by providing rapid enhancements to the data platform in support of new business relationships, new consumer products, etc.
**What you'll do**
* Research architectural trends, design methods, and emerging technologies, in adherence to and in support of company standards, helping Kuvare develop and maintain a nimble technology platform for adapting to new business opportunities.
* Work with Business SMEs and end users – including external business partners and vendors \- to translate business requirements into technical specifications, including technical designs, data flow diagrams, and other technical artifacts.
* Create data pipelines to ingest, update, or transport data to/from any variety of data stores, from external data files to internal dimensional or relational models; and leveraging a broad toolset including SFTP, Azure Data Factory, Azure Event Hub, SQL Stored Procedures, etc.
* Leverage excellent SQL skills to build structured data repositories: tables, views, indexes, constraints, etc.
* Perform tests and evaluations to ensure reliability, data security, privacy, and integrity.
* **Other Responsibilities**
* Ability and willingness to travel occasionally, such as for monthly meetings at the local office and an annual IT summit at a Kuvare hub office, which might be Baton Rouge, Cedar Rapids, or Chicago.
* Occasional evening and weekend work to meet deadlines.
* Other duties and responsibilities as assigned.
**Qualifications**
* Bachelor's degree in computer science, information systems, computer engineering or related field; or an equivalent combination of education and experience.
* Extensive experience with Microsoft SQL Server and the Azure environment.
* Expertise in relational and dimensional database modeling, data development and administration.
* Extensive experience with ETL/ELT pipelines including any combination of modern tools such as SSIS, Azure Data Factory, Function Apps, Logic Apps, etc.
* Analytic and problem\-solving skills and experience.
* Excellent written and oral communication skills.
 **The pay range for this role is:**  
120,000 \- 145,000 USD per year(Rosemont)</t>
        </is>
      </c>
    </row>
    <row r="6">
      <c r="A6" t="inlineStr">
        <is>
          <t>in-4afd6c3b2c67f86c</t>
        </is>
      </c>
      <c r="B6" t="inlineStr">
        <is>
          <t>Data Engineer</t>
        </is>
      </c>
      <c r="C6" t="inlineStr">
        <is>
          <t>Kuvare Holdings LLC</t>
        </is>
      </c>
      <c r="D6" t="inlineStr">
        <is>
          <t>indeed</t>
        </is>
      </c>
      <c r="E6" t="inlineStr"/>
      <c r="F6" t="inlineStr"/>
      <c r="G6" t="inlineStr">
        <is>
          <t>Cedar Rapids, IA, US</t>
        </is>
      </c>
      <c r="H6" s="2" t="n">
        <v>46038</v>
      </c>
      <c r="I6" t="inlineStr">
        <is>
          <t>**About Kuvare**
Kuvare is on a mission to serve hardworking consumers overwhelmed by the complexities of retirement and is built from the ground up to do so. Our unified financial hub protects the retirement of everyday Americans and the distributors, carriers and investors that serve them. We create life insurance and annuity products that protect consumers’ retirements, and are simplified for distributor partners and financial professionals to sell and service.  
Kuvare family of companies:  
Retail Annuity and Life Insurance Solutions:  
* United Life Insurance Company
* Guaranty Income Life Insurance Company
* Lincoln Benefit Life
Institutional Insurance:  
* Kuvare Life Re
Bespoke Insurance Solutions:  
* Ignite Partners
 **About the role**
The Kuvare Data Engineer is responsible for the retrieval, storage, and distribution of data across varied platforms and data stores, including modern ETL/ELT pipelines such as Azure Data Factory, as well as modern models such as data mesh and event streaming architectures like Azure Event Hub or Kafka. The individual will rely on broad experience in data modeling, including relational and dimensional models as well as semi\-structured and unstructured data forms such as JSON, YAML, and PDF. This role has a direct business impact by providing rapid enhancements to the data platform in support of new business relationships, new consumer products, etc.
**What you'll do**
* Research architectural trends, design methods, and emerging technologies, in adherence to and in support of company standards, helping Kuvare develop and maintain a nimble technology platform for adapting to new business opportunities.
* Work with Business SMEs and end users – including external business partners and vendors \- to translate business requirements into technical specifications, including technical designs, data flow diagrams, and other technical artifacts.
* Create data pipelines to ingest, update, or transport data to/from any variety of data stores, from external data files to internal dimensional or relational models; and leveraging a broad toolset including SFTP, Azure Data Factory, Azure Event Hub, SQL Stored Procedures, etc.
* Leverage excellent SQL skills to build structured data repositories: tables, views, indexes, constraints, etc.
* Perform tests and evaluations to ensure reliability, data security, privacy, and integrity.
* **Other Responsibilities**
* Ability and willingness to travel occasionally, such as for monthly meetings at the local office and an annual IT summit at a Kuvare hub office, which might be Baton Rouge, Cedar Rapids, or Chicago.
* Occasional evening and weekend work to meet deadlines.
* Other duties and responsibilities as assigned.
**Qualifications**
* Bachelor's degree in computer science, information systems, computer engineering or related field; or an equivalent combination of education and experience.
* Extensive experience with Microsoft SQL Server and the Azure environment.
* Expertise in relational and dimensional database modeling, data development and administration.
* Extensive experience with ETL/ELT pipelines including any combination of modern tools such as SSIS, Azure Data Factory, Function Apps, Logic Apps, etc.
* Analytic and problem\-solving skills and experience.
* Excellent written and oral communication skills.
 **The pay range for this role is:**  
120,000 \- 145,000 USD per year(Rosemont)</t>
        </is>
      </c>
    </row>
    <row r="7">
      <c r="A7" t="inlineStr">
        <is>
          <t>in-71f5e36b0c348597</t>
        </is>
      </c>
      <c r="B7" t="inlineStr">
        <is>
          <t>Data Engineer</t>
        </is>
      </c>
      <c r="C7" t="inlineStr">
        <is>
          <t>Kuvare Holdings LLC</t>
        </is>
      </c>
      <c r="D7" t="inlineStr">
        <is>
          <t>indeed</t>
        </is>
      </c>
      <c r="E7" t="inlineStr"/>
      <c r="F7" t="inlineStr"/>
      <c r="G7" t="inlineStr">
        <is>
          <t>Des Moines, IA, US</t>
        </is>
      </c>
      <c r="H7" s="2" t="n">
        <v>46038</v>
      </c>
      <c r="I7" t="inlineStr">
        <is>
          <t>**About Kuvare**
Kuvare is on a mission to serve hardworking consumers overwhelmed by the complexities of retirement and is built from the ground up to do so. Our unified financial hub protects the retirement of everyday Americans and the distributors, carriers and investors that serve them. We create life insurance and annuity products that protect consumers’ retirements, and are simplified for distributor partners and financial professionals to sell and service.  
Kuvare family of companies:  
Retail Annuity and Life Insurance Solutions:  
* United Life Insurance Company
* Guaranty Income Life Insurance Company
* Lincoln Benefit Life
Institutional Insurance:  
* Kuvare Life Re
Bespoke Insurance Solutions:  
* Ignite Partners
 **About the role**
The Kuvare Data Engineer is responsible for the retrieval, storage, and distribution of data across varied platforms and data stores, including modern ETL/ELT pipelines such as Azure Data Factory, as well as modern models such as data mesh and event streaming architectures like Azure Event Hub or Kafka. The individual will rely on broad experience in data modeling, including relational and dimensional models as well as semi\-structured and unstructured data forms such as JSON, YAML, and PDF. This role has a direct business impact by providing rapid enhancements to the data platform in support of new business relationships, new consumer products, etc.
**What you'll do**
* Research architectural trends, design methods, and emerging technologies, in adherence to and in support of company standards, helping Kuvare develop and maintain a nimble technology platform for adapting to new business opportunities.
* Work with Business SMEs and end users – including external business partners and vendors \- to translate business requirements into technical specifications, including technical designs, data flow diagrams, and other technical artifacts.
* Create data pipelines to ingest, update, or transport data to/from any variety of data stores, from external data files to internal dimensional or relational models; and leveraging a broad toolset including SFTP, Azure Data Factory, Azure Event Hub, SQL Stored Procedures, etc.
* Leverage excellent SQL skills to build structured data repositories: tables, views, indexes, constraints, etc.
* Perform tests and evaluations to ensure reliability, data security, privacy, and integrity.
* **Other Responsibilities**
* Ability and willingness to travel occasionally, such as for monthly meetings at the local office and an annual IT summit at a Kuvare hub office, which might be Baton Rouge, Cedar Rapids, or Chicago.
* Occasional evening and weekend work to meet deadlines.
* Other duties and responsibilities as assigned.
**Qualifications**
* Bachelor's degree in computer science, information systems, computer engineering or related field; or an equivalent combination of education and experience.
* Extensive experience with Microsoft SQL Server and the Azure environment.
* Expertise in relational and dimensional database modeling, data development and administration.
* Extensive experience with ETL/ELT pipelines including any combination of modern tools such as SSIS, Azure Data Factory, Function Apps, Logic Apps, etc.
* Analytic and problem\-solving skills and experience.
* Excellent written and oral communication skills.
 **The pay range for this role is:**  
120,000 \- 145,000 USD per year(Rosemont)</t>
        </is>
      </c>
    </row>
    <row r="8">
      <c r="A8" t="inlineStr">
        <is>
          <t>in-6cc12df839b89062</t>
        </is>
      </c>
      <c r="B8" t="inlineStr">
        <is>
          <t>Data Engineer</t>
        </is>
      </c>
      <c r="C8" t="inlineStr">
        <is>
          <t>Kuvare Holdings LLC</t>
        </is>
      </c>
      <c r="D8" t="inlineStr">
        <is>
          <t>indeed</t>
        </is>
      </c>
      <c r="E8" t="inlineStr"/>
      <c r="F8" t="inlineStr"/>
      <c r="G8" t="inlineStr">
        <is>
          <t>Baton Rouge, LA, US</t>
        </is>
      </c>
      <c r="H8" s="2" t="n">
        <v>46038</v>
      </c>
      <c r="I8" t="inlineStr">
        <is>
          <t>**About Kuvare**
Kuvare is on a mission to serve hardworking consumers overwhelmed by the complexities of retirement and is built from the ground up to do so. Our unified financial hub protects the retirement of everyday Americans and the distributors, carriers and investors that serve them. We create life insurance and annuity products that protect consumers’ retirements, and are simplified for distributor partners and financial professionals to sell and service.  
Kuvare family of companies:  
Retail Annuity and Life Insurance Solutions:  
* United Life Insurance Company
* Guaranty Income Life Insurance Company
* Lincoln Benefit Life
Institutional Insurance:  
* Kuvare Life Re
Bespoke Insurance Solutions:  
* Ignite Partners
 **About the role**
The Kuvare Data Engineer is responsible for the retrieval, storage, and distribution of data across varied platforms and data stores, including modern ETL/ELT pipelines such as Azure Data Factory, as well as modern models such as data mesh and event streaming architectures like Azure Event Hub or Kafka. The individual will rely on broad experience in data modeling, including relational and dimensional models as well as semi\-structured and unstructured data forms such as JSON, YAML, and PDF. This role has a direct business impact by providing rapid enhancements to the data platform in support of new business relationships, new consumer products, etc.
**What you'll do**
* Research architectural trends, design methods, and emerging technologies, in adherence to and in support of company standards, helping Kuvare develop and maintain a nimble technology platform for adapting to new business opportunities.
* Work with Business SMEs and end users – including external business partners and vendors \- to translate business requirements into technical specifications, including technical designs, data flow diagrams, and other technical artifacts.
* Create data pipelines to ingest, update, or transport data to/from any variety of data stores, from external data files to internal dimensional or relational models; and leveraging a broad toolset including SFTP, Azure Data Factory, Azure Event Hub, SQL Stored Procedures, etc.
* Leverage excellent SQL skills to build structured data repositories: tables, views, indexes, constraints, etc.
* Perform tests and evaluations to ensure reliability, data security, privacy, and integrity.
* **Other Responsibilities**
* Ability and willingness to travel occasionally, such as for monthly meetings at the local office and an annual IT summit at a Kuvare hub office, which might be Baton Rouge, Cedar Rapids, or Chicago.
* Occasional evening and weekend work to meet deadlines.
* Other duties and responsibilities as assigned.
**Qualifications**
* Bachelor's degree in computer science, information systems, computer engineering or related field; or an equivalent combination of education and experience.
* Extensive experience with Microsoft SQL Server and the Azure environment.
* Expertise in relational and dimensional database modeling, data development and administration.
* Extensive experience with ETL/ELT pipelines including any combination of modern tools such as SSIS, Azure Data Factory, Function Apps, Logic Apps, etc.
* Analytic and problem\-solving skills and experience.
* Excellent written and oral communication skills.
 **The pay range for this role is:**  
120,000 \- 145,000 USD per year(Rosemont)</t>
        </is>
      </c>
    </row>
    <row r="9">
      <c r="A9" t="inlineStr">
        <is>
          <t>in-78a340a4e783d4c5</t>
        </is>
      </c>
      <c r="B9" t="inlineStr">
        <is>
          <t>Staff Data Engineer - Netwrix Data and Platform Group</t>
        </is>
      </c>
      <c r="C9" t="inlineStr">
        <is>
          <t>Netwrix</t>
        </is>
      </c>
      <c r="D9" t="inlineStr">
        <is>
          <t>indeed</t>
        </is>
      </c>
      <c r="E9" t="inlineStr"/>
      <c r="F9" t="inlineStr"/>
      <c r="G9" t="inlineStr">
        <is>
          <t>Remote, US</t>
        </is>
      </c>
      <c r="H9" s="2" t="n">
        <v>46038</v>
      </c>
      <c r="I9" t="inlineStr">
        <is>
          <t>**About Us**
At Netwrix, our mission is to revolutionize data security by placing identity at the core \- providing unparalleled visibility and control. Engineered and supported by over 900 highly talented, motivated employees and hundreds of trusted partners in nearly every geography, Netwrix solutions are relied upon daily by security professionals across more than 13,500 organizations in over 100 countries around the world.
Over the past two decades, Netwrix has expanded its market presence through innovation, organic growth, and strategic acquisitions, and are proud to be backed by renowned private equity firms, TA Associates and Centerbridge Partners. Netwrix maintains a global presence, fostering a remote\-first work environment while encouraging and facilitating frequent face\-to\-face interaction with colleagues, customers, and partners.
 **Position Overview**
We are building a cutting\-edge Platform that will transform the way our customers identify, protect and govern their data. This will revolutionize how customers secure their data by placing identity at the core – providing unparalleled visibility and control.
We are seeking a **Staff Software Engineer** with a strong background in **data engineering and backend architecture** to help define and standardize how data is stored and modeled across our **Data Security Posture Management (DSPM)** platform.
This role focuses on **data schema design, consistency, and interoperability** — ensuring that data collected from multiple enterprise systems (such as Active Directory, SharePoint, Entra ID, and file servers) is represented in a clear, unified, and scalable structure. You will work closely with backend and platform engineers to design the **data models, schemas, and standards** that power analytics, reporting, and policy enforcement across the platform.
 **Key Responsibilities**
*Schema Design \&amp; Data Modeling*
* Design and maintain **standardized data schemas** used across different data sources and storage systems.
* Define **data contracts** and models to ensure consistent representation of entities such as users, groups, resources, and permissions.
* Develop and maintain **schema evolution and versioning** processes to support iterative product development.
* Ensure data models are **optimized** **for both transactional and analytical workloads**.
* Collaborate with engineering and product teams to align data models with business logic and reporting requirements.
*Analytical \&amp; Application Storage*
* Design and optimize **ClickHouse** **schemas** for analytical and time\-series workloads.
* Maintain **PostgreSQL schemas** for metadata, configuration, and application\-level data.
* Develop **indexing, partitioning, and retention strategies** that balance performance, scalability, and cost.
* Define **transformation specifications** to ensure consistency between raw and analytical data layers.
*Data Quality \&amp; Governance*
* Establish **naming conventions, data types, and relationship standards** for all stored data.
* Implement **validation and normalization checks** to ensure incoming data adheres to defined schemas.
* Partner with QA and product teams to verify that stored data accurately represents system behavior and business intent.
* Maintain **clear documentation and metadata definitions** for all datasets and structures.
*Infrastructure \&amp; Automation*
* Manage schema migrations and versioning through **CI/CD workflows**.
* Collaborate with DevOps teams to deploy and monitor databases in **Kubernetes\-based environments**.
* Use **Infrastructure as Code** tools (Helm, Terraform, or similar) for consistent database provisioning.
* Support **observability and** **monitoring** for data performance and reliability.
 **Qualifications**
*Data \&amp; Database Expertise*
* 5\+ years of experience in **data engineering, backend development, or database architecture**.
* Hands\-on experience with **ClickHouse** or other **columnar analytics databases** (e.g., Redshift, BigQuery, Snowflake).
* Strong proficiency in **PostgreSQL** and **SQL query optimization**.
* Solid understanding of **database administration**, indexing, and performance tuning.
*Data Modeling \&amp; Standards*
* Demonstrated experience designing **data models for complex or multi\-system environments**.
* Familiarity with **data contracts**, **schema evolution**, and **versioning best practices**.
* Experience enforcing **data standards and conventions** across teams or systems.
* Understanding of **metadata and documentation management** (e.g., dbt, OpenMetadata, or similar).
*DevOps \&amp; Tooling*
Experience deploying and managing databases with **Kubernetes and containers**.
Knowledge of **CI/CD pipelines** and **Infrastructure as Code** (Helm, Terraform, GitHub Actions, etc.).
Understanding of **observability and performance monitoring** for data systems.
 **Our Values**
At Netwrix, our values guide every action:
* **Next\-Level Customer Focus** \-Customers first, always. We listen, protect, and go the extra mile— because their success is our mission.
* **Excellence** \- We set high standards and take pride in delivering exceptional results. We celebrate wins, seek constant improvement, and address shortcomings professionally.
* **Transparent Ownership** \- We celebrate our successes, own up to our mistakes, communicate openly, and face challenges head\-on with a genuine commitment to doing the right thing.
* **Winning with Clear Thinking** \- We value clarity, find straightforward solutions to complex problems, and make swift, effective decisions.
* **Relentless Innovation** \- We continually seek better ways to serve our customers and stay ahead. We foster creative thinking, and we embrace new approaches.
* **Industry\-Leading Expertise** \- We take pride in our expertise and continuously seek to learn and share knowledge, striving to be the trusted experts our customers rely on.
* **eXceptional Together** \- We believe in the power of collaboration and diverse perspectives. By valuing each other’s strengths, we achieve outcomes that surpass individual contributions.
Join us in a culture where integrity, respect, and hard work are foundational. Be part of a team dedicated to making a lasting impact.
 **Why You’ll Love Working at Netwrix**
* Competitive Health Benefits
* Continuous Learning and Development Opportunities
* Team\-Oriented, Collaborative, and Innovative Work Environment
* Regular Company Town Halls to Keep You Informed
* Opportunities for Career Growth and Advancement
We pride ourselves on a culture that truly values employee input across various backgrounds and experiences. We look forward to welcoming new talent who can help us further our mission.
Netwrix Corporation and its wholly owned subsidiaries are Equal Opportunity Employers (EEO) and welcome all applicants for employment without regard to race, color, religion, sex, national origin, age, disability, veteran status, or any other protected characteristic under applicable law.
Please let us know if you require any accommodation.</t>
        </is>
      </c>
    </row>
    <row r="10">
      <c r="A10" t="inlineStr">
        <is>
          <t>in-4f2753d6ad5a3854</t>
        </is>
      </c>
      <c r="B10" t="inlineStr">
        <is>
          <t>Data Scientist III- Quantitative Data Engineer</t>
        </is>
      </c>
      <c r="C10" t="inlineStr">
        <is>
          <t>Truist</t>
        </is>
      </c>
      <c r="D10" t="inlineStr">
        <is>
          <t>indeed</t>
        </is>
      </c>
      <c r="E10" t="inlineStr"/>
      <c r="F10" t="inlineStr"/>
      <c r="G10" t="inlineStr">
        <is>
          <t>US</t>
        </is>
      </c>
      <c r="H10" s="2" t="n">
        <v>46037</v>
      </c>
      <c r="I10"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America)**Please review the following job description:**
Perform sophisticated analytics (statistical and predictive analytics, machine learning modeling, etc.) to provide actionable insights that improve business outcomes and minimize risk. Provide consultation to business leaders and other stakeholders on how to leverage analytics insights and build strategies around analytics. Lead small projects with manageable risks and resource requirements; play significant roles in larger, more complex initiatives. Act as a resource for teammates with less experience.**ESSENTIAL DUTIES AND RESPONSIBILITIES**  
Following is a summary of the essential functions for this job. Other duties may be performed, both major and minor, which are not mentioned below. Specific activities may change from time to time.  
1\. Perform sophisticated data analytics (encompassing data mining, inferential statistical analysis, and predictive analytics, for example) on structured and unstructured data. Identify actionable insights from various (or multiple) sources of data that measurably improve business outcomes or reduce business risk.  
2\. Support new, ongoing, and strategic projects and take accountability and ownership of end\-to\-end data science solution design, technical delivery, and measurable business outcome.  
3\. Extract and evaluate information gathered from multiple sources, resolve data conflicts and customize communication of key data findings, while providing recommendations to diverse audiences.  
4\. Provide analytical consulting and thought leadership to various business areas and fosters strategic and positive relationship with business partners.  
5\. Co\-design the optimal solutions to solve the complex business problems with advanced data science capabilities to create business value. Emphasize reusability and scalability in all design, development, deployment and mentoring activities through implementing consistent coding standards and best practices, focusing on clarity of communication across stakeholder groups and maintaining rigorous documentation.  
6\. Exercise sound judgment and foster risk management culture throughout design, development, and deployment practices; partner with cross\-functional teams to coordinate rules on data usage; data governance and analytics capabilities; help with the overall risk management for the team.  
7\. Actively research and advocate adoption of emerging methods and technologies in the data science field, with the eye of continually advancing Truist’s capabilities.
 **QUALIFICATIONS**  
Required Qualifications:  
The requirements listed below are representative of the knowledge, skill and/or ability required. Reasonable accommodations may be made to enable individuals with disabilities to perform the essential functions.  
1\. Bachelor’s degree in a quantitative field such as Finance, Mathematics, Analytics, Data Science, Computer Science, or Engineering, or equivalent education and related training  
2\. Minimum of six years of related experience  
3\. Demonstrate domain expertise (SME) in one or more areas relevant to banking, financial services, fin\-tech, quantitative risk management, and/or financial regulation; this will be demonstrated by several years of career progression in roles of increasing responsibility  
4\. In\-depth knowledge in practices, theories and methodologies associated with the professional discipline such as statistics, programming (such as Python, R, SAS, etc.), machine learning, model development, business information visualization, etc.  
5\. Ability to maintain a high level of competency in statistical and analytical principles, tools, and techniques  
6\. Working knowledge of Hadoop, Pig, Hive, and/or NoSQL, Spark  
7\. Experience in managing multiple projects with tight deadlines in a collaborative environment
**Preferred Qualifications:**  
1\. Working experience of delivering data integration solutions using ETL tools (like Informatica, Ab initio etc.) and Programming languages (SAS, Python etc.)
2\. Working knowledge of Snowflake and deal with heterogeneous data bases like Oracle, Hive, Netezza, DB2 and SQL Server.
Master’s degree or PhD in a quantitative field such as Finance, Mathematics, Analytics, Data Science, Computer Science, or Engineering  
3\. Ten years of relevant work experience if candidate lacks graduate degree  
4\. Previous experience in the banking or fin\-tech industry  
5\. Experience working with data science workspace within Adobe Enterprise Platform  
6\. Experience working with Graph Databases, graph query language, and related algorithms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1">
      <c r="A11" t="inlineStr">
        <is>
          <t>in-8b1fd66be4ffa2a2</t>
        </is>
      </c>
      <c r="B11" t="inlineStr">
        <is>
          <t>Sr Data Engineer</t>
        </is>
      </c>
      <c r="C11" t="inlineStr">
        <is>
          <t>Disney Experiences</t>
        </is>
      </c>
      <c r="D11" t="inlineStr">
        <is>
          <t>indeed</t>
        </is>
      </c>
      <c r="E11" t="inlineStr"/>
      <c r="F11" t="inlineStr"/>
      <c r="G11" t="inlineStr">
        <is>
          <t>Orlando, FL, US</t>
        </is>
      </c>
      <c r="H11" s="2" t="n">
        <v>46037</v>
      </c>
      <c r="I11" t="inlineStr">
        <is>
          <t>At Disney Experiences Technology, our team creates world\-class immersive digital experiences for the Company’s premier vacation brands including Disney’s Parks \&amp; Resorts worldwide, Disney Cruise Line, Aulani, A Disney Resort \&amp; Spa, and Disney Vacation Club. The Disney Experiences Technology team is responsible for the end\-to\-end digital and physical Guest experience for all technology \&amp; digital\-led initiatives across the Attractions \&amp; Entertainment, Food \&amp; Beverage, Resorts \&amp; Transportation, and Merchandise lines of business as well as other initiatives including the MyDisneyExperience app and Hey, Disney!
You will be a part of a group of experienced engineers in the Data Products \&amp; Platforms team within the Technology \&amp; Digital organization for Disney Experiences (DX). As a Sr Data Engineer you will report into the Manager, Engineering who oversees Cast data initiatives.
Do you love data? Are you a supportive contributor who can drive excellence in delivery? Come join us! We are looking for a Senior Data Engineer to develop and successfully deliver data products and solutions.
**Responsibilities****:**
* Contribute to the design and growth of our Data Products and Data Warehouses around Content Performance and Content Engagement data.
* Design and develop scalable data warehousing solutions, build ELT pipelines in Big Data environments (cloud, on\-premise, hybrid)
* Use our tech stack including AWS, Snowflake, Data Build Tool (DBT) and Automic UC4/Airflow to transform, store, retrieve, and distribute Financial Management data.
* Help architect data solutions/frameworks and use dimensional modeling to define data assets in a medallion structure
* Collaborate with Data Product Managers, Data Architects and Data Engineers to design, implement, and deliver successful data solutions
* Maintain detailed documentation of your work and changes to support data quality and data governance
* Ensure high operational efficiency and quality of your solutions to meet SLAs and support a dedicated focus on our customers (Data Science, Data Analytics and Business teams)
* Be an active participant and advocate of agile/scrum practice to ensure health and process improvements for your team
 **Qualifications**
* 5\+ years of data engineering experience, developing large data pipelines
* Strong SQL skills writing queries to extract data and build performant datasets
* Bachelor's degree in Computer Science, Information Systems, Software, Electrical or Electronics Engineering, or comparable field of study, and/or equivalent work experience.
* Hands\-on experience with AWS tool stack such as Lambda, Kinesis, DMS, AppFlow, EventBridge) to ingest process data
* Experience with at least one major MPP or cloud database technology (Snowflake, Redshift, Big Query)
* Expert level experience with SQL/T\-SQL and ability to create and tune queries
* Agile and Scrum experience
* Strong attention to detail with excellent analytical, problem\-solving, and communication skills
* Solid experience with data integration toolsets (Airflow) and writing and maintaining Data Pipelines
* Familiarity with Data Modeling techniques and Data Warehousing standard methodologies and practices
 **Preferred Education:**
* Master’s degree in Computer Science, Information Systems, Software, Electrical or Electronics Engineering, or comparable field of study, and/or equivalent work experience.
The hiring range for this position in Florida is $135,200\.00\-$181,200\.00 and in California is $141,900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2">
      <c r="A12" t="inlineStr">
        <is>
          <t>in-088067064bf9114d</t>
        </is>
      </c>
      <c r="B12" t="inlineStr">
        <is>
          <t>Career Accelerator Program - Data Engineer</t>
        </is>
      </c>
      <c r="C12" t="inlineStr">
        <is>
          <t>Texas Instruments</t>
        </is>
      </c>
      <c r="D12" t="inlineStr">
        <is>
          <t>indeed</t>
        </is>
      </c>
      <c r="E12" t="inlineStr"/>
      <c r="F12" t="inlineStr"/>
      <c r="G12" t="inlineStr">
        <is>
          <t>Dallas, TX, US</t>
        </is>
      </c>
      <c r="H12" s="2" t="n">
        <v>46037</v>
      </c>
      <c r="I12" t="inlineStr">
        <is>
          <t>**Change the world. Love your job.**  
In your first year with TI you'll join the Career Accelerator Program (CAP) – a development experience that blends professional skill workshops, technical training and on the job learning. The program is tailored to your educational background and experience level, ensuring you can start delivering real world data engineer impact from day 1, whether you're working on foundational data pipelines or cutting\-edge AI\-driven solutions.  
**About the job:**
As a Data Engineer, you will play a key role in building and maintaining the data infrastructure and systems that power AI/ML, analytics, reporting, and data\-driven decision\-making across the organization. You will be part of a cross\-functional team, gaining hands\-on experience working with modern data tools and cloud technologies while transforming raw data into actionable insights through collaboration with engineers and business stakeholders.
In this role, you will also have the opportunity to architect and lead the deployment of large\-scale data engineering solutions, pioneering AI\-driven data processing frameworks that integrate transformer\-based LLMs, deep learning models, and traditional machine learning algorithms.
**Key Responsibilities:**
* Develop and maintain scalable data pipelines and ETL/ELT workflows for ingesting, processing, and transforming large datasets from multiple sources
* Build and optimize data models, schemas, and databases to ensure efficient data storage, accessibility, and performance
* Perform data cleaning, validation, and quality checks to deliver accurate and reliable data for analytical use
* Work with SQL, Python, and modern data tools such as Spark to automate data flows and support data science initiatives
* Architect and implement large\-scale data engineering solutions across hybrid cloud environments
* Build reusable libraries and automated pipelines while applying software engineering best practices such as CI/CD, testing and monitoring
* Collaborate with analysts, engineers, and business teams to understand data requirements and deliver solutions
* Monitor data infrastructure performance and troubleshoot issues as needed
* Maintain documentation for pipelines, data models, and transformation logic
* Forecast emerging data needs, define design standards and drive strategic upgrades to storage and processing infrastructure
* Stay updated on emerging data technologies and recommend improvements to data architecture
QUALIFICATIONS
**Minimum requirements:**
* Bachelor's degree in Electrical Engineering, Computer Engineering, Computer Science, Data Science, or related technical field of study
* Cumulative 3\.0/4\.0 GPA or higher
**Texas Instruments will not sponsor job applicants for visas or work authorization for this position.**
**Preferred qualifications**
* Master's degree and/or PhD in Electrical Engineering, Computer Engineering, Computer Science, Data Science, or related field
* Proficiency in programming languages such as Python, Java, Scala, C/C\+\+ and strong SQL skills for data manipulation and querying
* Understanding of ETL processes, database concepts, and experience with big data platforms (e.g., Spark), cloud services (AWS, Azure, or GCP)
* Experience with AI/ML frameworks (e.g., PyTorch) and large\-scale data processing, including transformer\-based LLMs and neural networks
* Knowledge of machine learning algorithms ranging from traditional ML to cutting\-edge deep learning models
* Strong analytical and problem\-solving abilities with experience tackling complex, multifaceted challenges
* Exposure to or proven experience in machine learning, deep learning concepts, NLP, computer vision, speech, and time series analysis
* Demonstrated ability to develop end\-to\-end data pipelines, AI\-enabled data tools, or enterprise\-scale data architecture solutions
* Publications or conference presentations in AI/ML or data engineering topics
* Proven teamwork and communication skills in multidisciplinary projects, including ability to present technical concepts to non\-technical stakeholders
* Strong time management and project management skills that enable on\-time delivery of high\-impact projects
* Demonstrated ability to build strong, influential relationships and leadership in cross\-functional team environment
* Ability to work effectively in a fast\-paced and rapidly changing environment with strong initiative and adaptability
* Ability to take initiative, drive for results, and drive innovation
ABOUT US
**Why TI?**
* Engineer your future. We empower our employees to truly own their career and development. Come collaborate with some of the smartest people in the world to shape the future of electronics.
* We're different by design. Diverse backgrounds and perspectives are what push innovation forward and what make TI stronger. We value each and every voice, and look forward to hearing yours. Meet the people of TI
* Benefits that benefit you. We offer competitive pay and benefits designed to help you and your family live your best life. Your well\-being is important to us.
**About Texas Instruments**
Texas Instruments Incorporated (Nasdaq: TXN) is a global semiconductor company that designs, manufactures and sells analog and embedded processing chips for markets such as industrial, automotive, personal electronics, communications equipment and enterprise systems. At our core, we have a passion to create a better world by making electronics more affordable through semiconductors. This passion is alive today as each generation of innovation builds upon the last to make our technology more reliable, more affordable and lower power, making it possible for semiconductors to go into electronics everywhere. Learn more at TI.com.  
Texas Instruments is an equal opportunity employer and supports a diverse, inclusive work environment. All qualified applicants will receive consideration for employment without regard to race, color, religion, creed, disability, genetic information, national origin, gender, gender identity and expression, age, sexual orientation, marital status, veteran status, or any other characteristic protected by federal, state, or local laws.  
If you are interested in this position, please apply to this requisition.
TI does not make recruiting or hiring decisions based on citizenship, immigration status or national origin. However, if TI determines that information access or export control restrictions based upon applicable laws and regulations would prohibit you from working in this position without first obtaining an export license, TI expressly reserves the right not to seek such a license for you and either offer you a different position that does not require an export license or decline to move forward with your employment.
JOB INFO
Job Identification
25007803
Job Category
Information Technology
Posting Date
01/16/2026, 07:03 AM
Apply Before
01/20/2026, 12:00 AM
Degree Level
Bachelor's Degree
Locations
 EXKI 13560 N. Central Expwy, Dallas, TX, 75243, US
ECL/GTC Required
Yes</t>
        </is>
      </c>
    </row>
    <row r="13">
      <c r="A13" t="inlineStr">
        <is>
          <t>in-cd6677d8e21cd3ca</t>
        </is>
      </c>
      <c r="B13" t="inlineStr">
        <is>
          <t>Data Engineer - Remote</t>
        </is>
      </c>
      <c r="C13" t="inlineStr">
        <is>
          <t>Mayo Clinic</t>
        </is>
      </c>
      <c r="D13" t="inlineStr">
        <is>
          <t>indeed</t>
        </is>
      </c>
      <c r="E13" t="inlineStr"/>
      <c r="F13" t="inlineStr"/>
      <c r="G13" t="inlineStr">
        <is>
          <t>Rochester, MN, US</t>
        </is>
      </c>
      <c r="H13" s="2" t="n">
        <v>46036</v>
      </c>
      <c r="I13"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The Ambulatory Specialty Apps \&amp; Diagnostics Unit within the Clinical System Service of the Shields Product Portfolio has a data engineer position opening for our Medical Informatics team. The positions will be involved in the design, development, and implementation of special data marts and dashboards that support Surgical Medicine. Responsibilities include, but are not limited to, data model design and create data pipelines, data analysis, reporting, data visualization, and application development. The candidates will be closely engaged with business analysts and customers to gather requirements, provide technical solutions for new and ongoing projects, troubleshooting issues, and assist with data analytic activities.
Data Engineer gains access to data across the organization and provides ongoing analysis of the data by monitoring, profiling and analyzing databases. Requires a mix of functional, data and technical skills. The right candidate must be able to understand business requirements, translate them into information needs and implement those requirements using data available. The hire will be responsible for expanding and optimizing data architecture, as well as optimizing data flow and collection for cross functional teams. The ideal candidate is an experienced data pipeline builder and data wrangler who enjoys optimizing data systems. The Data Engineer will support our software developers, database architects, and data analysts and data scientists on data initiatives and will ensure optimal data delivery architecture is consistent throughout ongoing projects.
**Core job duties include:**
* Assemble large, complex data sets that meet functional / non\-functional business requirements.
* Strong knowledge of SQL required. Ability to identify sets and subsets of information across multiple joins or unions of tables is preferred in addition to writing and troubleshooting SQL queries for data mining
* Perform complex data analysis and investigation for customer requests to explain results and to make appropriate recommendations.
* Strong understanding of data modeling concepts
* Problem solver with the initiative to think critically to identify improvement opportunities (error detection, error correction, root cause analysis)
* Understand ETL that will aid in verification and testing of data
* Build processes supporting data transformation, data structures, metadata, dependency and workload management.
* A successful history of manipulating, processing and extracting value from large disconnected datasets.
* Analyze business objectives and develop data solutions to meet customer needs.
* Demonstrated ability to effectively participate in multiple, concurrent projects
* Improve and customize current data solutions to meet business functional and non\-functional requirements.
* Research new and existing data sources in order to contribute to new development, improve data management processes, and make recommendations for data quality initiatives.
* Perform periodic data quality reviews for internal and external data.
* Ensure timely resolution of queries and data issues.
* Look for new ways to find and collect data by researching potential new sources of information.
* Work with data and analytics experts to strive for greater functionality in our data systems.
**Qualifications**  
Bachelor's degree in Computer Science, Engineering, or related field from an accredited University or College; OR an Associate’s degree in Computer Science, Engineering, or related field from an accredited University or College with 2 years of experience.
Demonstrated ability to analyze and profile data as a means to address various business problems through leveraging advanced data modeling, source system databases, or data mining techniques, is required. May provide consultative services to departments/divisions and committees. Demonstrated application of several problem\-solving methodologies, planning techniques, continuous improvement methods, and analytical tools and methodologies (e.g. data analysis, data profiling, modeling, etc.) required. Incumbent must have ability to manage a varied workload of projects with multiple priorities and stay current on healthcare trends and enterprise changes. Interpersonal skills and time management skills are required. Requires strong analytical skills and the ability to identify and recommend solutions, advanced computer application skills and a commitment to customer service. Experience with data analysis, quality, and profiling; including data exploration tools including but not limited to Rapid SQL, AQT, Information Analyzer, and Informatics.
**Preferred Qualifications:**
* Candidates must have strong knowledge and experience with EPIC Clarity Database modules using by Anesthesiology and Surgery practice, data mart architecture, data model design and development experience including data analysis, data modeling and implementing using technologies such as BigQuery, Data fusion, Data flow, Data Composer, ETL, stored procedure development, TSQL (analytics), OLAP, Microsoft SQL server, and IBM DB2\.
* Application development in .NET or Java, and experience with System Integration Frameworks such as MQ, CSS, HL7 and HTML is plus.
* Health Care organization work experiences is plus.
**This vacancy is not eligible for sponsorship/ we will not sponsor or transfer visas for this position. Also, Mayo Clinic DOES NOT participate in the F\-1 STEM OPT extension program.**
 **Exemption Status**  
Exempt  
**Compensation Detail**  
$100,339 \- $140,462/ year  
**Benefits Eligible**  
Yes  
**Schedule**  
Full Time  
**Hours/Pay Period**  
80  
**Schedule Details**  
Monday \- Friday; Normal business hours  
**Weekend Schedule**  
N/A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Mayo Clinic participates in E\-Verify and may provide the Social Security Administration and, if necessary, the Department of Homeland Security with information from each new employee's Form I\-9 to confirm work authorization.  
**Recruiter**  
Miranda Grabner</t>
        </is>
      </c>
    </row>
    <row r="14">
      <c r="A14" t="inlineStr">
        <is>
          <t>in-f3bf08563fd8c84e</t>
        </is>
      </c>
      <c r="B14" t="inlineStr">
        <is>
          <t>Data Engineer, Denied Party Screening, AWS Compliance &amp; Security Assurance</t>
        </is>
      </c>
      <c r="C14" t="inlineStr">
        <is>
          <t>Amazon.com</t>
        </is>
      </c>
      <c r="D14" t="inlineStr">
        <is>
          <t>indeed</t>
        </is>
      </c>
      <c r="E14" t="inlineStr"/>
      <c r="F14" t="inlineStr"/>
      <c r="G14" t="inlineStr">
        <is>
          <t>Dallas, TX, US</t>
        </is>
      </c>
      <c r="H14" s="2" t="n">
        <v>46029</v>
      </c>
      <c r="I14"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5">
      <c r="A15" t="inlineStr">
        <is>
          <t>in-c3b8fa68fd1749a1</t>
        </is>
      </c>
      <c r="B15" t="inlineStr">
        <is>
          <t>Data Engineer, Denied Party Screening, AWS Compliance &amp; Security Assurance</t>
        </is>
      </c>
      <c r="C15" t="inlineStr">
        <is>
          <t>Amazon.com</t>
        </is>
      </c>
      <c r="D15" t="inlineStr">
        <is>
          <t>indeed</t>
        </is>
      </c>
      <c r="E15" t="inlineStr"/>
      <c r="F15" t="inlineStr"/>
      <c r="G15" t="inlineStr">
        <is>
          <t>Seattle, WA, US</t>
        </is>
      </c>
      <c r="H15" s="2" t="n">
        <v>46029</v>
      </c>
      <c r="I15"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6">
      <c r="A16" t="inlineStr">
        <is>
          <t>in-06d9e063c2b6955c</t>
        </is>
      </c>
      <c r="B16" t="inlineStr">
        <is>
          <t>Data Engineer</t>
        </is>
      </c>
      <c r="C16" t="inlineStr">
        <is>
          <t>Amazon.com</t>
        </is>
      </c>
      <c r="D16" t="inlineStr">
        <is>
          <t>indeed</t>
        </is>
      </c>
      <c r="E16" t="inlineStr"/>
      <c r="F16" t="inlineStr"/>
      <c r="G16" t="inlineStr">
        <is>
          <t>San Francisco, CA, US</t>
        </is>
      </c>
      <c r="H16" s="2" t="n">
        <v>46001</v>
      </c>
      <c r="I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in-9ea1f2a1533f63ae</t>
        </is>
      </c>
      <c r="B17" t="inlineStr">
        <is>
          <t>Data Engineer</t>
        </is>
      </c>
      <c r="C17" t="inlineStr">
        <is>
          <t>Amazon.com</t>
        </is>
      </c>
      <c r="D17" t="inlineStr">
        <is>
          <t>indeed</t>
        </is>
      </c>
      <c r="E17" t="inlineStr"/>
      <c r="F17" t="inlineStr"/>
      <c r="G17" t="inlineStr">
        <is>
          <t>Seattle, WA, US</t>
        </is>
      </c>
      <c r="H17" s="2" t="n">
        <v>46001</v>
      </c>
      <c r="I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in-b440c49659441656</t>
        </is>
      </c>
      <c r="B18" t="inlineStr">
        <is>
          <t>Delivery Consultant - Data Engineer, Data and Machine Learning, WWPS US Federal</t>
        </is>
      </c>
      <c r="C18" t="inlineStr">
        <is>
          <t>Amazon Web Services</t>
        </is>
      </c>
      <c r="D18" t="inlineStr">
        <is>
          <t>indeed</t>
        </is>
      </c>
      <c r="E18" t="inlineStr"/>
      <c r="F18" t="inlineStr"/>
      <c r="G18" t="inlineStr">
        <is>
          <t>Herndon, VA, US</t>
        </is>
      </c>
      <c r="H18" s="2" t="n">
        <v>45991</v>
      </c>
      <c r="I18"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in-f79a25ae134eed4a</t>
        </is>
      </c>
      <c r="B19" t="inlineStr">
        <is>
          <t>Delivery Consultant - Data Engineer, Data and Machine Learning, WWPS US Federal</t>
        </is>
      </c>
      <c r="C19" t="inlineStr">
        <is>
          <t>Amazon Web Services</t>
        </is>
      </c>
      <c r="D19" t="inlineStr">
        <is>
          <t>indeed</t>
        </is>
      </c>
      <c r="E19" t="inlineStr"/>
      <c r="F19" t="inlineStr"/>
      <c r="G19" t="inlineStr">
        <is>
          <t>Arlington, VA, US</t>
        </is>
      </c>
      <c r="H19" s="2" t="n">
        <v>45991</v>
      </c>
      <c r="I19"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in-728dd1c9020f43d6</t>
        </is>
      </c>
      <c r="B20" t="inlineStr">
        <is>
          <t>Data Engineering Senior Manager</t>
        </is>
      </c>
      <c r="C20" t="inlineStr">
        <is>
          <t>FanDuel</t>
        </is>
      </c>
      <c r="D20" t="inlineStr">
        <is>
          <t>indeed</t>
        </is>
      </c>
      <c r="E20" t="inlineStr"/>
      <c r="F20" t="inlineStr"/>
      <c r="G20" t="inlineStr">
        <is>
          <t>Atlanta, GA, US</t>
        </is>
      </c>
      <c r="H20" s="2" t="n">
        <v>46037</v>
      </c>
      <c r="I20" t="inlineStr">
        <is>
          <t>**THE POSITION**  
Our roster has an opening with your name on it
We are looking for a Data Engineer to join our growing data engineering team and help build the pipelines and infrastructure that power analytics, machine learning, and business decision\-making across the company. In this role, you'll contribute to the design, development, and maintenance of reliable data systems while collaborating with multiple departments and stakeholders to support high\-impact data use cases.
The ideal candidate is a strong technical contributor who enjoys working with data at scale, solving practical problems, and continuously learning in a fast\-paced environment.
In addition to the specific responsibilities outlined above, employees may be required to perform other such duties as assigned by the Company. This ensures operational flexibility and allows the Company to meet evolving business needs.
If you're excited by this challenge and want to work within a dynamic company, then we'd love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Build \&amp; Maintain Data Pipelines
* Design, build, and maintain scalable batch and streaming data pipelines to support analytics and business operations.
* Write clean, efficient, and well\-documented code using tools like Python, SQL, and Spark.
* Ensure data is reliable, accurate, and delivered in a timely manner
Collaborate Across Teams
* Work with data analysts, data scientists, and product managers to understand requirements and deliver actionable data solutions
* Translate business questions into engineering tasks and contribute to technical planning.
* Participate in code reviews, sprint planning, and retrospectives as part of an agile team.
Data Quality \&amp; Operations
* Monitor data pipelines and troubleshoot issues in a timely, systematic manner
* Implement data quality checks and contribute to observability and testing practices
* Document data sources, transformations, and architecture decisions to support long\-term maintainability
**THE STATS**  
What we're looking for in our next teammate
* 3\+ years of experience in data engineering, analytics engineering, or software engineering with a focus on data.
* Strong SQL skills and familiarity with at least one programming language (e.g., Python, Java, or Scala).
* Hands\-on experience with modern data tools such as Databricks, Airflow, dbt, Spark, or Kafka.
* Understanding of data modeling concepts, data warehousing, and ETL/ELT best practices.
* Experience working with cloud\-based data platforms (AWS, GCP, or Azure).
**Preferred Qualifications**
* Experience supporting BI, analytics, or data science teams.
* Familiarity with version control, CI/CD, and collaborative development workflows.
* Exposure to data governance, privacy, or compliance practices.
* Eagerness to learn new technologies and contribute to the growth of the team.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email******Benefits@fanduel.com******.***
***It is unlawful in Massachusetts to require or administer a lie detector test as a condition of employment or continued employment. An employer who violates this law shall be subject to criminal penalties and civil liability.***
\#LI\-Hybrid</t>
        </is>
      </c>
    </row>
    <row r="21">
      <c r="A21" t="inlineStr">
        <is>
          <t>in-988980a041ea8496</t>
        </is>
      </c>
      <c r="B21" t="inlineStr">
        <is>
          <t>Data Engineer I</t>
        </is>
      </c>
      <c r="C21" t="inlineStr">
        <is>
          <t>AgTexas Farm Credit Services</t>
        </is>
      </c>
      <c r="D21" t="inlineStr">
        <is>
          <t>indeed</t>
        </is>
      </c>
      <c r="E21" t="inlineStr"/>
      <c r="F21" t="inlineStr"/>
      <c r="G21" t="inlineStr">
        <is>
          <t>Lubbock, TX, US</t>
        </is>
      </c>
      <c r="H21" s="2" t="n">
        <v>46038</v>
      </c>
      <c r="I21" t="inlineStr">
        <is>
          <t>**COMPANY PROFILE:**
AgTexas Farm Credit Services serves and supports approximately 2,600 member/borrowers in areas of lending, insurance sales, appraisal, and/or leasing. Eleven office locations can be found throughout the Association's 43\-county trade territory, and the association has an average loan volume of approximately $2\.85 billion, with total assets equaling $3\.2 billion. lending portfolio consists of cotton, livestock, dairy, feed grains, real estate, and ag\-related business loans. Additionally, the association territory provides diversity in production and mortgage loans as well as commodities financed. Without strong financial backing farmers and ranchers will not survive, and people will not have food to eat or clothes to wear. AgTexas provides reliable credit and crop insurance to our member\-owners, so they can feed and clothe the world.
 **POSITION:**
The Data Engineer I position has a location and salary that is negotiable depending upon experience. Supports the design, development, and maintenance of data pipelines and data infrastructure to ensure reliable data access and analytics across the Association. Contributes to workflow automation, collects, cleans, and integrates data from multiple sources while building and supporting automation platforms.
* ***AgTexas, at its sole discretion, may offer this position with a different title based upon the qualifications of the candidate.***
 **MINIMUM EDUCATION AND EXPERIENCE:**
Bachelor's degree in computer science, information systems, data science, related field or equivalent, practical experience. Possesses a strong proficiency in SQL and a solid understanding of relational database concepts, enabling effective data querying and management. Familiarity with one or more programming languages such as Python, PowerShell (PS), or Java is essential for scripting and automation tasks. Exposure to cloud data platforms, including Azure or AWS, is preferred, as is a working knowledge of ETL processes and data pipeline development. Experience or familiarity with data modeling, data warehousing concepts, or business intelligence (BI) tools is preferred.
 **KEY REQUIREMENTS:**
The ideal candidate has a solid technical foundation, strong problem\-solving skills, and the ability to contribute beyond traditional data engineering duties by supporting both data\-driven and process automation initiatives. Strong problem – solving and analytical skills, with the ability to break down complex issues and develop effective solutions. Ability to convey technical concepts clearly to non\-technical stakeholders. Proactive in the application of new tools and technologies. Strong interpersonal and excellent oral and written communications skills are required.
 **KEY RESPONSIBILITES:**
* Design, build, and maintain data pipelines and integrations to ensure reliable access to data across systems.
* Support database design, modeling, and optimization efforts.
* Support and enhance workflow automation solutions using platforms such as Nintex and Microsoft Power Platform (Power Automate, Power Apps, Power BI).
* Assist in managing cloud\-based data platforms (e.g., Azure, AWS, etc.).
* Collaborate with analysts and business teams to ensure data availability for reporting and analytics.
* Implement data quality checks, validation processes, and documentation for all data flows.
* Develop and optimize SQL queries, scripts, API management, and automation processes.
* Monitor, troubleshoot, and resolve issues related to data pipelines, workflows, and system integrations.
* Contribute to continuous improvement initiatives that leverage both data engineering and workflow automation.
 **WORKING RELATIONSHIPS:**
Frequent interaction with Association departmental staff and management. Occasional interaction with Association senior management, CEO, and/or board of directors. Occasional interaction with Farm Credit Bank of Texas staff.
 **EOE/AA/M/F/D/V**
AgTexas FCS is an Equal Opportunity / Affirmative Action employer. All qualified applicants will receive consideration for employment without regard to race, color, religion, sex, age, disability, national origin, protected veteran status, sexual orientation, gender identity or genetic information.
Persons with disabilities who require an accommodation to complete the application process should call our Lubbock office at (806\) 745\-4575 and ask to speak to one of our HR representatives to request accommodation in the application process.</t>
        </is>
      </c>
    </row>
    <row r="22">
      <c r="A22" t="inlineStr">
        <is>
          <t>in-d2e37a489a459188</t>
        </is>
      </c>
      <c r="B22" t="inlineStr">
        <is>
          <t>Lead Data Engineer</t>
        </is>
      </c>
      <c r="C22" t="inlineStr">
        <is>
          <t>AECOM</t>
        </is>
      </c>
      <c r="D22" t="inlineStr">
        <is>
          <t>indeed</t>
        </is>
      </c>
      <c r="E22" t="inlineStr"/>
      <c r="F22" t="inlineStr"/>
      <c r="G22" t="inlineStr">
        <is>
          <t>Dallas, TX, US</t>
        </is>
      </c>
      <c r="H22" s="2" t="n">
        <v>46038</v>
      </c>
      <c r="I22"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We’re hiring a hands\-on Lead Data Engineer to help modernize an enterprise data platform from legacy, on\-prem systems to a cloud\-native AWS lakehouse. This is a lead individual contributor role with high ownership and a strong hands\-on focus (approximately 70%), balancing deep technical delivery with design guidance, code reviews, and mentorship.
While we leverage AWS S3 Tables (managed Apache Iceberg), success in this role requires a solid understanding of how modern table formats operate under the hood, beyond reliance on fully managed tooling.
*This position will offer flexibility for hybrid work schedules to include both in\-office presence and telecommute/virtual work, to be based from either Houston or Dallas, TX.*
Key Responsibilities:
* Design, build, and operate end\-to\-end, production\-grade data pipelines in AWS
* Re\-engineer legacy ETL into a lakehouse architecture (Bronze/Silver/Gold) on S3
* Work hands\-on with open table formats in AWS (S3 Tables / Apache Iceberg) and understand their metadata, snapshots, schema evolution, and performance characteristics
* Develop pipelines using Python, PySpark, and Spark on AWS Glue and/or EMR
* Orchestrate workloads using Airflow or AWS Step Functions
* Partner with data architects to translate business requirements into data products
* Perform code reviews, mentor engineers, and contribute hands\-on in production
* Support agile development practices, including planning, demos, and reviews
**Qualifications** **Minimum Requirements:**
* BA/BS in Computer Science, Engineering, or a related field plus at least 8 years of hands\-on data engineering experience, or demonstrated equivalent experience and education
* Strong, current hands\-on experience with AWS data services, including S3 and Spark\-based processing
* Hands\-on experience with an open table format (such as Apache Iceberg, Delta Lake, or Hudi), with a clear understanding of table metadata, schema evolution, partitioning, and performance tradeoffs
* Proficiency in Python and PySpark for production data pipelines
* Experience designing, building, and operating data pipelines end\-to\-end in AWS
* Experience orchestrating data pipelines using Airflow or AWS Step Functions
* Strong communication skills and ability to operate as a hands\-on technical lead
**Preferred Qualifications**:
* Master's degree in a relevant field
* Experience working with AWS S3 Tables or native Apache Iceberg in AWS environments
* Experience modernizing on\-prem or legacy data warehouse platforms
* Familiarity with lakehouse performance tuning, schema evolution, and partitioning
* Experience with data pipeline orchestration frameworks
* Exposure to AI/ML data readiness or downstream analytics use cases
* Experience working in large, complex enterprise environments
**Additional Information**  
* Relocation assistance is not available for this position
* Sponsorship for US work authorization is not available for this position, now or in the future.
Why You’ll Love Working Here:
* Leadership Impact: Shape the direction of our enterprise data platform and mentor the next generation of data engineers
* Enterprise Reach: Work with diverse, large\-scale datasets from critical business systems.
* Modern Tech Stack: AWS\-first environment with continuous improvement and best\-practice adoption.
* Career Growth: Opportunities to advance into architecture or senior leadership roles.
Join us in shaping the future of data engineering and contribute to the development of innovative data solutions that drive business success.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23">
      <c r="A23" t="inlineStr">
        <is>
          <t>in-c630b06c21c3ad47</t>
        </is>
      </c>
      <c r="B23" t="inlineStr">
        <is>
          <t>Data Warehouse Data Engineer</t>
        </is>
      </c>
      <c r="C23" t="inlineStr">
        <is>
          <t>Finoit Inc</t>
        </is>
      </c>
      <c r="D23" t="inlineStr">
        <is>
          <t>indeed</t>
        </is>
      </c>
      <c r="E23" t="inlineStr"/>
      <c r="F23" t="inlineStr"/>
      <c r="G23" t="inlineStr">
        <is>
          <t>Eatontown, NJ, US</t>
        </is>
      </c>
      <c r="H23" s="2" t="n">
        <v>46038</v>
      </c>
      <c r="I23" t="inlineStr">
        <is>
          <t>**Data Warehouse Data Engineer**
The Data Warehouse Data Engineer is responsible for building and optimizing an enterprise analytics platform. This role designs and develops scalable ETL/ELT pipelines, Lakehouse/Warehouse data models, and curated datasets to support reporting and analytics. The engineer collaborates closely with BI teams, architects, and business stakeholders to deliver high\-quality, governed, and performant data.
**Key Responsibilities**
* Build and maintain ETL/ELT pipelines using Microsoft Fabric, Spark, Notebooks, Dataflows Gen2, and SSIS
* Implement medallion architecture (Bronze/Silver/Gold) using Lakehouse, Warehouse, Delta Lake, and OneLake
* Design and optimize star schema models, facts, and dimensions for BI
* Ensure data quality, governance, security, and performance (RLS, Purview, optimization techniques)
* Monitor pipelines, support CI/CD with Azure DevOps/Git, and document data solutions
**Qualifications**
* 5\+ years of data engineering or data warehouse experience
* Strong SQL and experience with Microsoft Fabric and Delta Lake
* Proficiency in Python or PySpark
* Experience with dimensional modeling, APIs, file ingestion, and CI/CD
* Power BI and Azure data platform experience preferred
Job Type: Full\-time
Pay: $140,000\.00 \- $160,000\.00 per year
Benefits:
* 401(k)
* 401(k) matching
* Dental insurance
* Health insurance
* Paid time off
* Vision insurance
Experience:
* data engineering: 10 years (Required)
* SSMS / SSDT / SSIS / SSAS / SSRS: 5 years (Required)
* Kimball (modelling): 5 years (Required)
* Python or PySpark: 5 years (Required)
* SQL: 5 years (Required)
Location:
* Eatontown, NJ (Required)
Ability to Commute:
* Eatontown, NJ (Required)
Work Location: On the road</t>
        </is>
      </c>
    </row>
    <row r="24">
      <c r="A24" t="inlineStr">
        <is>
          <t>in-a71bb7479b3e23e2</t>
        </is>
      </c>
      <c r="B24" t="inlineStr">
        <is>
          <t>Data Engineer</t>
        </is>
      </c>
      <c r="C24" t="inlineStr">
        <is>
          <t>Eigen X</t>
        </is>
      </c>
      <c r="D24" t="inlineStr">
        <is>
          <t>indeed</t>
        </is>
      </c>
      <c r="E24" t="inlineStr"/>
      <c r="F24" t="inlineStr"/>
      <c r="G24" t="inlineStr">
        <is>
          <t>King of Prussia, PA, US</t>
        </is>
      </c>
      <c r="H24" s="2" t="n">
        <v>46037</v>
      </c>
      <c r="I24" t="inlineStr">
        <is>
          <t>Data Engineer (Master’s deg. w/3 yr exp OR Bachelor’s deg w/5 yrs exp) King of Prussia, PA. Req. exp. in data (governance, discovery, lineage, flow tasks); Unit Testing; \&amp; work/w: Oracle, Teradata, SQL Server, DAX, Power BI, ETL, SSIS, SSRS \&amp; Windows. Send resume: EigenX, LLC, 1030 Continental Dr., King of Prussia, PA 19406</t>
        </is>
      </c>
    </row>
    <row r="25">
      <c r="A25" t="inlineStr">
        <is>
          <t>in-bacef8bf6d276f2a</t>
        </is>
      </c>
      <c r="B25" t="inlineStr">
        <is>
          <t>Data Engineer</t>
        </is>
      </c>
      <c r="C25" t="inlineStr">
        <is>
          <t>FanDuel</t>
        </is>
      </c>
      <c r="D25" t="inlineStr">
        <is>
          <t>indeed</t>
        </is>
      </c>
      <c r="E25" t="inlineStr"/>
      <c r="F25" t="inlineStr"/>
      <c r="G25" t="inlineStr">
        <is>
          <t>Atlanta, GA, US</t>
        </is>
      </c>
      <c r="H25" s="2" t="n">
        <v>46037</v>
      </c>
      <c r="I25" t="inlineStr">
        <is>
          <t>**THE POSITION**  
Our roster has an opening with your name on it
We are looking for a Data Engineer to join our growing data platform team and help build, operate, and scale the foundational data infrastructure that powers analytics, machine learning, and business decision\-making across the company. In this role, you'll design and maintain reliable, secure, and cost\-efficient data platforms, enabling data engineers, analysts, and data scientists to do their best work.
You'll work closely with engineering, analytics, and security partners to improve platform reliability, performance, and developer experience, while supporting high\-impact data workloads at scale.
The ideal candidate is a strong technical contributor who enjoys working on distributed systems, automating infrastructure, and solving complex platform challenges in a fast\-paced environment.
If you're excited by building resilient data platforms and want to make a broad impact within a dynamic company, we'd love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Contribute to design and code reviews, learning and applying platform and development best practices to build high\-quality, maintainable data pipelines.
* Monitor Databricks and Airflow jobs and queries, helping identify performance issues and working with senior engineers to implement improvements.
* Assist in the design and evolution of data platform components built on Databricks and Airflow, with an emphasis on reliability, scalability, and cost awareness.
* Author and maintain clear documentation for pipelines, workflows, data models, and platform usage to support operational excellence and onboarding.
* Partner with platform, analytics, and engineering teams to support adoption of modern platform features and data governance standards.
* Build and operate production\-grade batch and near–real\-time data pipelines, including basic monitoring, alerting, and operational runbooks.
* Learn and apply platform best practices by collaborating closely with senior engineers and participating in incident response and postmortems.
* Communicate findings, improvements, and operational insights through dashboards, queries, or short written updates to help teams make informed decisions.
**THE STATS**  
What we're looking for in our next teammate
**Minimum Qualifications**
* 1–4 years of experience working with Apache Airflow or similar orchestration tools, including:
	+ Building and maintaining DAGs for production workloads.
	+ Understanding retries, scheduling, dependencies, and basic sensor usage.
* 1–4 years of experience developing in Python, with familiarity in writing readable, testable, and maintainable code.
* 1–4 years of experience working with Databricks or a comparable data platform, including:
	+ Building ETL/ELT pipelines using Delta Lake or similar technologies.
	+ Basic familiarity with SQL Warehouses, job compute, and performance concepts.
* Experience working in a cloud environment (AWS, Azure, or GCP), with exposure to:
	+ Cloud storage (e.g., S3\), IAM concepts, and managed services.
	+ Secure access patterns and data handling best practices.
* Some experience or exposure to infrastructure as code (Terraform preferred), with interest in learning how platform infrastructure is deployed and managed.
* Familiarity with Git\-based workflows and CI/CD concepts, especially as they relate to data or platform engineering.
* Exposure to data quality, observability, or lineage tools (e.g., Monte Carlo, Datafold) is a plus.
* Familiarity with dbt or an understanding of how it fits into a modern data stack is a plus.
**Preferred Qualifications**
* Experience supporting BI, analytics, or data science teams.
* Familiarity with version control, CI/CD, and collaborative development workflows.
* Exposure to data governance, privacy, or compliance practices.
* Eagerness to learn new technologies and contribute to the growth of the team.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email******Benefits@fanduel.com******.***
***It is unlawful in Massachusetts to require or administer a lie detector test as a condition of employment or continued employment. An employer who violates this law shall be subject to criminal penalties and civil liability.***
\#LI\-Hybrid</t>
        </is>
      </c>
    </row>
    <row r="26">
      <c r="A26" t="inlineStr">
        <is>
          <t>in-33381880704bbaeb</t>
        </is>
      </c>
      <c r="B26" t="inlineStr">
        <is>
          <t>Data Engineer</t>
        </is>
      </c>
      <c r="C26" t="inlineStr">
        <is>
          <t>Eli Lilly</t>
        </is>
      </c>
      <c r="D26" t="inlineStr">
        <is>
          <t>indeed</t>
        </is>
      </c>
      <c r="E26" t="inlineStr"/>
      <c r="F26" t="inlineStr"/>
      <c r="G26" t="inlineStr">
        <is>
          <t>Indianapolis, IN, US</t>
        </is>
      </c>
      <c r="H26" s="2" t="n">
        <v>46037</v>
      </c>
      <c r="I26"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**Do you enjoy learning new knowledge domains and answering engaging questions?**  
The Global Services Tech at Lilly team is actively seeking a Data engineer in Indianapolis, IN to partner with internal business and Tech at Lilly partners to accelerate the delivery of data solutions for analytics and business purposes.
**What You’ll Be Doing:**
-------------------------
A Data engineer onsite in Indianapolis, IN is responsible for designing, developing, and maintaining the data solutions that ensure the availability and quality of data for analysis and/or business transactions. They design and implement efficient data storage, processing and retrieval solutions for datasets and build data pipelines, optimize database designs, and work closely with data scientists, architects, and analysts to ensure data quality and accessibility. Data engineers require strong skillsets in data integration, acquisition, cleansing, harmonization, and transforming data. They play a crucial role in transforming raw data into datasets designed for analysis which enable organizations to unlock valuable insights for decision making.
**How You’ll Succeed:**
-----------------------
* Engage and partner with cross\-functional tech teams across Global Services (finance), third party solution delivery providers, and Data architects to understand the business problem and enhance/develop the appropriate data solution leveraging the modern tech stack
* Design and implement highly performant data ingestion/processing pipelines from multiple sources
* Develop technical solutions which combine disparate information to create meaningful insights for business partners
* Operate with a quality mindset always considering the impact of design decisions on the long\-term support and maintenance of data pipelines/jobs
* Ensure data integrity, security, and privacy requirements are met
* Stay abreast of tools and technologies to influence our strategy so that it provides best usage opportunities for business
**What You Should Bring:**
--------------------------
* A foundational set of knowledge in: communication, leadership, teamwork, problem solving skills, solution / blueprint definition, business acumen, architectural processes (e.g. blueprinting, reference architecture, governance, etc.), technical standards, project delivery, and industry knowledge.
* Strong skillsets in data integration, acquisition, cleansing, harmonization, and transforming data
* Experience designing large scale data models for functional, operational, and analytical environments (Conceptual, Logical, Physical \&amp; Dimensional)
* Experience in several of the following disciplines: statistical methods, data modeling, ontology development, semantic graph construction and linked data, relational schema design.
* Demonstrated SQL/PLSQL and data modeling proficiency.
* Experience with data modeling tools such as, ER\*Studio and Erwin or TOAD
* Experience in AWS or Azure techstack
* Experience in building/integrating APIs
* Experience in creating data products using APIs
* Experience with security models and development on large data sets
* Experience with Microsoft Fabric
* Experience with multiple database technologies
* Experience with multiple database solutions (e.g. Postgres, Redshift, Aurora, Athena) and formal database designs (3NF, Dimensional Models)
* Experience with Agile Development, CI/CD, Jenkins, Github, Automation platforms
* Experience in implementing effective data loading strategy (CDC, incremental loads)
* Demonstrated ability to analyze large, complex data domains and craft practical solutions for subsequent data exploitation via analytics.
* Demonstrated ability to communicate with a geographically dispersed group of business and technical colleagues
* Ability to review and provide practical recommendations on design patterns, performance considerations \&amp; optimization, database versions, and database deployment strategies
* Knowledgeable in data functions such as Data Governance, Master Data Management, Business Intelligence
**Basic Qualifications:**
-------------------------
* Bachelors Degree in computer science, information technology, Management information systems or related fields.
* Or High School Diploma with at least 4\+ years of Data Engineer experience
* Experience in data integration, acquisition, cleansing, harmonization, and/or transforming data
* Ability to analyze large, complex data domains and craft practical solutions for subsequent data exploitation via analytics.
* Qualified candidates must be legally authorized to be employed in the United States. Lilly does not anticipate providing sponsorship for employment visa status (e.g., H\-1B or TN status) for this employment position
**Other Considerations:**
-------------------------
* Lilly does not anticipate providing sponsorship for employment visa status (e.g., H\-1B or TN status) for this employment position.
* Must be willing to relocate to the Indianapolis area
* Hybrid work schedule
* 0\-10% travel
**Additional Preferences:**
* CDMP Certification
* AWS Solution Architect
* Understanding of a highly regulated environment that involves data privacy and confidential information requirements
**About the Organization:**
---------------------------
Technology at Lilly builds and maintains capabilities using cutting edge technologies like most prominent tech companies. What differentiates our team is that we create new possibilities through tech to advance our purpose – creating medicines that make life better for people around the world, like data driven drug discovery and connected clinical trials. We hire the best technology professionals from a variety of backgrounds, so they can bring an assortment of knowledge, skills, and diverse thinking to deliver innovative solutions in every area of our business.  
The Global Services IT team leads digitalization across organizations spanning the enterprise with Finance, Legal, Ethics \&amp; Compliance, Corporate Affairs and Human Resources as well delivers best\-in\-class ERP Solutions. This team leverages technology and analytics to enable transformations across the enterprise.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$64,500 \- $158,400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27">
      <c r="A27" t="inlineStr">
        <is>
          <t>in-2024cc5b7a10f99d</t>
        </is>
      </c>
      <c r="B27" t="inlineStr">
        <is>
          <t>Azure Data Engineer - 6013916</t>
        </is>
      </c>
      <c r="C27" t="inlineStr">
        <is>
          <t>Accenture</t>
        </is>
      </c>
      <c r="D27" t="inlineStr">
        <is>
          <t>indeed</t>
        </is>
      </c>
      <c r="E27" t="inlineStr"/>
      <c r="F27" t="inlineStr"/>
      <c r="G27" t="inlineStr">
        <is>
          <t>Detroit, MI, US</t>
        </is>
      </c>
      <c r="H27" s="2" t="n">
        <v>46037</v>
      </c>
      <c r="I2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8">
      <c r="A28" t="inlineStr">
        <is>
          <t>in-26048f9abf3082fd</t>
        </is>
      </c>
      <c r="B28" t="inlineStr">
        <is>
          <t>Azure Data Engineer - 6013916</t>
        </is>
      </c>
      <c r="C28" t="inlineStr">
        <is>
          <t>Accenture</t>
        </is>
      </c>
      <c r="D28" t="inlineStr">
        <is>
          <t>indeed</t>
        </is>
      </c>
      <c r="E28" t="inlineStr"/>
      <c r="F28" t="inlineStr"/>
      <c r="G28" t="inlineStr">
        <is>
          <t>Redmond, WA, US</t>
        </is>
      </c>
      <c r="H28" s="2" t="n">
        <v>46037</v>
      </c>
      <c r="I2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9">
      <c r="A29" t="inlineStr">
        <is>
          <t>in-846b4cfc542d8222</t>
        </is>
      </c>
      <c r="B29" t="inlineStr">
        <is>
          <t>Azure Data Engineer - 6013916</t>
        </is>
      </c>
      <c r="C29" t="inlineStr">
        <is>
          <t>Accenture</t>
        </is>
      </c>
      <c r="D29" t="inlineStr">
        <is>
          <t>indeed</t>
        </is>
      </c>
      <c r="E29" t="inlineStr"/>
      <c r="F29" t="inlineStr"/>
      <c r="G29" t="inlineStr">
        <is>
          <t>Cleveland, OH, US</t>
        </is>
      </c>
      <c r="H29" s="2" t="n">
        <v>46037</v>
      </c>
      <c r="I29"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0">
      <c r="A30" t="inlineStr">
        <is>
          <t>in-1f4b7a857258b4ce</t>
        </is>
      </c>
      <c r="B30" t="inlineStr">
        <is>
          <t>Azure Data Engineer - 6013916</t>
        </is>
      </c>
      <c r="C30" t="inlineStr">
        <is>
          <t>Accenture</t>
        </is>
      </c>
      <c r="D30" t="inlineStr">
        <is>
          <t>indeed</t>
        </is>
      </c>
      <c r="E30" t="inlineStr"/>
      <c r="F30" t="inlineStr"/>
      <c r="G30" t="inlineStr">
        <is>
          <t>Raleigh, NC, US</t>
        </is>
      </c>
      <c r="H30" s="2" t="n">
        <v>46037</v>
      </c>
      <c r="I30"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1">
      <c r="A31" t="inlineStr">
        <is>
          <t>in-5d680acb603eaacb</t>
        </is>
      </c>
      <c r="B31" t="inlineStr">
        <is>
          <t>Azure Data Engineer - 6013916</t>
        </is>
      </c>
      <c r="C31" t="inlineStr">
        <is>
          <t>Accenture</t>
        </is>
      </c>
      <c r="D31" t="inlineStr">
        <is>
          <t>indeed</t>
        </is>
      </c>
      <c r="E31" t="inlineStr"/>
      <c r="F31" t="inlineStr"/>
      <c r="G31" t="inlineStr">
        <is>
          <t>Irving, TX, US</t>
        </is>
      </c>
      <c r="H31" s="2" t="n">
        <v>46037</v>
      </c>
      <c r="I31"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2">
      <c r="A32" t="inlineStr">
        <is>
          <t>in-a0d5c9f20f251f22</t>
        </is>
      </c>
      <c r="B32" t="inlineStr">
        <is>
          <t>Azure Data Engineer - 6013916</t>
        </is>
      </c>
      <c r="C32" t="inlineStr">
        <is>
          <t>Accenture</t>
        </is>
      </c>
      <c r="D32" t="inlineStr">
        <is>
          <t>indeed</t>
        </is>
      </c>
      <c r="E32" t="inlineStr"/>
      <c r="F32" t="inlineStr"/>
      <c r="G32" t="inlineStr">
        <is>
          <t>Milwaukee, WI, US</t>
        </is>
      </c>
      <c r="H32" s="2" t="n">
        <v>46037</v>
      </c>
      <c r="I32"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3">
      <c r="A33" t="inlineStr">
        <is>
          <t>in-9c2a21bbd29bfd47</t>
        </is>
      </c>
      <c r="B33" t="inlineStr">
        <is>
          <t>Azure Data Engineer - 6013916</t>
        </is>
      </c>
      <c r="C33" t="inlineStr">
        <is>
          <t>Accenture</t>
        </is>
      </c>
      <c r="D33" t="inlineStr">
        <is>
          <t>indeed</t>
        </is>
      </c>
      <c r="E33" t="inlineStr"/>
      <c r="F33" t="inlineStr"/>
      <c r="G33" t="inlineStr">
        <is>
          <t>New York, NY, US</t>
        </is>
      </c>
      <c r="H33" s="2" t="n">
        <v>46037</v>
      </c>
      <c r="I33"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4">
      <c r="A34" t="inlineStr">
        <is>
          <t>in-8a610553d509cedf</t>
        </is>
      </c>
      <c r="B34" t="inlineStr">
        <is>
          <t>Azure Data Engineer - 6013916</t>
        </is>
      </c>
      <c r="C34" t="inlineStr">
        <is>
          <t>Accenture</t>
        </is>
      </c>
      <c r="D34" t="inlineStr">
        <is>
          <t>indeed</t>
        </is>
      </c>
      <c r="E34" t="inlineStr"/>
      <c r="F34" t="inlineStr"/>
      <c r="G34" t="inlineStr">
        <is>
          <t>Des Moines, IA, US</t>
        </is>
      </c>
      <c r="H34" s="2" t="n">
        <v>46037</v>
      </c>
      <c r="I34"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5">
      <c r="A35" t="inlineStr">
        <is>
          <t>in-f7c452ca84dafeb5</t>
        </is>
      </c>
      <c r="B35" t="inlineStr">
        <is>
          <t>Azure Data Engineer - 6013916</t>
        </is>
      </c>
      <c r="C35" t="inlineStr">
        <is>
          <t>Accenture</t>
        </is>
      </c>
      <c r="D35" t="inlineStr">
        <is>
          <t>indeed</t>
        </is>
      </c>
      <c r="E35" t="inlineStr"/>
      <c r="F35" t="inlineStr"/>
      <c r="G35" t="inlineStr">
        <is>
          <t>San Diego, CA, US</t>
        </is>
      </c>
      <c r="H35" s="2" t="n">
        <v>46037</v>
      </c>
      <c r="I35"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6">
      <c r="A36" t="inlineStr">
        <is>
          <t>in-257f789cac8167bb</t>
        </is>
      </c>
      <c r="B36" t="inlineStr">
        <is>
          <t>Azure Data Engineer - 6013916</t>
        </is>
      </c>
      <c r="C36" t="inlineStr">
        <is>
          <t>Accenture</t>
        </is>
      </c>
      <c r="D36" t="inlineStr">
        <is>
          <t>indeed</t>
        </is>
      </c>
      <c r="E36" t="inlineStr"/>
      <c r="F36" t="inlineStr"/>
      <c r="G36" t="inlineStr">
        <is>
          <t>Houston, TX, US</t>
        </is>
      </c>
      <c r="H36" s="2" t="n">
        <v>46037</v>
      </c>
      <c r="I36"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7">
      <c r="A37" t="inlineStr">
        <is>
          <t>in-215a445d7273675a</t>
        </is>
      </c>
      <c r="B37" t="inlineStr">
        <is>
          <t>Azure Data Engineer - 6013916</t>
        </is>
      </c>
      <c r="C37" t="inlineStr">
        <is>
          <t>Accenture</t>
        </is>
      </c>
      <c r="D37" t="inlineStr">
        <is>
          <t>indeed</t>
        </is>
      </c>
      <c r="E37" t="inlineStr"/>
      <c r="F37" t="inlineStr"/>
      <c r="G37" t="inlineStr">
        <is>
          <t>Austin, TX, US</t>
        </is>
      </c>
      <c r="H37" s="2" t="n">
        <v>46037</v>
      </c>
      <c r="I3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8">
      <c r="A38" t="inlineStr">
        <is>
          <t>in-740baeb1c8abe745</t>
        </is>
      </c>
      <c r="B38" t="inlineStr">
        <is>
          <t>Azure Data Engineer - 6013916</t>
        </is>
      </c>
      <c r="C38" t="inlineStr">
        <is>
          <t>Accenture</t>
        </is>
      </c>
      <c r="D38" t="inlineStr">
        <is>
          <t>indeed</t>
        </is>
      </c>
      <c r="E38" t="inlineStr"/>
      <c r="F38" t="inlineStr"/>
      <c r="G38" t="inlineStr">
        <is>
          <t>Oklahoma City, OK, US</t>
        </is>
      </c>
      <c r="H38" s="2" t="n">
        <v>46037</v>
      </c>
      <c r="I3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9">
      <c r="A39" t="inlineStr">
        <is>
          <t>in-0eed843d6f25e3d7</t>
        </is>
      </c>
      <c r="B39" t="inlineStr">
        <is>
          <t>Azure Data Engineer - 6013916</t>
        </is>
      </c>
      <c r="C39" t="inlineStr">
        <is>
          <t>Accenture</t>
        </is>
      </c>
      <c r="D39" t="inlineStr">
        <is>
          <t>indeed</t>
        </is>
      </c>
      <c r="E39" t="inlineStr"/>
      <c r="F39" t="inlineStr"/>
      <c r="G39" t="inlineStr">
        <is>
          <t>Walnut Creek, CA, US</t>
        </is>
      </c>
      <c r="H39" s="2" t="n">
        <v>46037</v>
      </c>
      <c r="I39"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0">
      <c r="A40" t="inlineStr">
        <is>
          <t>in-79fd5e575c1b70db</t>
        </is>
      </c>
      <c r="B40" t="inlineStr">
        <is>
          <t>Azure Data Engineer - 6013916</t>
        </is>
      </c>
      <c r="C40" t="inlineStr">
        <is>
          <t>Accenture</t>
        </is>
      </c>
      <c r="D40" t="inlineStr">
        <is>
          <t>indeed</t>
        </is>
      </c>
      <c r="E40" t="inlineStr"/>
      <c r="F40" t="inlineStr"/>
      <c r="G40" t="inlineStr">
        <is>
          <t>Arlington, VA, US</t>
        </is>
      </c>
      <c r="H40" s="2" t="n">
        <v>46037</v>
      </c>
      <c r="I40"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1">
      <c r="A41" t="inlineStr">
        <is>
          <t>in-220e3bc927fcd10d</t>
        </is>
      </c>
      <c r="B41" t="inlineStr">
        <is>
          <t>Azure Data Engineer - 6013916</t>
        </is>
      </c>
      <c r="C41" t="inlineStr">
        <is>
          <t>Accenture</t>
        </is>
      </c>
      <c r="D41" t="inlineStr">
        <is>
          <t>indeed</t>
        </is>
      </c>
      <c r="E41" t="inlineStr"/>
      <c r="F41" t="inlineStr"/>
      <c r="G41" t="inlineStr">
        <is>
          <t>Kirkland, WA, US</t>
        </is>
      </c>
      <c r="H41" s="2" t="n">
        <v>46037</v>
      </c>
      <c r="I41"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2">
      <c r="A42" t="inlineStr">
        <is>
          <t>in-012f89420fe8df5c</t>
        </is>
      </c>
      <c r="B42" t="inlineStr">
        <is>
          <t>Azure Data Engineer - 6013916</t>
        </is>
      </c>
      <c r="C42" t="inlineStr">
        <is>
          <t>Accenture</t>
        </is>
      </c>
      <c r="D42" t="inlineStr">
        <is>
          <t>indeed</t>
        </is>
      </c>
      <c r="E42" t="inlineStr"/>
      <c r="F42" t="inlineStr"/>
      <c r="G42" t="inlineStr">
        <is>
          <t>Seattle, WA, US</t>
        </is>
      </c>
      <c r="H42" s="2" t="n">
        <v>46037</v>
      </c>
      <c r="I42"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3">
      <c r="A43" t="inlineStr">
        <is>
          <t>in-5fb5d0541a2638b6</t>
        </is>
      </c>
      <c r="B43" t="inlineStr">
        <is>
          <t>Azure Data Engineer - 6013916</t>
        </is>
      </c>
      <c r="C43" t="inlineStr">
        <is>
          <t>Accenture</t>
        </is>
      </c>
      <c r="D43" t="inlineStr">
        <is>
          <t>indeed</t>
        </is>
      </c>
      <c r="E43" t="inlineStr"/>
      <c r="F43" t="inlineStr"/>
      <c r="G43" t="inlineStr">
        <is>
          <t>St. Louis, MO, US</t>
        </is>
      </c>
      <c r="H43" s="2" t="n">
        <v>46037</v>
      </c>
      <c r="I43"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4">
      <c r="A44" t="inlineStr">
        <is>
          <t>in-deb1f689c73ce65d</t>
        </is>
      </c>
      <c r="B44" t="inlineStr">
        <is>
          <t>Azure Data Engineer - 6013916</t>
        </is>
      </c>
      <c r="C44" t="inlineStr">
        <is>
          <t>Accenture</t>
        </is>
      </c>
      <c r="D44" t="inlineStr">
        <is>
          <t>indeed</t>
        </is>
      </c>
      <c r="E44" t="inlineStr"/>
      <c r="F44" t="inlineStr"/>
      <c r="G44" t="inlineStr">
        <is>
          <t>Philadelphia, PA, US</t>
        </is>
      </c>
      <c r="H44" s="2" t="n">
        <v>46037</v>
      </c>
      <c r="I44"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5">
      <c r="A45" t="inlineStr">
        <is>
          <t>in-958c59eb71f2be96</t>
        </is>
      </c>
      <c r="B45" t="inlineStr">
        <is>
          <t>Azure Data Engineer - 6013916</t>
        </is>
      </c>
      <c r="C45" t="inlineStr">
        <is>
          <t>Accenture</t>
        </is>
      </c>
      <c r="D45" t="inlineStr">
        <is>
          <t>indeed</t>
        </is>
      </c>
      <c r="E45" t="inlineStr"/>
      <c r="F45" t="inlineStr"/>
      <c r="G45" t="inlineStr">
        <is>
          <t>Saint Petersburg, FL, US</t>
        </is>
      </c>
      <c r="H45" s="2" t="n">
        <v>46037</v>
      </c>
      <c r="I45"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6">
      <c r="A46" t="inlineStr">
        <is>
          <t>in-13317a70c5d869fb</t>
        </is>
      </c>
      <c r="B46" t="inlineStr">
        <is>
          <t>Azure Data Engineer - 6013916</t>
        </is>
      </c>
      <c r="C46" t="inlineStr">
        <is>
          <t>Accenture</t>
        </is>
      </c>
      <c r="D46" t="inlineStr">
        <is>
          <t>indeed</t>
        </is>
      </c>
      <c r="E46" t="inlineStr"/>
      <c r="F46" t="inlineStr"/>
      <c r="G46" t="inlineStr">
        <is>
          <t>Boston, MA, US</t>
        </is>
      </c>
      <c r="H46" s="2" t="n">
        <v>46037</v>
      </c>
      <c r="I46"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7">
      <c r="A47" t="inlineStr">
        <is>
          <t>in-1b15e9aa807701f8</t>
        </is>
      </c>
      <c r="B47" t="inlineStr">
        <is>
          <t>Azure Data Engineer - 6013916</t>
        </is>
      </c>
      <c r="C47" t="inlineStr">
        <is>
          <t>Accenture</t>
        </is>
      </c>
      <c r="D47" t="inlineStr">
        <is>
          <t>indeed</t>
        </is>
      </c>
      <c r="E47" t="inlineStr"/>
      <c r="F47" t="inlineStr"/>
      <c r="G47" t="inlineStr">
        <is>
          <t>Denver, CO, US</t>
        </is>
      </c>
      <c r="H47" s="2" t="n">
        <v>46037</v>
      </c>
      <c r="I4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8">
      <c r="A48" t="inlineStr">
        <is>
          <t>in-4245c48598a92bba</t>
        </is>
      </c>
      <c r="B48" t="inlineStr">
        <is>
          <t>Azure Data Engineer - 6013916</t>
        </is>
      </c>
      <c r="C48" t="inlineStr">
        <is>
          <t>Accenture</t>
        </is>
      </c>
      <c r="D48" t="inlineStr">
        <is>
          <t>indeed</t>
        </is>
      </c>
      <c r="E48" t="inlineStr"/>
      <c r="F48" t="inlineStr"/>
      <c r="G48" t="inlineStr">
        <is>
          <t>San Francisco, CA, US</t>
        </is>
      </c>
      <c r="H48" s="2" t="n">
        <v>46037</v>
      </c>
      <c r="I4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9">
      <c r="A49" t="inlineStr">
        <is>
          <t>in-b02801c38cbc08fa</t>
        </is>
      </c>
      <c r="B49" t="inlineStr">
        <is>
          <t>Azure Data Engineer - 6013916</t>
        </is>
      </c>
      <c r="C49" t="inlineStr">
        <is>
          <t>Accenture</t>
        </is>
      </c>
      <c r="D49" t="inlineStr">
        <is>
          <t>indeed</t>
        </is>
      </c>
      <c r="E49" t="inlineStr"/>
      <c r="F49" t="inlineStr"/>
      <c r="G49" t="inlineStr">
        <is>
          <t>Carmel, IN, US</t>
        </is>
      </c>
      <c r="H49" s="2" t="n">
        <v>46037</v>
      </c>
      <c r="I49"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0">
      <c r="A50" t="inlineStr">
        <is>
          <t>in-47d7e35b73bab9ef</t>
        </is>
      </c>
      <c r="B50" t="inlineStr">
        <is>
          <t>Azure Data Engineer - 6013916</t>
        </is>
      </c>
      <c r="C50" t="inlineStr">
        <is>
          <t>Accenture</t>
        </is>
      </c>
      <c r="D50" t="inlineStr">
        <is>
          <t>indeed</t>
        </is>
      </c>
      <c r="E50" t="inlineStr"/>
      <c r="F50" t="inlineStr"/>
      <c r="G50" t="inlineStr">
        <is>
          <t>Beaverton, OR, US</t>
        </is>
      </c>
      <c r="H50" s="2" t="n">
        <v>46037</v>
      </c>
      <c r="I50"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1">
      <c r="A51" t="inlineStr">
        <is>
          <t>in-90288a6c754a92cc</t>
        </is>
      </c>
      <c r="B51" t="inlineStr">
        <is>
          <t>Azure Data Engineer - 6013916</t>
        </is>
      </c>
      <c r="C51" t="inlineStr">
        <is>
          <t>Accenture</t>
        </is>
      </c>
      <c r="D51" t="inlineStr">
        <is>
          <t>indeed</t>
        </is>
      </c>
      <c r="E51" t="inlineStr"/>
      <c r="F51" t="inlineStr"/>
      <c r="G51" t="inlineStr">
        <is>
          <t>Miami, FL, US</t>
        </is>
      </c>
      <c r="H51" s="2" t="n">
        <v>46037</v>
      </c>
      <c r="I51"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2">
      <c r="A52" t="inlineStr">
        <is>
          <t>in-8d9ba2f1e94fa331</t>
        </is>
      </c>
      <c r="B52" t="inlineStr">
        <is>
          <t>Azure Data Engineer - 6013916</t>
        </is>
      </c>
      <c r="C52" t="inlineStr">
        <is>
          <t>Accenture</t>
        </is>
      </c>
      <c r="D52" t="inlineStr">
        <is>
          <t>indeed</t>
        </is>
      </c>
      <c r="E52" t="inlineStr"/>
      <c r="F52" t="inlineStr"/>
      <c r="G52" t="inlineStr">
        <is>
          <t>Charlotte, NC, US</t>
        </is>
      </c>
      <c r="H52" s="2" t="n">
        <v>46037</v>
      </c>
      <c r="I52"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3">
      <c r="A53" t="inlineStr">
        <is>
          <t>in-096a8da6fc8913d9</t>
        </is>
      </c>
      <c r="B53" t="inlineStr">
        <is>
          <t>Azure Data Engineer - 6013916</t>
        </is>
      </c>
      <c r="C53" t="inlineStr">
        <is>
          <t>Accenture</t>
        </is>
      </c>
      <c r="D53" t="inlineStr">
        <is>
          <t>indeed</t>
        </is>
      </c>
      <c r="E53" t="inlineStr"/>
      <c r="F53" t="inlineStr"/>
      <c r="G53" t="inlineStr">
        <is>
          <t>Cincinnati, OH, US</t>
        </is>
      </c>
      <c r="H53" s="2" t="n">
        <v>46037</v>
      </c>
      <c r="I53"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4">
      <c r="A54" t="inlineStr">
        <is>
          <t>in-bf1cddb425749379</t>
        </is>
      </c>
      <c r="B54" t="inlineStr">
        <is>
          <t>Azure Data Engineer - 6013916</t>
        </is>
      </c>
      <c r="C54" t="inlineStr">
        <is>
          <t>Accenture</t>
        </is>
      </c>
      <c r="D54" t="inlineStr">
        <is>
          <t>indeed</t>
        </is>
      </c>
      <c r="E54" t="inlineStr"/>
      <c r="F54" t="inlineStr"/>
      <c r="G54" t="inlineStr">
        <is>
          <t>Albany, NY, US</t>
        </is>
      </c>
      <c r="H54" s="2" t="n">
        <v>46037</v>
      </c>
      <c r="I54"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5">
      <c r="A55" t="inlineStr">
        <is>
          <t>in-54a75228f81be857</t>
        </is>
      </c>
      <c r="B55" t="inlineStr">
        <is>
          <t>Azure Data Engineer - 6013916</t>
        </is>
      </c>
      <c r="C55" t="inlineStr">
        <is>
          <t>Accenture</t>
        </is>
      </c>
      <c r="D55" t="inlineStr">
        <is>
          <t>indeed</t>
        </is>
      </c>
      <c r="E55" t="inlineStr"/>
      <c r="F55" t="inlineStr"/>
      <c r="G55" t="inlineStr">
        <is>
          <t>Minneapolis, MN, US</t>
        </is>
      </c>
      <c r="H55" s="2" t="n">
        <v>46037</v>
      </c>
      <c r="I55"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6">
      <c r="A56" t="inlineStr">
        <is>
          <t>in-122b37fcbfaaae8f</t>
        </is>
      </c>
      <c r="B56" t="inlineStr">
        <is>
          <t>Azure Data Engineer - 6013916</t>
        </is>
      </c>
      <c r="C56" t="inlineStr">
        <is>
          <t>Accenture</t>
        </is>
      </c>
      <c r="D56" t="inlineStr">
        <is>
          <t>indeed</t>
        </is>
      </c>
      <c r="E56" t="inlineStr"/>
      <c r="F56" t="inlineStr"/>
      <c r="G56" t="inlineStr">
        <is>
          <t>Atlanta, GA, US</t>
        </is>
      </c>
      <c r="H56" s="2" t="n">
        <v>46037</v>
      </c>
      <c r="I56"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7">
      <c r="A57" t="inlineStr">
        <is>
          <t>in-b14907162d03ca32</t>
        </is>
      </c>
      <c r="B57" t="inlineStr">
        <is>
          <t>Azure Data Engineer - 6013916</t>
        </is>
      </c>
      <c r="C57" t="inlineStr">
        <is>
          <t>Accenture</t>
        </is>
      </c>
      <c r="D57" t="inlineStr">
        <is>
          <t>indeed</t>
        </is>
      </c>
      <c r="E57" t="inlineStr"/>
      <c r="F57" t="inlineStr"/>
      <c r="G57" t="inlineStr">
        <is>
          <t>Columbus, OH, US</t>
        </is>
      </c>
      <c r="H57" s="2" t="n">
        <v>46037</v>
      </c>
      <c r="I5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8">
      <c r="A58" t="inlineStr">
        <is>
          <t>in-daabc31a49565869</t>
        </is>
      </c>
      <c r="B58" t="inlineStr">
        <is>
          <t>Azure Data Engineer - 6013916</t>
        </is>
      </c>
      <c r="C58" t="inlineStr">
        <is>
          <t>Accenture</t>
        </is>
      </c>
      <c r="D58" t="inlineStr">
        <is>
          <t>indeed</t>
        </is>
      </c>
      <c r="E58" t="inlineStr"/>
      <c r="F58" t="inlineStr"/>
      <c r="G58" t="inlineStr">
        <is>
          <t>Morristown, NJ, US</t>
        </is>
      </c>
      <c r="H58" s="2" t="n">
        <v>46037</v>
      </c>
      <c r="I5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9">
      <c r="A59" t="inlineStr">
        <is>
          <t>in-a3e54efefece482b</t>
        </is>
      </c>
      <c r="B59" t="inlineStr">
        <is>
          <t>Azure Data Engineer - 6013916</t>
        </is>
      </c>
      <c r="C59" t="inlineStr">
        <is>
          <t>Accenture</t>
        </is>
      </c>
      <c r="D59" t="inlineStr">
        <is>
          <t>indeed</t>
        </is>
      </c>
      <c r="E59" t="inlineStr"/>
      <c r="F59" t="inlineStr"/>
      <c r="G59" t="inlineStr">
        <is>
          <t>Nashville, TN, US</t>
        </is>
      </c>
      <c r="H59" s="2" t="n">
        <v>46037</v>
      </c>
      <c r="I59"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0">
      <c r="A60" t="inlineStr">
        <is>
          <t>in-addcd4a04213d9f0</t>
        </is>
      </c>
      <c r="B60" t="inlineStr">
        <is>
          <t>Azure Data Engineer - 6013916</t>
        </is>
      </c>
      <c r="C60" t="inlineStr">
        <is>
          <t>Accenture</t>
        </is>
      </c>
      <c r="D60" t="inlineStr">
        <is>
          <t>indeed</t>
        </is>
      </c>
      <c r="E60" t="inlineStr"/>
      <c r="F60" t="inlineStr"/>
      <c r="G60" t="inlineStr">
        <is>
          <t>Chicago, IL, US</t>
        </is>
      </c>
      <c r="H60" s="2" t="n">
        <v>46037</v>
      </c>
      <c r="I60"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1">
      <c r="A61" t="inlineStr">
        <is>
          <t>in-8f3754faaff2a7c1</t>
        </is>
      </c>
      <c r="B61" t="inlineStr">
        <is>
          <t>Azure Data Engineer - 6013916</t>
        </is>
      </c>
      <c r="C61" t="inlineStr">
        <is>
          <t>Accenture</t>
        </is>
      </c>
      <c r="D61" t="inlineStr">
        <is>
          <t>indeed</t>
        </is>
      </c>
      <c r="E61" t="inlineStr"/>
      <c r="F61" t="inlineStr"/>
      <c r="G61" t="inlineStr">
        <is>
          <t>Overland Park, KS, US</t>
        </is>
      </c>
      <c r="H61" s="2" t="n">
        <v>46037</v>
      </c>
      <c r="I61"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2">
      <c r="A62" t="inlineStr">
        <is>
          <t>in-595de29675f860c0</t>
        </is>
      </c>
      <c r="B62" t="inlineStr">
        <is>
          <t>Azure Data Engineer - 6013916</t>
        </is>
      </c>
      <c r="C62" t="inlineStr">
        <is>
          <t>Accenture</t>
        </is>
      </c>
      <c r="D62" t="inlineStr">
        <is>
          <t>indeed</t>
        </is>
      </c>
      <c r="E62" t="inlineStr"/>
      <c r="F62" t="inlineStr"/>
      <c r="G62" t="inlineStr">
        <is>
          <t>Pittsburgh, PA, US</t>
        </is>
      </c>
      <c r="H62" s="2" t="n">
        <v>46037</v>
      </c>
      <c r="I62"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3">
      <c r="A63" t="inlineStr">
        <is>
          <t>in-4f56b22fe024244c</t>
        </is>
      </c>
      <c r="B63" t="inlineStr">
        <is>
          <t>Azure Data Engineer - 6013916</t>
        </is>
      </c>
      <c r="C63" t="inlineStr">
        <is>
          <t>Accenture</t>
        </is>
      </c>
      <c r="D63" t="inlineStr">
        <is>
          <t>indeed</t>
        </is>
      </c>
      <c r="E63" t="inlineStr"/>
      <c r="F63" t="inlineStr"/>
      <c r="G63" t="inlineStr">
        <is>
          <t>Scottsdale, AZ, US</t>
        </is>
      </c>
      <c r="H63" s="2" t="n">
        <v>46037</v>
      </c>
      <c r="I63"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4">
      <c r="A64" t="inlineStr">
        <is>
          <t>in-6fa4a857972a06f7</t>
        </is>
      </c>
      <c r="B64" t="inlineStr">
        <is>
          <t>Azure Data Engineer - 6013916</t>
        </is>
      </c>
      <c r="C64" t="inlineStr">
        <is>
          <t>Accenture</t>
        </is>
      </c>
      <c r="D64" t="inlineStr">
        <is>
          <t>indeed</t>
        </is>
      </c>
      <c r="E64" t="inlineStr"/>
      <c r="F64" t="inlineStr"/>
      <c r="G64" t="inlineStr">
        <is>
          <t>Hartford, CT, US</t>
        </is>
      </c>
      <c r="H64" s="2" t="n">
        <v>46037</v>
      </c>
      <c r="I64"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5">
      <c r="A65" t="inlineStr">
        <is>
          <t>in-1f5376a4e6b9a4e0</t>
        </is>
      </c>
      <c r="B65" t="inlineStr">
        <is>
          <t>Azure Data Engineer - 6013916</t>
        </is>
      </c>
      <c r="C65" t="inlineStr">
        <is>
          <t>Accenture</t>
        </is>
      </c>
      <c r="D65" t="inlineStr">
        <is>
          <t>indeed</t>
        </is>
      </c>
      <c r="E65" t="inlineStr"/>
      <c r="F65" t="inlineStr"/>
      <c r="G65" t="inlineStr">
        <is>
          <t>Culver City, CA, US</t>
        </is>
      </c>
      <c r="H65" s="2" t="n">
        <v>46037</v>
      </c>
      <c r="I65"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6">
      <c r="A66" t="inlineStr">
        <is>
          <t>in-1039d0a4993a1b56</t>
        </is>
      </c>
      <c r="B66" t="inlineStr">
        <is>
          <t>Azure Data Engineer - 6013916</t>
        </is>
      </c>
      <c r="C66" t="inlineStr">
        <is>
          <t>Accenture</t>
        </is>
      </c>
      <c r="D66" t="inlineStr">
        <is>
          <t>indeed</t>
        </is>
      </c>
      <c r="E66" t="inlineStr"/>
      <c r="F66" t="inlineStr"/>
      <c r="G66" t="inlineStr">
        <is>
          <t>Los Angeles, CA, US</t>
        </is>
      </c>
      <c r="H66" s="2" t="n">
        <v>46037</v>
      </c>
      <c r="I66"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7">
      <c r="A67" t="inlineStr">
        <is>
          <t>in-c13fd1329da9d672</t>
        </is>
      </c>
      <c r="B67" t="inlineStr">
        <is>
          <t>Azure Data Engineer - 6013916</t>
        </is>
      </c>
      <c r="C67" t="inlineStr">
        <is>
          <t>Accenture</t>
        </is>
      </c>
      <c r="D67" t="inlineStr">
        <is>
          <t>indeed</t>
        </is>
      </c>
      <c r="E67" t="inlineStr"/>
      <c r="F67" t="inlineStr"/>
      <c r="G67" t="inlineStr">
        <is>
          <t>Sacramento, CA, US</t>
        </is>
      </c>
      <c r="H67" s="2" t="n">
        <v>46037</v>
      </c>
      <c r="I6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8">
      <c r="A68" t="inlineStr">
        <is>
          <t>in-396aaab7472351b2</t>
        </is>
      </c>
      <c r="B68" t="inlineStr">
        <is>
          <t>Azure Data Engineer - 6013916</t>
        </is>
      </c>
      <c r="C68" t="inlineStr">
        <is>
          <t>Accenture</t>
        </is>
      </c>
      <c r="D68" t="inlineStr">
        <is>
          <t>indeed</t>
        </is>
      </c>
      <c r="E68" t="inlineStr"/>
      <c r="F68" t="inlineStr"/>
      <c r="G68" t="inlineStr">
        <is>
          <t>Bentonville, AR, US</t>
        </is>
      </c>
      <c r="H68" s="2" t="n">
        <v>46037</v>
      </c>
      <c r="I6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9">
      <c r="A69" t="inlineStr">
        <is>
          <t>in-7a71adf45e12b88a</t>
        </is>
      </c>
      <c r="B69" t="inlineStr">
        <is>
          <t>Azure Data Engineer - 6013916</t>
        </is>
      </c>
      <c r="C69" t="inlineStr">
        <is>
          <t>Accenture</t>
        </is>
      </c>
      <c r="D69" t="inlineStr">
        <is>
          <t>indeed</t>
        </is>
      </c>
      <c r="E69" t="inlineStr"/>
      <c r="F69" t="inlineStr"/>
      <c r="G69" t="inlineStr">
        <is>
          <t>Mountain View, CA, US</t>
        </is>
      </c>
      <c r="H69" s="2" t="n">
        <v>46037</v>
      </c>
      <c r="I69"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0">
      <c r="A70" t="inlineStr">
        <is>
          <t>in-19ae1089ce68055f</t>
        </is>
      </c>
      <c r="B70" t="inlineStr">
        <is>
          <t>AIML - Senior Data Engineer, Machine Learning Platform Technologies</t>
        </is>
      </c>
      <c r="C70" t="inlineStr">
        <is>
          <t>Apple</t>
        </is>
      </c>
      <c r="D70" t="inlineStr">
        <is>
          <t>indeed</t>
        </is>
      </c>
      <c r="E70" t="inlineStr"/>
      <c r="F70" t="inlineStr"/>
      <c r="G70" t="inlineStr">
        <is>
          <t>Cupertino, CA, US</t>
        </is>
      </c>
      <c r="H70" s="2" t="n">
        <v>46037</v>
      </c>
      <c r="I70" t="inlineStr">
        <is>
          <t>Join us in building the machine learning platform that enables teams at Apple to build Apple Intelligence and many other intelligent experiences across hardware, software and service products.  
As a Machine Learning Data Platform Engineer, you'll design and build the scalable dataset management platform that enables teams across Apple to discover, curate, version, share, process, and consume ML datasets with enterprise\-grade compliance and governance.  
We're looking for an engineer with deep expertise in big data infrastructure and a passion for building platforms that make ML practitioners more productive. You'll work at the intersection of large\-scale data systems, ML workflows, and data governance.  
**Description**  
In this role, you'll be architecting and building Apple's next\-generation ML dataset management platform. This platform enables ML teams across the company to efficiently manage the full lifecycle of datasets, from initial curation and annotation through versioning, model training and evaluation, sharing, and compliance.  
You'll design scalable infrastructure that supports dataset operations at massive scale while maintaining strong governance guarantees. Your work will include building data lineage tracking systems, implementing automated compliance workflows, creating intuitive APIs and SDKs for dataset access, and ensuring seamless integration with ML training and evaluation pipelines,  
You'll collaborate with teams building customer\-facing ML features across iOS, macOS, and other Apple platforms, as well as compute infrastructure teams and ML framework owners. Your platform work directly enables the ML innovations that millions of customers experience daily. This role offers the opportunity to have broad impact across Apple's ML initiatives and to shape how thousands of ML practitioners build the intelligent experiences our customers love.  
**Preferred Qualifications**  
Hands\-on experience curating or managing datasets for production ML models  
Experience with data cataloging systems, metadata platforms, MLOps tools, or ML training frameworks  
Knowledge of privacy\-preserving technologies and data quality/validation frameworks  
**Minimum Qualifications**  
Bachelor's degree in Computer Science, related field, or equivalent practical experience.  
10\+ years building and scaling data infrastructure for petabyte\-scale ML workloads with high reliability  
Deep expertise in modern data technologies (Apache Iceberg, Spark, S3, distributed systems), data modeling, schema evolution, and efficient storage formats (Parquet, Arrow, ORC)  
Experience building data pipelines that handle diverse ML data types: structured/tabular data, unstructured media (images, video, audio), embeddings, and multimodal datasets  
Proven track record building dataset management systems including versioning, metadata management, discovery, and integration with production ML training pipelines  
Experience designing data governance frameworks including lineage tracking, access control, retention policies, and compliance workflows  
Experience with cloud platforms (AWS, GCP, Azure) and container orchestration (Kubernetes)  
Strong cross\-functional collaboration skills to understand diverse stakeholder needs and articulate technical decisions across ML engineering, data science, legal, and product teams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1">
      <c r="A71" t="inlineStr">
        <is>
          <t>in-302d5396883d5692</t>
        </is>
      </c>
      <c r="B71" t="inlineStr">
        <is>
          <t>Sr. Data Engineer</t>
        </is>
      </c>
      <c r="C71" t="inlineStr">
        <is>
          <t>State of Oklahoma</t>
        </is>
      </c>
      <c r="D71" t="inlineStr">
        <is>
          <t>indeed</t>
        </is>
      </c>
      <c r="E71" t="inlineStr"/>
      <c r="F71" t="inlineStr"/>
      <c r="G71" t="inlineStr">
        <is>
          <t>OK, US</t>
        </is>
      </c>
      <c r="H71" s="2" t="n">
        <v>46037</v>
      </c>
      <c r="I71" t="inlineStr">
        <is>
          <t>Job Posting Title
Sr. Data Engineer
Agency
090 OFFICE OF MANAGEMENT AND ENTERPRISE SERV
Supervisory Organization
IS\-Data
Job Posting End Date
Refer to the date listed at the top of this posting, if available. Continuous if date is blank.
Note: Applications will be accepted until 11:59 PM on the day prior to the posting end date above.
Estimated Appointment End Date (Continuous if Blank)
Full/Part\-Time
Full time
Job Type
Regular
Compensation
Job Description
As a Sr. Data Engineer with OMES you will enjoy:* Generous leave including 15 days of vacation, 15 days of sick leave and 11 paid holidays annually.
* A comprehensive Benefit Package with a generous benefit allowance to offset the cost of insurance premiums for employees and their eligible dependents.
Job Details* Full\-time 40\-hour work weeks.
* Support the Data Services Team with the Information Services Division.
* Salary is up to $100,000\.00 based on education and experience.
* Position is on\-site in Oklahoma City, OK
Position Summary
As a Senior Data Engineer, you will play a critical role in building and maintaining robust data pipelines that enable advanced analytics initiatives and support data\-driven decision\-making. Leveraging your strong foundation in data modeling, ETL processes, and data warehousing, you will manage complex data engineering projects and demonstrate increased initiative in collaborating with stakeholders at various levels. This position is dedicated to Oklahoma Human Services.
Your responsibilities will include designing and implementing scalable data architectures, ensuring the reliable ingestion and processing of large datasets, and optimizing data storage and retrieval for performance and efficiency. Furthermore, you will contribute significantly to the development and maintenance of data platforms and tools that facilitate efficient data analysis and integration.
With a proven track record of advancing data engineering solutions, you will enhance our team's capabilities in managing our data ecosystem. This role offers a fantastic opportunity to impact our data architecture, refine data management practices, and foster innovation within our organization.
Key Responsibilities* Develops data pipelines to replicate and aggregate data in a data warehouse
* Model data and is responsible for data acquisition and access analysis and design
* Designs and implements archive, recovery, and load strategies
* Determines database structural requirements by analyzing client or internal operations, applications, and programming
* Reviews objectives with clients or internal users and evaluates current systems
* Coordinates new data development, ensuring consistency and providing for integration with existing warehouse structure
* Reviews business requests for data and data usage
* Research data sources for new and better data feeds
* Assists in continuous improvement efforts in enhancing performance and providing increased functionality
* Coordinates testing, monitoring, and alerting to ensure data quality
* Administrates Cloud platform(s)
* Other duties as assigned
Physical Demands and Work Environment
This position works in a comfortable office setting with a computer and telephone for a large percentage of the workday. This position requires long periods, up to eight hours per day, of sitting and working at a desk. The noise level in the work environment is usually mild. Occasional travel may be required.
Minimum Qualifications
Requirements include 10 years of experience in data management and a two\-year degree or certification in computer science, management information systems, data management, or a related field.
Preference will be given to candidates who possess* Knowledge of any data storage systems and techniques
* Knowledge of any data transformation systems and techniques
* Experience developing software
* Ability to produce an accurate, timely and quality product to a customer
* Experience providing provide excellent customer service to both internal and external clients.
* Experience developing data pipelines on cloud computing platforms.
* Experience with cloud data warehouses.
* Experience analyzing business requirements.
* Experience designing solutions to a business problem.
* Experience developing alerts and monitoring for data pipelines
* Familiarity with ticketing and project management systems
About OMES
The Office of Management and Enterprise Services provides excellent service, expert guidance and continuous improvement in support of our partners’ goals. We are a highly qualified workforce committed to serve those who serve Oklahomans and make government run in the most efficient, innovative manner possible.
OMES is an Equal Opportunity Employer. Reasonable accommodation to individuals with disabilities may be provided upon request.
Equal Opportunity Employment
The State of Oklahoma is an equal opportunity employer and does not discriminate on the basis of genetic information, race, religion, color, sex, age, national origin, or disability.
Current active State of Oklahoma employees must apply for open positions internally through the Workday Jobs Hub.
If you are needing any extra assistance or have any questions relating to a job you have applied for, please click the link below and find the agency for which you applied for additional information:
Agency Contact</t>
        </is>
      </c>
    </row>
    <row r="72">
      <c r="A72" t="inlineStr">
        <is>
          <t>in-d17d6fe7d8696f6f</t>
        </is>
      </c>
      <c r="B72" t="inlineStr">
        <is>
          <t>Senior Data Engineer (Bank Tech)</t>
        </is>
      </c>
      <c r="C72" t="inlineStr">
        <is>
          <t>Information Technology Senior Management Forum</t>
        </is>
      </c>
      <c r="D72" t="inlineStr">
        <is>
          <t>indeed</t>
        </is>
      </c>
      <c r="E72">
        <f>HYPERLINK("https://www.indeed.com/viewjob?jk=d17d6fe7d8696f6f", "https://www.indeed.com/viewjob?jk=d17d6fe7d8696f6f")</f>
        <v/>
      </c>
      <c r="F72">
        <f>HYPERLINK("https://jobs.itsmfleaders.org/job/7bsu4e/senior-data-engineer-(bank-tech)/mclean/va", "https://jobs.itsmfleaders.org/job/7bsu4e/senior-data-engineer-(bank-tech)/mclean/va")</f>
        <v/>
      </c>
      <c r="G72" t="inlineStr">
        <is>
          <t>McLean, VA, US</t>
        </is>
      </c>
      <c r="H72" s="3" t="n">
        <v>46037</v>
      </c>
      <c r="I72" t="inlineStr">
        <is>
          <t>Posted Date
1/16/2026
Description
Senior Data Engineer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Data Engineer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73">
      <c r="A73" t="inlineStr">
        <is>
          <t>in-b99243c1de749717</t>
        </is>
      </c>
      <c r="B73" t="inlineStr">
        <is>
          <t>Bigdata Engineer-4</t>
        </is>
      </c>
      <c r="C73" t="inlineStr">
        <is>
          <t>Realign</t>
        </is>
      </c>
      <c r="D73" t="inlineStr">
        <is>
          <t>indeed</t>
        </is>
      </c>
      <c r="E73">
        <f>HYPERLINK("https://www.indeed.com/viewjob?jk=b99243c1de749717", "https://www.indeed.com/viewjob?jk=b99243c1de749717")</f>
        <v/>
      </c>
      <c r="F73">
        <f>HYPERLINK("https://realign-llc.com/careers/job-details/IT134272-4", "https://realign-llc.com/careers/job-details/IT134272-4")</f>
        <v/>
      </c>
      <c r="G73" t="inlineStr">
        <is>
          <t>Phoenix, AZ, US</t>
        </is>
      </c>
      <c r="H73" s="3" t="n">
        <v>46038</v>
      </c>
      <c r="I73" t="inlineStr">
        <is>
          <t>Job Type: Contract
Job Category: IT
Job Description
**Job Title: Bigdata Engineer****Location: Phoenix, AZ – Onsite****Long term Contract**  
**Role Description:\-**  
* Architect and design scalable big data solutions leveraging technologies like Hadoop, Hive, Spark, and Scala.
* Develop and optimize data pipelines and workflows for processing and analyzing large\-scale datasets.
* Manage and fine\-tune distributed computing frameworks to ensure high performance and reliability.
* Collaborate with cross\-functional teams, including data engineers, analysts, and business stakeholders, to gather and define data requirements.
* Implement data security, governance, and compliance measures in big data environments.
* Diagnose and resolve technical issues in big data systems to maintain operational efficiency.
Required Skills
DEVOPS ENGINEER</t>
        </is>
      </c>
    </row>
    <row r="74">
      <c r="A74" t="inlineStr">
        <is>
          <t>in-cc2b2904b3d56048</t>
        </is>
      </c>
      <c r="B74" t="inlineStr">
        <is>
          <t>Analytics and Monitoring / Data Engineer-4</t>
        </is>
      </c>
      <c r="C74" t="inlineStr">
        <is>
          <t>Realign</t>
        </is>
      </c>
      <c r="D74" t="inlineStr">
        <is>
          <t>indeed</t>
        </is>
      </c>
      <c r="E74">
        <f>HYPERLINK("https://www.indeed.com/viewjob?jk=cc2b2904b3d56048", "https://www.indeed.com/viewjob?jk=cc2b2904b3d56048")</f>
        <v/>
      </c>
      <c r="F74">
        <f>HYPERLINK("https://realign-llc.com/careers/job-details/IT1955AN-4", "https://realign-llc.com/careers/job-details/IT1955AN-4")</f>
        <v/>
      </c>
      <c r="G74" t="inlineStr">
        <is>
          <t>Bellevue, WA, US</t>
        </is>
      </c>
      <c r="H74" s="3" t="n">
        <v>46038</v>
      </c>
      <c r="I74" t="inlineStr">
        <is>
          <t>Job Type: Contract
Job Category: IT
Job Description
**Job Title** : Analytics and Monitoring \- Data Engineer**Location :** Bellevue, WA 100% Onsite
**6\+ months****Job Description**  
**Location:** Bellevue, WA 100% Onsite  
**Duration**: 6\+ months  
Experience with Azure Data Factory; Databricks; data governance and security best practices,Kusto; ADLS; POWERBI; PL/SQL  
Required Skills
DEVOPS ENGINEER</t>
        </is>
      </c>
    </row>
    <row r="75">
      <c r="A75" t="inlineStr">
        <is>
          <t>in-66b134e99bc2b241</t>
        </is>
      </c>
      <c r="B75" t="inlineStr">
        <is>
          <t>AWS Data Engineer-3</t>
        </is>
      </c>
      <c r="C75" t="inlineStr">
        <is>
          <t>Realign</t>
        </is>
      </c>
      <c r="D75" t="inlineStr">
        <is>
          <t>indeed</t>
        </is>
      </c>
      <c r="E75">
        <f>HYPERLINK("https://www.indeed.com/viewjob?jk=66b134e99bc2b241", "https://www.indeed.com/viewjob?jk=66b134e99bc2b241")</f>
        <v/>
      </c>
      <c r="F75">
        <f>HYPERLINK("https://realign-llc.com/careers/job-details/IT80914AW-3", "https://realign-llc.com/careers/job-details/IT80914AW-3")</f>
        <v/>
      </c>
      <c r="G75" t="inlineStr">
        <is>
          <t>Austin, TX, US</t>
        </is>
      </c>
      <c r="H75" s="3" t="n">
        <v>46038</v>
      </c>
      <c r="I75" t="inlineStr">
        <is>
          <t>Job Type: Contract
Job Category: IT
Job Description
**Role\- AWS Data Engineer****Location\- Austin Tx, Fort Mill or NY – hybrid****Contract** **Visa\- USC \&amp; GC****Job Description**
Architect and implement data pipelines using AWS Glue for ETL processes.
Design event\-driven workflows using AWS Lambda and Step Functions.
Ensure high availability, scalability, and performance of data solutions.
Develop and maintain infrastructure using **Terraform** for AWS resources.
Implement CI/CD pipelines for automated deployments.
Optimize data ingestion, transformation, and storage strategies.
Ensure data quality, governance, and compliance with security standards.
Lead and mentor a team of data engineers.
Collaborate with cross\-functional teams including Data Scientists, Architects, and DevOps.
Implement monitoring and alerting for data workflows.
Continuously optimize cost and performance of AWS services.
Required Skills
DEVOPS ENGINEER
 SENIOR EMAIL SECURITY ENGINEER</t>
        </is>
      </c>
    </row>
    <row r="76">
      <c r="A76" t="inlineStr">
        <is>
          <t>in-bb67bb07ec8748a4</t>
        </is>
      </c>
      <c r="B76" t="inlineStr">
        <is>
          <t>AWS Data Engineer-3</t>
        </is>
      </c>
      <c r="C76" t="inlineStr">
        <is>
          <t>Realign</t>
        </is>
      </c>
      <c r="D76" t="inlineStr">
        <is>
          <t>indeed</t>
        </is>
      </c>
      <c r="E76">
        <f>HYPERLINK("https://www.indeed.com/viewjob?jk=bb67bb07ec8748a4", "https://www.indeed.com/viewjob?jk=bb67bb07ec8748a4")</f>
        <v/>
      </c>
      <c r="F76">
        <f>HYPERLINK("https://realign-llc.com/careers/job-details/IT80915AW-3", "https://realign-llc.com/careers/job-details/IT80915AW-3")</f>
        <v/>
      </c>
      <c r="G76" t="inlineStr">
        <is>
          <t>Fort Mill, SC, US</t>
        </is>
      </c>
      <c r="H76" s="3" t="n">
        <v>46038</v>
      </c>
      <c r="I76" t="inlineStr">
        <is>
          <t>Job Type: Contract
Job Category: IT
Job Description
**Role\- AWS Data Engineer****Location\- Austin Tx, Fort Mill or NY – hybrid****Contract** **Visa\- USC \&amp; GC****Job Description**
Architect and implement data pipelines using AWS Glue for ETL processes.
Design event\-driven workflows using AWS Lambda and Step Functions.
Ensure high availability, scalability, and performance of data solutions.
Develop and maintain infrastructure using **Terraform** for AWS resources.
Implement CI/CD pipelines for automated deployments.
Optimize data ingestion, transformation, and storage strategies.
Ensure data quality, governance, and compliance with security standards.
Lead and mentor a team of data engineers.
Collaborate with cross\-functional teams including Data Scientists, Architects, and DevOps.
Implement monitoring and alerting for data workflows.
Continuously optimize cost and performance of AWS services.
Required Skills
DEVOPS ENGINEER
 SENIOR EMAIL SECURITY ENGINEER</t>
        </is>
      </c>
    </row>
    <row r="77">
      <c r="A77" t="inlineStr">
        <is>
          <t>in-cf174dfbe3ecf643</t>
        </is>
      </c>
      <c r="B77" t="inlineStr">
        <is>
          <t>AWS Data Engineer-3</t>
        </is>
      </c>
      <c r="C77" t="inlineStr">
        <is>
          <t>Realign</t>
        </is>
      </c>
      <c r="D77" t="inlineStr">
        <is>
          <t>indeed</t>
        </is>
      </c>
      <c r="E77">
        <f>HYPERLINK("https://www.indeed.com/viewjob?jk=cf174dfbe3ecf643", "https://www.indeed.com/viewjob?jk=cf174dfbe3ecf643")</f>
        <v/>
      </c>
      <c r="F77">
        <f>HYPERLINK("https://realign-llc.com/careers/job-details/IT80916AW-3", "https://realign-llc.com/careers/job-details/IT80916AW-3")</f>
        <v/>
      </c>
      <c r="G77" t="inlineStr">
        <is>
          <t>New York, NY, US</t>
        </is>
      </c>
      <c r="H77" s="3" t="n">
        <v>46038</v>
      </c>
      <c r="I77" t="inlineStr">
        <is>
          <t>Job Type: Contract
Job Category: IT
Job Description
**Role\- AWS Data Engineer****Location\- Austin Tx, Fort Mill or NY – hybrid****Contract** **Visa\- USC \&amp; GC****Job Description**
Architect and implement data pipelines using AWS Glue for ETL processes.
Design event\-driven workflows using AWS Lambda and Step Functions.
Ensure high availability, scalability, and performance of data solutions.
Develop and maintain infrastructure using **Terraform** for AWS resources.
Implement CI/CD pipelines for automated deployments.
Optimize data ingestion, transformation, and storage strategies.
Ensure data quality, governance, and compliance with security standards.
Lead and mentor a team of data engineers.
Collaborate with cross\-functional teams including Data Scientists, Architects, and DevOps.
Implement monitoring and alerting for data workflows.
Continuously optimize cost and performance of AWS services.
Required Skills
DEVOPS ENGINEER
 SENIOR EMAIL SECURITY ENGINEER</t>
        </is>
      </c>
    </row>
    <row r="78">
      <c r="A78" t="inlineStr">
        <is>
          <t>in-ba9c37fe0e97b145</t>
        </is>
      </c>
      <c r="B78" t="inlineStr">
        <is>
          <t>ML Engineer/Data Engineer-2</t>
        </is>
      </c>
      <c r="C78" t="inlineStr">
        <is>
          <t>Realign</t>
        </is>
      </c>
      <c r="D78" t="inlineStr">
        <is>
          <t>indeed</t>
        </is>
      </c>
      <c r="E78">
        <f>HYPERLINK("https://www.indeed.com/viewjob?jk=ba9c37fe0e97b145", "https://www.indeed.com/viewjob?jk=ba9c37fe0e97b145")</f>
        <v/>
      </c>
      <c r="F78">
        <f>HYPERLINK("https://realign-llc.com/careers/job-details/IT80938ML-2", "https://realign-llc.com/careers/job-details/IT80938ML-2")</f>
        <v/>
      </c>
      <c r="G78" t="inlineStr">
        <is>
          <t>McLean, VA, US</t>
        </is>
      </c>
      <c r="H78" s="3" t="n">
        <v>46038</v>
      </c>
      <c r="I78" t="inlineStr">
        <is>
          <t>Job Type: Contract
Job Category: IT
Job Description
**Role: ML Engineer/Data Engineer****Location: Mclean, VA (Hybrid 3 days onsite a week)** **Project overview**
This position is for ML decisioning team that own a platform does which does ML decision for mobile /web properties , does Campaign Arbitration through PV(present value ) to measure the ML scoring and show to UI partners. This team comprises of DE/ SE owns date pipeline /API , feature development of these properties .They are increasing the scope of this project by increasing the team to take on ML engineering hence the need to onboard ML engineer. The team is taking over the existing ML data pipeline own by the data science team/model training pipeline. Team is widespread in NY /Mclean .The team would be responsible to own end to end ML infrastructure. They are moving from Reno fast models to transformers models in later this year  
This role will be responsible for operation \&amp; maintenance of pipelines/built on Quickflow /heads down work on optimization/automation , scaling the infrastructure for additional customer to move discover back to customers /releasing ML models everyweek. They already have 1 Data engineer so this role will be focus on ML engineering side who will be partnering with the DE
Required Skills
DEVOPS ENGINEER
 SENIOR EMAIL SECURITY ENGINEER</t>
        </is>
      </c>
    </row>
    <row r="79">
      <c r="A79" t="inlineStr">
        <is>
          <t>in-19dd0343ab887d4a</t>
        </is>
      </c>
      <c r="B79" t="inlineStr">
        <is>
          <t>Data Engineer II</t>
        </is>
      </c>
      <c r="C79" t="inlineStr">
        <is>
          <t>Versant</t>
        </is>
      </c>
      <c r="D79" t="inlineStr">
        <is>
          <t>indeed</t>
        </is>
      </c>
      <c r="E79">
        <f>HYPERLINK("https://www.indeed.com/viewjob?jk=19dd0343ab887d4a", "https://www.indeed.com/viewjob?jk=19dd0343ab887d4a")</f>
        <v/>
      </c>
      <c r="F79">
        <f>HYPERLINK("https://jobs.smartrecruiters.com/Versant3/744000104034924-data-engineer-ii", "https://jobs.smartrecruiters.com/Versant3/744000104034924-data-engineer-ii")</f>
        <v/>
      </c>
      <c r="G79" t="inlineStr">
        <is>
          <t>Englewood Cliffs, NJ, US</t>
        </is>
      </c>
      <c r="H79" s="3" t="n">
        <v>46038</v>
      </c>
      <c r="I79"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As a Data Engineer II, you will be working on our data systems and services with other data engineers to deliver projects and systems critical to Fandango's business. We expect our data engineers to be versatile, display leadership qualities and be enthusiastic about taking on new problems across our businesses as we continue to build great things for fellow movie fans.
Responsibilities
* Contribute to and help team in design, build, testing, scaling, and maintaining data pipelines from a variety of source systems and streams (Internal, third party, cloud based, etc.), according to business and technical requirements.
* Continually work on improving the codebase and have active participation and oversight in all aspects of the team, including agile ceremonies.
* Collaborate with engineers and product managers to understand data needs. Participate in Agile ceremonies (standups, retros, sprint planning, etc.)
* Troubleshoot and fix production issues as they occur.
**Qualifications**  
* Bachelor's degree in Computer Science, Computer Engineering, or related technical field, or equivalent practical experience.
* 5\+ years of applied experience in Data Engineering, including but not limited to: building Data Pipelines, Orchestration, Data Modeling \&amp; Data Lake.
* Programming skills in one or more of the following: Python, Java, Scala, plus SQL and experience in writing reusable/efficient code to automate analysis and data processes.
* Experience in Data Warehousing (Relational and dimensional data modeling).
* Strong working experience with a variety of data sources such as APIs, real\-time feeds, structured and semi\-structured file formats.
* Experience with processing large datasets and building code using Glue, Apache Airflow / Amazon MWAA, SQL, Python, and pySpark. Experience of near Real Time \&amp; Batch Data Pipeline development.
* Experience with AWS data management (S3, Redshift, DynamoDB) and related tools (Athena, EMR, Glue, Lambda).
* Experience working in an agile/scrum environment.
Desired Characteristics
* Familiar with software build, release, deployment and monitoring tools and practices.
* Experience with Talend, Informatica, or other off\-the\-shelf ETL tools.
* Experience working with Terraform.
* Strong Test\-Driven Development background, with understanding of levels of testing required to continuously deliver value to production.
* Team\-oriented and collaborative approach with a demonstrated aptitude, enthusiasm, and willingness to learn new methods, tools, practices, and skills.
* Ability to work effectively across functions, disciplines, and levels
Fully Remote: This position has been designated as fully remote, meaning that the position is expected to contribute from a non\-Versant worksite, most commonly an employee’s residence.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80">
      <c r="A80" t="inlineStr">
        <is>
          <t>in-93a46df05ec0f86c</t>
        </is>
      </c>
      <c r="B80" t="inlineStr">
        <is>
          <t>Principal, Data Engineer</t>
        </is>
      </c>
      <c r="C80" t="inlineStr">
        <is>
          <t>American Tower</t>
        </is>
      </c>
      <c r="D80" t="inlineStr">
        <is>
          <t>indeed</t>
        </is>
      </c>
      <c r="E80">
        <f>HYPERLINK("https://www.indeed.com/viewjob?jk=93a46df05ec0f86c", "https://www.indeed.com/viewjob?jk=93a46df05ec0f86c")</f>
        <v/>
      </c>
      <c r="F80">
        <f>HYPERLINK("https://careers.americantower.com/#en/sites/CX_1/job/2296", "https://careers.americantower.com/#en/sites/CX_1/job/2296")</f>
        <v/>
      </c>
      <c r="G80" t="inlineStr">
        <is>
          <t>Woburn, MA, US</t>
        </is>
      </c>
      <c r="H80" s="3" t="n">
        <v>46037</v>
      </c>
      <c r="I80" t="inlineStr">
        <is>
          <t>**The Team**
We are seeking a Principal Data Engineer to join American Tower’s Information Technology organization’s Data \&amp; Analytics team. The team architects, builds, and optimizes cloud\-native data foundations that enable analytics, artificial intelligence (“AI”), and enterprise\-scale data products.
Day to day you will design and evolve the enterprise data platform, lead complex solution design, and embed governance enforcement through technical controls. As a Principal Data Engineer, you will set engineering standards, mentor engineers, and collaborate extensively with decentralized analytics teams across the Global Operations, Finance, and Sales departments to accelerate value delivery.
American Tower is a global digital infrastructure company serving customers through tower sites and other real estate solutions that support connectivity and opportunity, focused on achieving our vision of Building a More Connected World. Our success is rooted in the potential of our people and the power of local teams at our offices and sites across 25 countries.
We are one of the largest global Real Estate Investment Trusts (REITs) and a publicly traded (NYSE:AMT), Fortune 500 Company headquartered in Boston, Massachusetts. The next decade will be an exciting time as we evolve our infrastructure to meet tomorrow’s needs and position our people to elevate their impact, their potential, and our shared success. Come grow your career with us!
For more information about how American Tower is building a more connected world, visit americantower.com
American Tower is proud to be an equal opportunity employer and will not discriminate against an applicant or employee based on age, sex, sexual orientation, gender identity, race, color, creed, religion, national origin or ancestry, citizenship, marital status, familial status, disability, military or veteran status, genetic information, pregnancy, reproductive decisions, or any other characteristic protected under applicable law.  
American Tower is committed to fair and equitable compensation practices. Placement within the salary range is based on a variety of factors, including relevant experience, skills, certifications, job level, and location. For U.S.\-based candidates only, please see the base salary range for this position listed below. This position is also eligible for annual bonus, and annual equity award and participation in the Employee Stock Purchase Plan (ESPP). For candidates outside of the U.S., salary and benefits are based upon local market practice.
American Tower also offers a comprehensive benefits package, which includes healthcare coverage, a 401(k) savings plan, paid time off, company holidays, sick leave, parental leave, and access to an Employee Assistance Program focused on mental and financial wellness, please click here to learn more.
**What You Need to Succeed**
* Bachelor’s degree required, with a concentration in Computer Science, Statistics, Applied Mathematics, or a related quantitative field preferred.
* Master’s degree in a related field preferred.
* A minimum of 8 years of data engineering or data platform development experience with at least 5 years as a senior or principal\-level technical leader required.
* Expert\-level proficiency in Structured Query Language, Python programming language, and large\-scale processing with Apache Spark or PySpark.
* Deep experience with major cloud platforms such as Amazon Web Services, Microsoft Azure, or Google Cloud Platform, and with modern data platforms such as Databricks or Snowflake.
* Strong understanding of streaming technologies such as Apache Kafka or Amazon Kinesis, orchestration tools such as Apache Airflow, and transformation frameworks such as Data Build Tool.
* Mastery of data modeling, semantic modeling, and performance tuning across data warehouse, lakehouse, and streaming architectures.
* Ability to implement technical governance (data quality, lineage, metadata, access management, and privacy controls) and establish engineering standards (CI/CD, infrastructure as code, and automated testing).
* Ability to lead complex technical design, influence without authority, and mentor engineers to raise the technical bar.
* Strong written and oral communication skills, including the ability to present ideas and suggestions clearly and effectively.
* Ability to work with different functional groups and levels of employees to effectively and professionally achieve results.
* Strong organizational skills; ability to accomplish multiple tasks within the agreed\-upon timeframes through effective prioritization of duties and functions in a fast\-paced environment.
**What You Can Offer Us**
* Architect and evolve the enterprise data platform including ingestion, transformation, storage, orchestration, and serving layers for batch and streaming use cases.
* Design and implement end\-to\-end data pipelines, reusable frameworks, and enterprise data models (dimensional, data vault, domain\-oriented) to power analytics, AI, and operational use cases.
* Define and operationalize the semantic data layer and embed governance enforcement through technical controls (data quality, validation, lineage, metadata, access).
* Establish engineering standards for coding, testing, version control, documentation, and continuous integration/continuous delivery (“CI/CD”); optimize cost, performance, and scalability using FinOps principles.
* Lead design reviews, root cause analyses, and incident responses; partner with the Data Science team to productionize models and enable real\-time/batch inference.
* Collaborate with Data Products, IT, security, and architecture teams to deliver secure, resilient, and compliant data products with strong service level agreements.
* Evaluate emerging technologies, guide build\-versus\-buy decisions, and mentor engineers through code reviews, technical talks, and best practices.
* Engage decentralized analytics teams to share standards and reusable components while avoiding duplication of efforts.
* Other duties as assigned.</t>
        </is>
      </c>
    </row>
    <row r="81">
      <c r="A81" t="inlineStr">
        <is>
          <t>in-b376fcb244b4e3bf</t>
        </is>
      </c>
      <c r="B81" t="inlineStr">
        <is>
          <t>Full-Stack Data Engineer</t>
        </is>
      </c>
      <c r="C81" t="inlineStr">
        <is>
          <t>The Hearst Corporation</t>
        </is>
      </c>
      <c r="D81" t="inlineStr">
        <is>
          <t>indeed</t>
        </is>
      </c>
      <c r="E81">
        <f>HYPERLINK("https://www.indeed.com/viewjob?jk=b376fcb244b4e3bf", "https://www.indeed.com/viewjob?jk=b376fcb244b4e3bf")</f>
        <v/>
      </c>
      <c r="F81">
        <f>HYPERLINK("https://eevd.fa.us6.oraclecloud.com/hcmUI/CandidateExperience/en/sites/CX_1/job/2025825", "https://eevd.fa.us6.oraclecloud.com/hcmUI/CandidateExperience/en/sites/CX_1/job/2025825")</f>
        <v/>
      </c>
      <c r="G81" t="inlineStr">
        <is>
          <t>Troy, MI, US</t>
        </is>
      </c>
      <c r="H81" s="3" t="n">
        <v>46037</v>
      </c>
      <c r="I81" t="inlineStr">
        <is>
          <t>**FULL\-STACK DATA ENGINEER at MOTOR INFORMATION SYSTEMS**
MOTOR Information Systems, an operating group of Hearst, is actively seeking a Full\-Stack Data Engineer. Ideally, a hands\-on data engineer who possesses a strong passion for designing, optimizing, refactoring, and upgrading complex data solutions! MOTOR’s primary product is Automotive Content, and we need someone who can help us support our Insights\-based product suite.
We are looking for someone who wants to be part of our mission to transform the future. We have a rare opportunity for you to use your talent, passion, and expertise to help drive this massive change in how we build our user experience across our product lines, and how consumers experience the MOTOR Product Platform.
This position offers excellent career growth and promotional opportunities, stellar compensation, and the ability to work with the world's premier provider of aftermarket automotive data. Hearst/MOTOR Information Systems will be the best and last place you’ll ever work!
**Required Experience (Must Have)**
* Expert Python Developer
* Strong SQL Developer
* Strong AWS Experience (Lambda, Glue, State Machines, Fargate, Cloud Formation, RedShift)
* Strong Experience with Semi\-Structured Data (XML, CSV, JSON, Parquet)
* Strong Automation Experience
* Experience with Databricks (Delta Lake, Notebooks, SQL Analytics)
* Experience with Kubernetes (Cluster Orchestration, Container Networking, Pod Management)
* Experience with DevOps, CI/CD, Deployment Orchestration (Octopus Deploy)
* Experience with Git and Azure DevOps
* Experience with Agentic AI (LangGraph, MCP Servers, Agent Frameworks)
* Experience with Data Handling (Pandas / NumPy, Apache Spark, Ray)
**Helpful Experience (Nice to Have)**
* Experience with LLMs, Machine Learning \&amp; Deep Learning Libraries, AI Application Frameworks, Vector Databases
* Experience with Automotive Data / Industry
* Experience with Agile / Scrum
Primary Responsibilities
* Analyze large, and complex, data sets
* Design, develop and coordinate the generation of Data Pipelines
* Work collaboratively with team to plan and solve complex problems
* Design for, or optimize existing pipelines, for performance and cost
EEO EMPLOYER
Degree Level : Bachelor's Degree</t>
        </is>
      </c>
    </row>
    <row r="82">
      <c r="A82" t="inlineStr">
        <is>
          <t>in-a46adee924fc2e80</t>
        </is>
      </c>
      <c r="B82" t="inlineStr">
        <is>
          <t>Senior Data Engineer</t>
        </is>
      </c>
      <c r="C82" t="inlineStr">
        <is>
          <t>Steampunk</t>
        </is>
      </c>
      <c r="D82" t="inlineStr">
        <is>
          <t>indeed</t>
        </is>
      </c>
      <c r="E82">
        <f>HYPERLINK("https://www.indeed.com/viewjob?jk=a46adee924fc2e80", "https://www.indeed.com/viewjob?jk=a46adee924fc2e80")</f>
        <v/>
      </c>
      <c r="F82">
        <f>HYPERLINK("https://careers-steampunk.icims.com/jobs/7320/job?utm_source=indeed_integration&amp;iis=Job%20Board&amp;iisn=Indeed&amp;indeed-apply-token=73a2d2b2a8d6d5c0a62696875eaebd669103652d3f0c2cd5445d3e66b1592b0f", "https://careers-steampunk.icims.com/jobs/7320/job?utm_source=indeed_integration&amp;iis=Job%20Board&amp;iisn=Indeed&amp;indeed-apply-token=73a2d2b2a8d6d5c0a62696875eaebd669103652d3f0c2cd5445d3e66b1592b0f")</f>
        <v/>
      </c>
      <c r="G82" t="inlineStr">
        <is>
          <t>McLean, VA, US</t>
        </is>
      </c>
      <c r="H82" s="3" t="n">
        <v>46037</v>
      </c>
      <c r="I82" t="inlineStr">
        <is>
          <t>Overview:
We are looking for seasoned **Senior Data Engineer** to work with our team and our clients to develop enterprise grade data platforms, services, and pipelines. We are looking for more than just a "Senior Data Engineer", but a technologist with excellent communication and customer service skills and a passion for data and problem solving.
Contributions:  
* Lead and architect migration of data environments with performance and reliability.
* Assess and understand the ETL jobs, workflows, PowerBI and PowerApps
* Address technical inquiries concerning customization, integration, enterprise architecture and general feature / functionality of data products
* Experience in crafting database / data warehouse solutions in cloud (Preferably Azure)
* Key must have skill sets – Python, SQL, Databricks and Azure
* Support an Agile software development lifecycle
* You will contribute to the growth of our Data Exploitation Practice!
Qualifications:
**Qualifications:*** Ability to hold a position of public trust with the US government.
* 12\+ years of experience with a Bachelors Degree or 8\+ years with a Masters Degree.
* 8\-12 years industry experience coding commercial software and a passion for solving complex problems.
* 8\-12 years direct experience in Data Engineering with experience in tools such as:
	+ Big data tools: Hadoop, Spark, Kafka, etc.
	+ Relational SQL and NoSQL databases, including Postgres and Cassandra.
	+ Data pipeline and workflow management tools: Azkaban, Luigi, Airflow, etc.
	+ AWS cloud services: EC2, EMR, RDS, Redshift (or Azure equivalents)
	+ Data streaming systems: Storm, Spark\-Streaming, etc.
	+ Search tools: Solr, Lucene, Elasticsearch
	+ Object\-oriented/object function scripting languages: Python, Java, C\+\+, Scala, etc.
* Advanced working SQL knowledge and experience working with relational databases, query authoring and optimization (SQL) as well as working familiarity with a variety of databases.
* Experience with message queuing, stream processing, and highly scalable ‘big data’ data stores.
* Experience manipulating, processing, and extracting value from large, disconnected datasets.
* Experience manipulating structured and unstructured data for analysis
* Experience constructing complex queries to analyze results using databases or in a data processing development environment
* Experience with data modeling tools and process
* Experience architecting data systems (transactional and warehouses)
* Experience aggregating results and/or compiling information for reporting from multiple datasets
* Experience working in an Agile environment
* Experience supporting project teams of developers and data scientists who build web\-based interfaces, dashboards, reports, and analytics/machine learning models
About **steampunk**:
Steampunk relies on several factors to determine salary, including but not limited to geographic location, contractual requirements, education, knowledge, skills, competencies, and experience. The projected compensation range for this position is $140,000 to $180,000\. The estimate displayed represents a typical annual salary range for this position. Annual salary is just one aspect of Steampunk’s total compensation package for employees. Learn more about additional Steampunk benefits here. **Identity Statement**
As part of the application process, you are expected to be on camera during interviews and assessments. We reserve the right to take your picture to verify your identity and prevent fraud.  
Steampunk is a **Change Agent** in the Federal contracting industry, bringing new thinking to clients in the Homeland, Federal Civilian, Health and DoD sectors. Through our **Human\-Centered delivery methodology**, we are fundamentally changing the expectations our Federal clients have for true shared accountability in solving their toughest mission challenges. As an **employee owned company**, we focus on investing in our employees to enable them to do the greatest work of their careers – and rewarding them for outstanding contributions to our growth. If you want to learn more about our story, visit http://www.steampunk.com. *We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t>
        </is>
      </c>
    </row>
    <row r="83">
      <c r="A83" t="inlineStr">
        <is>
          <t>in-361f1c6e96dcf69d</t>
        </is>
      </c>
      <c r="B83" t="inlineStr">
        <is>
          <t>Data Engineer</t>
        </is>
      </c>
      <c r="C83" t="inlineStr">
        <is>
          <t>Booz Allen Hamilton</t>
        </is>
      </c>
      <c r="D83" t="inlineStr">
        <is>
          <t>indeed</t>
        </is>
      </c>
      <c r="E83">
        <f>HYPERLINK("https://www.indeed.com/viewjob?jk=361f1c6e96dcf69d", "https://www.indeed.com/viewjob?jk=361f1c6e96dcf69d")</f>
        <v/>
      </c>
      <c r="F83">
        <f>HYPERLINK("https://careers.boozallen.com/careers/JobDetail?jobId=119675", "https://careers.boozallen.com/careers/JobDetail?jobId=119675")</f>
        <v/>
      </c>
      <c r="G83" t="inlineStr">
        <is>
          <t>Washington, DC, US</t>
        </is>
      </c>
      <c r="H83" s="3" t="n">
        <v>46037</v>
      </c>
      <c r="I83" t="inlineStr">
        <is>
          <t>Data Engineer**The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professional like you to help our clients find answers in their data to impact important missions—from fraud detection to cancer research to national intelligence.
As a Data Engineer at Booz Allen, you’ll use your expertise to help build advanced technology solutions and lead data engineering activities on some of the most mission\-driven projects in the industry. You’ll guide data engineering activities by overseeing the development and deployment of pipelines and platforms that organize and make disparate data meaningful.
Here, you’ll mentor a multi\-disciplinary team of analysts, data engineers, developers, and data consumers in a fast\-paced, agile environment. You’ll use your expertise in analytical exploration and data examination while you oversee the assessment, design, building, and maintenance of scalable platforms for your clients.
Work with us to use data for good.
Join us. The world can’t wait.
**You Have:**
* 2\+ years of experience in data engineering, including architecture and modeling
* 2\+ years of experience designing data pipelines with Python for retrieving, parsing, and processing structured and unstructured data
* 2\+ years of experience developing scalable ETL or ELT workflows for reporting and analytics
* Experience with a cloud platform such as AWS, Microsoft Azure, or Google Cloud
* Experience with distributed data or computing tools, including Spark, Databricks, Hadoop, Hive, AWS EMR, or Kafka
* Experience with Operational Data Stores (ODS) in database administration, including tuning, indexing, and access controls
* Experience with AWS Glue and AWS EMR
* Knowledge of medallion architecture for structuring data lakes
* Ability to obtain and maintain a Public Trust or Suitability/Fitness determination based on client requirements
* Bachelor’s degree
**Nice If You Have:**
* 2\+ years of experience with UNIX or Linux, including basic commands and Shell scripting
* 2\+ years of experience with Agile engineering practices
* 2\+ years of experience with NoSQL implementation, including MongoDB or Cassandra
* 2\+ years of experience with data warehousing, including AWS Redshift, MySQL, MSSQL, Oracle, PostgreSQL, or Snowflake
* Experience with modernizing financial systems
* Experience supporting a multi\-cloud environment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84">
      <c r="A84" t="inlineStr">
        <is>
          <t>in-1cf52d452cbb33c0</t>
        </is>
      </c>
      <c r="B84" t="inlineStr">
        <is>
          <t>Data Engineer and Application Developer</t>
        </is>
      </c>
      <c r="C84" t="inlineStr">
        <is>
          <t>Booz Allen Hamilton</t>
        </is>
      </c>
      <c r="D84" t="inlineStr">
        <is>
          <t>indeed</t>
        </is>
      </c>
      <c r="E84">
        <f>HYPERLINK("https://www.indeed.com/viewjob?jk=1cf52d452cbb33c0", "https://www.indeed.com/viewjob?jk=1cf52d452cbb33c0")</f>
        <v/>
      </c>
      <c r="F84">
        <f>HYPERLINK("https://careers.boozallen.com/careers/JobDetail?jobId=119665", "https://careers.boozallen.com/careers/JobDetail?jobId=119665")</f>
        <v/>
      </c>
      <c r="G84" t="inlineStr">
        <is>
          <t>Honolulu, HI, US</t>
        </is>
      </c>
      <c r="H84" s="3" t="n">
        <v>46037</v>
      </c>
      <c r="I84" t="inlineStr">
        <is>
          <t>Data Engineer and Application Developer**The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missions—from fraud detection to cancer research to national intelligence.
As a data engineer at Booz Allen, you’ll use your skills and experience to help build advanced technology solutions and implement data engineering activities on some of the most mission\-driven projects in the industry. You’ll develop and deploy the pipelines and platforms that organize and make disparate data meaningful.
Here, you’ll work with a multi\-disciplinary team of analysts, data engineers, developers, and data consumers in a fast\-paced, agile environment. You’ll sharpen your skills in analytical exploration and data examination while you support the assessment, design, developing, and maintenance of scalable platforms for your clients.
Work with us to use data for good.
Join us. The world can’t wait.
**You Have:**
* 2\+ years of experience utilizing programming languages, including C\+\+, Java, or Python
* 2\+ years of experience developing and maintaining scalable data stores that supply big data in forms needed for business analysis
* Experience creating solutions within a collaborative, cross\-functional team environment
* Experience developing scripts and programs for converting various types of data into usable formats and supporting project team to scale, monitor, and operate data platforms
* TS/SCI clearance
* Bachelor's degree and 2\+ years of experience with data engineering, including application, or software development in a professional work environment, or 3\+ years of experience with data engineering, including application, or software development in a professional work environment in lieu of a degree
**Nice If You Have:**
* Experience in application development utilizing SQL or Scala
* Experience with Palantir Foundry
* Experience working with Maven Smart Systems
* Experience with distributed data and computing tools, such as Spark, Databricks, Hadoop, Hive, AWS EMR, or Kafka
* Experience working on real\-time data and streaming applications
* Experience with NoSQL implementation using MongoDB or Cassandra
* Experience with data warehousing, including AWS Redshift, MySQL, or Snowflake
* Experience with advanced automation of software delivery, including infrastructure‑as‑code, such as Terraform or AWS CloudFormation, containerization, such as Docker, and orchestration, such as Kubernetes or EKS, aligned to DevSecOps practices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85">
      <c r="A85" t="inlineStr">
        <is>
          <t>in-350f09fa7c9c153d</t>
        </is>
      </c>
      <c r="B85" t="inlineStr">
        <is>
          <t>Data Engineer and Application Developer</t>
        </is>
      </c>
      <c r="C85" t="inlineStr">
        <is>
          <t>Booz Allen Hamilton</t>
        </is>
      </c>
      <c r="D85" t="inlineStr">
        <is>
          <t>indeed</t>
        </is>
      </c>
      <c r="E85">
        <f>HYPERLINK("https://www.indeed.com/viewjob?jk=350f09fa7c9c153d", "https://www.indeed.com/viewjob?jk=350f09fa7c9c153d")</f>
        <v/>
      </c>
      <c r="F85">
        <f>HYPERLINK("https://careers.boozallen.com/careers/JobDetail?jobId=119664", "https://careers.boozallen.com/careers/JobDetail?jobId=119664")</f>
        <v/>
      </c>
      <c r="G85" t="inlineStr">
        <is>
          <t>Honolulu, HI, US</t>
        </is>
      </c>
      <c r="H85" s="3" t="n">
        <v>46037</v>
      </c>
      <c r="I85" t="inlineStr">
        <is>
          <t>Data Engineer and Application Developer**The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missions—from fraud detection to cancer research to national intelligence.
As a Data Engineer and Application Developer at Booz Allen, you’ll use your skills and experience to help build advanced technology solutions and implement data engineering activities on some of the most mission\-driven projects in the industry. You’ll develop and deploy the pipelines and platforms that organize and make disparate data meaningful.
Here, you’ll work with a multi\-disciplinary team of analysts, data engineers, developers, and data consumers in a fast\-paced, agile environment. You’ll sharpen your skills in analytical exploration and data examination while you support the assessment, design, development, and maintenance of scalable platforms for your clients.
Work with us to use data for good.
Join us. The world can’t wait.
**You Have:**
* 3\+ years of experience analyzing and managing data, including data visualization, data management, data governance, data strategy, and data engineering
* 3\+ years of experience using Microsoft Power Platform, including Power BI, Power Apps or Power Automate, to help improve business processes and analytics
* 2\+ years of experience utilizing programming languages, including C\+\+, Java, or Python
* 2\+ years of experience developing and maintaining scalable data stores that supply big data in forms needed for business analysis
* Experience creating solutions within a collaborative, cross\-functional team environment
* Experience developing scripts and programs for converting various types of data into usable formats and supporting project teams to scale, monitor, and operate data platforms
* Experience with automated workflows and documentation using Power Automate and developing canvas and model\-driven apps
* Secret clearance
* Bachelor's degree
**Nice If You Have:**
* Experience with MS Dataverse
* Experience in application development utilizing SQL or Scala
* Experience working with Maven Smart Systems such as Foundry and AIP
* Experience with distributed data and computing tools such as Spark, Databricks, Hadoop, Hive, AWS EMR, or Kafka
* Experience with advanced automation of software delivery, including infrastructure‑as‑code such as Terraform or AWS CloudFormation, containerization such as Docker, and orchestration such as Kubernetes or EKS, aligned to DevSecOps practices
* Microsoft Certification, including Power Platform Certification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86">
      <c r="A86" t="inlineStr">
        <is>
          <t>in-4b01c4f96fd5d85d</t>
        </is>
      </c>
      <c r="B86" t="inlineStr">
        <is>
          <t>Sr. Data Engineer</t>
        </is>
      </c>
      <c r="C86" t="inlineStr">
        <is>
          <t>Foot Locker</t>
        </is>
      </c>
      <c r="D86" t="inlineStr">
        <is>
          <t>indeed</t>
        </is>
      </c>
      <c r="E86">
        <f>HYPERLINK("https://www.indeed.com/viewjob?jk=4b01c4f96fd5d85d", "https://www.indeed.com/viewjob?jk=4b01c4f96fd5d85d")</f>
        <v/>
      </c>
      <c r="F86">
        <f>HYPERLINK("https://careers.footlocker.com/jobs/67229/job?utm_source=indeed_integration&amp;iis=Job%20Board&amp;iisn=Indeed&amp;indeed-apply-token=73a2d2b2a8d6d5c0a62696875eaebd669103652d3f0c2cd5445d3e66b1592b0f", "https://careers.footlocker.com/jobs/67229/job?utm_source=indeed_integration&amp;iis=Job%20Board&amp;iisn=Indeed&amp;indeed-apply-token=73a2d2b2a8d6d5c0a62696875eaebd669103652d3f0c2cd5445d3e66b1592b0f")</f>
        <v/>
      </c>
      <c r="G86" t="inlineStr">
        <is>
          <t>Irving, TX, US</t>
        </is>
      </c>
      <c r="H86" s="3" t="n">
        <v>46037</v>
      </c>
      <c r="I86" t="inlineStr">
        <is>
          <t>Overview:
**(This positions will require you to be hybrid in Irving, TX office 3 days a week.)**  
Foot Locker, Inc. is seeking an innovative individual who has a proven track record of building enterprise level platform components to support product development from multiple teams and lines of business. This role isexpected to drive innovation through collaboration across our data science teams and business to help push Foot Locker, inc. to the next level. The team is embarking on a journey of building a brand new data lake platform built using cloud native concepts and the latest tech stacks.
Responsibilities:
* Build new data sets, and products helping support Foot Locker business initiatives.
* Help grow our data catalog through ingestions of a variety of third party data sources, both internal and external
* Must be able to contribute to self\-organizing teams with minimal supervision working within the Agile/ Scrum project methodology
* Participate in the continuous envolution of our schema / data model as we find more data sources to pull into the platform
* Support our Data Scientists by helping enhance their modeling jobs to be more scalable when modeling across the entire data set
* Participate in a collaborative, peer review based environment fostering new ideas via crossteam guilds / specialty groups
* Maintain comprehensive documentation around our processes / decision making
Qualifications:
* Bachelors Degree in Computer science or related field,
* Minimum 5 years of data engineering or PowerBI development experience.
* Extensive experience in Data modeling (Data Marts, Star/Snowflake, Normalization, SCD2\)
* Experience with RDMS(SQL,PostgreSQL),Data warehousing and Business Intelligence
* Experience with one or more Reporting/Dashboarding tool.
* Advanced SQL programming skills
* Demonstrated experience with agile scrum methodology
* Strong desire to learn new technologies and keep up with the latest technologies in the big data space
* Must possess well\-developed verbal and written communication skills.
 **Preferred (Nice\-to\-have):*** Public cloud experience, preferably Azure or AWS
* Experience with Snowflake database, Spark, Databricks, Python and NOSQL is a plus.
* Experience with enabling Data Science and Self Service product development with clean, reliable data sets.
 **At this time, Foot Locker will not sponsor a new applicant for employment authorization, or offer any immigration related support for this position (i.e. H1B, F\-1 OPT, F\-1 STEM OPT, F\-1 CPT, J\-1, TN, or another type of work authorization).** *At Foot Locker, we value innovation, authenticity, and integrity in all that we do. To uphold the security and fairness of our hiring process, we ask that candidates refrain from using AI tools, including ChatGPT, during interviews and assessments. To ensure a smooth and secure experience, please review the following guidelines:** *Cameras must be on for all virtual interviews.*
* *AI tools are strictly prohibited during interviews or assessments.*
*We appreciate your understanding and cooperation as we work together to create a transparent and equitable hiring experience.*
Benefits:
The annual base salary range is $78,500 \- $130,000\. This range represents the anticipated low and high end of the salary for this position. This role is also eligible to receive short term incentives that align with individual and company performance. Salary will be determined by the education, experience, knowledge, skills, and abilities of the applicant, internal equity, and alignment with market data. Salary is one component of the Foot Locker, Inc. total compensation package, which includes the below.
 **Foot Locker Benefits**:
* Employee Discount
* Paid Time Off
* Medical \| Dental \| Vision Coverage
* 401(k) \| Roth 401(k)
* Life Insurance
* Flexible Spending Account
* Opportunities for Advancement
* Tuition Reimbursement for Qualified Courses
* Strong Company Culture
* Employee Resource Groups
\#LI\-KS1</t>
        </is>
      </c>
    </row>
    <row r="87">
      <c r="A87" t="inlineStr">
        <is>
          <t>in-d963a544c942b9b1</t>
        </is>
      </c>
      <c r="B87" t="inlineStr">
        <is>
          <t>Data Engineer</t>
        </is>
      </c>
      <c r="C87" t="inlineStr">
        <is>
          <t>Fidelity TalentSource</t>
        </is>
      </c>
      <c r="D87" t="inlineStr">
        <is>
          <t>indeed</t>
        </is>
      </c>
      <c r="E87">
        <f>HYPERLINK("https://www.indeed.com/viewjob?jk=d963a544c942b9b1", "https://www.indeed.com/viewjob?jk=d963a544c942b9b1")</f>
        <v/>
      </c>
      <c r="F87">
        <f>HYPERLINK("https://www.fidelitytalentsource.com/job-search/180060/data-engineer/?job-id=180060&amp;source=Indeed", "https://www.fidelitytalentsource.com/job-search/180060/data-engineer/?job-id=180060&amp;source=Indeed")</f>
        <v/>
      </c>
      <c r="G87" t="inlineStr">
        <is>
          <t>Durham, NC, US</t>
        </is>
      </c>
      <c r="H87" s="3" t="n">
        <v>46037</v>
      </c>
      <c r="I87" t="inlineStr">
        <is>
          <t>Fidelity TalentSource is your destination for discovering your next temporary role at Fidelity Investments. We are currently sourcing for a Data Engineer to work in Durham, NC!
### **The Role**
Fidelity’s Financial Intelligence Unit is looking for a technologist to join our technology enablement team. This team deploys advanced analytics to detect and combat cyber risks for financial products and services. Builds and develops databases, using DB2, PostgreSQL, Snowflake, NoSQL, and ETL processes. Designs solutions with databases and data modeling. Ensures data access and processes flows in a heterogeneous environment. Writes database stored procedures, functions, automation routines, and loaders. Performs SQL tuning and optimization. Designs and implements database technologies for fraud detection and prevention engines.
### **Required Technical Skills**
* Bachelor’s or master’s degree or equivalent experience in a technology related field like Computer Science or Engineering with consistent track record.
* Building technical infrastructure required for efficient Extraction, Transformation, and Loading (ETL) of data from a wide variety of data sources by improving object\-oriented/object function scripting languages such as Python.
* Expertise with relational databases, Splunk, Snowflake, YugabyteDB, Aerospike, S3 and similar data management platforms.
* Object oriented Python programming and proven experience with machine learning libraries \- Pandas, NumPy, Scikit\-learn, etc.
* Hands on event\-based systems, functional programming, new technologies and messaging frameworks such as Kafka.
* Ensures alignment with enterprise data architecture strategies.
* Improves data availability via APIs and shared services and recommends optimization solutions using cloud technologies for data processing, storage, and advanced analytics.
* Provides technical mentorship for cyber security on database technologies.
* Performs risk assessments and implements validation of data processing system to ensure app functionality and security measures.
* Performs independent and sophisticated technical and functional analysis for multiple projects supporting several divisional initiatives.
* Experience with DB2, writing and stored procedures to process data is
* Data parsing/analytics experience in large data sets using Python, scripting, and other similar technologies, integrating with and consuming APIs.
* Familiarity with quantitative techniques and methods, statistics, econometrics – including probability, linear regression, time series data analysis and optimizations.
* Knowledge of hybrid on\-prem and cloud data architectures and services, especially data streaming, storage and processing functionality
* Experience in Agile methodologies (Kanban and SCRUM) is a plus.
### **The Value You Deliver**
* Strong analytical skills and ability to tackle issues and work through ambiguous situations by making timely decisions based on facts, knowledge, experience and judgment.
* Good interpersonal and client\-handling skills with the ability to handle expectations and explain technical details.
* Multitasks, prioritizes tasks, and quickly adjusts in a constantly evolving environment.
* Collaborate with business and technology groups and should be able to present formal and informal presentations in various settings: one\-on\-one, small, and large groups, with peers, and senior management.
* Ability to navigate organizationally to accomplish tasks and work on multiple efforts simultaneously and ability to work with multi\-functional teams located across geographies.
* Excellent conflict management and negotiation skills; eager to learn and continuously develop personal and technical capabilities.
* High level of dedication, initiative, vision, passion and professional approach to time, costs, and deadlines.
* Ability to handle production issues with accuracy and attention to detail; a methodical, investigative, and inquisitive mind; together with creative abilities.
* Design robust batch and streaming programs and adhering to standards and best practices for these databases.
* Enjoy analyzing data, identifying gaps, issues, patterns, and trends and can analyze application dependencies and conduct impact assessment of changes.
Most roles at Fidelity are Hybrid, requiring associates to work onsite every other week (all business days, M\-F) in a Fidelity office. This does not apply to Remote or fully Onsite roles.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
### **Company Overview**
At Fidelity, we are passionate about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For information about working at Fidelity, visit FidelityCareers.com. Fidelity Investments is an equal opportunity employer. Fidelity will reasonably accommodate applicants with disabilities who need adjustments to complete the application or interview process.  
Fidelity TalentSource, is the in\-house temporary staffing provider for Fidelity Investments. Unlike traditional staffing agencies, we are an internal business unit within Fidelity’s Talent Acquisition team, dedicated to recruiting talent from various backgrounds for roles in Fidelity’s regional and investor center locations. Our mission is to help you experience Fidelity’s diverse and inclusive workplace while expanding your skill set and professional network, with the ultimate goal of conversion to full\-time employment as part of Fidelity’s long\-term strategy.  
For information about working at Fidelity TalentSource, visit FTSJobs.com.  
Fidelity TalentSource will reasonably accommodate applicants with disabilities who need adjustments in order to complete the application or interview process. Please email us at HR@ftsjobs.com if you would like to request an accommodation.</t>
        </is>
      </c>
    </row>
    <row r="88">
      <c r="A88" t="inlineStr">
        <is>
          <t>in-a0d42c251ec20a56</t>
        </is>
      </c>
      <c r="B88" t="inlineStr">
        <is>
          <t>BI Engineer</t>
        </is>
      </c>
      <c r="C88" t="inlineStr">
        <is>
          <t>OverHaul Group</t>
        </is>
      </c>
      <c r="D88" t="inlineStr">
        <is>
          <t>indeed</t>
        </is>
      </c>
      <c r="E88">
        <f>HYPERLINK("https://www.indeed.com/viewjob?jk=a0d42c251ec20a56", "https://www.indeed.com/viewjob?jk=a0d42c251ec20a56")</f>
        <v/>
      </c>
      <c r="F88">
        <f>HYPERLINK("https://workforcenow.adp.com/mascsr/default/mdf/recruitment/recruitment.html?cid=0607f7e2-b2c8-4bd9-9db0-502820edc413&amp;ccId=19000101_000001&amp;jobId=578752&amp;source=IN&amp;lang=en_US", "https://workforcenow.adp.com/mascsr/default/mdf/recruitment/recruitment.html?cid=0607f7e2-b2c8-4bd9-9db0-502820edc413&amp;ccId=19000101_000001&amp;jobId=578752&amp;source=IN&amp;lang=en_US")</f>
        <v/>
      </c>
      <c r="G88" t="inlineStr">
        <is>
          <t>Austin, TX, US</t>
        </is>
      </c>
      <c r="H88" s="3" t="n">
        <v>46037</v>
      </c>
      <c r="I88" t="inlineStr">
        <is>
          <t>**Who We Are**
Overhaul is a rapidly growing software company specializing in in\-transit supply chain visibility and risk management solutions for global enterprise organizations. Our cutting\-edge technology empowers organizations to gain real\-time insights into their supply chain operations, mitigate risks, and optimize their logistics processes.
**Job Summary**
===============
We are seeking a BI Engineer to take ownership of end\-to\-end Business Intelligence solutions involving a high level of customer engagement. This BI Engineer will have a strong drive for continuous processes improvement. This role will help to scope, build, deploy and maintain a variety of BI solutions that will enable performance tracking, operational management, and ad hoc analyses for both our internal and external stakeholders.
**Primary Responsibilities**
============================
* Ongoing support and maintenance of existing Power BI dashboards, ad hoc analyses and data extracts
* Collate data from various source systems and databases, cleanse, transform and prepare data for Power BI reporting and ad hoc analysis
* Build dashboards and ad hoc reports to synthesize and aggregate data across multiple sources for internal and external stakeholders
* Interpret data, and analyze results using statistical techniques
* Creation of clear written and visual artifacts to drive decision making
* Reinforce a high level of governance alignment with general client's guidelines across all data deliverability
* Ensure safety and accuracy of information across all data solutions delivered by the team
* Prepare and maintain BI reporting and analysis documentations
* Work closely with the other areas of the Business (such as IT and Data \&amp; Analytics) on design and implementation to ensure business requirements are being met accurately and in a scalable matter and communicated to the business at large
**Qualifications**
==================
* Extensive experience with reporting using Power BI and similar tool sets
* Design and develop database objects, tables, stored procedures, views and triggers
* Independently analyze, solve, and correct issues in real time, providing problem resolution end\-to\-end
* Design and develop ETL processes that will transform a variety of raw data, flat files, xl spreadsheets into SQL Databases
* In\-depth knowledge of standard concepts, practices and procedures related to database management
* Proven analytical problem solving and debugging skills
* Experience in troubleshooting and resolving database integrity issues, performance issues, blocking and deadlocking issues etc.
* Design and develop enterprise and departmental business intelligence and data warehousing solutions
* Performs ad\-hoc analysis using SQL query language within the database systems using a process\-oriented approach
* Understands the concept of Data marts and Data lakes and experience with migrating legacy systems to data marts/lake
 **What we can offer:**
* Competitive starting base salary
* Progressive advancement opportunity and career mobility
* Top employee health and well\- being benefits
* Rotating company ‘Perks at work’ program
* Employee Assistance Program
* Care giver/adoption/family leave
* Flexible Time Off Policy
* Flexible working
* Free parking
 **Our culture**
We are guided by our core values of Diversity and Synergy, Creativity, Problem Solving, Authenticity and Receptivity, Trust, Encouragement, Teaching and Learning, Wellness and Integrity. These values help us recruit aligned talent to join our rapidly expanding team around the globe. It is important to us that each and every Overhauler is not only eager to challenge themselves and knows how to get work done, but is also an awesome addition to our company culture.</t>
        </is>
      </c>
    </row>
    <row r="89">
      <c r="A89" t="inlineStr">
        <is>
          <t>in-d2d8b20d648b2d7c</t>
        </is>
      </c>
      <c r="B89" t="inlineStr">
        <is>
          <t>AI Native, Data Engineer</t>
        </is>
      </c>
      <c r="C89" t="inlineStr">
        <is>
          <t>ConsumerAffairs</t>
        </is>
      </c>
      <c r="D89" t="inlineStr">
        <is>
          <t>indeed</t>
        </is>
      </c>
      <c r="E89">
        <f>HYPERLINK("https://www.indeed.com/viewjob?jk=d2d8b20d648b2d7c", "https://www.indeed.com/viewjob?jk=d2d8b20d648b2d7c")</f>
        <v/>
      </c>
      <c r="F89">
        <f>HYPERLINK("https://apply.workable.com/j/A41A1EFC50", "https://apply.workable.com/j/A41A1EFC50")</f>
        <v/>
      </c>
      <c r="G89" t="inlineStr">
        <is>
          <t>Remote, US</t>
        </is>
      </c>
      <c r="H89" s="3" t="n">
        <v>46037</v>
      </c>
      <c r="I89" t="inlineStr">
        <is>
          <t>The Data Engineer is responsible for monitoring, expanding, and optimizing our data and data pipeline architecture, as well as optimizing data flow and collection for cross functional teams. The ideal candidate is an experienced data pipeline builder and data wrangler who enjoys optimizing data systems as well as building them from the ground up.
The Data Engineer supports our solution architects, data analysts, and data scientists on data initiatives and will ensure optimal data delivery architecture is consistent throughout ongoing projects. They must be self\-directed and comfortable supporting the data needs of multiple teams, systems and products.
Candidates should have education and/or experience in data modeling, requirements analysis, and best practices in analytics. Experience with BI applications is a definite plus.
* Develop, test, and maintain data pipelines to support data integration and processing.
* Assist in the design and implementation of data models and data warehousing solutions.
* Collaborate with data scientists and analysts to understand data requirements and ensure data is accessible and reliable.
* Monitor data pipelines and systems, troubleshooting issues as they arise.
* Work with senior data engineers to optimize data processes and infrastructure.
* Ensure data quality and integrity through regular audits and validations.
* Contribute to the documentation of data processes and best practices
**Requirements**
Education/Licensure/Certification:
* BSc/BA in Computer Science, Engineering or relevant field
Experience:
* 2\-4 years of experience in data engineering or a related field.
* 2\-4 years’ experience in Data Integration and Integration
* 2\- 4 years’ experience in Data Warehousing, notably Cloud Data
* Proficiency in SQL and Python
* Familiarity with cloud platforms (AWS, GCP) and data warehousing solutions.
* Understanding of ETL processes and data integration techniques.
Knowledge, skills and abilities:
* Fluent in English
* Nice to have: experience with ETL tools like Stitch, Fivetran, and Snowfire
* Must be highly curious, driven, and disciplined
* Understanding of data models, data warehouses, and data mining
* Familiarity with BI technologies
* Knowledge of SQL is required
* Familiarity with cloud analytics is beneficial (AWS, Snowflake)
* Proven abilities to take initiative and be innovative
* Analytical mind with a problem\-solving aptitude
* Stands up for decisions and takes responsibility for results
* Shares both good and bad outcomes transparently
* Obsessed with ensuring an exceptional customer experience\- for both internal and external customers.
* Stands up for decisions, takes responsibility for results, and shares both good and bad outcomes transparently.
* Demonstrates a relentless focus on results with a commitment to deliver;
* Takes decisive action, and confidently changes course if unsuccessful.
* Displays a growth mindset to continually improve; encourages everyone around them to be tenacious and never settle.
* Constantly seeks feedback to improve; Focuses on solving issues through teamwork, and collaboration
* Acts with urgency; delivers top results in hours and days instead of weeks and months.
* Relentless in their pursuit of success and possessing the willpower to embrace challenges as opportunities
**Benefits**
### **Why You’ll Love Working Here**
At ConsumerAffairs, your voice matters. We foster a collaborative environment where you’re encouraged to take initiative, experiment boldly, and grow professionally. We're committed to work\-life harmony, career development, and celebrating wins together.
* Health Care Plan (Medical, Dental \&amp; Vision)
* Retirement Plan (401k)
* Life Insurance (Basic, Voluntary \&amp; AD\&amp;D)
* Paid Time Off (Vacation, Sick \&amp; Public Holidays)
* Family Leave (Maternity, Paternity)
* Short Term \&amp; Long Term Disability
* Training \&amp; Development</t>
        </is>
      </c>
    </row>
    <row r="90">
      <c r="A90" t="inlineStr">
        <is>
          <t>in-e97be68f19bd1192</t>
        </is>
      </c>
      <c r="B90" t="inlineStr">
        <is>
          <t>Data Engineer, Ads Product &amp; Tech</t>
        </is>
      </c>
      <c r="C90" t="inlineStr">
        <is>
          <t>Spotify</t>
        </is>
      </c>
      <c r="D90" t="inlineStr">
        <is>
          <t>indeed</t>
        </is>
      </c>
      <c r="E90">
        <f>HYPERLINK("https://www.indeed.com/viewjob?jk=e97be68f19bd1192", "https://www.indeed.com/viewjob?jk=e97be68f19bd1192")</f>
        <v/>
      </c>
      <c r="F90">
        <f>HYPERLINK("https://www.lifeatspotify.com/jobs/data-engineer-ii-ads-product-tech", "https://www.lifeatspotify.com/jobs/data-engineer-ii-ads-product-tech")</f>
        <v/>
      </c>
      <c r="G90" t="inlineStr">
        <is>
          <t>New York, NY, US</t>
        </is>
      </c>
      <c r="H90" s="3" t="n">
        <v>46037</v>
      </c>
      <c r="I90" t="inlineStr">
        <is>
          <t>Engineering
Data
New York
Our mission on the Advertising Product \&amp; Technology team is to build a next generation advertising platform that aligns with our unique value proposition for audio and video. We work to scale the user experience for hundreds of millions of fans and hundreds of thousands of advertisers. This scale brings unique challenges as well as tremendous opportunities for our artists and creators.  
The ads reporting team is dedicated to creating scalable, reliable data and backend systems that power our advertising ecosystem. Our mission is to enable seamless delivery of personalized, impactful ads while maintaining an exceptional user experience. As part of our team, you will play a key role in shaping and realizing our vision to enhance the advertising experience for our clients and establish Spotify as a market leader in advertising.  
We are seeking engineers who are passionate about designing, developing, and maintaining robust and scalable systems. You will work closely with cross\-functional teams to build data services and APIs that support our advertising platform, enabling innovative features and analytics. Positioned at the heart of our backend operations, you will assist product teams in driving high performance, reliability, and scalability across our systems. Our team culture emphasizes creative problem\-solving, rapid iteration, execution, and collaboration.
What You'll Do
* Maintain and enhance Spotify’s reporting pipelines, ensuring they remain business\-critical
* Build large\-scale batch and real\-time data pipelines to efficiently collect, process, and store reporting\-related data
* Make enhancements to data models and ETL code to improve pipeline efficiency and data quality
* Design, develop, and maintain high\-performance backend services and APIs to power Spotify’s advertising platform
* Work closely with stakeholders to understand and translate business requirements into technical solutions
* Write scalable, testable, maintainable, and high\-quality code
* Collaborate with engineers, product managers, and other stakeholders, embracing learning and leadership opportunities daily
* Monitor daily execution, diagnose issues, and ensure SLAs are met by maintaining and fixing business\-critical pipelines
Who You Are
* Experience in data engineering with high\-volume, heterogeneous data, ideally within distributed systems such as Hadoop, BigTable, Cassandra, GCP, AWS, or Azure
* Familiarity with data processing frameworks like Scio, GCP Dataflow, AWS EMR, and Apache Beam
* Familiarity with API design, microservice architecture, and frameworks like Spring Boot or gRPC.
* Programming skills in Java or Scala, and for analytics and data extraction (SQL, Python, Pandas, R)
* Commitment to agile software processes, data\-driven development, reliability, and responsible experimentation
* Hands\-on experience with orchestration tools like Airflow or similar
* Experience with database systems, both relational (e.g., PostgreSQL, MySQL) and non\-relational (e.g., Cassandra, DynamoDB).
* Excellent problem\-solving and communication skills
Where You'll be
* We offer you the flexibility to work where you work best! For this role, you can be within the Americas region as long as we have a work location.
* This team operates within the Eastern time zone for collaboration.
Learn about life at Spotify
The United States base range for this position is $132,949 \- $189,927, plus equity. The benefits available for this position include health insurance, six month paid parental leave, 401(k) retirement plan, monthly meal allowance, 23 paid days off, 13 paid flexible holidays. This range encompasses multiple levels. Leveling is determined during the interview process. Placement in a level depends on relevant work history and interview performance.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  
Our global benefits
Extensive learning opportunities, through our dedicated team, GreenHouse.
Flexible share incentives letting you choose how you share in our success.
Global parental leave, six months off \- for all new parents.
All The Feels, our employee assistance program and self\-care hub.
Flexible public holidays, swap days off according to your values and beliefs.</t>
        </is>
      </c>
    </row>
    <row r="91">
      <c r="A91" t="inlineStr">
        <is>
          <t>in-772c2032c8304847</t>
        </is>
      </c>
      <c r="B91" t="inlineStr">
        <is>
          <t>Data engineer</t>
        </is>
      </c>
      <c r="C91" t="inlineStr">
        <is>
          <t>Stacklogy</t>
        </is>
      </c>
      <c r="D91" t="inlineStr">
        <is>
          <t>indeed</t>
        </is>
      </c>
      <c r="E91">
        <f>HYPERLINK("https://www.indeed.com/viewjob?jk=772c2032c8304847", "https://www.indeed.com/viewjob?jk=772c2032c8304847")</f>
        <v/>
      </c>
      <c r="F91">
        <f>HYPERLINK("https://stacklogy.com/career/", "https://stacklogy.com/career/")</f>
        <v/>
      </c>
      <c r="G91" t="inlineStr">
        <is>
          <t>US</t>
        </is>
      </c>
      <c r="H91" s="3" t="n">
        <v>46037</v>
      </c>
      <c r="I91"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92">
      <c r="A92" t="inlineStr">
        <is>
          <t>in-c28f8b4c3d86010b</t>
        </is>
      </c>
      <c r="B92" t="inlineStr">
        <is>
          <t>Sr. Data Engineer</t>
        </is>
      </c>
      <c r="C92" t="inlineStr">
        <is>
          <t>BambooHR</t>
        </is>
      </c>
      <c r="D92" t="inlineStr">
        <is>
          <t>indeed</t>
        </is>
      </c>
      <c r="E92">
        <f>HYPERLINK("https://www.indeed.com/viewjob?jk=c28f8b4c3d86010b", "https://www.indeed.com/viewjob?jk=c28f8b4c3d86010b")</f>
        <v/>
      </c>
      <c r="F92">
        <f>HYPERLINK("https://grnh.se/7b4xy49l4us", "https://grnh.se/7b4xy49l4us")</f>
        <v/>
      </c>
      <c r="G92" t="inlineStr">
        <is>
          <t>Draper, UT, US</t>
        </is>
      </c>
      <c r="H92" s="3" t="n">
        <v>46037</v>
      </c>
      <c r="I92" t="inlineStr">
        <is>
          <t>*Please Note: This is a Utah\-based hybrid position which will require some regular in\-office days each week. Additionally, employment with BambooHR is contingent on passing both a background and credit check.*
**Essential Job Duties**
As a Senior Data Platform Engineer, we'll rely on your expertise across multiple disciplines to develop, deploy and support data systems, data pipelines, data lakes, and lakehouses. Your ability to automate, performance tune, and scale the data platform will be key to your success.
You will:
* Collaborate with stakeholders to make effective use of core data assets
* Development and maintenance of data integrations written in Python
* Load both streaming and batched data in Spark with Pyspark and lakehouse libraries
* Engineer lakehouse models to support defined data patterns and use cases
* Build unit, integration, quality, and performance tests
* Participate in peer code reviews, code approvals, and pull requests
* Monitor, operate, and optimize data integrations, pipelines, and distributed applications
* Documentation of data pipelines, cloud infrastructure, and standard operating procedures
* Work within an IT managed AWS account and VPC to stand up and maintain data platform development, staging, and production environments
* Express data platform cloud infrastructure, services, and configuration as code
* Automate continuous upgrades and testing of data platform infrastructure and services
* Help ensure appropriate data privacy and security
* Identify, recommend, and implement opportunities for improvement in efficiency, resilience, scale, security, and performance
**What You Need to Get the Job Done**
* Python development abilities, skills, and experience
* Expert level SQL coding abilities and experience
* Ability to quickly learn new development frameworks
* Ability to develop, scale, and tune Spark and PySpark applications
* Understanding of data lake, lakehouse, and data warehouse systems, and related technologies
* Knowledge and understanding of data formats, data patterns, models, and methodologies
* Ability to work with cloud infrastructure including resource scaling, S3, RDS, IAM, security groups, AMIs, cloudwatch, cloudtrail, and secrets manager
* Experience with CI/CD in a data engineering environment
* Experience managing access controls in a data engineering environment
* Git\-based team coding workflows
Beyond the technical skills, we're looking for individuals who are:
* Clear communicators with team members and stakeholders
* Analytical and perceptive of patterns
* Creative in coding
* Detail\-oriented and persistent
* Productive in a dynamic setting
If you love to learn, you'll be in good company. You'll likely have a Bachelor's degree in computer science, information systems, or equivalent working experience.
**What You'll Love About Us**
* A Great Company Culture that has been recognized by multiple organizations like Inc, and Salt Lake Tribune
* Comprehensive health, life, and disability insurance
* Generous leave policies that include 4 weeks of vacation, 12 company holidays, parental leave, and volunteer time off so you can enjoy quality of life
* 401k plans with up to 6% company match
* $2000 Paid\-Paid Vacation bonus
* EAP through Headspace
* Check out all our benefits that benefit you
**About Us**
At BambooHR, we're building something different: we're building a people intelligence platform that transforms HR and sets people free to do great work! We're a proven market leader driving innovation while building lasting success through thoughtful, sustainable growth. Here, you'll find a place that champions growth: both professional and personal, both individual and collective.
We invest in potential, giving you the space to stretch your capabilities and turn good ideas into reality while providing the safety net of a supportive, values\-driven culture. Our approach combines meaningful work with meaningful lives, offering competitive benefits, professional development, and the flexibility to thrive both in and outside the office.
What sets us apart isn't just what we do, but how we do it: with openness, integrity, and a shared commitment to doing the right thing. Join us in creating HR software that makes work better for everyone, while we make work better for you.
***BambooHR is committed to the full inclusion of all qualified individuals and will ensure that persons with disabilities are provided reasonable accommodations throughout the hiring process. If you would like to request accommodations, please let your recruiter know.***
***BambooHR is An Equal Opportunity Employer\-M/F/D/V***  
***Because our team members are trusted to handle sensitive information, we require all candidates that receive and accept employment offers to complete a background check before being hired.***
***For information on California Privacy Policy,*** ***click here******.***
***Our process utilizes AI as an assistant to efficiently process and analyze candidate data. Recruiters and hiring managers maintain full oversight and accountability, ensuring that all final selection and rejection decisions are human\-made and based solely on objective job qualifications. Please see our*** ***General Privacy Notice*** ***and*** ***California Privacy Notice*** ***for more details.***
***See our*** ***AI Guidelines for Candidates*** ***for details on how BambooHR uses AI in recruiting, how we expect candidates to use AI, and what is not allowed.***</t>
        </is>
      </c>
    </row>
    <row r="93">
      <c r="A93" t="inlineStr">
        <is>
          <t>in-080bd237644494e5</t>
        </is>
      </c>
      <c r="B93" t="inlineStr">
        <is>
          <t>Data Engineer (Intermediate)</t>
        </is>
      </c>
      <c r="C93" t="inlineStr">
        <is>
          <t>AmpliFI Loyalty Solutions</t>
        </is>
      </c>
      <c r="D93" t="inlineStr">
        <is>
          <t>indeed</t>
        </is>
      </c>
      <c r="E93">
        <f>HYPERLINK("https://www.indeed.com/viewjob?jk=080bd237644494e5", "https://www.indeed.com/viewjob?jk=080bd237644494e5")</f>
        <v/>
      </c>
      <c r="F93">
        <f>HYPERLINK("https://www.amplifiloyalty.com/careers/?gnk=job&amp;gni=8a78879e9b137690019bc7ae463c04cd&amp;gns=Indeed+Free", "https://www.amplifiloyalty.com/careers/?gnk=job&amp;gni=8a78879e9b137690019bc7ae463c04cd&amp;gns=Indeed+Free")</f>
        <v/>
      </c>
      <c r="G93" t="inlineStr">
        <is>
          <t>Naperville, IL, US</t>
        </is>
      </c>
      <c r="H93" s="3" t="n">
        <v>46037</v>
      </c>
      <c r="I93" t="inlineStr">
        <is>
          <t>**Overview**The **Intermediate Data Engineer** is responsible for designing, building, and maintaining scalable, high\-performance data pipelines and solutions. This role works closely with business stakeholders and development teams to transform complex data into actionable insights. The position requires hands\-on experience with Big Data technologies, cloud platforms (especially AWS), and multiple programming languages. The ideal candidate is analytical, detail\-oriented, and capable of architecting solutions that drive business value.
**Responsibilities*** Design, develop, and maintain modular, reusable, and efficient code to solve complex, real\-world data problems.
* Conduct regular peer code reviews to ensure quality, maintainability, and compliance with industry best practices.
* Collaborate with cross\-functional teams to understand business requirements and ingest diverse data sources.
* Research, experiment, and implement leading Big Data technologies on AWS.
* Develop and maintain ETL pipelines, data warehouses, and streaming data solutions.
* Assist in defining and enforcing data architecture, governance, and platform standards.
* Participate in developing thought leadership and best practices for data engineering at ampliFI.
* Transform and visualize data for both ad hoc analyses and automated product\-level solutions.
* Troubleshoot, optimize, and monitor data workflows and pipelines for performance, reliability, and security.
* Collaborate with internal teams and stakeholders to communicate technical concepts clearly and manage project interdependencies.
**Essential Skills and Experience*** 3\+ years of experience in data engineering, ETL development, or a related field using Big Data methodologies.
* Bachelor’s degree in Computer Science, Engineering, Information Technology, or a related technical field.
* Proficiency in Python, Pandas, Spark, and Java.
* Hands\-on experience with AWS Big Data services such as EC2, S3, EMR, Kinesis, DynamoDB, Athena, AWS Glue, and Redshift.
* Experience with Unix/Linux environments.
* Knowledge of source code management systems like Git.
* Strong understanding of programming best practices, testing, and version control.
* Experience building scalable, high\-performance data pipelines and data processing workflows.
* Ability to communicate complex technical concepts to both technical and non\-technical stakeholders.
**Preferred Skills and Experience**
* Master’s degree in Computer Science, Data Engineering, Information Technology, or related field.
* Experience with Terraform or other infrastructure\-as\-code (IaC) tools.
* Familiarity with Agile development methodologies and software lifecycle management.
* Experience with data visualization tools and reporting frameworks.
* Exposure to machine learning pipelines or analytics platforms.
* Knowledge of cloud security, data privacy, and compliance best practices.
**Key Competencies and Attributes*** Analytical thinker with strong problem\-solving skills and attention to detail.
* Curious, proactive, and committed to learning and adopting new technologies.
* Ability to work independently and collaboratively in cross\-functional teams.
* Strong interpersonal and communication skills.
* Passion for delivering scalable, efficient, and high\-quality data solutions.
* Ability to manage multiple projects simultaneously and meet deadlines.
* Demonstrated ownership, accountability, and a sense of urgency.
**Work Arrangement*** Based at ampliFI’s Naperville, IL Corporate office, this hybrid role requires onsite reporting Tuesday\-Thursday weekly.
* National remote opportunities require residency in one of the following states AZ, CO, FL, GA, IL, IN, MA, MT, NE, NH, NJ, NY, OH, PA, SC, TN, TX, UT, VA or WI.
**Physical Requirements**
This role involves sitting or standing for extended periods, using computers, phones, and other office equipment. Visual acuity and manual dexterity are needed for reading documents and handling materials. Occasional lifting of items up to 20 lbs. and frequent phone communication is required.
**Other Duties**
Duties, responsibilities, and activities are not all encompassing and may change at any time with or without notice. To perform this job successfully, an individual must be able to satisfactorily carry out each essential duty. Reasonable accommodation may be made to enable qualified individuals with disabilities to perform essential job functions
The compensation range listed below represents the potential salary for this role at the time of posting. However, the final salary may be higher or lower than the stated range, and this range may be adjusted in the future. An employee’s placement within the salary range will depend on various factors, including but not limited to relevant education, qualifications, certifications, experience, skills, seniority, geographic location, performance, shift, travel requirements, sales or revenue\-based metrics, any applicable collective bargaining agreements, and the needs of the business or organization. The salary range for this role is $95,000 to $110,000\.
**About ampliFI**At ampliFI *Integrity* guides every decision, *Curiosity* drives innovation, and *Advocacy* ensures we always put our clients and teammates first. We foster a supportive, fun workplace where your contributions are valued, and your growth is encouraged.
ampliFI provides fully outsourced, customized credit and debit card loyalty programs exclusively focused on banks and credit unions nationwide. For nearly two decades, we have delivered compelling rewards programs, unique earn and burn opportunities and card\-linked programs to leverage merchant funded offers. Here at ampliFI, we are always looking for more great people to be a part of the *relentless pursuit of excellence in everything we do*.
**Benefits and Perks*** Competitive pay plus 401(k) with employer match
* Medical, dental, vision, and life insurance
* Voluntary café plans, including voluntary life, accident, hospital, critical care, and parking/transit options
* Tuition Reimbursement
* Paid time off, company holidays, and parental leave
* Employee Assistance Program
* Hybrid work environment with flexible hours
* Onsite perks including gym access and snacks
* Employee recognition programs celebrating milestones and achievements
* Growth opportunities within a supportive, team\-oriented environment
*ampliFI Loyalty Solutions embraces diversity and equal opportunity. We are committed to building a team that represents a variety of backgrounds, perspectives, and skills because we believe that the more inclusive we are, the greater impact we can make together.*</t>
        </is>
      </c>
    </row>
    <row r="94">
      <c r="A94" t="inlineStr">
        <is>
          <t>in-2a82f227016d0a62</t>
        </is>
      </c>
      <c r="B94" t="inlineStr">
        <is>
          <t>BI Data Engineer II</t>
        </is>
      </c>
      <c r="C94" t="inlineStr">
        <is>
          <t>The Boston Beer Company</t>
        </is>
      </c>
      <c r="D94" t="inlineStr">
        <is>
          <t>indeed</t>
        </is>
      </c>
      <c r="E94">
        <f>HYPERLINK("https://www.indeed.com/viewjob?jk=2a82f227016d0a62", "https://www.indeed.com/viewjob?jk=2a82f227016d0a62")</f>
        <v/>
      </c>
      <c r="F94">
        <f>HYPERLINK("https://hcrb.fa.us2.oraclecloud.com/hcmUI/CandidateExperience/en/sites/CX/requisitions/preview/16419", "https://hcrb.fa.us2.oraclecloud.com/hcmUI/CandidateExperience/en/sites/CX/requisitions/preview/16419")</f>
        <v/>
      </c>
      <c r="G94" t="inlineStr">
        <is>
          <t>Boston, MA, US</t>
        </is>
      </c>
      <c r="H94" s="3" t="n">
        <v>46037</v>
      </c>
      <c r="I94" t="inlineStr">
        <is>
          <t>We are currently hiring a Full\-Time **BI Data Engineer II** *hybrid\** in Boston, MA.
Join our Boston\-based Data and Analytics (DnA) team and play a key role in building and evolving our Enterprise Data Platform. This position offers the opportunity to work across a wide range of data engineering initiatives, delivering high\-impact analytics solutions that directly support business decision\-making and strengthen our data ecosystem. As a multi\-faceted role, you’ll collaborate closely with stakeholders while owning the full data engineering lifecycle—from requirements gathering and solution design through development, testing, deployment, and ongoing support. You’ll work hands\-on with modern technologies including the Databricks Lakehouse platform and our On\-Premise SQL data warehouse to build scalable, reliable data pipelines, analytical data models, and contribute to platform and architecture work.
We are moving toward domain\-oriented team, and this position will be primarily assigned to one or more business areas (to be determined), giving you the opportunity to understand specific business needs while contributing to enterprise\-wide solutions.
This role is ideal for someone eager to grow their expertise in Databricks, Spark, Delta Lake, and cloud integrations, while contributing to enterprise\-level data quality, governance, platform improvements, and production\-ready solutions in a collaborative, fast\-paced environment.
*\*A Hybrid position at Boston Beer requires that our coworkers reside within commuting distance to be onsite 3 days/week.*
**What You'll Brew:**
* Serve as a Databricks\-first data engineer, designing, building, and supporting scalable Lakehouse data pipelines (ETL/ELT) using Spark and Delta Lake.
* Develop and maintain Databricks notebooks, workflows, and jobs, with secondary support for On\-Premise SQL Server integrations.
* Build analytics\-ready data models in Databricks, supporting limited dimensional and reporting models on SQL Server as needed.
* Drive data ingestion, migration, and integration between Databricks and On\-Premise systems as part of platform modernization.
* Collaborate with analysts, data scientists, business stakeholders, and all teams under the Data Enterprise organization (including Data Operation and MDM) to translate requirements into scalable, maintainable solutions
* Optimize Spark jobs and Databricks workflows for performance, reliability, and cost efficiency.
* Implement enterprise data quality checks, security best practices, and governance standards across Databricks and SQL environments.
Support production pipelines with CI/CD and automated deployment for reliable, repeatable releases.  
* 
**What Ingredients You'll Bring:**  
***Minimum Qualifications:***
* Bachelor's Degree in Computer Science, or a closely related field, or the equivalent
* Databricks and Spark: 2–5 years of hands‑on experience with Databricks notebooks, Spark transformations, and Delta Lake for scalable
* Programming \&amp; SQL: Strong Python, Scala, and SQL skills for building and maintaining data pipelines.
* CI/CD \&amp; Automation: Exposure to automated deployment pipelines using tools such as Azure DevOps and Databricks Asset Bundles (DABs) for reliable, production\-ready workflows.
* Data Quality \&amp; Governance: Understanding of enterprise data quality checks, security practices, and governance frameworks.
* Collaboration \&amp; Problem\-Solving: Ability to work effectively with analysts, stakeholders, and cross\-functional teams to troubleshoot and optimize pipelines.
***Preferred Qualifications*** **:**
* Data Modeling: Familiarity with dimensional modeling and Power BI for analytics\-ready datasets.
* ETL/ELT \&amp; SQL Server: Experience designing, developing, and supporting relational database pipelines and SSIS workflows.
* AI \&amp; Analytics: Experience or familiarity with AI, machine learning, or analytics frameworks is a plus.
* Domain \&amp; Systems Knowledge: Knowledge of CPG, Supply Chain processes, Salesforce, or SAP is a plus.
* Collaboration \&amp; Project Tools: Experience with Jira and Confluence for project tracking, documentation, and team collaboration
* Scripting: PowerShell experience is a plus.
**Level** : 7
At the Boston Beer Company and in accordance with pay transparency laws, we are open about our salary ranges. For this role, the salary range is between $97,000 and $163,000\. However, it’s important to note that where the person hired starts in this range is dependent on their related experience, skillset and location. Additionally, this position qualifies for a discretionary annual bonus based on company and individual performance, and certain sales roles might include a car allowance.  
**Some Perks** :
Our people are our most important “ingredient.” We hire the best talent; and we reward, develop, and retain them too.
In addition to generous healthcare on day one, stock purchase plan, 401k and more, Full Time Boston Beer Coworkers have the following perks available\*:
* Tuition reimbursement
* Fertility/adoption support
* Free financial coaching
* Health \&amp; wellness program and discounts
* Professional development \&amp; training
* Free beer!
*\*Talk to your recruiter about eligibility*
*Qualified applicants with arrest or conviction records will be considered for employment in accordance with the Fair Chance Ordinance and the CA Fair Chance Act.*
*Boston Beer Corporation is an equal opportunity employer and is committed to a diverse workforce. In order to help ensure reasonable accommodation for individuals protected by Section 503 of the Rehabilitation Act of 1973, the Vietnam Veteran’s Readjustment Act of 1974, and Title I of the Americans with Disabilities Act of 1990, applicants who wish to request accommodation in the job application process can contact jobs@bostonbeer.com for assistance.*
\#LI\-Hybrid
\#LI\-AJ1</t>
        </is>
      </c>
    </row>
    <row r="95">
      <c r="A95" t="inlineStr">
        <is>
          <t>in-0ef193addbfad17d</t>
        </is>
      </c>
      <c r="B95" t="inlineStr">
        <is>
          <t>Sr. Data Engineer III (6347)</t>
        </is>
      </c>
      <c r="C95" t="inlineStr">
        <is>
          <t>Metrostar Systems</t>
        </is>
      </c>
      <c r="D95" t="inlineStr">
        <is>
          <t>indeed</t>
        </is>
      </c>
      <c r="E95">
        <f>HYPERLINK("https://www.indeed.com/viewjob?jk=0ef193addbfad17d", "https://www.indeed.com/viewjob?jk=0ef193addbfad17d")</f>
        <v/>
      </c>
      <c r="F95">
        <f>HYPERLINK("https://grnh.se/8q859spx3us", "https://grnh.se/8q859spx3us")</f>
        <v/>
      </c>
      <c r="G95" t="inlineStr">
        <is>
          <t>Tysons, VA, US</t>
        </is>
      </c>
      <c r="H95" s="3" t="n">
        <v>46037</v>
      </c>
      <c r="I95" t="inlineStr">
        <is>
          <t>As **Sr. Data Engineer III**, you'll work with a cross\-functional team to help design and ingest data from different Object Management Systems that support mission operations for our classified customer.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Work with AI team members to operationalize data pipelines and ML tasks.
* Provide day\-to\-day support of deploying Python\-native ML pipelines and perform data engineering tasks to enable AI/ML capabilities.
* Present results to a diverse audience in presentation or report form.
* Support architectural leadership, technical support, and advisement services to ensure identity management system technologies are integrated and meeting the appropriate security requirements.
* Support leadership who engage with senior level executives at a public facing Federal agency and provide subject matter expertise in security architecture and other key domain areas.
**What you'll need to succeed:**
* Minimum 10 years experience
* Bachelor's Degree in Computer Science, Information Technology Management or Engineering, or other comparable degree or experience
* Active TS/SCI required with CI poly preferred
* 8\+ years of experience in Data/ML engineering
* Expert Experience with ETL, data labeling, and data preparation
* 8\+ years experience with at least 2 of the following technologies: Cloudera, DataBricks, Snowflake, NiFi, Python, SQL, Kafka
* Expert experience designing, developing, and deploying data solutions in classified AWS cloud environments up to IL6\+
* Expert experience designing, implementing, and maintaining data architecture and services to be used for AI/ML. Additionally, operationalizing and maintaining AI/ML models in production.
* Strong communication skills, ability to communicate technical concepts in both layman and technical terms to technical and non\-technical stakeholders
* Ability to perform data analytics on program related or system related activities. \-This will include assessing performance and manual processes implementing methods/algorithms to automate/optimize
SALARY RANGE: $170,000 \- $220,000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This role may also be eligible for bonuses and/or additional incentives based on individual and company performance.
**Benefits**: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96">
      <c r="A96" t="inlineStr">
        <is>
          <t>in-bdc86e3372674a2c</t>
        </is>
      </c>
      <c r="B96" t="inlineStr">
        <is>
          <t>Data Engineer (Special Projects)</t>
        </is>
      </c>
      <c r="C96" t="inlineStr"/>
      <c r="D96" t="inlineStr">
        <is>
          <t>indeed</t>
        </is>
      </c>
      <c r="E96">
        <f>HYPERLINK("https://www.indeed.com/viewjob?jk=bdc86e3372674a2c", "https://www.indeed.com/viewjob?jk=bdc86e3372674a2c")</f>
        <v/>
      </c>
      <c r="F96">
        <f>HYPERLINK("https://grnh.se/wq0sdku91us", "https://grnh.se/wq0sdku91us")</f>
        <v/>
      </c>
      <c r="G96" t="inlineStr">
        <is>
          <t>New York, NY, US</t>
        </is>
      </c>
      <c r="H96" s="3" t="n">
        <v>46037</v>
      </c>
      <c r="I96" t="inlineStr">
        <is>
          <t>The LAI (League Analytics and Infrastructure) team occupies a crucial strategic position, functioning at the nexus of modern analytics technology and operational strategy. This team is fundamentally responsible for the comprehensive design, deployment, and ongoing maintenance of the robust analytic cloud infrastructure. This infrastructure is the essential foundation that underpins and powers Major League Baseball's (MLB) advanced analytics operations, ensuring data accessibility, scalability, and performance for critical decision\-making across the league.
In the role of Data Engineer, the successful candidate will operate as a hands\-on contributor, focused primarily on the technical execution of data\-centric projects and initiatives. This position reports into a Data Engineering Lead, working closely within a dedicated sub\-team of the LAI team to implement and manage the complex data pipelines and storage solutions necessary for MLB's analytical demands. Key responsibilities include, but are not limited to, developing data pipeline processes, ensuring data quality, and collaborating with other engineers and analysts to provision high\-quality, reliable data sets.
**Responsibilities**
* Pipeline Development: Build and maintain production\-grade data pipelines using Airflow and dbt to orchestrate transformations within Google Cloud Platform (GCP).
* Data Modeling: Design, build, and execute clean, reliable data models that serve as the single source of truth for downstream engineers and analysts.
* Cloud Operations: Utilize GCP services (Pub/Sub, GCS, Dataflow, DataPlex) to handle batch and streaming data ingestion from internal and external sources.
* CI/CD \&amp; Governance: Manage code deployment via GitHub and adhere to data governance best practices to ensure security and compliance.
**Qualifications \&amp; Skills**
* Experience: 1\-2 years of professional data engineering experience in a production environment.
* Core Stack Proficiency:
* + SQL: High\-level proficiency; ability to write complex freehand SQL.
	+ Python: High\-level scripting ability for data processing and automation.
	+ Orchestration: Experience with Airflow (DAG creation, management).
* Cloud Native: Familiarity with Google Cloud Platform (GCP) or equivalent AWS/Azure services.
* Experience with Infrastructure as Code (Terraform).
* Familiarity with containerization (Docker/Kubernetes).
* Hands\-on experience with dbt (data build tool).
* Understanding of BI platforms (Looker, Tableau) to better understand downstream needs.
* A passion for baseball or previous experience in sports/media/entertainment.
**Pay Rate:** $30\.00 per hour
The actual offer will carefully consider a wide range of factors, including your work
experience, education, skills, and any other factors MLB considers relevant to the hiring
decision.
**Why MLB?**
Major League Baseball (MLB) is the most historic of the major professional sports leagues in the United States and Canada. Employees love working at MLB because of the culture of growth, teamwork, and professionalism. Employees who are most successful at MLB take initiative, know how to identify problems and provide solutions, and always put the Team first. For those ready to step up to the plate and join the major leagues, MLB takes the same approach as teams do with their players: empowering our "workforce athletes" to be at their best by engineering experiences that put employees in the best position to succeed. Major League Baseball is looking for candidates who are passionate about growing America's pastime to best serve its fans for decades to come.
California Residents: Please see our California Recruitment Privacy Policy for more details.
Colorado Residents: Colorado based applicants may redact or remove age\-identifying information such as age, date of birth, or dates of school attendance or graduation. You will not be penalized for redacting or removing this information.
Applicants requiring a reasonable accommodation for any part of the application and hiring process, please email us at accommodations@mlb.com. Requests received for non\-disability related issues, such as following up on an application, will not receive a response.
**Are you ready to Step Up to the Plate? Apply below!**</t>
        </is>
      </c>
    </row>
    <row r="97">
      <c r="A97" t="inlineStr">
        <is>
          <t>in-4d968f810f3fec7c</t>
        </is>
      </c>
      <c r="B97" t="inlineStr">
        <is>
          <t>Data Engineer(Strong Python)</t>
        </is>
      </c>
      <c r="C97" t="inlineStr">
        <is>
          <t>VeeRteq Solutions Inc.</t>
        </is>
      </c>
      <c r="D97" t="inlineStr">
        <is>
          <t>indeed</t>
        </is>
      </c>
      <c r="E97">
        <f>HYPERLINK("https://www.indeed.com/viewjob?jk=4d968f810f3fec7c", "https://www.indeed.com/viewjob?jk=4d968f810f3fec7c")</f>
        <v/>
      </c>
      <c r="F97">
        <f>HYPERLINK("https://candidateportalnew.ceipal.com/job-details/MHJpyyYjlIlqye8NawIDjp_eCsvITM-Gppme5F2058M#.job_boards.Indeed", "https://candidateportalnew.ceipal.com/job-details/MHJpyyYjlIlqye8NawIDjp_eCsvITM-Gppme5F2058M#.job_boards.Indeed")</f>
        <v/>
      </c>
      <c r="G97" t="inlineStr">
        <is>
          <t>US</t>
        </is>
      </c>
      <c r="H97" s="3" t="n">
        <v>46037</v>
      </c>
      <c r="I97" t="inlineStr">
        <is>
          <t>Job Title: **Data Engineer(Strong Python)** **Experience:** 8\+ Years
**Location:** Remote
**Mandatory Skills:** Python, Graph DB, OWL, SPARQL, RDF, Knowledge Graph, Data Modeling
**What is in it for you?**
As a Data Engineer, you will design and build semantic data solutions and knowledge graph models to support advanced search, analytics, and decision intelligence platforms. You will work with ontologies, graph databases, and semantic standards to enable highly connected data ecosystems.
**Responsibilities**
* Design, develop, and maintain knowledge graph architectures and semantic data models.
* Build data pipelines and ETL/ELT workflows using Python for graph ingestion and transformation.
* Work with graph databases such as Neo4j, GraphDB, Stardog, Blazegraph, or similar platforms.
* Develop and optimize ontologies using **OWL** and semantic specifications.
* Write, optimize, and validate **SPARQL** queries for complex data retrieval and analytics.
* Ensure data consistency, lineage, and semantic integrity across linked datasets.
* Collaborate with engineering and product teams to integrate graph solutions into enterprise platforms.
* Implement best practices for performance, scalability, and modeling standards in knowledge graphs.
* Build documentation, data dictionaries, ontology definitions, and semantic metadata.
* Participate in continuous improvement and architectural enhancement initiatives.
**Educational Qualifications**
Bachelor's or Master's degree in Computer Science, Engineering, Information Systems, or related field.  
Technical certifications in Cloud, Data Engineering, or Semantic Web technologies are desirable.
**Experience \&amp; Technical Skills**
* 8\+ years of overall Data Engineering experience, with strong Python programming skills.
* Strong hands\-on experience with **Knowledge Graphs and Semantic Web technologies**.
* Expertise with **Graph DB** platforms (Neo4j, GraphDB, Stardog, JanusGraph, etc.).
* Strong understanding of **OWL**, ontologies, RDF, Linked Data concepts.
* Strong proficiency in **SPARQL** for graph querying and analytics.
* Experience with data modeling, semantic schemas, and ontology\-driven design.
* Experience with ETL/ELT workflows and data transformation in production environments.
* Experience working in Agile development environments.
* Familiarity with CI/CD, Git, and cloud platforms (AWS/Azure/GCP) is a plus.
**Soft Skills**
* Excellent communication and documentation skills.
* Strong analytical and problem\-solving mindset.
* Ability to work collaboratively with technical and business teams.</t>
        </is>
      </c>
    </row>
    <row r="98">
      <c r="A98" t="inlineStr">
        <is>
          <t>in-84646d550561ade6</t>
        </is>
      </c>
      <c r="B98" t="inlineStr">
        <is>
          <t>Data Engineer</t>
        </is>
      </c>
      <c r="C98" t="inlineStr">
        <is>
          <t>Core4ce.com</t>
        </is>
      </c>
      <c r="D98" t="inlineStr">
        <is>
          <t>indeed</t>
        </is>
      </c>
      <c r="E98">
        <f>HYPERLINK("https://www.indeed.com/viewjob?jk=84646d550561ade6", "https://www.indeed.com/viewjob?jk=84646d550561ade6")</f>
        <v/>
      </c>
      <c r="F98">
        <f>HYPERLINK("https://jobs.silkroad.com/Core4ce/Careers/jobs/1095", "https://jobs.silkroad.com/Core4ce/Careers/jobs/1095")</f>
        <v/>
      </c>
      <c r="G98" t="inlineStr">
        <is>
          <t>Falls Church, VA, US</t>
        </is>
      </c>
      <c r="H98" s="3" t="n">
        <v>46037</v>
      </c>
      <c r="I98" t="inlineStr">
        <is>
          <t>Information Technology \-\&gt; Engineering/Architecture
Falls Church, VA
 •
ID: 1095\-383
 •
Full\-Time/Regular  
Core4ce is seeking an experienced Data Engineer to support data and metadata ingestion, structuring, and quality management for the Defense Health Agency (DHA) Data Governance program. The ideal candidate will design and maintain data pipelines, implement data quality validation, and ensure metadata collected from multiple source systems is accurate, complete, and usable to support governance and reporting objectives.
**Key Responsibilities:**
* Design, implement, and maintain data ingestion and transformation pipelines
* Normalize and structure metadata extracted from disparate source systems
* Support metadata harvesting and automation workflows in coordination with Integration / Software Engineers
* Implement data quality checks, validation rules, and completeness assessments
* Support exception handling and remediation workflows for data gaps and inconsistencies
* Generate metrics and reports related to data completeness, quality, and refresh cadence
* Collaborate with: Chief Architect on canonical data and metadata models, Data Governance Analyst on stewardship and quality rules, and DevSecOps Engineer on pipeline deployment and monitoring
* Support testing, troubleshooting, and performance tuning of data workflows
* Contribute to technical documentation and implementation artifacts
* This position is designed to be flexible, with responsibilities evolving to meet business needs and enable individual growth.
**Required Qualifications:**
* 6\+ years of experience as a Data Engineer supporting Federal IT programs
* Ability to obtain and maintain a DoD Secret clearance
* Strong hands\-on experience with SQL, data transformations, and data modeling
* Experience building and maintaining data pipelines and ingestion workflows
* Familiarity with metadata management concepts, including data lineage, provenance, and quality indicators
* Experience working in secure, RMF\-governed environments
* Ability to operate within Agile or hybrid Agile/Waterfall delivery models
* Strong collaboration skills across engineering, governance, and analytics teams
* Familiarity with clinical and healthcare data standards, including FHIR, HL7, OMOP, ICD\-10, or similar models
**Preferred Qualifications:**
* Prior experience supporting Department of Defense (DoD) programs
* Defense Health Agency (DHA) or health IT experience strongly preferred
* Experience supporting enterprise data platforms, repositories, or data catalogs
* Familiarity with fixed\-price, milestone\-based Federal contracts
* Experience working with healthcare or clinical datasets, including normalization, transformation, and metadata enrichment
* Understanding of how clinical data standards influence data modeling, metadata structures, and data quality rules
* Prior experience supporting health IT, clinical analytics, or healthcare data integration efforts
* Experience supporting federated or enterprise data ecosystems
* Familiarity with data catalogs, governance platforms, or metadata repositories
* Exposure to health data systems, analytics platforms, or enterprise reporting environments
**Why Work for Us?**
Core4ce is a team of innovators, self\-starters, and critical thinkers—driven by a shared mission to strengthen national security and advance warfighting outcomes.
We offer:
* 401(k) with 100% company match on the first 6% deferred, with immediate vesting
* Comprehensive medical, dental, and vision coverage—employee portion paid 100% by Core4ce
* Unlimited access to training and certifications, with no pre\-set cap on eligible professional development
* Tuition assistance for job\-related degrees and courses
* Paid parental leave, PTO that grows with tenure, and generous holiday schedules
* Got a big idea? At Core4ce, *The Forge* gives every employee the chance to propose bold innovations and help bring them to life with internal backing.
Join us to build a career that matters—supported by a company that invests in you.
*All qualified applicants will receive consideration for employment without regard to race, color, religion, sex (including pregnancy), national origin, disability, veteran status, age, genetic information, or other legally protected status.*</t>
        </is>
      </c>
    </row>
    <row r="99">
      <c r="A99" t="inlineStr">
        <is>
          <t>in-f8989853b0e8c8e9</t>
        </is>
      </c>
      <c r="B99" t="inlineStr">
        <is>
          <t>Data Engineer II, Enterprise Operations Analytics</t>
        </is>
      </c>
      <c r="C99" t="inlineStr">
        <is>
          <t>Travelers</t>
        </is>
      </c>
      <c r="D99" t="inlineStr">
        <is>
          <t>indeed</t>
        </is>
      </c>
      <c r="E99">
        <f>HYPERLINK("https://www.indeed.com/viewjob?jk=f8989853b0e8c8e9", "https://www.indeed.com/viewjob?jk=f8989853b0e8c8e9")</f>
        <v/>
      </c>
      <c r="F99">
        <f>HYPERLINK("https://travelersindex.contacthr.com/150674940", "https://travelersindex.contacthr.com/150674940")</f>
        <v/>
      </c>
      <c r="G99" t="inlineStr">
        <is>
          <t>Hartford, CT, US</t>
        </is>
      </c>
      <c r="H99" s="3" t="n">
        <v>46037</v>
      </c>
      <c r="I99"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$126,500\.00 \- $208,700\.00**Target Openings**
1**What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stories found in data by leveraging a variety of data programming techniques. You will leverage your ability to design, build and deploy data solutions that capture, explore, transform, and utilize data to support Artificial Intelligence, Machine Learning and business intelligence/insights.**What Will You Do?**
* Build and operationalize complex data solutions, correct problems, apply transformations, and recommending data cleansing/quality solutions.
* Design complex data solutions
* Perform analysis of complex sources to determine value and use and recommend data to include in analytical processes.
* Incorporate core data management competencies including data governance, data security and data quality.
* Collaborate within and across teams to support delivery and educate end users on complex data products/analytic environment.
* Perform data and system analysis, assessment and resolution for complex defects and incidents and correct as appropriate.
* Test data movement, transformation code, and data components.
* Perform other duties as assigned.
**What Will Our Ideal Candidate Have?**
* Bachelor’s Degree in STEM related field or equivalent
* Eight years of related experience
* Experience with building robust data pipelines and working with large\-scale datasets.
* Highly proficient use of tools, techniques, and manipulation including Cloud platforms, programming languages, and a full understanding of modern engineering practices.
* Proficiency in tools like AWS, Databricks, Snowflake, Ab Initio, Terraform etc.
* Passion for automation, optimization and delivering high\-quality data solutions.
* The ability to deliver work at a steady, predictable pace to achieve commitments, deliver complete solutions but release them in small batches, and identify and negotiate important tradeoffs.
* Demonstrated track record of domain expertise including understanding technical concepts necessary and industry trends and possess in\-depth knowledge of immediate systems worked on and some knowledge of adjacent systems.
* Strong problem solver who ensures systems are built with longevity and creates innovate ways to resolve issues.
* Strong written and verbal communication skills with the ability to work collaborate well with team members and business partners.
* Ability to lead team members and help create a safe environment for others to learn and grow as engineers. and a proven track record of self\-motivation in identifying opportunities and tracking team efforts.
* Experience with some of the following tools \&amp; platforms (or similar): AWS (S3, Lambda, Kinesis, API Gateway, IAM, Glue, SNS, SQS, EventBridge, EKS, VPC, Step Functions, ECS/EKS, DynamoDB, etc.), Databricks, Python, JavaScript, Kafka, dbt, Terraform, Snowflake, SQL, Jenkins, GitHub, Airflow, Alation, Secrets Management (HashiCorp Vault, AWS Secrets Manager, or similar), Docker / OpenShift / Open Cloud Foundry, MongoDB, SonarQube
* Knowledge and experience with the some of the following concepts: Real\-time \&amp; Batch Data Processing, Workload Orchestration, Cloud, Data lakes, Data Security, Networking, Serverless, Testing/Test Automation (Unit, Integration, Performance, etc.), DevOps, Logging, Monitoring, and Alerting, Containerization, Encryption / Decryption, Data Masking, Cost \&amp; Performance Optimization
**What is a Must Have?**
* Bachelor’s degree in computer science, related STEM field, or its equivalent in education and/or work experience.
* 4 additional years of 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100">
      <c r="A100" t="inlineStr">
        <is>
          <t>in-3397bebf04b48756</t>
        </is>
      </c>
      <c r="B100" t="inlineStr">
        <is>
          <t>Associate Data Engineer</t>
        </is>
      </c>
      <c r="C100" t="inlineStr">
        <is>
          <t>Baker Tilly</t>
        </is>
      </c>
      <c r="D100" t="inlineStr">
        <is>
          <t>indeed</t>
        </is>
      </c>
      <c r="E100">
        <f>HYPERLINK("https://www.indeed.com/viewjob?jk=3397bebf04b48756", "https://www.indeed.com/viewjob?jk=3397bebf04b48756")</f>
        <v/>
      </c>
      <c r="F100">
        <f>HYPERLINK("https://bakertilly.wd5.myworkdayjobs.com/BTCareers/job/USA-TX-Frisco/Associate-Data-Engineer_JR103844", "https://bakertilly.wd5.myworkdayjobs.com/BTCareers/job/USA-TX-Frisco/Associate-Data-Engineer_JR103844")</f>
        <v/>
      </c>
      <c r="G100" t="inlineStr">
        <is>
          <t>Milwaukee, WI, US</t>
        </is>
      </c>
      <c r="H100" s="3" t="n">
        <v>46037</v>
      </c>
      <c r="I100" t="inlineStr">
        <is>
          <t>**Overview**
============
Baker Tilly is a leading advisory, tax and assurance firm, providing clients with a genuine coast\-to\-coast and global advantage in major regions of the U.S. and in many of the world’s leading financial centers – New York, London, San Francisco, Los Angeles, Chicago and Boston. Baker Tilly Advisory Group, LP and Baker Tilly US, LLP (Baker Tilly) provide professional services through an alternative practice structure in accordance with the AICPA Code of Professional Conduct and applicable laws, regulations and professional standards. Baker Tilly US, LLP is a licensed independent CPA firm that provides attest services to its clients. Baker Tilly Advisory Group, LP and its subsidiary entities provide tax and business advisory services to their clients. Baker Tilly Advisory Group, LP and its subsidiary entities are not licensed CPA firms.
Baker Tilly Advisory Group, LP and Baker Tilly US, LLP, trading as Baker Tilly, are independent members of Baker Tilly International, a worldwide network of independent accounting and business advisory firms in 141 territories, with 43,000 professionals and a combined worldwide revenue of $5\.2 billion. Visit bakertilly.com or join the conversation on LinkedIn, Facebook and Instagram.
Please discuss the work location status with your Baker Tilly talent acquisition professional to understand the requirements for an opportunity you are exploring.
*Baker Tilly is an equal* *opportunity/affirmative* *action employer. All qualified applicants will receive consideration for employment without regard to race, color, religion, sex, national origin, disability or protected veteran status, gender identity, sexual orientation, or any other legally protected basis, in accordance with applicable federal, state or local law.*
*Any unsolicited resumes submitted through our website or to Baker Tilly Advisory Group, LP, employee e\-mail accounts are considered property of Baker Tilly Advisory Group, LP, and are not subject to payment of agency fees. In order to be an authorized recruitment agency ("search firm") for Baker Tilly Advisory Group, LP, there must be a formal written agreement in place and the agency must be invited, by Baker Tilly's Talent Attraction team, to submit candidates for review via our applicant tracking system.*
**Job Description:**
====================
Associate Data Engineer
As a Senior Consultant – Associate Data Engineer you will design, build, and optimize modern data solutions for our mid‑market and enterprise clients. Working primarily inside the Microsoft stack (Azure, Synapse, and Microsoft Fabric), you will transform raw data into trusted, analytics‑ready assets that power dashboards, advanced analytics, and AI use cases. You’ll collaborate with solution architects, analysts, and client stakeholders while sharpening both your technical depth and consulting skills.
Key Responsibilities:
* Data Engineering: Develop scalable, well‑documented ETL/ELT pipelines using T‑SQL, Python, Azure Data Factory/Fabric Data Pipelines, and Databricks; implement best‑practice patterns for performance, security, and cost control.
* Modeling \&amp; Storage: Design relational and lakehouse models; create Fabric OneLake shortcuts, medallion‑style layers, and dimensional/semantic models for Power BI.
* Quality \&amp; Governance: Build automated data‑quality checks, lineage, and observability metrics; contribute to CI/CD workflows in Azure DevOps or GitHub.
* Client Delivery: Gather requirements, demo iterative deliverables, document technical designs, and translate complex concepts to non‑technical audiences.
* Continuous Improvement: Research new capabilities, share findings in internal communities of practice, and contribute to reusable accelerators. Collaborate with clients and internal stakeholders to design and implement scalable data engineering solutions.
Qualifications:
* Education – Bachelor’s in Computer Science, Information Systems, Engineering, or related field (or equivalent experience)
* Experience – 2–3 years delivering production data solutions, preferably in a consulting or client‑facing role.
* Technical Skills:
\*\*Strong T‑SQL for data transformation and performance tuning.
\*\*Python for data wrangling, orchestration, or notebook‑based development.
\*\*Hands‑on ETL/ELT with at least one Microsoft service (ADF, Synapse Pipelines, Fabric Data Pipelines).
* Project experience with Microsoft Fabric (OneLake, Lakehouses, Data Pipelines, Notebooks, Warehouse, Power BI DirectLake) preferred
* Familiarity with Databricks, Delta Lake, or comparable lakehouse technologies preferred
* Exposure to DevOps (YAML pipelines, Terraform/Bicep) and test automation frameworks preferred
* Experience integrating SaaS/ERP sources (e.g., Dynamics 365, Workday, Costpoint) preferred</t>
        </is>
      </c>
    </row>
    <row r="101">
      <c r="A101" t="inlineStr">
        <is>
          <t>in-6040b7bf1d155138</t>
        </is>
      </c>
      <c r="B101" t="inlineStr">
        <is>
          <t>Associate Data Engineer</t>
        </is>
      </c>
      <c r="C101" t="inlineStr">
        <is>
          <t>Baker Tilly</t>
        </is>
      </c>
      <c r="D101" t="inlineStr">
        <is>
          <t>indeed</t>
        </is>
      </c>
      <c r="E101">
        <f>HYPERLINK("https://www.indeed.com/viewjob?jk=6040b7bf1d155138", "https://www.indeed.com/viewjob?jk=6040b7bf1d155138")</f>
        <v/>
      </c>
      <c r="F101">
        <f>HYPERLINK("https://bakertilly.wd5.myworkdayjobs.com/BTCareers/job/USA-TX-Frisco/Associate-Data-Engineer_JR103844", "https://bakertilly.wd5.myworkdayjobs.com/BTCareers/job/USA-TX-Frisco/Associate-Data-Engineer_JR103844")</f>
        <v/>
      </c>
      <c r="G101" t="inlineStr">
        <is>
          <t>Madison, WI, US</t>
        </is>
      </c>
      <c r="H101" s="3" t="n">
        <v>46037</v>
      </c>
      <c r="I101" t="inlineStr">
        <is>
          <t>**Overview**
============
Baker Tilly is a leading advisory, tax and assurance firm, providing clients with a genuine coast\-to\-coast and global advantage in major regions of the U.S. and in many of the world’s leading financial centers – New York, London, San Francisco, Los Angeles, Chicago and Boston. Baker Tilly Advisory Group, LP and Baker Tilly US, LLP (Baker Tilly) provide professional services through an alternative practice structure in accordance with the AICPA Code of Professional Conduct and applicable laws, regulations and professional standards. Baker Tilly US, LLP is a licensed independent CPA firm that provides attest services to its clients. Baker Tilly Advisory Group, LP and its subsidiary entities provide tax and business advisory services to their clients. Baker Tilly Advisory Group, LP and its subsidiary entities are not licensed CPA firms.
Baker Tilly Advisory Group, LP and Baker Tilly US, LLP, trading as Baker Tilly, are independent members of Baker Tilly International, a worldwide network of independent accounting and business advisory firms in 141 territories, with 43,000 professionals and a combined worldwide revenue of $5\.2 billion. Visit bakertilly.com or join the conversation on LinkedIn, Facebook and Instagram.
Please discuss the work location status with your Baker Tilly talent acquisition professional to understand the requirements for an opportunity you are exploring.
*Baker Tilly is an equal* *opportunity/affirmative* *action employer. All qualified applicants will receive consideration for employment without regard to race, color, religion, sex, national origin, disability or protected veteran status, gender identity, sexual orientation, or any other legally protected basis, in accordance with applicable federal, state or local law.*
*Any unsolicited resumes submitted through our website or to Baker Tilly Advisory Group, LP, employee e\-mail accounts are considered property of Baker Tilly Advisory Group, LP, and are not subject to payment of agency fees. In order to be an authorized recruitment agency ("search firm") for Baker Tilly Advisory Group, LP, there must be a formal written agreement in place and the agency must be invited, by Baker Tilly's Talent Attraction team, to submit candidates for review via our applicant tracking system.*
**Job Description:**
====================
Associate Data Engineer
As a Senior Consultant – Associate Data Engineer you will design, build, and optimize modern data solutions for our mid‑market and enterprise clients. Working primarily inside the Microsoft stack (Azure, Synapse, and Microsoft Fabric), you will transform raw data into trusted, analytics‑ready assets that power dashboards, advanced analytics, and AI use cases. You’ll collaborate with solution architects, analysts, and client stakeholders while sharpening both your technical depth and consulting skills.
Key Responsibilities:
* Data Engineering: Develop scalable, well‑documented ETL/ELT pipelines using T‑SQL, Python, Azure Data Factory/Fabric Data Pipelines, and Databricks; implement best‑practice patterns for performance, security, and cost control.
* Modeling \&amp; Storage: Design relational and lakehouse models; create Fabric OneLake shortcuts, medallion‑style layers, and dimensional/semantic models for Power BI.
* Quality \&amp; Governance: Build automated data‑quality checks, lineage, and observability metrics; contribute to CI/CD workflows in Azure DevOps or GitHub.
* Client Delivery: Gather requirements, demo iterative deliverables, document technical designs, and translate complex concepts to non‑technical audiences.
* Continuous Improvement: Research new capabilities, share findings in internal communities of practice, and contribute to reusable accelerators. Collaborate with clients and internal stakeholders to design and implement scalable data engineering solutions.
Qualifications:
* Education – Bachelor’s in Computer Science, Information Systems, Engineering, or related field (or equivalent experience)
* Experience – 2–3 years delivering production data solutions, preferably in a consulting or client‑facing role.
* Technical Skills:
\*\*Strong T‑SQL for data transformation and performance tuning.
\*\*Python for data wrangling, orchestration, or notebook‑based development.
\*\*Hands‑on ETL/ELT with at least one Microsoft service (ADF, Synapse Pipelines, Fabric Data Pipelines).
* Project experience with Microsoft Fabric (OneLake, Lakehouses, Data Pipelines, Notebooks, Warehouse, Power BI DirectLake) preferred
* Familiarity with Databricks, Delta Lake, or comparable lakehouse technologies preferred
* Exposure to DevOps (YAML pipelines, Terraform/Bicep) and test automation frameworks preferred
* Experience integrating SaaS/ERP sources (e.g., Dynamics 365, Workday, Costpoint) preferred</t>
        </is>
      </c>
    </row>
    <row r="102">
      <c r="A102" t="inlineStr">
        <is>
          <t>in-6db37595416fab20</t>
        </is>
      </c>
      <c r="B102" t="inlineStr">
        <is>
          <t>Associate Data Engineer</t>
        </is>
      </c>
      <c r="C102" t="inlineStr">
        <is>
          <t>Baker Tilly</t>
        </is>
      </c>
      <c r="D102" t="inlineStr">
        <is>
          <t>indeed</t>
        </is>
      </c>
      <c r="E102">
        <f>HYPERLINK("https://www.indeed.com/viewjob?jk=6db37595416fab20", "https://www.indeed.com/viewjob?jk=6db37595416fab20")</f>
        <v/>
      </c>
      <c r="F102">
        <f>HYPERLINK("https://bakertilly.wd5.myworkdayjobs.com/BTCareers/job/USA-TX-Frisco/Associate-Data-Engineer_JR103844", "https://bakertilly.wd5.myworkdayjobs.com/BTCareers/job/USA-TX-Frisco/Associate-Data-Engineer_JR103844")</f>
        <v/>
      </c>
      <c r="G102" t="inlineStr">
        <is>
          <t>Frisco, TX, US</t>
        </is>
      </c>
      <c r="H102" s="3" t="n">
        <v>46037</v>
      </c>
      <c r="I102" t="inlineStr">
        <is>
          <t>**Overview**
============
Baker Tilly is a leading advisory, tax and assurance firm, providing clients with a genuine coast\-to\-coast and global advantage in major regions of the U.S. and in many of the world’s leading financial centers – New York, London, San Francisco, Los Angeles, Chicago and Boston. Baker Tilly Advisory Group, LP and Baker Tilly US, LLP (Baker Tilly) provide professional services through an alternative practice structure in accordance with the AICPA Code of Professional Conduct and applicable laws, regulations and professional standards. Baker Tilly US, LLP is a licensed independent CPA firm that provides attest services to its clients. Baker Tilly Advisory Group, LP and its subsidiary entities provide tax and business advisory services to their clients. Baker Tilly Advisory Group, LP and its subsidiary entities are not licensed CPA firms.
Baker Tilly Advisory Group, LP and Baker Tilly US, LLP, trading as Baker Tilly, are independent members of Baker Tilly International, a worldwide network of independent accounting and business advisory firms in 141 territories, with 43,000 professionals and a combined worldwide revenue of $5\.2 billion. Visit bakertilly.com or join the conversation on LinkedIn, Facebook and Instagram.
Please discuss the work location status with your Baker Tilly talent acquisition professional to understand the requirements for an opportunity you are exploring.
*Baker Tilly is an equal* *opportunity/affirmative* *action employer. All qualified applicants will receive consideration for employment without regard to race, color, religion, sex, national origin, disability or protected veteran status, gender identity, sexual orientation, or any other legally protected basis, in accordance with applicable federal, state or local law.*
*Any unsolicited resumes submitted through our website or to Baker Tilly Advisory Group, LP, employee e\-mail accounts are considered property of Baker Tilly Advisory Group, LP, and are not subject to payment of agency fees. In order to be an authorized recruitment agency ("search firm") for Baker Tilly Advisory Group, LP, there must be a formal written agreement in place and the agency must be invited, by Baker Tilly's Talent Attraction team, to submit candidates for review via our applicant tracking system.*
**Job Description:**
====================
Associate Data Engineer
As a Senior Consultant – Associate Data Engineer you will design, build, and optimize modern data solutions for our mid‑market and enterprise clients. Working primarily inside the Microsoft stack (Azure, Synapse, and Microsoft Fabric), you will transform raw data into trusted, analytics‑ready assets that power dashboards, advanced analytics, and AI use cases. You’ll collaborate with solution architects, analysts, and client stakeholders while sharpening both your technical depth and consulting skills.
Key Responsibilities:
* Data Engineering: Develop scalable, well‑documented ETL/ELT pipelines using T‑SQL, Python, Azure Data Factory/Fabric Data Pipelines, and Databricks; implement best‑practice patterns for performance, security, and cost control.
* Modeling \&amp; Storage: Design relational and lakehouse models; create Fabric OneLake shortcuts, medallion‑style layers, and dimensional/semantic models for Power BI.
* Quality \&amp; Governance: Build automated data‑quality checks, lineage, and observability metrics; contribute to CI/CD workflows in Azure DevOps or GitHub.
* Client Delivery: Gather requirements, demo iterative deliverables, document technical designs, and translate complex concepts to non‑technical audiences.
* Continuous Improvement: Research new capabilities, share findings in internal communities of practice, and contribute to reusable accelerators. Collaborate with clients and internal stakeholders to design and implement scalable data engineering solutions.
Qualifications:
* Education – Bachelor’s in Computer Science, Information Systems, Engineering, or related field (or equivalent experience)
* Experience – 2–3 years delivering production data solutions, preferably in a consulting or client‑facing role.
* Technical Skills:
\*\*Strong T‑SQL for data transformation and performance tuning.
\*\*Python for data wrangling, orchestration, or notebook‑based development.
\*\*Hands‑on ETL/ELT with at least one Microsoft service (ADF, Synapse Pipelines, Fabric Data Pipelines).
* Project experience with Microsoft Fabric (OneLake, Lakehouses, Data Pipelines, Notebooks, Warehouse, Power BI DirectLake) preferred
* Familiarity with Databricks, Delta Lake, or comparable lakehouse technologies preferred
* Exposure to DevOps (YAML pipelines, Terraform/Bicep) and test automation frameworks preferred
* Experience integrating SaaS/ERP sources (e.g., Dynamics 365, Workday, Costpoint) preferred</t>
        </is>
      </c>
    </row>
    <row r="103">
      <c r="A103" t="inlineStr">
        <is>
          <t>in-08e382886f382a20</t>
        </is>
      </c>
      <c r="B103" t="inlineStr">
        <is>
          <t>Data Engineer Lead</t>
        </is>
      </c>
      <c r="C103" t="inlineStr">
        <is>
          <t>The University of Michigan</t>
        </is>
      </c>
      <c r="D103" t="inlineStr">
        <is>
          <t>indeed</t>
        </is>
      </c>
      <c r="E103">
        <f>HYPERLINK("https://www.indeed.com/viewjob?jk=08e382886f382a20", "https://www.indeed.com/viewjob?jk=08e382886f382a20")</f>
        <v/>
      </c>
      <c r="F103">
        <f>HYPERLINK("https://careers.umich.edu/job_detail/273032/data-engineer-lead", "https://careers.umich.edu/job_detail/273032/data-engineer-lead")</f>
        <v/>
      </c>
      <c r="G103" t="inlineStr">
        <is>
          <t>Ann Arbor, MI, US</t>
        </is>
      </c>
      <c r="H103" s="3" t="n">
        <v>46037</v>
      </c>
      <c r="I103" t="inlineStr">
        <is>
          <t>**How to Apply**
----------------
A cover letter and resume are required submissions for the hiring team to understand your experience. In your cover letter, in 1 page or less, please explain how this role aligns with your career aspirations and skills. Submit both the cover letter and the resume as a single file.
A competitive salary above the posted range is available based on the selected candidate's qualifications, experience, and education.
**Job Summary**
---------------
The University of Michigan's **Data Science Practice** team is seeking a **Data Engineering Lead** to help lead our data engineering and architecture teams. As stewards of the University's enterprise data assets, our team is reimagining the future of our data infrastructure to support advanced analytics, data science, Artificial Intelligence, and institutional decision\-making. This role will work directly with Information and Technology Services (ITS) partners and Campus partners to enable a flexible data ecosystem that meets today's users' needs and scales for our future growth. This position will directly lead our data engineers and architects and report to the Associate Director of the Data Science Practice team.
**What You'll Do**
------------------
You are motivated, innovative, and creative, and you see opportunities for improvement in both technologies and processes. You have a background in data and can see the big picture. You are a leader and a team player.
**Who We Are**
--------------
We are moving to a new cloud\-based, scalable, and secure data ecosystem. We manage our enterprise data warehouse and have a group of data engineers and data architects who will be working in a new environment, implementing new processes and technologies, and migrating data from a legacy system.
**Why Work at Michigan?**
-------------------------
* Be part of a collaborative, forward\-thinking team with a mission to modernize data infrastructure in service of education, research, and institutional excellence.
* Access to professional development opportunities, conferences, and cutting\-edge tools.
* Competitive salary and benefits, including generous time off and tuition support.
**Responsibilities\***
----------------------
* Mentor and collaborate with data engineers and architects, and other high\-performing team members.
* Design, implement, and optimize data pipelines that support the university's modernization strategy.
* Contribute to the design of our future cloud\-native data architecture and the selection and implementation of our new toolset.
* Collaborate with data scientists, analysts, and stakeholders to deliver high\-quality, well\-documented data products.
* Develop scalable ETL/ELT processes that integrate data from enterprise systems (e.g., PeopleSoft, Salesforce, Blackbaud).
* Establish and promote best practices for data modeling, engineering, and governance in a modern data platform environment.
* Support agile delivery and CI/CD practices to improve efficiency and quality across the data lifecycle.
**Required Qualifications\***
-----------------------------
* Bachelor's degree in a related field and/or equivalent combination of education, certification, and experience.
* 5\+ years of professional experience in data engineering, software development, or a related discipline.
* Strong proficiency in **SQL** and experience with both relational and non\-relational database systems.
* Experience developing in **Python and/or Scala**, particularly for data pipeline creation and automation.
* Hands\-on experience with cloud environments (**AWS, Azure, or GCP**) and associated data services.
* Experience with big data frameworks such as **Apache Spark** or **Databricks**.
* Knowledge of **workflow orchestration tools** (e.g., Apache Airflow, Prefect, or similar).
* Familiarity with modern **CI/CD and infrastructure\-as\-code** practices (e.g., Terraform, GitHub Actions).
* Strong understanding of data architecture, integration, and governance principles.
* Excellent communication skills and ability to collaborate in a team\-oriented environment.
**Desired Qualifications\***
----------------------------
* Master's degree in a relevant field (e.g., Data Science, Computer Science, Engineering).
* Experience supporting data and analytics workflows (BI, data science, machine learning, etc).
* Familiarity with modern data stack tools and concepts (platforms such as Snowflake, Databricks, Big Query, Redshift; ETL tools such as dbt and spark)
* Understanding of data privacy and compliance frameworks (e.g., FERPA, HIPAA, GDPR).
* Experience modernizing legacy data systems or migrating to cloud\-native architectures.
* Knowledge of ML Ops, feature engineering, or model deployment tools.
* Experience mentoring team members or leading technical projects.
* Background in higher education or research environments is a plus.
You may not check every box, or your experience may look a little different from what we've outlined, but if you think you can bring value to our team, we encourage you to apply!
**Modes of Work**
-----------------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**Application Deadline**
------------------------
Job openings are posted for a minimum of seven calendar days. The review and selection process may begin as early as the eighth day after posting. This opening may be removed from posting boards and filled anytime after the minimum posting period has ended.
**U\-M EEO Statement**
----------------------
The University of Michigan is an equal employment opportunity employer.
### **Job Opening ID**
273032
### **Working Title**
Data Engineer Lead
### **Job Title**
Data Engineer Lead
### **Work Location**
Ann Arbor Campus
Ann Arbor, MI
### **Modes of Work**
Hybrid
### **Full/Part Time**
Full\-Time
### **Regular/Temporary**
Regular
### **FLSA Status**
Exempt
### **Organizational Group**
Its Ds Analytics
### **Department**
ITS DSP Data Science Practice
### **Posting Begin/End Date**
1/16/2026 \- 1/23/2026
### **Salary**
$113,000\.00 \- $127,000\.00
### **Career Interest**
Information Technology</t>
        </is>
      </c>
    </row>
    <row r="104">
      <c r="A104" t="inlineStr">
        <is>
          <t>in-84232cb9cd687e70</t>
        </is>
      </c>
      <c r="B104" t="inlineStr">
        <is>
          <t>Staff Data Engineering Specialist</t>
        </is>
      </c>
      <c r="C104" t="inlineStr">
        <is>
          <t>TouchTunes</t>
        </is>
      </c>
      <c r="D104" t="inlineStr">
        <is>
          <t>indeed</t>
        </is>
      </c>
      <c r="E104">
        <f>HYPERLINK("https://www.indeed.com/viewjob?jk=84232cb9cd687e70", "https://www.indeed.com/viewjob?jk=84232cb9cd687e70")</f>
        <v/>
      </c>
      <c r="F104">
        <f>HYPERLINK("https://jobs.dayforcehcm.com/en-US/octavegroup/CANDIDATEPORTAL/jobs/2031", "https://jobs.dayforcehcm.com/en-US/octavegroup/CANDIDATEPORTAL/jobs/2031")</f>
        <v/>
      </c>
      <c r="G104" t="inlineStr">
        <is>
          <t>Schaumburg, IL, US</t>
        </is>
      </c>
      <c r="H104" s="3" t="n">
        <v>46037</v>
      </c>
      <c r="I104" t="inlineStr">
        <is>
          <t>**Location:** Schaumburg, Illinois (currently hybrid with up to 50% remote)
**Your mission in the Data Engineering team:**  
At Touchtunes, your work matters.
We are seeking a highly skilled and experienced Staff Data Platform Engineer to lead the design, development, and optimization of our data platform. This role is ideal for someone who thrives at the intersection of cloud architecture, big data engineering, and enabling AI/ML capabilities at scale. You will partner closely with data scientists, analysts, DevOps, and engineering teams to drive scalable, secure, and high\-performing data solutions.
**Your day\-to\-day:**  
* Architect and build scalable data platforms using AWS services such as S3, Glue, Lambda, Redshift, EMR, and CloudWatch.
* Design and optimize end\-to\-end ETL/ELT pipelines using Databricks, PySpark, Python, and SQL to support batch and real\-time data workflows.
* Define, build, and maintain data models and warehouse structures optimized for analytics and ML workloads.
* Implement and maintain CI/CD pipelines for data workflows and ML models using Jenkins, Git, and other DevOps tools.
* Experience building and supporting real\-time data pipelines using tools such as Kafka, Kinesis, or Structured Streaming.
* Drive the adoption of DataOps and MLOps best practices, ensuring robust testing, observability, monitoring, and rollback strategies.
* Partner with machine learning engineers to enable scalable model training, deployment, and monitoring pipelines.
* Establish and enforce data quality, governance, security, and cataloging standards (e.g., Unity Catalog).
* Evaluate and recommend new tools and frameworks that enhance the scalability and reliability of the data ecosystem.
* Mentor junior engineers, promote engineering excellence, and participate in architectural decision\-making.
**Your profile:**  
* Deep expertise in Databricks (clusters, jobs, Delta Lake, Unity Catalog, notebooks).
* Proficiency in Python and PySpark for developing large\-scale data processing jobs.
* Advanced SQL skills, including complex joins, window functions, CTEs, and performance tuning.
* Hands\-on experience with Jenkins for CI/CD automation in data/ML workflows.
* Solid understanding of DataOps/MLOps practices, including version control, testing, monitoring, and deployment of data pipelines and models.
* Experience with orchestration tools such as Airflow, dbt, or similar.
* Familiarity with data security, compliance, and governance frameworks.
* Strong problem\-solving and communication skills; ability to lead cross\-functional technical discussions.
**Even better if you have:**  
* Familiarity with AI development tools and environments such as Cursor, and other modern code generation, debugging, or co\-piloting platforms.
* Experience with containerization and orchestration (e.g., Docker, Kubernetes).
* AWS or Databricks certifications are a plus
**What’s in it for you:**  
At TouchTunes, your work impacts our customers as part of interesting projects that transform the in\-venue entertainment industry. We foster open communication and collaboration across all levels, with approachable leaders who value all voices and empower you to excel and innovate. Our team thrives in an environment where fun meets hard work, and everyone is encouraged to be their authentic selves.
**Our Perks and Benefits:**  
* Hybrid Work Environment: Hybrid schedule with 50% work\-from\-home and in\-office time, with the ability to work anywhere in the world for up to 2 months per year.
* Financial Wellness: Annual performance bonus, long\-term company bonus, 401k matching, life insurance.
* Comprehensive Benefits: Competitive health insurance and disability coverage, a Lifestyle Spending Account, access to telemedicine, and an unlimited sick days policy.
* Professional Development: Continuous hands\-on learning with access to e\-learning platform, tuition reimbursement, and peer mentorship.
* Accessibility: An inclusive workplace designed to accommodate people with disabilities.
TouchTunes
At TouchTunes, the world’s largest in\-venue interactive music and entertainment platform, we’re all about sparking joy and human connection. That moment in a bar where someone at the next table cues the jukebox to play your favorite song? That’s what we do – our platform plays millions of songs daily – but we’re also so much more! We just bought the largest soft\-tipped darts business in the United States, we’re reinventing our mobile app for launch later this year, and we’re operating nearly 100,000 connected devices across North America and Europe. We’re innovators, strategic thinkers, people making the future possible today – and what a great time to join our team.
**Work Requirements:** Must be authorized to work in the United States
TouchTunes is an Equal Employment Opportunity / Affirmative Action employer. TouchTunes provides equal employment opportunities (EEO) to all employees and applicants for employment without regard to race, color, religion, creed, sex, gender identity or expression, age, national origin or ancestry, citizenship, disability, sexual orientation, marital status, pregnancy, veteran status, membership in the uniformed services, genetic information, or any other basis protected by applicable law. This policy applies to all terms and conditions of employment, including recruiting, hiring, placement, promotion, termination, layoff, recall, transfer, leaves of absence, compensation, and training.
* TouchTunes is a proud ally of QueerTech and DiversityJobs.</t>
        </is>
      </c>
    </row>
    <row r="105">
      <c r="A105" t="inlineStr">
        <is>
          <t>in-732fa02749f7258d</t>
        </is>
      </c>
      <c r="B105" t="inlineStr">
        <is>
          <t>GCP Data Engineer (Snowflake, Airflow, Agent Development) - Remote</t>
        </is>
      </c>
      <c r="C105" t="inlineStr">
        <is>
          <t>Mindex</t>
        </is>
      </c>
      <c r="D105" t="inlineStr">
        <is>
          <t>indeed</t>
        </is>
      </c>
      <c r="E105">
        <f>HYPERLINK("https://www.indeed.com/viewjob?jk=732fa02749f7258d", "https://www.indeed.com/viewjob?jk=732fa02749f7258d")</f>
        <v/>
      </c>
      <c r="F105">
        <f>HYPERLINK("https://apply.workable.com/j/F2F751C6D8", "https://apply.workable.com/j/F2F751C6D8")</f>
        <v/>
      </c>
      <c r="G105" t="inlineStr">
        <is>
          <t>Rochester, NY, US</t>
        </is>
      </c>
      <c r="H105" s="3" t="n">
        <v>46037</v>
      </c>
      <c r="I105" t="inlineStr">
        <is>
          <t>Founded in 1994 and celebrating 30 years in business, Mindex is a software development company with a rich history of demonstrated software and product development success. We specialize in agile software development, cloud professional services, and creating our own innovative products. We are proud to be recognized as the \#1 Software Developer in the 2023 RBJ's Book of Lists and ranked 27th in Rochester Chamber’s Top 100 Companies. Additionally, we have maintained our certification as a Great Place to Work for consecutive years in a row. Our list of satisfied clients and \#ROCstar employees are both rapidly growing— Are you next to join our team?
Mindex’s Software Development division is the go\-to software developer for enterprise organizations looking to engage teams of skilled technical resources to help them plan, navigate, and execute through the full software development lifecycle.
We seek a skilled Google Cloud Platform Data Engineer to join our team.
**Essential Functions** The GCP Data Engineer will develop data integration processes supporting client data initiatives. This includes ensuring accuracy and consistency of business data across systems, with extensive use of Python, SQL, and modern data engineering frameworks. The role also requires providing technical support during business hours.
Key Responsibilities:
* Develop an understanding of the data environment through profiling and analysis to enhance data quality.
* Build Python\-based solutions for data extraction, cleansing, transformation, and validation to support data migration.
* Document data integration processes, ensure traceability and develop data monitoring solutions.
* Collaborate with architects for solution integration ensuring alignment with company standards.
* Manage data tools and platforms for proper software/infrastructure updates.
* Work with the Data Management Organization to align with data quality improvement objectives.
* Ensure solutions meet Service Level Agreements with capacity and performance considerations.
**Requirements**
* Bachelor’s Degree in Computer Science or equivalent experience preferred.
* 4 years of experience in software engineering with a strong focus on Python and data engineering.
* Advanced proficiency in Python and **Agent Development** with strong problem\-solving skills required.
* 3 years of development experience and proficiency with Relational Databases, NoSQL, and/or Data Lakehouses (**Snowflake**, Microsoft Fabric, Databricks)
* Intermediate proficiency in cloud technologies, including **Google Cloud Platform**, required.
* Working knowledge of REST standards preferred.
* Experienced in data quality, data integration, and data processing.
* Proficiency with data movement solutions like Informatica IICS, Fivetran, and Airbyte.
* Experience with data transformation solutions, such as dbt.
* Experience with workflow orchestration tools such as **Airflow or Astronmer**, Dagster, and Prefect.
* Familiarity with CI/CD and container technology is preferred. Understanding usage of AI technologies for development and proficiency in prompting
Physical Conditions/Requirements
* Prolonged periods sitting at a desk and working on a computer
* No heavy lifting is expected. Exertion of up to 10 lbs.
**Benefits**
* Health insurance
* Paid holidays
* Flexible time off
* 401k retirement savings plan and company match with pre\-tax and ROTH options
* Dental insurance
* Vision insurance
* Employer paid disability insurance
* Life insurance and AD\&amp;D insurance
* Employee assistance program
* Flexible spending accounts
* Health savings account with employer contributions
* Accident, critical illness, hospital indemnity, and legal assistance
* Adoption assistance
* Domestic partner coverage
**Mindex Perks**
* Tickets to local sporting events
* Teambuilding events
* Holiday and celebration parties
**Professional Development**
* Leadership training
* License to Udemy online training courses
* Growth opportunities
The band range for this role takes into account the wide range of factors that are considered in making compensation decisions including, but not limited to, skill sets, education, experience, training, certifications, internal equity, and other business and organizational needs. It is not typical for an individual to be hired at, or near, the top of the range for their role; and compensation decisions are dependent on the facts and circumstances of each case. The range for this role is $90,000\-$140,000
Applicants must be authorized to work for ANY employer in the U.S. We are unable to sponsor, or take over sponsorship of an employment Visa at this time.</t>
        </is>
      </c>
    </row>
    <row r="106">
      <c r="A106" t="inlineStr">
        <is>
          <t>in-c8168e647cf6b2a3</t>
        </is>
      </c>
      <c r="B106" t="inlineStr">
        <is>
          <t>Analytics Engineer 5 - Corporate Finance</t>
        </is>
      </c>
      <c r="C106" t="inlineStr">
        <is>
          <t>Netflix</t>
        </is>
      </c>
      <c r="D106" t="inlineStr">
        <is>
          <t>indeed</t>
        </is>
      </c>
      <c r="E106">
        <f>HYPERLINK("https://www.indeed.com/viewjob?jk=c8168e647cf6b2a3", "https://www.indeed.com/viewjob?jk=c8168e647cf6b2a3")</f>
        <v/>
      </c>
      <c r="F106">
        <f>HYPERLINK("https://explore.jobs.netflix.net/careers/job/790313630319", "https://explore.jobs.netflix.net/careers/job/790313630319")</f>
        <v/>
      </c>
      <c r="G106" t="inlineStr">
        <is>
          <t>Remote, US</t>
        </is>
      </c>
      <c r="H106" s="3" t="n">
        <v>46037</v>
      </c>
      <c r="I106"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Our Corporate Finance team, part of Finance Data Science and Engineering (DSE), brings this same innovative approach to our financial operations. As trusted partners to our finance stakeholders, we analyze key metrics, surface actionable insights, and drive value for the business. As Netflix continues to grow, the need for advanced analytics in Finance is greater than ever – leveraging cutting\-edge techniques to uncover deeper insights and identify new opportunities for impact.
You’ll play a key role in shaping the future of how our team builds business\-critical revenue data products within Corporate Finance at Netflix, helping unlock new value and drive strategic decision\-making through data. Learn more from our blog on how Finance AEs are driving the business forward through data.
In this role, you will:
* Champion a “data as a product” mindset: Set the standard for robust documentation, testing, and data model design – making revenue data products easy to understand, trust, and extend.
* Mentor and uplevel the team: Share best practices in analytics engineering, code quality, and documentation; coach others to adopt product\-minded approaches and raise AE standards across the org.
* Partner cross\-functionally with Finance, Data Science, Data Engineering, and Revenue stakeholders to define the future vision for key revenue data products, surfacing opportunities for innovation and improved business impact.
* Continuously improve business\-critical analytics workflows for revenue that power Investor Relations reporting and all downstream revenue consumers, ensuring reliability, scalability, and transparency.
* Drive root\-cause analysis and ask “why” to deeply understand the drivers of revenue data issues, proactively identifying improvements to workflows, code, and models.
* Implement and advocate for orchestration best practices to ensure the reliability and timeliness of revenue data pipelines.
* Leverage AI tools (e.g., Claude Code, Cursor, MCP servers) to boost developer productivity and workflow efficiency, and share learnings with the team.
* Contribute to the adoption of modern AE standards (e.g., WAP—Write Audit Publish) and help define best practices for documentation, testing, and code review.
* Work with modern data infrastructure (Iceberg, SQL, orchestration tools), with opportunities to influence adoption of new tools (e.g., DBT, Pandas).
Technical Skills:
* Demonstrated ability to write clean, readable, and impactful SQL code.
* Advanced SQL skills for analytics data processing (orchestration, metrics creation, documentation).
* Familiarity with DBT or other semantic data modeling tools for strong data foundations.
* Experience with AI tools for automation (e.g., Cursor, Claude, Commands, Rules) is a plus.
* Experience with Python Pandas framework is a plus.
What Sets You Apart:
* 8\+ years in analytics/data engineering, ideally in high\-stakes, business\-critical data environments.
* Data\-as\-a\-product mentality and ability to influence and drive cross\-functional change from specification, planning, implementation, and beyond launch.
* Deep sense of ownership, curiosity, and a drive to get at the “why” behind data and workflow design.
* Proven ability to mentor, influence, and raise the bar for technical and product standards within a team.
* Excellent communication skills for both technical and non\-technical audiences.
* Collaborative, innovative, and comfortable navigating ambiguity in a fast\-moving environment.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
Netflix has a unique culture and environment. Learn more here .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07">
      <c r="A107" t="inlineStr">
        <is>
          <t>in-c9b41ef40fc5ad0a</t>
        </is>
      </c>
      <c r="B107" t="inlineStr">
        <is>
          <t>Senior Data Engineer - Associate</t>
        </is>
      </c>
      <c r="C107" t="inlineStr">
        <is>
          <t>Morgan Stanley</t>
        </is>
      </c>
      <c r="D107" t="inlineStr">
        <is>
          <t>indeed</t>
        </is>
      </c>
      <c r="E107">
        <f>HYPERLINK("https://www.indeed.com/viewjob?jk=c9b41ef40fc5ad0a", "https://www.indeed.com/viewjob?jk=c9b41ef40fc5ad0a")</f>
        <v/>
      </c>
      <c r="F107">
        <f>HYPERLINK("https://morganstanley.eightfold.ai/careers/job?domain=morganstanley.com&amp;pid=549795324456", "https://morganstanley.eightfold.ai/careers/job?domain=morganstanley.com&amp;pid=549795324456")</f>
        <v/>
      </c>
      <c r="G107" t="inlineStr">
        <is>
          <t>New York, NY, US</t>
        </is>
      </c>
      <c r="H107" s="3" t="n">
        <v>46037</v>
      </c>
      <c r="I107" t="inlineStr">
        <is>
          <t>**Company Profile**  
Morgan Stanley is a leading global financial services firm providing a wide range of investment banking, securities, investment management and wealth management services. The Firm's employees serve clients worldwide including corporations, governments, and individuals from more than 1,200 offices in 43 countries.
**Team Profile**  
Non\-Financial Risk Technology provides operational controls and surveillance capabilities to enhance the firm's resilience to threats and fraudulent behavior.
The Fraud Technology department is responsible for designing, developing, and maintaining applications, which helps the firm identify and prevent potential fraudulent transactions. We also provide technology expertise to our fraud analysts in operations.
**Role Profile**  
As a senior data engineer your role will be to create and deliver high quality, resilient data solutions to our Fraud business partners and being a productive member of the development team. You will be working on various existing and new technology stacks which include on\-prem relational and big\-data technologies \&amp; new cloud\-based technologies in Azure. You will be expected to share ownership of our projects and contribute to the active development and maintenance of our applications. You will have the opportunity to be exposed to modern software engineering tools and best practices. You will have the opportunity to be exposed to how a large investment bank like Morgan Stanley detects and prevents fraud. You will work in a dynamic agile team that uses Scrum for its workflow. You will be expected to be involved in the full development lifecycle. You will be expected to collaborate with others in the wider team as well as working
**Skills Required**
* 6\+ years of relevant work experience
* Strong with programming in Python to perform
* Batch data engineering on Apache Spark and populate downstream batch data stores (such as data mart) for BI use cases \&amp; to generate downstream feeds (ie., flat \&amp; wide tables or compressed files) for Data Science use cases
* Real\-time service integration to process business events off Kafka and persist in operational MS SQL/MongoDB and/or Neo4j Graph data stores for fraud investigation
* Near real\-time stream processing to derive features for ML model inference.
* Strong with SQL Server \&amp; Hadoop based implementations
* Strong SQL \&amp; Stored Procedure skills
* Exposure to modern operational NewSQL or NoSQL database technologies such as Neo4j, MongoDB, MemSQL etc.,
* Good hands\-on experience with at least one of the job scheduling tools like Autosys (Preferred), Control\-M etc.
* Experience of working in a Linux environment and can write Python/Shell scripts
* Strong data architecture and modeling experience. Especially, in dimensional modeling for data mart design and development to support BI use cases
* Strong data analytics skills
* Strong oral and written communication skills
* Excellent interpersonal skills and professional approach
* Strong analytical and problem\-solving skills
* Ability to learn quickly and pick up new techniques and/or technologies
Experience in building \&amp; maintaining data solutions for Operational, BI \&amp; Data Science use cases  
* 
**Skills Desired**
* Experience with Azure (Databricks, Data Factory, Synapse, Azure Data Lake) and/or AWS (AWS S3, AWS Athena, AWS Glue) Data ecosystem \&amp; Snowflake Data Cloud
* Experience in building virtual data access layer using Data Virtualization technologies to support BI \&amp; Data Science use cases
* Experience of the full software development life cycle
* Experience of working in an Agile team
* Experience of working with version control systems
* Experience with bash scripting
* Experience of working with Continuous Integration systems
* Experience in Fraud detection and prevention business in Financial Services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$90,000 and $150,000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108">
      <c r="A108" t="inlineStr">
        <is>
          <t>in-3be117c30f56f05a</t>
        </is>
      </c>
      <c r="B108" t="inlineStr">
        <is>
          <t>Data Engineer, Denied Party Screening, AWS Compliance &amp; Security Assurance</t>
        </is>
      </c>
      <c r="C108" t="inlineStr">
        <is>
          <t>Amazon.com</t>
        </is>
      </c>
      <c r="D108" t="inlineStr">
        <is>
          <t>indeed</t>
        </is>
      </c>
      <c r="E108">
        <f>HYPERLINK("https://www.indeed.com/viewjob?jk=3be117c30f56f05a", "https://www.indeed.com/viewjob?jk=3be117c30f56f05a")</f>
        <v/>
      </c>
      <c r="F108">
        <f>HYPERLINK("https://www.amazon.jobs/jobs/3160403/data-engineer-denied-party-screening-aws-compliance--security-assurance?cmpid=DA_INAD200785B", "https://www.amazon.jobs/jobs/3160403/data-engineer-denied-party-screening-aws-compliance--security-assurance?cmpid=DA_INAD200785B")</f>
        <v/>
      </c>
      <c r="G108" t="inlineStr">
        <is>
          <t>Seattle, WA, US</t>
        </is>
      </c>
      <c r="H108" s="3" t="n">
        <v>46029</v>
      </c>
      <c r="I108"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09">
      <c r="A109" t="inlineStr">
        <is>
          <t>in-e8557536be5bd103</t>
        </is>
      </c>
      <c r="B109" t="inlineStr">
        <is>
          <t>Data Engineer, Denied Party Screening, AWS Compliance &amp; Security Assurance</t>
        </is>
      </c>
      <c r="C109" t="inlineStr">
        <is>
          <t>Amazon.com</t>
        </is>
      </c>
      <c r="D109" t="inlineStr">
        <is>
          <t>indeed</t>
        </is>
      </c>
      <c r="E109">
        <f>HYPERLINK("https://www.indeed.com/viewjob?jk=e8557536be5bd103", "https://www.indeed.com/viewjob?jk=e8557536be5bd103")</f>
        <v/>
      </c>
      <c r="F109">
        <f>HYPERLINK("https://www.amazon.jobs/jobs/3160403/data-engineer-denied-party-screening-aws-compliance--security-assurance?cmpid=DA_INAD200785B", "https://www.amazon.jobs/jobs/3160403/data-engineer-denied-party-screening-aws-compliance--security-assurance?cmpid=DA_INAD200785B")</f>
        <v/>
      </c>
      <c r="G109" t="inlineStr">
        <is>
          <t>Dallas, TX, US</t>
        </is>
      </c>
      <c r="H109" s="3" t="n">
        <v>46029</v>
      </c>
      <c r="I109"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10">
      <c r="A110" t="inlineStr">
        <is>
          <t>in-9f15be0b3d136926</t>
        </is>
      </c>
      <c r="B110" t="inlineStr">
        <is>
          <t>Senior Azure Data Engineer – Enterprise Reporting &amp; Analytics</t>
        </is>
      </c>
      <c r="C110" t="inlineStr">
        <is>
          <t>Delan Associates, Inc</t>
        </is>
      </c>
      <c r="D110" t="inlineStr">
        <is>
          <t>indeed</t>
        </is>
      </c>
      <c r="E110">
        <f>HYPERLINK("https://www.indeed.com/viewjob?jk=9f15be0b3d136926", "https://www.indeed.com/viewjob?jk=9f15be0b3d136926")</f>
        <v/>
      </c>
      <c r="F110">
        <f>HYPERLINK("https://delan-associates-inc.breezy.hr/p/e3957cb26cec-senior-azure-data-engineer-enterprise-reporting-analytics?source=indeed", "https://delan-associates-inc.breezy.hr/p/e3957cb26cec-senior-azure-data-engineer-enterprise-reporting-analytics?source=indeed")</f>
        <v/>
      </c>
      <c r="G110" t="inlineStr">
        <is>
          <t>New York, NY, US</t>
        </is>
      </c>
      <c r="H110" s="3" t="n">
        <v>46022</v>
      </c>
      <c r="I110" t="inlineStr">
        <is>
          <t>**About the Role**
We are seeking a **Senior Azure Data Engineer** to support the client's **Enterprise Reporting and Application Development (ERAD)** platform. This role will focus on enterprise data engineering, analytics, reporting, and application support using **Azure, Microsoft BI, and Power Platform technologies**.
The consultant will work independently and collaboratively with technical teams and business stakeholders to design, develop, deploy, and support enterprise\-scale data and analytics solutions.
**Key Responsibilities**
* Gather and document business and technical requirements
* Design, develop, test, and deploy enterprise data and analytics solutions
* Build and maintain **Azure\-based data platforms** (SQL, Synapse, Data Factory, Data Lake)
* Develop **batch, API\-based, and streaming data pipelines**
* Perform unit testing, system integration testing, and support UAT
* Deploy solutions following formal **change and release management** processes
* Provide production support, enhancements, and issue resolution
* Maintain and support **production and non\-production environments**
* Perform system administration, security configuration, and user access management
* Troubleshoot and resolve data, performance, and platform issues
* Support **disaster recovery planning and testing**
* Produce technical documentation and end\-user training materials
* Participate in on\-call/off\-hours support as needed
**Required Qualifications**
* **10\+ years** of experience in enterprise data warehouse and analytics development
* Strong experience with **Azure SQL, Azure Synapse, Azure Data Factory, Azure Data Lake**
* Experience with **Azure IaaS/PaaS** and cloud\-based data platforms
* Expertise in **end\-to\-end data warehouse architecture and design**
* Experience building **API ingestion and streaming pipelines**
* Strong knowledge of **DevOps, CI/CD, and Infrastructure as Code**
* Experience with **Azure Cosmos DB (NoSQL)**
* Solid understanding of **Kimball and Inmon data modeling methodologies**
* Experience developing **secure data access and security models**
* Strong troubleshooting, documentation, and communication skills
**Preferred Qualifications**
* Experience with **Power BI** and Microsoft BI Stack (SSIS, SSAS Tabular/OLAP, SSRS)
* Knowledge of **Azure Databricks, Spark, Stream Analytics, IoT, HDInsight**
* Working knowledge of **Python, PowerShell, and C\#**
* Familiarity with **AWS cloud infrastructure**
* Relevant **Azure or Microsoft certifications**</t>
        </is>
      </c>
    </row>
    <row r="111">
      <c r="A111" t="inlineStr">
        <is>
          <t>in-6b4eec1266149fe8</t>
        </is>
      </c>
      <c r="B111" t="inlineStr">
        <is>
          <t>Data Engineer</t>
        </is>
      </c>
      <c r="C111" t="inlineStr">
        <is>
          <t>Amazon.com</t>
        </is>
      </c>
      <c r="D111" t="inlineStr">
        <is>
          <t>indeed</t>
        </is>
      </c>
      <c r="E111">
        <f>HYPERLINK("https://www.indeed.com/viewjob?jk=6b4eec1266149fe8", "https://www.indeed.com/viewjob?jk=6b4eec1266149fe8")</f>
        <v/>
      </c>
      <c r="F111">
        <f>HYPERLINK("https://www.amazon.jobs/jobs/3141339/data-engineer?cmpid=DA_INAD200785B", "https://www.amazon.jobs/jobs/3141339/data-engineer?cmpid=DA_INAD200785B")</f>
        <v/>
      </c>
      <c r="G111" t="inlineStr">
        <is>
          <t>San Francisco, CA, US</t>
        </is>
      </c>
      <c r="H111" s="3" t="n">
        <v>46001</v>
      </c>
      <c r="I1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in-b8b97a204e41a2cb</t>
        </is>
      </c>
      <c r="B112" t="inlineStr">
        <is>
          <t>Data Engineer</t>
        </is>
      </c>
      <c r="C112" t="inlineStr">
        <is>
          <t>Amazon.com</t>
        </is>
      </c>
      <c r="D112" t="inlineStr">
        <is>
          <t>indeed</t>
        </is>
      </c>
      <c r="E112">
        <f>HYPERLINK("https://www.indeed.com/viewjob?jk=b8b97a204e41a2cb", "https://www.indeed.com/viewjob?jk=b8b97a204e41a2cb")</f>
        <v/>
      </c>
      <c r="F112">
        <f>HYPERLINK("https://www.amazon.jobs/jobs/3141339/data-engineer?cmpid=DA_INAD200785B", "https://www.amazon.jobs/jobs/3141339/data-engineer?cmpid=DA_INAD200785B")</f>
        <v/>
      </c>
      <c r="G112" t="inlineStr">
        <is>
          <t>Seattle, WA, US</t>
        </is>
      </c>
      <c r="H112" s="3" t="n">
        <v>46001</v>
      </c>
      <c r="I1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in-26b55a0e4f200b2b</t>
        </is>
      </c>
      <c r="B113" t="inlineStr">
        <is>
          <t>Delivery Consultant - Data Engineer, Data and Machine Learning, WWPS US Federal</t>
        </is>
      </c>
      <c r="C113" t="inlineStr">
        <is>
          <t>Amazon Web Services</t>
        </is>
      </c>
      <c r="D113" t="inlineStr">
        <is>
          <t>indeed</t>
        </is>
      </c>
      <c r="E113">
        <f>HYPERLINK("https://www.indeed.com/viewjob?jk=26b55a0e4f200b2b", "https://www.indeed.com/viewjob?jk=26b55a0e4f200b2b")</f>
        <v/>
      </c>
      <c r="F113">
        <f>HYPERLINK("https://www.amazon.jobs/jobs/3134583/delivery-consultant--data-engineer-data-and-machine-learning-wwps-us-federal?cmpid=DA_INAD200785B", "https://www.amazon.jobs/jobs/3134583/delivery-consultant--data-engineer-data-and-machine-learning-wwps-us-federal?cmpid=DA_INAD200785B")</f>
        <v/>
      </c>
      <c r="G113" t="inlineStr">
        <is>
          <t>Herndon, VA, US</t>
        </is>
      </c>
      <c r="H113" s="3" t="n">
        <v>45991</v>
      </c>
      <c r="I113"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in-acf195d64113edcc</t>
        </is>
      </c>
      <c r="B114" t="inlineStr">
        <is>
          <t>Delivery Consultant - Data Engineer, Data and Machine Learning, WWPS US Federal</t>
        </is>
      </c>
      <c r="C114" t="inlineStr">
        <is>
          <t>Amazon Web Services</t>
        </is>
      </c>
      <c r="D114" t="inlineStr">
        <is>
          <t>indeed</t>
        </is>
      </c>
      <c r="E114">
        <f>HYPERLINK("https://www.indeed.com/viewjob?jk=acf195d64113edcc", "https://www.indeed.com/viewjob?jk=acf195d64113edcc")</f>
        <v/>
      </c>
      <c r="F114">
        <f>HYPERLINK("https://www.amazon.jobs/jobs/3134583/delivery-consultant--data-engineer-data-and-machine-learning-wwps-us-federal?cmpid=DA_INAD200785B", "https://www.amazon.jobs/jobs/3134583/delivery-consultant--data-engineer-data-and-machine-learning-wwps-us-federal?cmpid=DA_INAD200785B")</f>
        <v/>
      </c>
      <c r="G114" t="inlineStr">
        <is>
          <t>Arlington, VA, US</t>
        </is>
      </c>
      <c r="H114" s="3" t="n">
        <v>45991</v>
      </c>
      <c r="I114"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in-41db73f098c43007</t>
        </is>
      </c>
      <c r="B115" t="inlineStr">
        <is>
          <t>eCom Data Engineer Specialist</t>
        </is>
      </c>
      <c r="C115" t="inlineStr">
        <is>
          <t>PepsiCo</t>
        </is>
      </c>
      <c r="D115" t="inlineStr">
        <is>
          <t>indeed</t>
        </is>
      </c>
      <c r="E115">
        <f>HYPERLINK("https://www.indeed.com/viewjob?jk=41db73f098c43007", "https://www.indeed.com/viewjob?jk=41db73f098c43007")</f>
        <v/>
      </c>
      <c r="F115">
        <f>HYPERLINK("https://pepsicojobs.com/jobs/411002/job?utm_source=indeed_integration&amp;iis=Job%20Board&amp;iisn=Indeed&amp;indeed-apply-token=73a2d2b2a8d6d5c0a62696875eaebd669103652d3f0c2cd5445d3e66b1592b0f", "https://pepsicojobs.com/jobs/411002/job?utm_source=indeed_integration&amp;iis=Job%20Board&amp;iisn=Indeed&amp;indeed-apply-token=73a2d2b2a8d6d5c0a62696875eaebd669103652d3f0c2cd5445d3e66b1592b0f")</f>
        <v/>
      </c>
      <c r="G115" t="inlineStr">
        <is>
          <t>Purchase, NY, US</t>
        </is>
      </c>
      <c r="H115" s="3" t="n">
        <v>45936</v>
      </c>
      <c r="I115" t="inlineStr">
        <is>
          <t>Overview:
PepsiCo operates in an environment undergoing immense and rapid change. Big data and digital technologies are driving business transformation that is unlocking new capabilities and business innovations in areas like eCommerce, mobile experiences, and IoT. The key to winning in these areas is leveraging enterprise data foundations built on PepsiCo’s global business scale to enable business insights, advanced analytics, and new product development. PepsiCo’s Data Management and Operations team is tasked with the responsibility of developing quality data collection processes, maintaining the integrity of our data foundations, and enabling business leaders and data scientists across the company to have rapid access to the data they need for decision\-making and innovation.
Responsibilities:
As a member of the data engineering team, you will be the key technical expert developing and overseeing PepsiCo's data product build \&amp; operations and driving a strong vision for how data engineering can proactively create a positive impact on the business. You'll be an empowered member of a team of data engineers who build data pipelines into various source systems, rest data on the PepsiCo Data Lake, and enable exploration and access for analytics, visualization, machine learning, and product development efforts across the company. As a member of the data engineering team, you will help lead the development of very large and complex data applications into public cloud environments, directly impacting the design, architecture, and implementation of PepsiCo's flagship data products around topics like revenue management, supply chain, manufacturing, and logistics. You will work closely with process owners, product owners, and business users. You'll be working in a hybrid environment with in\-house, on\-premise data sources, as well as cloud and remote systems. **Accountabilities:*** Own data pipeline development end\-to\-end, spanning data modeling, testing, scalability, operability, and ongoing metrics.
* Ensure that we build high\-quality software by reviewing peer code check\-ins.
* Define best practices for product development, engineering, and coding as part of a world\-class engineering team.
* Collaborate in architecture discussions and architectural decision\-making that is part of continually improving and expanding these platforms.
* Lead feature development in collaboration with other engineers; validate requirements/stories, assess current system capabilities, and decompose feature requirements into engineering tasks.
* Focus on delivering high\-quality data pipelines and tools through careful analysis of system capabilities and feature requests, peer reviews, test automation, and collaboration with other engineers.
* Develop software in short iterations to quickly add business value.
* Introduce new tools/practices to improve data and code quality; this includes researching/sourcing 3rd party tools and libraries, as well as developing tools in\-house to improve workflow and quality for all data engineers.
* Support data pipelines developed by your team through good exception handling, monitoring, and, when needed by debugging production issues.
**Compensation and Benefits:*** The expected compensation range for this position is between $64,900 \- $132,550\.
* Location, confirmed job\-related skills, experience, and education will be considered in setting actual starting salary. Your recruiter can share more about the specific salary range during the hiring process.
* A business development incentive equity may be awarded based on eligibility and performance.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4\+ years of overall technology experience that includes at least 3\+ years of hands\-on software development, data engineering, and systems architecture.
* 3\+ years of experience in SQL optimization and performance tuning.
* Experience with data modeling, data warehousing, and building high\-volume ETL/ELT pipelines.
* Experience building/operating highly available, distributed systems of data extraction, ingestion, and processing of large data sets.
* Experience with data profiling and data quality tools like Apache Griffin, Deequ, or Great Expectations.
**Current skills in the following technologies:*** Python
* **Orchestration platforms:** Airflow, Luigi, Databricks, or similar.
* **Relational databases:** Postgres, MySQL, or equivalents.
* **MPP data systems:** Snowflake, Redshift, Synapse, or similar.
* **Cloud platforms:** AWS, Azure, or similar.
* Version control (e.g., GitHub) and familiarity with deployment, CI/CD tools.
* Fluent with Agile processes and tools such as Jira or Pivotal Tracker.
* Experience with running and scaling applications on the cloud infrastructure and containerized services like Kubernetes is a plus.
* Understanding of metadata management, data lineage, and data glossaries is a plus.
\&gt;: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116">
      <c r="A116" t="inlineStr">
        <is>
          <t>in-19402130d998148c</t>
        </is>
      </c>
      <c r="B116" t="inlineStr">
        <is>
          <t>Principal Data Engineer</t>
        </is>
      </c>
      <c r="C116" t="inlineStr">
        <is>
          <t>PepsiCo</t>
        </is>
      </c>
      <c r="D116" t="inlineStr">
        <is>
          <t>indeed</t>
        </is>
      </c>
      <c r="E116">
        <f>HYPERLINK("https://www.indeed.com/viewjob?jk=19402130d998148c", "https://www.indeed.com/viewjob?jk=19402130d998148c")</f>
        <v/>
      </c>
      <c r="F116">
        <f>HYPERLINK("https://pepsicojobs.com/jobs/399518/job?utm_source=indeed_integration&amp;iis=Job%20Board&amp;iisn=Indeed&amp;indeed-apply-token=73a2d2b2a8d6d5c0a62696875eaebd669103652d3f0c2cd5445d3e66b1592b0f", "https://pepsicojobs.com/jobs/399518/job?utm_source=indeed_integration&amp;iis=Job%20Board&amp;iisn=Indeed&amp;indeed-apply-token=73a2d2b2a8d6d5c0a62696875eaebd669103652d3f0c2cd5445d3e66b1592b0f")</f>
        <v/>
      </c>
      <c r="G116" t="inlineStr">
        <is>
          <t>Plano, TX, US</t>
        </is>
      </c>
      <c r="H116" s="3" t="n">
        <v>45924</v>
      </c>
      <c r="I116" t="inlineStr">
        <is>
          <t>Overview:
As a member of the data engineering team, you will be the key technical expert developing and overseeing PepsiCo's data product build \&amp; operations and drive a strong vision for how data engineering can proactively create a positive impact on the business. You'll be an empowered member of a team of data engineers who build data pipelines into various source systems, rest data on the PepsiCo Data Lake, and enable exploration and access for analytics, visualization, machine learning, and product development efforts across the company. As a member of the data engineering team, you will help lead the development of very large and complex data applications into public cloud environments directly impacting the design, architecture, and implementation of PepsiCo's flagship data products
Responsibilities:
* Active contributor to code development in projects and services
* Manage and scale data pipelines from internal and external data sources to support new product launches and drive data quality across data products
* Build and own the automation and monitoring frameworks that captures metrics and operational KPIs for data pipeline quality and performance
* Responsible for implementing best practices around systems integration
* Security, performance and data management
* Empower the business by creating value through the increased adoption of data
* Data science and business intelligence landscape
* Collaborate with internal clients (data science and product teams) to drive solutioning and POC discussions
**Compensation and Benefits:*** The expected compensation range for this position is between $89,000 \- $149,000
* Location, confirmed job\-related skills, experience, and education will be considered in setting actual starting salary. Your recruiter can share more about the specific salary range during the hiring process
* Bonus based on performance and eligibility target payout is 10%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6\+ years of overall technology experience that includes at least 4\+ years of hands\-on software development, data engineering, and systems architecture.
* 4\+ years of experience with Data Lake Infrastructure, Data Warehousing, and Data Analytics tools.
* 4\+ years of experience in SQL optimization and performance tuning, and development experience in programming languages like Python, PySpark, Scala etc.).
* 2\+ years in cloud data engineering experience in Azure(Azure Data Factory(ADF), ADLS\-2, Databricks(Lakehouse, Workflow SQL, Unity catalog).
* Fluent with Azure cloud services. Azure or Databricks Certification is a plus.
* Experience with integration of multi cloud services with on\-premises technologies.
* Experience with data modeling, data warehousing, and building high\-volume ETL/ELT pipelines.
* Experience with data profiling and data quality tools like Apache Griffin, Deequ, and Great Expectations.
* Experience building/operating highly available, distributed systems of data extraction, ingestion, and processing of large data sets.
* Experience with at least one MPP database technology such as Redshift, Synapse or SnowFlake.
* Experience with running and scaling applications on the cloud infrastructure and containerized services like Kubernetes.
* Experience with version control systems like Github and deployment \&amp; CI tools.
* Experience with Azure Data Factory, Azure Databricks and Azure Machine learning tools.
* Experience with Statistical/ML techniques is a plus.
* Experience with building solutions in the Supply chain space(Digital Procurement, Manufacturing, Cost, Warehouse, Network Design) is a plus.
* Understanding of metadata management, data lineage, and data glossaries is a plus.
* Working knowledge of agile development, including DevOps and DataOps concepts.
* Familiarity with business intelligence tools (such as PowerBI).
\&gt;: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li-4363704542</t>
        </is>
      </c>
      <c r="B2" t="inlineStr">
        <is>
          <t>Data Engineer</t>
        </is>
      </c>
      <c r="C2" t="inlineStr">
        <is>
          <t>Haystack</t>
        </is>
      </c>
      <c r="D2" t="inlineStr">
        <is>
          <t>linkedin</t>
        </is>
      </c>
      <c r="E2" t="inlineStr"/>
      <c r="F2" t="inlineStr"/>
      <c r="G2" t="inlineStr"/>
      <c r="H2" t="inlineStr"/>
      <c r="I2" t="inlineStr">
        <is>
          <t>**Senior Data Engineer \- Technical Lead \| Rockville, MD \| $146,670 \- $249,330**
 We're working with BAE Systems on this exciting opportunity.
 Join BAE Systems and contribute to national security by developing cutting\-edge data engineering solutions for high\-profile U.S. Navy weapon systems. Leverage your expertise in data analytics, visualization, and AI/ML to revolutionize systems engineering for large\-scale missile systems, working with technologies like Python, ETL, and data warehousing.
**The Role**
* Design and implement scalable data pipelines supporting AI/ML applications, utilizing data warehousing, ETL, and data streaming techniques.
* Perform critical data wrangling, cleaning, normalization, and transformation to prepare data for advanced analysis.
* Optimize data for AI/ML model development through expert feature engineering and selection.
* Collaborate with Data Solution Architects and AI/ML Developers to facilitate seamless data preparation for analytics and modeling.
* Implement robust monitoring systems to ensure peak data pipeline reliability and performance.
**What You'll Need**
* Bachelor's degree or higher in Computer Science, Data Engineering, or a related STEM field.
* 15\+ years of experience in data engineering or a similar role, ideally supporting DoD programs.
* Expert proficiency in data manipulation libraries such as NumPy, Pandas, Matplotlib, and Seaborn.
* Strong command of programming languages including Python, JSON/XML, and various query languages.
* Extensive experience with ETL/TS tools and frameworks, data analytics, and data warehousing solutions like RedShift, BigQuery, and Snowflake.
**What's On Offer**
* Competitive salary range of $146,670 \- $249,330, reflecting your experience and expertise.
* Comprehensive benefits package including health, dental, and vision insurance, 401(k), and paid time off.
* Opportunity to contribute to critical national security initiatives with a program that has remarkable stability and growth.
* Professional growth and development within a leading defense, aerospace, and security solutions company.
**Apply via Haystack today!**</t>
        </is>
      </c>
    </row>
    <row r="3">
      <c r="A3" t="inlineStr">
        <is>
          <t>li-4253146731</t>
        </is>
      </c>
      <c r="B3" t="inlineStr">
        <is>
          <t>Data Engineer</t>
        </is>
      </c>
      <c r="C3" t="inlineStr">
        <is>
          <t>C2R Ventures</t>
        </is>
      </c>
      <c r="D3" t="inlineStr">
        <is>
          <t>linkedin</t>
        </is>
      </c>
      <c r="E3" t="inlineStr"/>
      <c r="F3" t="inlineStr"/>
      <c r="G3" t="inlineStr"/>
      <c r="H3" t="inlineStr"/>
      <c r="I3" t="inlineStr">
        <is>
          <t>One of Boston’s most successful Asset Management firms is seeking a Research Data Analytics Engineer to join a high performing team focused on building and maintaining research databases used in a state\-of\-the\-art quantitative investment process.
 The Analytics Engineer will be responsible for resolving data quality issues, building new data quality controls, onboarding new datasets, creating documentation, and making data access more transparent. This position offers a unique opportunity to leverage one’s experience and have an impact on how data is used in the research and investment process. An ideal candidate should have a strong knowledge of financial data used in multi\-asset class quantitative investing and have a keen interest in thinking about and solving data quality issues and be adept at using various tools and technologies at their disposal to execute the job.
 Responsibilities include, but are not limited to:
* Monitor incoming data to detect anomalies and remediate issues
* Investigate and resolve data quality questions and concerns
* Develop an expert understanding of internal databases and processes and ensure information is maintained accurately and efficiently
* Become a “subject matter expert” in a variety of data categories (reference, market, fundamental, estimate, macro\-economic, et al) across various asset classes including equity and fixed income
* Develop a keen understanding of how data is utilized in our investment processes to help design and implement new data sets and processes
* Partner with investment teams to proactively address their data needs
* Design and build efficient and effective controls to help resolve and identify potential data issues
* Coordinate with the data engineering team to identify ways to improve our data and monitoring processes
* Work with external market data vendors to bring in new data sources required by business users and support existing feeds
 In order to qualify:
* Bachelor’s degree, preferably in economics, statistics, computer science, math or information systems
* 5\+ years of experience working with financial data at an asset management company or financial data provider
* Experience orchestrating data pipelines and processes using Apache Airflow
* Proficient using Python and SQL to maintain data quality and automate data workflows
* Experience modeling data based on vendor methodologies and internal use
* Experience building data quality controls and resolving data issues
* Proven ability to visualize data using modern data analysis techniques
 Nice to have:
* Understanding of LLMs and Generative AI – Ability to evaluate and apply large language models for tasks such as data summarization, anomaly detection, or intelligent alerting.
* Prompt Engineering – Skill in crafting effective prompts to extract insights, automate documentation, and enhance data workflows using AI tools.
* Experience with data systems implemented in the cloud using Databricks, Delta Lake, Spark
* Experience with Data Governance toolsets
* Interest in, or experience with, Machine Learning for Anomaly Detection</t>
        </is>
      </c>
    </row>
    <row r="4">
      <c r="A4" t="inlineStr">
        <is>
          <t>li-4359223425</t>
        </is>
      </c>
      <c r="B4" t="inlineStr">
        <is>
          <t>AWS Data Engineer</t>
        </is>
      </c>
      <c r="C4" t="inlineStr">
        <is>
          <t>Tata Consultancy Services</t>
        </is>
      </c>
      <c r="D4" t="inlineStr">
        <is>
          <t>linkedin</t>
        </is>
      </c>
      <c r="E4" t="inlineStr"/>
      <c r="F4" t="inlineStr"/>
      <c r="G4" t="inlineStr">
        <is>
          <t>Seattle, WA</t>
        </is>
      </c>
      <c r="H4" t="inlineStr"/>
      <c r="I4" t="inlineStr">
        <is>
          <t>**Job Description**
 Must Have Technical/Functional Skills:
 We are seeking an experienced AWS Data Engineer to join our data team and play a crucial role in designing, implementing, and maintaining scalable data infrastructure on Amazon Web Services (AWS). The ideal candidate has a strong background in data engineering, with a focus on cloud\-based solutions, and is proficient in leveraging AWS services to build and optimize data pipelines, data lakes, and ETL processes. You will work closely with data scientists, analysts, and stakeholders to ensure data availability, reliability, and security for our data\-driven applications.
**Roles \&amp; Responsibilities**
 Key Responsibilities:
* Design and Development: Design, develop, and implement data pipelines using AWS services such as AWS Glue, Lambda, S3, Kinesis, and Redshift to process large\-scale data.
* ETL Processes: Build and maintain robust ETL processes for efficient data extraction, transformation, and loading, ensuring data quality and integrity across systems.
* Data Warehousing: Design and manage data warehousing solutions on AWS, particularly with Redshift, for optimized storage, querying, and analysis of structured and semi\-structured data.
* Data Lake Management: Implement and manage scalable data lake solutions using AWS S3, Glue, and related services to support structured, unstructured, and streaming data.
* Data Security: Implement data security best practices on AWS, including access control, encryption, and compliance with data privacy regulations.
* Optimization and Monitoring: Optimize data workflows and storage solutions for cost and performance. Set up monitoring, logging, and alerting for data pipelines and infrastructure health.
* Collaboration: Work closely with data scientists, analysts, and business stakeholders to understand data needs and deliver data solutions aligned with business goals.
* Documentation: Create and maintain documentation for data infrastructure, data pipelines, and ETL processes to support internal knowledge sharing and compliance.
 Base Salary Range: $100,000 \- $130,000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5">
      <c r="A5" t="inlineStr">
        <is>
          <t>li-4359223424</t>
        </is>
      </c>
      <c r="B5" t="inlineStr">
        <is>
          <t>Data Engineer</t>
        </is>
      </c>
      <c r="C5" t="inlineStr">
        <is>
          <t>Tata Consultancy Services</t>
        </is>
      </c>
      <c r="D5" t="inlineStr">
        <is>
          <t>linkedin</t>
        </is>
      </c>
      <c r="E5" t="inlineStr"/>
      <c r="F5" t="inlineStr"/>
      <c r="G5" t="inlineStr">
        <is>
          <t>Salt Lake City, UT</t>
        </is>
      </c>
      <c r="H5" t="inlineStr"/>
      <c r="I5" t="inlineStr">
        <is>
          <t>**Job Description**
**Must Have Technical/Functional Skills**
* Solid understanding of search technology, real\-time data pipeline construction, ETL processes, and various programming languages including Java and Python. Proficient with UNIX/Linux, scheduling, and orchestration tools.
* Expert in developing robust Python scripts for automating ETL tasks, data ingestion, cleansing, validation, and workflow orchestration.
* Experienced in implementing RESTful APIs in Python for data exposure and consumption, and skilled in using Python libraries (e.g., Pandas, NumPy, SQLAlchemy) for data manipulation and database connectivity.
* Design and deploy microservices and data applications on Kubernetes clusters, managing deployments, services, and autoscaling.
* Implement and manage CI/CD pipelines that automate the deployment of Docker images to Kubernetes environments.
* Create optimized Docker files to package data applications (Python scripts, ETL services) and their dependencies, ensuring consistent environments.
* Customize deployments using values.yaml in Helm for different environments (dev, QA, production).
**Roles \&amp; Responsibilities**
* Configure and troubleshoot authentication and authorization using Kerberos to secure access to Big Data systems like Hadoop, Spark, or specific databases. Implement security principles and role\-based access in data environments.
* Perform basic database administration tasks such as performance monitoring, indexing, and query optimization on engines like SQL Server, PostgreSQL, Oracle, and Greenplum.
* Efficiently extract, transform, and load data between these heterogeneous databases.
* Requires a Bachelors in Computer Science, Computer Engineering or related field and some experience ADO/GIT, ETL, SQL, UNIX/Linux, Docker/Kubernetes, API Development, JSON, Kafka, Automated Testing, BDD, Big Data distributed systems, various programming languages like Java and Python, orchestration tools and processes or other directly related experience.
* Develops, tests, and modifies software to enhance data platform and application efficiency. Provides technical support for issues.
* Actively participates in agile ceremonies, including program increment planning, daily standups, team backlog grooming, iteration retrospectives, team demos, and inspect \&amp; adapt sessions.
* Supports test and QA efforts on data projects and coordinates with data operations teams for production deployments.
* Possesses strong analytical, organizational, and problem\-solving skills. Demonstrates the ability and desire to quickly learn new technologies and adapt to changing technology and priorities.
* Excellent verbal and written communication skills with both technical and non\-technical staff. Capable of working independently, handling multiple concurrent projects, prioritizing effectively, and collaborating effectively within a team environment.
* Skilled at eliciting, gathering, analyzing user requirements, and interpreting, validating, and mapping business requirements to appropriate solutions.
* Able to meet deadlines.
**Generic Managerial Skills, If Any**
 Managerial exp is good to have
 Salary Range: $115,000 \- $120,000 a year
**Qualifications:** 
 BACHELOR OF COMPUTER SCIENCE</t>
        </is>
      </c>
    </row>
    <row r="6">
      <c r="A6" t="inlineStr">
        <is>
          <t>li-4359194766</t>
        </is>
      </c>
      <c r="B6" t="inlineStr">
        <is>
          <t>Senior Azure Data Engineer with Fabric</t>
        </is>
      </c>
      <c r="C6" t="inlineStr">
        <is>
          <t>Tata Consultancy Services</t>
        </is>
      </c>
      <c r="D6" t="inlineStr">
        <is>
          <t>linkedin</t>
        </is>
      </c>
      <c r="E6" t="inlineStr"/>
      <c r="F6" t="inlineStr"/>
      <c r="G6" t="inlineStr">
        <is>
          <t>Newark, NJ</t>
        </is>
      </c>
      <c r="H6" t="inlineStr"/>
      <c r="I6" t="inlineStr">
        <is>
          <t>**Job Description**
**Senior Azure Data Engineer with Microsoft Fabric Experience**
* Minimum 10\+ years experience in modern data engineering/data warehousing/data lakes technologies on cloud platforms like Azure, Microsoft Fabric etc.
* Azure experience is preferred over other cloud platforms.
* Minimum 10 \+ years of proven experience with SQL, schema design and dimensional data modelling.
* Solid knowledge of data warehouse best practices, development standards and methodologies.
* Experience with ETL/ELT tools like ADF, Azure, MS Fabric etc., and data warehousing technologies like Azure Synapse, Azure SQL, ADLS etc.
* Strong experience with big data tools(Microsoft Fabric, Databricks , Spark etc..) and programming skills in PySpark and Spark SQL.
* Be an independent self\-learner with a let s get this done approach and ability to work in Fast paced and Dynamic environment.
* Knowledge in Microsoft Fabric Data Platform
* Expertise in designing application solution on Azure Data Platform for complex business needs.
* Serves as key technical expert engaged on designing, architecting, deploying and maintaining cloud solutions, Data Management \&amp; Analytics.
* Strong knowledge of ETL patterns for data ingestion, processing and distribution using pipelines on Azure cloud services. Leads technology proof of concepts to ensure feasibility of architecture solutions.
* Provides architecture direction for engineers in support of a technical pattern.
* Displays strong thought leadership in pursuit of modern data architecture principles and technology modernization.
* Drives continuous technology transformation to minimize technical debt. Continuously improve efficiency and effectiveness of the architecture
* Looks for opportunities to capitalize on technology advances through analysis of key industry and technology trends to assess potential impact on the enterprise. Participates in defining target state technology architecture and roadmaps.
* Ensures alignment of IT initiatives with the target state.
**Roles \&amp; Responsibilities**
 Build and maintain new and existing applications in preparation for a large\-scale architectural migration within an Agile function.
* Align with the Product Owner and Scrum Master in assessing business needs and transforming them into scalable applications.
* Build and maintain code to manage data received from heterogenous data formats including web\- based sources, internal/external databases, flat files, heterogenous data formats (binary, ASCII).
* Help build new enterprise Datawarehouse and maintain the existing one.
* Design and support effective storage and retrieval of very large internal and external data set and be forward think about the convergence strategy with our Azure cloud migration
* Assess the impact of scaling up and scaling out and ensure sustained data management and data delivery performance.
 Salary Range: $120,000 \- $140,000 a year
**Qualifications:** 
 BACHELOR OF COMPUTER SCIENCE</t>
        </is>
      </c>
    </row>
    <row r="7">
      <c r="A7" t="inlineStr">
        <is>
          <t>li-4363800443</t>
        </is>
      </c>
      <c r="B7" t="inlineStr">
        <is>
          <t>MS Azure Data Engineer - Hybrid</t>
        </is>
      </c>
      <c r="C7" t="inlineStr">
        <is>
          <t>SIDRAM TECHNOLOGIES</t>
        </is>
      </c>
      <c r="D7" t="inlineStr">
        <is>
          <t>linkedin</t>
        </is>
      </c>
      <c r="E7" t="inlineStr"/>
      <c r="F7" t="inlineStr"/>
      <c r="G7" t="inlineStr">
        <is>
          <t>Denver, CO</t>
        </is>
      </c>
      <c r="H7" t="inlineStr"/>
      <c r="I7" t="inlineStr">
        <is>
          <t>Hello,
 Good Morning!
 Hope you are doing well.
 This is Steve from Sidram Technologies. We have an immediate
 requirement for Sr Data Engineer, and I have found your profile in Ceipal, it aligns the best with the client's needs.
 Please find the JD below and let me know your thoughts on it.
 Title: Sr Data Engineer
 Location: 2 Weeks onsite in Denver, CO and then remote
 Only W2
**Responsibilities**
 Revised JD:
 Collaborate with stakeholders to understand business needs and translate them into detailed technical specifications
 Conduct analysis of business requirements and processes for data centric projects
 Responsible for gathering and writing data requirements.
 Translate business requirements into data mapping specifications
 Develop a thorough understanding of the data definitions, domain values, data relationships, business rules, sources, and data integration used in the business domain
 Troubleshoot data issues and work with data providers for resolution
 Work with Data Engineers who will implement technical solutions to meet business requirements
 Support developers with data subject expertise
 Understanding of data quality and data governance
 Provide ongoing support and training to business users on the new or revised systems.
**Required Skills**
 Strong knowledge of relational databases and data modeling
 Strong SQL query skills
 Experience with SDLC
 Strong analytical, profiling and troubleshooting skills
 Strong knowledge with Big Data/Hadoop platform
**Strong Business Analysis And Requirements Definition Skills**
 Strong stakeholder presentation skills
 Solid organization and planning skills
 At least 7 years’ financial industry technology experience and knowledge of financial services data
 Good verbal and written communication skills
 Create prototypes with tools like Figma, n8n, PBI, etc.,
 Analyze CPG datasets and suggest Analytics
**Desired Skills (Not Required)**
 Experience with Azure DF/Synapse, GCP, etc.,
 Experience with Agile project delivery
 Experience with programming languages (e.g., Python)
**Steve**
 IT Services \| Development \| Staffing
**URL:** 
 http:/www.sidramtech.com \|
 **Email:** 
 Steve@sidramtech.com
**Direct:** 
**470\-208\-7308**
**Led by 25\+ Years of Industry Experience**
 E\-Verify® is a registered trademark of the U.S. Department of Homeland Security.
 SIDRAM TECHNOLOGIES participates in the Employment Eligibility Verification Program (E\-Verify) offered by USCIS.
 www.dhs.gov/E\-Verify</t>
        </is>
      </c>
    </row>
    <row r="8">
      <c r="A8" t="inlineStr">
        <is>
          <t>li-4363515529</t>
        </is>
      </c>
      <c r="B8" t="inlineStr">
        <is>
          <t>Data Engineer</t>
        </is>
      </c>
      <c r="C8" t="inlineStr">
        <is>
          <t>Haystack</t>
        </is>
      </c>
      <c r="D8" t="inlineStr">
        <is>
          <t>linkedin</t>
        </is>
      </c>
      <c r="E8" t="inlineStr"/>
      <c r="F8" t="inlineStr"/>
      <c r="G8" t="inlineStr"/>
      <c r="H8" t="inlineStr"/>
      <c r="I8" t="inlineStr">
        <is>
          <t>**Data Engineer \| Plano, TX \| Hybrid**
 We're working with Goodwin Recruiting on this exciting opportunity.
 Are you a data wizard passionate about transforming complex data into compelling narratives? Join a rapidly expanding consumer financial services organization and make a significant impact through innovative analytics and data storytelling in a collaborative environment. This is your chance to drive real business outcomes and accelerate your professional growth!
**The Role**
* Design and maintain scalable data pipeline architectures to meet evolving business needs.
* Solve complex business challenges using high\-quality, maintainable code, particularly with SQL and Python.
* Prepare and organize data for seamless visualization and reporting using tools like Tableau, Power BI, or Looker.
* Develop automated, user\-friendly systems, reports, dashboards, and tools for diverse stakeholders.
* Champion best practices in data analytics and ensure thorough, clear documentation for data solutions.
**What You'll Need**
* Bachelor’s degree in Computer Science, Business Information Systems, or a related field.
* Minimum of 3 years of experience in the data space with strong proficiency in SQL (MySQL, MariaDB, or PostgreSQL), data modeling, data warehousing, and Python.
* Hands\-on experience with data visualization tools such as Tableau, Power BI, Looker, matplotlib, or Plotly.
* Understanding of predictive analytics, statistical modeling, and data mining concepts.
* Familiarity with cloud platforms like AWS, GCP, or Azure; Salesforce experience is a plus!
**What's On Offer**
* Competitive salary with excellent opportunities for advancement.
* Comprehensive health, dental, and vision insurance.
* Robust 401(k) retirement plan to secure your future.
* Supportive, team\-oriented culture in a convenient Plano location.
**Apply via Haystack today!**</t>
        </is>
      </c>
    </row>
    <row r="9">
      <c r="A9" t="inlineStr">
        <is>
          <t>li-4325831432</t>
        </is>
      </c>
      <c r="B9" t="inlineStr">
        <is>
          <t>Senior Analytics Engineer - US (Remote)</t>
        </is>
      </c>
      <c r="C9" t="inlineStr">
        <is>
          <t>Luxury Presence</t>
        </is>
      </c>
      <c r="D9" t="inlineStr">
        <is>
          <t>linkedin</t>
        </is>
      </c>
      <c r="E9" t="inlineStr"/>
      <c r="F9" t="inlineStr"/>
      <c r="G9" t="inlineStr"/>
      <c r="H9" t="inlineStr"/>
      <c r="I9" t="inlineStr">
        <is>
          <t>**Luxury Presence** 
 is the leading growth platform for high\-performing real estate agents, teams, and brokerages. The company provides agent\-branded websites, advanced marketing tools, and Presence® CRM, the AI relationship engine that transforms an agent’s sphere into a proactive source of new business. More than 17,000 real estate businesses rely on Luxury Presence to elevate their brand, attract clients, and grow their business, including 30% of the Wall Street Journal RealTrends top agents and teams.
 We’re looking for a Senior Analytics Engineer to build and scale the analytical foundation that powers decision\-making across Go\-to\-Market, Product, Finance and Operations teams.
 You will sit at the intersection of data engineering and analytics: transforming raw product, marketing, and financial data into clean, well\-modeled, and trustworthy datasets. Your work will power everything from executive dashboards and cohort analyses to experimentation, pricing, and AI product insights.
 This is a highly cross\-functional role — you’ll partner closely with Product Management, Marketing, RevOps, Finance, and Engineering to ensure our analytics stack is robust, scalable, and aligned with the business.
**Responsibilities**
* Build \&amp; Own the Data Foundation
* Own and evolve our dbt project–ensuring models are performant, well\-tested, and documented
* Design and maintain the Snowflake data warehouse and ingestion processes
* Use modern data modeling best practices to create core entities and datasets that account for complex business processes and logic
* Drive Data Quality \&amp; Automation
* Implement testing and observability for analytics pipelines
* Enforce CI/CD best practices, such as automation, linting, tests, code review and approvals
* Standardize metric definitions and ensure they are consistently computed across tools
* Cross\-Functional Collaboration
* Act as data liaison between Engineering, GTM, and Finance—ensuring consistent metric definitions and proper system instrumentation
* Enable stakeholder self\-service access to trusted insights
* Drive data literacy: evangelize best practices in querying, dashboarding, and interpreting metrics; coach stakeholders toward self\-serve
**Qualifications**
**Must Have:**
* 5\+ years of experience as an analytics engineer, data engineer, or a similar role in a SaaS environment
* Deep expertise in SQL, dbt and modern data modeling best practices
* Proven experience working with event\-based and product usage data (e.g., Posthog, Mixpanel)
* Experience connecting marketing data (paid ads, campaigns, attribution) to product analytics–ideally having built end\-to\-end pipelines from ad platforms through to conversion and retention metrics
* Comfortable with large\-scale data systems (Snowflake, BigQuery, Redshift)
* Strong familiarity with CI/CD, Git\-based workflows, and automated testing
* Experience collaborating cross\-functionally with engineers, analysts, and product managers
* Demonstrated success using analytics to drive decisions in a technical or product\-focused environment
* Comfort taking ownership of ambiguous problems and designing end\-to\-end solutions
**Nice to Have:**
* Proficiency in Python for deeper analysis and automation
* Experience building and maintaining Airflow DAGs
* Experience with Spark and PySpark
**What Success Looks Like**
* Establish a trusted, well\-modeled analytics layer that product managers, marketers, and leaders rely on daily
* Improve data quality and reliability, with clear SLAs and observability around our most critical models
* Drive down time\-to\-insight by enabling self\-serve access to high\-quality datasets and metrics
* Extreme ownership over critical infrastructure and data models that directly impact product decisions and business growth
* Partner with data engineers and analysts to build a semantic layer that AI can use to answer stakeholder questions
**Join us in shaping the future of real estate**
 The real estate industry is in the midst of a seismic shift, and the future belongs to those who break new ground. As one of the fastest\-growing companies in the proptech and marketing sectors, Luxury Presence challenges the status quo of what technology can do for real estate agents, leaders, and brokerages.
 We’re a team of agile and tenacious innovators working collaboratively to drive the industry forward. Together, we build game\-changing products that empower modern real estate entrepreneurs to dominate their markets. From award\-winning web design to agile SEO solutions to cutting\-edge AI tools, we deliver tech that anticipates market shifts and keeps our clients ahead of their competition.
 Founded in 2016 by Stanford Business School alum Malte Kramer, Luxury Presence has grown to a global team ranked on the Inc. 5000 fastest\-growing companies list three years in a row. We’re backed by world\-class investors, including Bessemer Venture Partners, Toba Capital, and Switch Ventures, and have raised
 **$52\.6 million** 
 to date.
 More than 17,000 real estate businesses rely on our platform, including 30% of the Wall Street Journal RealTrends top agents and teams. Additionally, many of the industry’s most powerful brokerages — including Compass, Coldwell Banker, and Sotheby’s International Realty — rely on Luxury Presence as a trusted business partner.
 Every year since 2020, Luxury Presence has ranked on BuiltIn’s Best Place to Work lists. HousingWire named our founder and CEO a 2024 Tech Trendsetter, we’ve received several Tech100 Awards, and our lead nurturing tool just scored an Inman Innovation Award for Best AI\-Powered Platform.
**Luxury Presence is an Equal Opportunity Employer.** 
 All qualified applicants will receive consideration for employment without regard to race, color, religion, sex, sexual orientation, gender identity, or national origin.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
      <c r="A10" t="inlineStr">
        <is>
          <t>li-4350602122</t>
        </is>
      </c>
      <c r="B10" t="inlineStr">
        <is>
          <t>Data Engineer</t>
        </is>
      </c>
      <c r="C10" t="inlineStr">
        <is>
          <t>Jobot</t>
        </is>
      </c>
      <c r="D10" t="inlineStr">
        <is>
          <t>linkedin</t>
        </is>
      </c>
      <c r="E10" t="inlineStr"/>
      <c r="F10" t="inlineStr"/>
      <c r="G10" t="inlineStr">
        <is>
          <t>Birmingham, AL</t>
        </is>
      </c>
      <c r="H10" t="inlineStr"/>
      <c r="I10" t="inlineStr">
        <is>
          <t>Want to learn more about this role and Jobot? Click our Jobot logo and follow our LinkedIn page!
 Job details
 This Jobot Job is hosted by Merwan Zattam
 Are you a fit? Easy Apply now by clicking the "Easy Apply" button and sending us your resume.
 Salary $100,000 \- $140,000 per year
**A Bit About Us**
 We exist to make better buildings faster. We are part of a larger framework \- Design Manufacture Construct (DMC) \- that guide building design so that construction can leverage manufacturing productivity. We’re made up of smart architects, engineers, manufacturers, programmers, and other generalists that are united by the notion that to make great things intelligently is a worthy pursuit. We are seeking a talented and energetic Architects to join our design group. Job description As a Program Architect, you will work with project teams in a dynamic, rapid\-growth work environment with bright and talented engineers, architects, designers, builders, crafters, and manufacturers to improve and deploy a prototype building program and to build an alternative to the traditional construction industry. From desk to factory floor to job sites and client meetings, you will be challenged to develop your skills in a new field, taking a critical role in project delivery via the DMC methodology
****Why join us?****
 We offer the full spectrum of comprehensive benefits including health, dental, and vision insurance. We also offer flexible spending accounts, paid time off, short term disability, long term disability, life insurance and a 401k plan.
**Job Details**
**Overview**
 The Data Analyst within the Estimating Department plays a critical role in transforming raw data into actionable insights that enhance cost modeling, forecasting, and strategic decision\-making. This position supports the development and continuous improvement of cost estimation systems, leveraging data analytics, automation, and AI to improve accuracy, efficiency, and cross\-departmental collaboration. The ideal candidate blends technical expertise in analytics with a strong understanding of construction, manufacturing, and cost estimating workflows.
 Key Responsibilities
 Develop and maintain comprehensive cost databases, integrating Bills of Materials, historical cost benchmarks, and market pricing data across multiple U.S. regions.
 Support the creation of ground\-up and comparative cost models through advanced data analysis and visualization techniques.
 Leverage AI, machine learning, and statistical modeling to identify trends, enhance estimate accuracy, and optimize value engineering processes.
 Partner with Estimating, Design, Manufacturing, Construction, Supply Chain, and Finance teams to integrate cost, schedule, and risk data into enterprise platforms.
 Design and automate data pipelines (ETL/ELT) to streamline cost reporting, performance tracking, and KPI dashboards.
 Prepare and analyze conceptual, schematic, and GMP estimate data to support preconstruction and client engagement activities.
 Develop and communicate risk analyses, pricing strategies, and value\-driven insights to support leadership decision\-making.
 Continuously improve data integrity, estimation accuracy, and reporting capabilities through feedback loops and predictive analytics.
**Skills \&amp; Abilities**
 Core Competencies
 Advanced proficiency in Excel and BI tools for data visualization and analytics.
 Strong understanding of cost modeling, estimating methodologies, and financial principles.
 Ability to interpret CAD, Revit, and SolidWorks outputs to extract data for analytical use.
 Experience working with manufacturing or industrial data; familiarity with mechanical/electrical systems a plus.
 Strong collaboration and communication skills to translate complex data into meaningful insights for technical and non\-technical stakeholders.
**Technical Excellence (Preferred But Valuable)**
 Programming \&amp; Data Python, SQL, and data modeling; experience with distributed computing (Spark, Ray).
 Analytics \&amp; AI Statistical modeling, predictive analytics, machine learning, and retrieval\-augmented generation (RAG).
 Data Engineering ETL/ELT processes, schema evolution, data validation, and integration with enterprise systems.
 Visualization Development of interactive dashboards and reports using Power BI, Tableau, or similar tools.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1">
      <c r="A11" t="inlineStr">
        <is>
          <t>li-4346304489</t>
        </is>
      </c>
      <c r="B11" t="inlineStr">
        <is>
          <t>Data Engineer</t>
        </is>
      </c>
      <c r="C11" t="inlineStr">
        <is>
          <t>Microsoft</t>
        </is>
      </c>
      <c r="D11" t="inlineStr">
        <is>
          <t>linkedin</t>
        </is>
      </c>
      <c r="E11" t="inlineStr"/>
      <c r="F11" t="inlineStr"/>
      <c r="G11" t="inlineStr">
        <is>
          <t>Redmond, WA</t>
        </is>
      </c>
      <c r="H11" t="inlineStr"/>
      <c r="I11" t="inlineStr">
        <is>
          <t>**Overview**
 With more than 45,000 employees and partners worldwide, the Customer Experience and Success (CE\&amp;S) organization is on a mission to empower customers to accelerate business value through differentiated customer experiences that leverage Microsoft’s products and services, ignited by our people and culture. We drive cross\-company alignment and execution, ensuring that we consistently exceed customers’ expectations in every interaction, whether in\-product, digital, or human\-centered. CE\&amp;S is responsible for all up services across the company, including consulting, customer success, and support across Microsoft’s portfolio of solutions and products. Join CE\&amp;S and help us accelerate AI transformation for our customers and the world.
 The Customer Experience Architecture (CXA) organization leads the design of our AI\-enabled integrated Customer Success and Support motions across CE\&amp;S and drives the implementation requirements across end\-to\-end customer experience architectures, improving the quality and experience KPIs across CE\&amp;S.
 The CE\&amp;S Business Intelligence (BI) Team is responsible for delivering data\-driven decision\-making and self\-serve analytics to optimize customer experience and support operations across Microsoft's assisted and self\-service support surfaces. We build and manage data platforms and data flows, oversee data and measurement governance, develop Machine Learning (ML) models, manage support\-critical data tools, and provide both core and business\-specific analytics resources and guidance.
 We are seeking a goal\-driven Data Analyst with extensive experience in delivering data\-driven decision making \&amp; self\-serve analytics to optimize customer experience and support operations across Microsoft’s assisted and self\-service support surfaces. In this role, you will lead and collaborate closely with high\-impact data analysts and strategic customers to solve complex problems. You will communicate trends and innovative solutions to stakeholders and work cross\-functionally with engineering teams, product teams, and program management to deploy business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implement scalable, secure, and high\-performance data pipelines using Azure Data Factory, Databricks, and Spark.
* Develop optimized ETL/ELT workflows for large\-scale data ingestion and transformation.
* Implement CI/CD for data solutions, automated testing, and monitoring for data quality and reliability.
* Collaborate with data scientists and product teams to deliver integrated analytics and ML solutions.
* Ensure compliance with data governance, security, and privacy standards across all data assets.
* Embody our culture and values
**Qualifications**
 Required/minimum qualifications
* Master's Degree in Computer Science, Math, Software Engineering, Computer Engineering, or related field AND 3\+ years experience in business analytics, data science, software development, data modeling, or data engineering OR Bachelor's Degree in Computer Science, Math, Software Engineering, Computer Engineering, or related field AND 4\+ years experience in business analytics, data science, software development, data modeling, or data engineering
+ OR equivalent experience.
**Additional Or Preferred Qualifications**
* Master's Degree in Computer Science, Math, Software Engineering, Computer Engineering, or related field AND 6\+ years experience in business analytics, data science, software development, data modeling, or data engineering OR Bachelor's Degree in Computer Science, Math, Software Engineering, Computer Engineering, or related field AND 8\+ years experience in business analytics, data science, software development, data modeling, or data engineering
+ OR equivalent experience.
* 2\+ years experience with data governance, data compliance and/or data security.
* 5\+ years of experience in enterprise\-scale data engineering and architecture in production environment used at enterprise scale.
* 5\+ years of demonstrated experience working in a data intensive environment and translating business needs into data requirements (experience with Microsoft Azure stack, SQL, Python, Synapse, Power BI, Fabric, Machine Learning and AI)
* Strong proficiency in Python and SQL; experience with Spark/PySpark.
* Hands\-on experience with Azure Data Lake, Synapse, Databricks, Fabric, Data Factory, Cosmos DB
* Familiarity with CI/CD, containerization (Docker/Kubernetes), orchestration tools.
* Knowledge of data governance, security, and performance optimization for large datasets
* Microsoft Cloud Background Check: This position will be required to pass the Microsoft Cloud background check upon hire/transfer and every two years thereafter.
* Attention to detail and commitment to delivering high quality
* Initiative and passion for finding solutions to hard problems at scale and operationalizing them
* Demonstrated ability to work in ambiguous situations and across organizational boundaries.
 Ability to meet Microsoft, customer and / 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 / transfer and every two years thereafter.
 Data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
      <c r="A12" t="inlineStr">
        <is>
          <t>li-4363625326</t>
        </is>
      </c>
      <c r="B12" t="inlineStr">
        <is>
          <t>Data Engineer</t>
        </is>
      </c>
      <c r="C12" t="inlineStr">
        <is>
          <t>The Carlyle Group</t>
        </is>
      </c>
      <c r="D12" t="inlineStr">
        <is>
          <t>linkedin</t>
        </is>
      </c>
      <c r="E12" t="inlineStr"/>
      <c r="F12" t="inlineStr"/>
      <c r="G12" t="inlineStr">
        <is>
          <t>District of Columbia, United States</t>
        </is>
      </c>
      <c r="H12" t="inlineStr"/>
      <c r="I12" t="inlineStr">
        <is>
          <t>**Position Summary**
 We are seeking a highly skilled Data Engineer to join our dynamic team. The ideal candidate will be responsible for creating robust data pipelines from various data vendors to gold tables, primarily for our Machine Learning (ML) team, utilizing Snowflake and Databricks platforms. The role demands expertise in Python, deep familiarity with financial data sources, and the ability to deploy complex data pipelines efficiently. This position requires a proactive approach to analyzing, aggregating, and enriching financial data from both private and public companies.
**Responsibilities**
* Build, scale, and maintain robust data solutions to support the firm's objectives.
* Implement and optimize high\-performance data pipelines \-\- extraction, loading, transformation, and orchestration – that are designed for scalability, reliability, maintainability, and speed.
* Lead software development projects end to end involving large language models (LLMs), retrieval\-augmented generation (RAG) frameworks, and other AI technologies.
* Champion modern software engineering practices as CI/CD, infrastructure\-as\-code, containerization, and cloud\-native deployments
* Collaborate closely with business stakeholders to transform use cases into production\-ready services and solutions, owning the system from concept to production.
* Implement rigorous testing and monitoring practices to maintain superior data quality and integrity.
* Mentor and develop junior team members, fostering a culture of excellence and continuous learning within the team.
* Be willing to travel up to 20% of the time to collaborate with distributed team members across locations.
**Requirements**
**Education \&amp; Certificates** 
* A bachelor's degree, required
* Concentration in Computer Science, Math, Physics, STEM or other engineering related field, preferred
**Professional Experience** 
* At least 6 years of experience in data engineering or a related discipline, with a proven track record of success, required
* Experience in the financial services or private equity industry, preferred
**Competencies \&amp; Attributes** 
* Expertise in Python and SQL, with a strong foundation in data manipulation and analysis.
* Proficient with Databricks/PySpark and dbt for data warehousing and data transformation tasks.
* Experience with workflow orchestration tools e.g. Airflow, Temporal
* Experience working with large language models (LLMs) especially prompt engineering, retrieval\-augmented generation (RAG)s, and/or vector databases.
* Knowledge of fundamental principles of machine learning, feature engineering, and knowledge graphs are pluses.
* Demonstrated experience in designing and implementing complex data systems from the ground up.
* Proficient in handling large\-scale data projects, including data cleaning, ETL, and information retrieval.
* Previous experience in a product development or financial services environment is highly desirable.
* Excellent communication skills required, both verbal and written
**Benefits/Compensation**
 The compensation range for this role is specific to Washington, DC, and takes into account a wide range of factors including but not limited to the skill sets required/preferred; prior experience and training; licenses and/or certifications.
 The anticipated base salary range for this role is $180,000 to $200,000\.
 In addition to the base salary, the hired professional will enjoy a comprehensive benefits package spanning retirement benefits, health insurance, life insurance and disability, paid time off, paid holidays, family planning benefits and various wellness programs. Additionally, the hired professional may also be eligible to participate in an annual discretionary incentive program, the award of which will be dependent on various factors, including, without limitation, individual and organizational performance.
 Due to the high volume of candidates, please be advised that only candidates selected to interview will be contacted by Carlyle.
**Company Information**
 The Carlyle Group (NASDAQ: CG) is a global investment firm with $474 billion of assets under management and more than half of the AUM managed by women, across 660 investment vehicles as of September 30, 2025\. Founded in 1987 in Washington, DC, Carlyle has grown into one of the world's largest and most successful investment firms, with more than 2,400 professionals operating in 27 offices in North America, Europe, the Middle East, Asia and Australia. Carlyle places an emphasis on development, retention and inclusion as supported by our internal processes and seven Employee Resource Groups (ERGs). Carlyle's purpose is to invest wisely and create value on behalf of its investors, which range from public and private pension funds to wealthy individuals and families to sovereign wealth funds, unions and corporations. Carlyle invests across three segments \- Global Private Equity, Global Credit and Carlyle AlpInvest \- and has expertise in various industries, including: aerospace, defense \&amp; government services, consumer \&amp; retail, energy, financial services, healthcare, industrial, real estate, technology \&amp; business services, telecommunications \&amp; media and transportation.
 At Carlyle, we believe that a wide spectrum of experiences and viewpoints drives performance and success. Our CEO, Harvey Schwartz, has stated that, "To build better businesses and create value for all of our stakeholders, we are focused on assembling leadership teams with the strongest insights from a range of perspectives." We strive to foster an environment where ideas are openly shared and valued. By bringing together teams with varied expertise and approaches, we enjoy a competitive advantage and create a stronger foundation for long\-term success.</t>
        </is>
      </c>
    </row>
    <row r="13">
      <c r="A13" t="inlineStr">
        <is>
          <t>li-4359243570</t>
        </is>
      </c>
      <c r="B13" t="inlineStr">
        <is>
          <t>Data Engineer</t>
        </is>
      </c>
      <c r="C13" t="inlineStr">
        <is>
          <t>AARATECH</t>
        </is>
      </c>
      <c r="D13" t="inlineStr">
        <is>
          <t>linkedin</t>
        </is>
      </c>
      <c r="E13" t="inlineStr"/>
      <c r="F13" t="inlineStr"/>
      <c r="G13" t="inlineStr"/>
      <c r="H13" t="inlineStr"/>
      <c r="I13" t="inlineStr">
        <is>
          <t>Job Title: Data Engineer – Cloud \&amp; Big Data
 🏢 Company: Aaratech Inc
 🛑 Eligibility: Only U.S. Citizens and Green Card holders are eligible.
 Please note that we do not offer visa sponsorship.
 Job Summary:
 Aaratech Inc. is seeking an experienced
 **Data Engineer – Cloud \&amp; Big Data** 
 to design and manage large\-scale data platforms. This role focuses on cloud\-based data engineering solutions that support advanced analytics and business intelligence.
 Key Responsibilities:
 🔹 Big Data \&amp; Cloud Engineering
 Design and maintain cloud\-based data pipelines and architectures.
 Work with large\-scale datasets and distributed systems.
 🔹 Data Platform Management
 Build and optimize data lakes and data warehouses.
 Ensure scalability and reliability.
 🔹 Data Quality \&amp; Performance
 Implement monitoring, validation, and optimization strategies.
 🔹 Collaboration
 Work with analytics, data science, and engineering teams.
 🔹 Tools \&amp; Technologies
 Use SQL, Python, Spark, cloud services, and ETL frameworks.
 Qualifications:
 ✅ Bachelor’s degree in Computer Science, Engineering, or related field
 ✅ Minimum 2 years of Data Engineering experience
 ✅ Strong SQL and Python skills
 ✅ Experience with cloud and big data technologies
 ✅ Strong problem\-solving and communication skills</t>
        </is>
      </c>
    </row>
    <row r="14">
      <c r="A14" t="inlineStr">
        <is>
          <t>li-4359283335</t>
        </is>
      </c>
      <c r="B14" t="inlineStr">
        <is>
          <t>Data Engineer</t>
        </is>
      </c>
      <c r="C14" t="inlineStr">
        <is>
          <t>AARATECH</t>
        </is>
      </c>
      <c r="D14" t="inlineStr">
        <is>
          <t>linkedin</t>
        </is>
      </c>
      <c r="E14" t="inlineStr"/>
      <c r="F14" t="inlineStr"/>
      <c r="G14" t="inlineStr"/>
      <c r="H14" t="inlineStr"/>
      <c r="I14"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5">
      <c r="A15" t="inlineStr">
        <is>
          <t>li-4359253433</t>
        </is>
      </c>
      <c r="B15" t="inlineStr">
        <is>
          <t>Data Engineer</t>
        </is>
      </c>
      <c r="C15" t="inlineStr">
        <is>
          <t>AARATECH</t>
        </is>
      </c>
      <c r="D15" t="inlineStr">
        <is>
          <t>linkedin</t>
        </is>
      </c>
      <c r="E15" t="inlineStr"/>
      <c r="F15" t="inlineStr"/>
      <c r="G15" t="inlineStr"/>
      <c r="H15" t="inlineStr"/>
      <c r="I15"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6">
      <c r="A16" t="inlineStr">
        <is>
          <t>li-4360081931</t>
        </is>
      </c>
      <c r="B16" t="inlineStr">
        <is>
          <t>Data Engineer</t>
        </is>
      </c>
      <c r="C16" t="inlineStr">
        <is>
          <t>AARATECH</t>
        </is>
      </c>
      <c r="D16" t="inlineStr">
        <is>
          <t>linkedin</t>
        </is>
      </c>
      <c r="E16" t="inlineStr"/>
      <c r="F16" t="inlineStr"/>
      <c r="G16" t="inlineStr"/>
      <c r="H16" t="inlineStr"/>
      <c r="I16"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17">
      <c r="A17" t="inlineStr">
        <is>
          <t>li-4359224354</t>
        </is>
      </c>
      <c r="B17" t="inlineStr">
        <is>
          <t>Senior Data Engineer - Associate</t>
        </is>
      </c>
      <c r="C17" t="inlineStr">
        <is>
          <t>Morgan Stanley</t>
        </is>
      </c>
      <c r="D17" t="inlineStr">
        <is>
          <t>linkedin</t>
        </is>
      </c>
      <c r="E17" t="inlineStr"/>
      <c r="F17" t="inlineStr"/>
      <c r="G17" t="inlineStr">
        <is>
          <t>New York, NY</t>
        </is>
      </c>
      <c r="H17" t="inlineStr"/>
      <c r="I17" t="inlineStr">
        <is>
          <t>**Company Profile**
 Morgan Stanley is a leading global financial services firm providing a wide range of investment banking, securities, investment management and wealth management services. The Firm's employees serve clients worldwide including corporations, governments, and individuals from more than 1,200 offices in 43 countries.
**Team Profile**
 Non\-Financial Risk Technology provides operational controls and surveillance capabilities to enhance the firm's resilience to threats and fraudulent behavior.
 The Fraud Technology department is responsible for designing, developing, and maintaining applications, which helps the firm identify and prevent potential fraudulent transactions. We also provide technology expertise to our fraud analysts in operations.
**Role Profile**
 As a senior data engineer your role will be to create and deliver high quality, resilient data solutions to our Fraud business partners and being a productive member of the development team. You will be working on various existing and new technology stacks which include on\-prem relational and big\-data technologies \&amp; new cloud\-based technologies in Azure. You will be expected to share ownership of our projects and contribute to the active development and maintenance of our applications. You will have the opportunity to be exposed to modern software engineering tools and best practices. You will have the opportunity to be exposed to how a large investment bank like Morgan Stanley detects and prevents fraud. You will work in a dynamic agile team that uses Scrum for its workflow. You will be expected to be involved in the full development lifecycle. You will be expected to collaborate with others in the wider team as well as working
**Skills Required**
* 6\+ years of relevant work experience
* Strong with programming in Python to perform
* Batch data engineering on Apache Spark and populate downstream batch data stores (such as data mart) for BI use cases \&amp; to generate downstream feeds (ie., flat \&amp; wide tables or compressed files) for Data Science use cases
* Real\-time service integration to process business events off Kafka and persist in operational MS SQL/MongoDB and/or Neo4j Graph data stores for fraud investigation
* Near real\-time stream processing to derive features for ML model inference.
* Strong with SQL Server \&amp; Hadoop based implementations
* Strong SQL \&amp; Stored Procedure skills
* Exposure to modern operational NewSQL or NoSQL database technologies such as Neo4j, MongoDB, MemSQL etc.,
* Good hands\-on experience with at least one of the job scheduling tools like Autosys (Preferred), Control\-M etc.
* Experience of working in a Linux environment and can write Python/Shell scripts
* Strong data architecture and modeling experience. Especially, in dimensional modeling for data mart design and development to support BI use cases
* Strong data analytics skills
* Strong oral and written communication skills
* Excellent interpersonal skills and professional approach
* Strong analytical and problem\-solving skills
* Ability to learn quickly and pick up new techniques and/or technologies
* Experience in building \&amp; maintaining data solutions for Operational, BI \&amp; Data Science use cases
**Skills Desired**
* Experience with Azure (Databricks, Data Factory, Synapse, Azure Data Lake) and/or AWS (AWS S3, AWS Athena, AWS Glue) Data ecosystem \&amp; Snowflake Data Cloud
* Experience in building virtual data access layer using Data Virtualization technologies to support BI \&amp; Data Science use cases
* Experience of the full software development life cycle
* Experience of working in an Agile team
* Experience of working with version control systems
* Experience with bash scripting
* Experience of working with Continuous Integration systems
* Experience in Fraud detection and prevention business in Financial Services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$90,000 and $150,000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18">
      <c r="A18" t="inlineStr">
        <is>
          <t>li-4317704374</t>
        </is>
      </c>
      <c r="B18" t="inlineStr">
        <is>
          <t>Senior Data Engineer</t>
        </is>
      </c>
      <c r="C18" t="inlineStr">
        <is>
          <t>Finix</t>
        </is>
      </c>
      <c r="D18" t="inlineStr">
        <is>
          <t>linkedin</t>
        </is>
      </c>
      <c r="E18" t="inlineStr"/>
      <c r="F18" t="inlineStr"/>
      <c r="G18" t="inlineStr">
        <is>
          <t>San Francisco, CA</t>
        </is>
      </c>
      <c r="H18" t="inlineStr"/>
      <c r="I18" t="inlineStr">
        <is>
          <t>**About Us**
 Move money. Make money. Finix is a full\-stack acquirer processor, empowering businesses of all sizes with flexible, modern payment solutions. Processing billions of dollars annually, Finix enables SaaS, marketplace, and e\-commerce platforms to accept payments, manage payouts, and onboard merchants seamlessly. With our no\-code, low\-code, and developer\-friendly tools, businesses can get up and running in hours—not months.
 Finix has raised over $175M, including a $75M Series C led by Acrew Capital, with participation from Lightspeed Venture Partners, Leap Global, American Express Ventures, Bain Capital Ventures, Homebrew, Inspired Capital, Sequoia Capital, Visa, and others.
**About The Role**
 Finix’s reporting cluster is the source of truth for operational metrics, customer\-facing reports, billing, actionable insights, and a host of business\-critical KPIs. As a Data Engineer in the Data Engineering team, you will own the tooling, frameworks, data pipelines, integrations, databases, schemas and the data integrity of this cluster. You are critical to both Finix, and our customers, in supplying the data that underpins key operations decisions, uncovers hidden issues, and powers insight through reports, analytics, and dashboards owned and managed by the Data Engineering team. Our operations teams will depend on you to find, source, prepare and supply the right data allowing them to run Finix. Our product team will depend on you to serve the right data quickly and reliably to our customers so they can make timely business decisions. Data Analysts will rely on you to source and channel data where it needs to be and how it needs to be organized to power daily operations and decisions.
**You will**
* Enable our operations team to make data\-driven decisions based on timely, consistent, complete, and correct data, reports, and analytics
* Work closely with engineering team members to build reporting and analytics infrastructure, solving our and our customer’s analytics needs
* Delight our customers by providing leading reporting and analytics capabilities supporting their operations and accounting teams
* Be the subject matter expert in all things data pipelines, data lakes and warehouse, tooling \&amp; frameworks, integration and sourcing of data
* Design, build and maintain all code, pipelines, schemas, databases and frameworks that power Finix’s data analytics and reporting capabilities
**You are**
* Detail\-oriented, with a healthy dose of mistrust, driving you to investigate even the slightest data discrepancy
* Thrive in a fast\-paced environment around common goals and priorities but able to self\-direct and problem solve with others to make progress
* Fast learner of new languages, tools \&amp; frameworks. You are willing to go wherever necessary to accomplish your goals even if you haven’t been there before.
* Curious about new approaches and pushing the boundaries of what exists.
**You have**
* 6\+ years of experience in a Data Engineering, ETL, Data Science or related role
* Expert knowledge of SQL, data modeling, Python and frameworks such as Spark, Storm, Airflow, Glue etc. Java would also be great
* B.S in computer science, mathematics, statistics, physics, or a related data field
* Experience with BI tools such as Looker, Sisense, Superset, Tableau
 $180,000 \- $220,000 a year
 Finix is an equal opportunity employer and values diversity. We do not discriminate on the basis of race, religion, color, national origin, gender, sexual orientation, age, marital status, veteran status, disability status, or any other protected class.
 Role: Data Engineer IV
 Level: IC4
 Location: San Francisco, CA
 Our salary ranges are determined by role, level, and location. The range displayed on each job posting reflects the minimum and maximum target for new hire salaries at our headquarters in San Francisco, California. Individual pay is determined by work location, job related skills, experience, and relevant education or training.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9">
      <c r="A19" t="inlineStr">
        <is>
          <t>li-4363525720</t>
        </is>
      </c>
      <c r="B19" t="inlineStr">
        <is>
          <t>Data Engineer</t>
        </is>
      </c>
      <c r="C19" t="inlineStr">
        <is>
          <t>Valzo Soft Solutions</t>
        </is>
      </c>
      <c r="D19" t="inlineStr">
        <is>
          <t>linkedin</t>
        </is>
      </c>
      <c r="E19" t="inlineStr"/>
      <c r="F19" t="inlineStr"/>
      <c r="G19" t="inlineStr">
        <is>
          <t>Ohio, United States</t>
        </is>
      </c>
      <c r="H19" t="inlineStr"/>
      <c r="I19" t="inlineStr">
        <is>
          <t>**Job Title:** 
 Data Engineer
**Location:** 
 Ohio, United States (Hybrid)
**Experience:** 
 3–10\+ Years
**Employment Type:** 
 Full\-Time / Contract
**Job Description:** 
 We are seeking an experienced Data Engineer to design, build, and maintain scalable data pipelines and platforms. The ideal candidate should have strong hands\-on experience in data engineering, cloud technologies, and ETL development, with excellent problem\-solving skills.
**Key Responsibilities:** 
* Design, develop, and maintain scalable data pipelines and ETL processes.
* Build and optimize data models for analytics and reporting.
* Integrate data from multiple sources including APIs, databases, and streaming systems.
* Ensure data quality, reliability, and performance.
* Work closely with data scientists, analysts, and business teams.
* Implement best practices for data security and governance.
* Monitor, troubleshoot, and optimize data workflows.
**Required Skills:** 
* Strong experience in SQL and Python.
* Hands\-on experience with ETL tools and data pipelines.
* Experience with cloud platforms (AWS, Azure, or GCP).
* Knowledge of data warehousing (Snowflake, Redshift, BigQuery, etc.).
* Experience with Spark, Hadoop, or distributed systems.
* Understanding of CI/CD, Git, and automation.
* Strong analytical and communication skills.
**Preferred Skills:** 
* Experience with real\-time streaming (Kafka, Kinesis).
* Knowledge of Airflow, DBT, or similar orchestration tools.
* Experience in data governance and security standards.
**Eligibility:** 
* 3–10\+ years of relevant experience.
* Open to all work authorization (as applicable).
* Strong communication skills required.</t>
        </is>
      </c>
    </row>
    <row r="20">
      <c r="A20" t="inlineStr">
        <is>
          <t>li-4359204069</t>
        </is>
      </c>
      <c r="B20" t="inlineStr">
        <is>
          <t>Data Engineer</t>
        </is>
      </c>
      <c r="C20" t="inlineStr">
        <is>
          <t>Kuvare Holdings</t>
        </is>
      </c>
      <c r="D20" t="inlineStr">
        <is>
          <t>linkedin</t>
        </is>
      </c>
      <c r="E20" t="inlineStr"/>
      <c r="F20" t="inlineStr"/>
      <c r="G20" t="inlineStr">
        <is>
          <t>Des Plaines, IL</t>
        </is>
      </c>
      <c r="H20" t="inlineStr"/>
      <c r="I20" t="inlineStr">
        <is>
          <t>**About Kuvare**
 Kuvare is on a mission to serve hardworking consumers overwhelmed by the complexities of retirement and is built from the ground up to do so. Our unified financial hub protects the retirement of everyday Americans and the distributors, carriers and investors that serve them. We create life insurance and annuity products that protect consumers’ retirements, and are simplified for distributor partners and financial professionals to sell and service.
**Kuvare Family Of Companies**
 Retail Annuity and Life Insurance Solutions:
* United Life Insurance Company
* Guaranty Income Life Insurance Company
* Lincoln Benefit Life
**Institutional Insurance**
* Kuvare Life Re
**Bespoke Insurance Solutions**
* Ignite Partners
**About The Role**
 The Kuvare Data Engineer is responsible for the retrieval, storage, and distribution of data across varied platforms and data stores, including modern ETL/ELT pipelines such as Azure Data Factory, as well as modern models such as data mesh and event streaming architectures like Azure Event Hub or Kafka. The individual will rely on broad experience in data modeling, including relational and dimensional models as well as semi\-structured and unstructured data forms such as JSON, YAML, and PDF. This role has a direct business impact by providing rapid enhancements to the data platform in support of new business relationships, new consumer products, etc.
**What You'll Do**
* Research architectural trends, design methods, and emerging technologies, in adherence to and in support of company standards, helping Kuvare develop and maintain a nimble technology platform for adapting to new business opportunities.
* Work with Business SMEs and end users – including external business partners and vendors \- to translate business requirements into technical specifications, including technical designs, data flow diagrams, and other technical artifacts.
* Create data pipelines to ingest, update, or transport data to/from any variety of data stores, from external data files to internal dimensional or relational models; and leveraging a broad toolset including SFTP, Azure Data Factory, Azure Event Hub, SQL Stored Procedures, etc.
* Leverage excellent SQL skills to build structured data repositories: tables, views, indexes, constraints, etc.
* Perform tests and evaluations to ensure reliability, data security, privacy, and integrity.
* Other Responsibilities
* Ability and willingness to travel occasionally, such as for monthly meetings at the local office and an annual IT summit at a Kuvare hub office, which might be Baton Rouge, Cedar Rapids, or Chicago.
* Occasional evening and weekend work to meet deadlines.
* Other duties and responsibilities as assigned.
**Qualifications**
* Bachelor's degree in computer science, information systems, computer engineering or related field; or an equivalent combination of education and experience.
* Extensive experience with Microsoft SQL Server and the Azure environment.
* Expertise in relational and dimensional database modeling, data development and administration.
* Extensive experience with ETL/ELT pipelines including any combination of modern tools such as SSIS, Azure Data Factory, Function Apps, Logic Apps, etc.
* Analytic and problem\-solving skills and experience.
* Excellent written and oral communication skills.
**The Pay Range For This Role Is**
 120,000 \- 145,000 USD per year (Rosemont)</t>
        </is>
      </c>
    </row>
    <row r="21">
      <c r="A21" t="inlineStr">
        <is>
          <t>li-4362995515</t>
        </is>
      </c>
      <c r="B21" t="inlineStr">
        <is>
          <t>Python Data Engineer II</t>
        </is>
      </c>
      <c r="C21" t="inlineStr">
        <is>
          <t>JPMorganChase</t>
        </is>
      </c>
      <c r="D21" t="inlineStr">
        <is>
          <t>linkedin</t>
        </is>
      </c>
      <c r="E21" t="inlineStr"/>
      <c r="F21" t="inlineStr"/>
      <c r="G21" t="inlineStr">
        <is>
          <t>Jersey City, NJ</t>
        </is>
      </c>
      <c r="H21" t="inlineStr"/>
      <c r="I21" t="inlineStr">
        <is>
          <t>**Job Description**
 You thrive on diversity and creativity, and we welcome individuals who share our vision of making a lasting impact. Your unique combination of design thinking and experience will help us achieve new heights.
 As a Data Engineer II at JPMorganChase within the Consumer \&amp; Community Banking, you are part of an agile team that works to enhance, design, and deliver the data collection, storage, access, and analytics solutions in a secure, stable, and scalable way. As an emerging member of a data engineering team, you execute data solutions through the design, development, and technical troubleshooting of multiple components within a technical product, application, or system, while gaining the skills and experience needed to grow within your role.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2\+ years applied experience
* Experience in ETL process/Advance concepts
* Hands\-on practical experience in system design, application development, testing, and operational stability
* Experience in AWS, design, implementation, and maintenance of data pipelines using Python and PySpark
* Experience in developing, debugging, and maintaining code in a large corporate environment with one or more modern programming languages and database querying languages
* Proven experience in performance and tuning to ensure jobs are running at optimal levels and no performance bottleneck
* Solid understanding of agile methodologies such as CI/CD, Application Resiliency, and Security
* Demonstrated knowledge of software applications and technical processes within a technical discipline (e.g., cloud, artificial intelligence, machine learning, mobile, etc.)
* Proficiency in Unix scripting, data structures, data serialization formats such as JSON, AVRO, Protobuf, or similar, big\-data storage formats such as Parquet, Iceberg, or similar, data processing methodologies such as batch, micro\-batching, or stream, one or more data modelling techniques such as Dimensional, Data Vault, Kimball, Inmon, etc., Agile methodology, TDD or BDD and CI/CD tools
**Preferred Qualifications, Capabilities, And Skills**
* Python Advance development skills / Kafka \&amp; S3 integration in Performance optimization
* Experience in carrying out data analysis to support business insights
* Strong in PySpark, AWS, \&amp; Snowflake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22">
      <c r="A22" t="inlineStr">
        <is>
          <t>li-4363514329</t>
        </is>
      </c>
      <c r="B22" t="inlineStr">
        <is>
          <t>Principal Data Engineer</t>
        </is>
      </c>
      <c r="C22" t="inlineStr">
        <is>
          <t>FRESH.</t>
        </is>
      </c>
      <c r="D22" t="inlineStr">
        <is>
          <t>linkedin</t>
        </is>
      </c>
      <c r="E22" t="inlineStr"/>
      <c r="F22" t="inlineStr"/>
      <c r="G22" t="inlineStr">
        <is>
          <t>New York, NY</t>
        </is>
      </c>
      <c r="H22" t="inlineStr"/>
      <c r="I22" t="inlineStr">
        <is>
          <t>**Principal Data Engineer – New York (Hybrid, 3 days on\-site)** 
**Package:** 
 Competitive – Looking for experienced ICs, package will be based on interview performance.
 We are partnering with a fast\-growing global Data and AI Consultancy to hire
 **Principal Data Engineers** 
 . This is an exciting opportunity for someone who loves complex problem\-solving, cutting\-edge technology and working across multiple clients and industries (predominantly regulated spaces: finance, insurance and health care \+ more).
 The ideal candidate is passionate about data engineering and has a background in building robust pipelines, and helping businesses leverage their data for meaningful impact.
**Key Responsibilities** 
* Design, build, and maintain
 **data pipelines** 
 to ingest, transform, and load data reliably.
* Implement and manage
 **data lakes and warehouses** 
 for scalable and secure access.
* Ensure
 **systems are reliable, secure, and cost\-effective** 
 .
* Collaborate closely with analysts, ML engineers, and platform teams to deliver impactful solutions.
* Work with modern data tools and cloud platforms to optimise performance and scalability.
**Technical Skills \&amp; Experience** 
* Strong experience in
 **Python** 
 ,
 **Spark** 
 , and
 **Airflow** 
 .
* Hands\-on knowledge of
 **Snowflake, Databricks, BigQuery, or Neo4J** 
 .
* Familiarity with
 **dbt, Fivetran, Terraform** 
 and other data engineering frameworks.
* Cloud experience with
 **AWS, Azure, or GCP** 
 .
* Proven track record building scalable, reliable, and secure data solutions.
* Comfortable problem\-solving across large, complex datasets and systems.
* **STEM degree** 
 from a top university
 We're open to candidates with and without consulting backgrounds but you must be excited about working with leading global brands and directly with customers.
 If you’re interested in hearing more about this opportunity, please include you most up to date CV.</t>
        </is>
      </c>
    </row>
    <row r="23">
      <c r="A23" t="inlineStr">
        <is>
          <t>li-4360081589</t>
        </is>
      </c>
      <c r="B23" t="inlineStr">
        <is>
          <t>Data Engineer</t>
        </is>
      </c>
      <c r="C23" t="inlineStr">
        <is>
          <t>RemoteHunter</t>
        </is>
      </c>
      <c r="D23" t="inlineStr">
        <is>
          <t>linkedin</t>
        </is>
      </c>
      <c r="E23" t="inlineStr"/>
      <c r="F23" t="inlineStr"/>
      <c r="G23" t="inlineStr"/>
      <c r="H23" t="inlineStr"/>
      <c r="I23" t="inlineStr">
        <is>
          <t>About the Opportunity:
 This team is hiring a junior to mid\-level Data Engineer fluent in SQL and Python to build, debug, and maintain production data pipelines and system integrations. The role involves owning these pipelines end to end, partnering with the Business Intelligence team to deliver reliable data, actionable insights, and process automation across the business. The position requires comfort reading, understanding, and improving existing systems, not just building greenfield solutions. The technology stack includes SQL Server, Snowflake, Fivetran, and Python with an emphasis on the Pandas library. Experience with these exact tools is not required, but a solid foundation in SQL and Python is essential.
 Responsibilities:
 • Build and maintain ETL pipelines that ingest and validate source\-system data with minimal transformation.
 • Design and implement SQL transformation layers to create analyst\-ready data models.
 • Build and maintain data integrations via inbound and outbound APIs.
 • Troubleshoot data failures across the entire data pipeline independently.
 • Automate manual processes to improve data delivery and reliability.
 • Create clear documentation for ETL processes, object usage, and data models.
 • Test and validate code changes.
 Requirements:
 • Strong SQL skills to simplify complex logic and messy data into consistent models.
 • Practical experience with Python; familiarity with Pandas is beneficial.
 • Experience integrating external systems using inbound and outbound APIs.
 • Understanding of logging, error handling, and control flow in production data pipelines.
 • Solid knowledge of data architecture and modeling (normalized/denormalized, star/snowflake schemas).
 • Experience using version control with a team, preferably Git.
 • Excellent analytical thinking, problem solving, and communication skills.
 • Ability to work independently, manage priorities, and deliver in a rapidly changing environment.
 • Bachelor’s degree in Computer Science or equivalent experience; non\-traditional candidates encouraged to share relevant projects.
 • Experience maintaining data pipelines and integrations in SQL Server, Snowflake, or similar environments.
 • Experience supporting data ingestion from enterprise systems such as Workday, ERP, or HR platforms.
 • Experience with BI or reporting platforms; strong fundamentals valued over specific tool experience.
 • Relevant certifications are a plus but not required.
 Benefits \&amp; Perks:
 • Remote role based in the U.S. with working hours aligned to Eastern Time.
 • Candidates in Central Time are welcome if able to work an Eastern Time schedule.
 • Strong preference for candidates based in North Carolina.
 Compensation:
 • Determined by experience, skills, and role fit.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4">
      <c r="A24" t="inlineStr">
        <is>
          <t>li-4363575156</t>
        </is>
      </c>
      <c r="B24" t="inlineStr">
        <is>
          <t>Data Engineer</t>
        </is>
      </c>
      <c r="C24" t="inlineStr">
        <is>
          <t>Robert Half</t>
        </is>
      </c>
      <c r="D24" t="inlineStr">
        <is>
          <t>linkedin</t>
        </is>
      </c>
      <c r="E24" t="inlineStr"/>
      <c r="F24" t="inlineStr"/>
      <c r="G24" t="inlineStr">
        <is>
          <t>Keller, TX</t>
        </is>
      </c>
      <c r="H24" t="inlineStr"/>
      <c r="I24" t="inlineStr">
        <is>
          <t>We are looking for a skilled Data Engineer to join a dynamic healthcare organization in the DFW area. In this role, you will play a pivotal part in transforming data operations by building foundational systems for predictive analytics and strategic insights. This position offers a unique opportunity to design and implement data solutions that directly impact clinical and financial decision\-making processes.
 Responsibilities:
 • Develop and manage data pipelines and storage systems to ensure seamless reporting and data accessibility.
 • Design forecasting models and predictive analytics to transform retrospective data into actionable insights.
 • Create and maintain dashboards and visualizations that present clinical and financial performance metrics clearly and effectively.
 • Collaborate with leadership to identify strategic metrics and deliver data\-driven insights that influence organizational decisions.
 • Act as the subject matter expert for data architecture and analytics, providing guidance and best practices.
 • Implement and optimize ETL processes to streamline data integration and transformation.
 • Utilize tools such as Apache Spark, Python, and Apache Hadoop to develop robust data solutions.
 • Ensure data integrity and accuracy across all reporting and analytics platforms.
 • Leverage BI platforms, with a preference for Power BI, to enhance data visualization and reporting.
 • Monitor and troubleshoot data systems to maintain efficiency and performance.
 • At least 5 years of experience in data engineering or related fields.
 • Proficiency in tools such as Apache Spark, Python, Apache Hadoop, and Apache Kafka.
 • Expertise in ETL processes, including data extraction, transformation, and loading.
 • Strong knowledge of BI platforms, with hands\-on experience in Power BI preferred.
 • Ability to work independently and collaboratively in a lean environment.
 • Demonstrated experience building data solutions from the ground up.
 • Effective communication skills to advise leadership and present technical concepts.
 • A proactive and responsive approach to problem\-solving and innovation.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25">
      <c r="A25" t="inlineStr">
        <is>
          <t>li-4353624758</t>
        </is>
      </c>
      <c r="B25" t="inlineStr">
        <is>
          <t>Collibra Data Engineer</t>
        </is>
      </c>
      <c r="C25" t="inlineStr">
        <is>
          <t>Dexian</t>
        </is>
      </c>
      <c r="D25" t="inlineStr">
        <is>
          <t>linkedin</t>
        </is>
      </c>
      <c r="E25" t="inlineStr"/>
      <c r="F25" t="inlineStr"/>
      <c r="G25" t="inlineStr">
        <is>
          <t>Washington, DC</t>
        </is>
      </c>
      <c r="H25" t="inlineStr"/>
      <c r="I25" t="inlineStr">
        <is>
          <t>**Job Description** 
**Collibra Data Engineer** 
**About the Role:** 
 Seeking an experienced Data Engineer to join our Information Technology Services \&amp; Data Analytics team, specifically within the Data Governance function. This role is critical to supporting and scaling our metadata management capabilities using Collibra within an Azure environment.
 You will be part of a growing team responsible for enabling robust data governance practices, frameworks, and tools across the enterprise. The ideal candidate will be someone who can hit the ground running with a solid understanding of Collibra principles and implementation in cloud environments.
**Key Responsibilities:** 
* Act as a key contributor in the implementation and maintenance of metadata management and data governance frameworks using Collibra.
* Collaborate with internal stakeholders and clients to gather requirements and deliver governance solutions.
* Support enterprise initiatives around data access, classification, and control using governance frameworks.
* Leverage Collibra in combination with Azure\-native tools to support governance\-related use cases.
* Partner with cross\-functional teams to ensure best practices are followed across data governance initiatives.
* Provide client\-facing technical guidance as needed.
**Required Qualifications:** 
* 8\+ years of overall experience in data engineering or data management roles.
* 2\-3 years of hands\-on experience with Collibra in a professional setting.
* Proven understanding of Collibra principles, architecture, and implementation.
* Strong experience in data governance as a domain, particularly around metadata management and data access policies.
* Cloud experience: Azure preferred, but AWS acceptable.
* Ability to work independently and contribute from day one.
**Preferred Qualifications:** 
* Experience working within financial services or other highly regulated industries.
* Familiarity with Unity Catalog, broader Azure stack, or other governance tools.
* Demonstrated ability to interface with business stakeholders and clients.
* Strong communication and stakeholder engagement skills.
* Prior experience with COTS products supporting data governance functions.
 Dexian stands at the forefront of Talent \+ Technology solutions with a presence spanning more than 70 locations worldwide and a team exceeding 10,000 professionals. As one of the largest technology and professional staffing companies and one of the largest minority\-owned staffing companies in the United States, Dexian combines over 30 years of industry expertise with cutting\-edge technologies to deliver comprehensive global services and support.
 Dexian connects the right talent and the right technology with the right organizations to deliver trajectory\-changing results that help everyone achieve their ambitions and goals. To learn more, please visit https://dexian.com/.
 Dexian is an Equal Opportunity Employer that recruits and hires qualified candidates without regard to race, religion, sex, sexual orientation, gender identity, age, national origin, ancestry, citizenship, disability, or veteran status.</t>
        </is>
      </c>
    </row>
    <row r="26">
      <c r="A26" t="inlineStr">
        <is>
          <t>li-4363860085</t>
        </is>
      </c>
      <c r="B26" t="inlineStr">
        <is>
          <t>Data Engineer II</t>
        </is>
      </c>
      <c r="C26" t="inlineStr">
        <is>
          <t>Centene Corporation</t>
        </is>
      </c>
      <c r="D26" t="inlineStr">
        <is>
          <t>linkedin</t>
        </is>
      </c>
      <c r="E26" t="inlineStr"/>
      <c r="F26" t="inlineStr"/>
      <c r="G26" t="inlineStr"/>
      <c r="H26" t="inlineStr"/>
      <c r="I26" t="inlineStr">
        <is>
          <t>**About The Company** 
 Centene Corporation is a diversified, national healthcare enterprise committed to transforming the health of our communities. Serving over 28 million members across the United States, Centene leverages innovative technology and comprehensive healthcare solutions to improve health outcomes and deliver quality care. The organization prides itself on fostering a dynamic and inclusive work environment, offering competitive benefits and opportunities for professional growth. With a focus on community health and technological advancement, Centene strives to make a meaningful difference in the lives of its members and employees alike.
**About The Role** 
 We are seeking a skilled Data Engineer to join our team and play a pivotal role in developing and operationalizing data pipelines that support our business intelligence and advanced analytics initiatives. The successful candidate will be responsible for designing, building, and maintaining large\-scale, high\-performance data structures and real\-time processing applications. This role involves collaborating closely with DevSecOps engineers to ensure seamless integration, deployment, and automation of data solutions. The Data Engineer will also be instrumental in establishing standardized data management procedures, ensuring data quality, security, and reliability across our environments. This position offers an exciting opportunity to work on cutting\-edge data architecture, contribute to improving data efficiency and automation, and support Centene's mission to enhance healthcare delivery through innovative technology solutions.
**Qualifications** 
* Bachelor’s degree in statistics, mathematics, engineering, computer science, or a related quantitative or business field
* 2 to 4 years of relevant experience in data engineering, data management, or related roles
* Proficiency in ETL processes and tools
* Experience with Snowflake, Informatica, Talend, and SQL
* Strong understanding of data ingestion, transformation, validation, and pipeline optimization
* Knowledge of real\-time data processing and streaming applications
* Ability to design, develop, test, and document large\-scale data structures
* Familiarity with automation, scripting, and orchestration of data workflows
* Excellent problem\-solving skills and attention to detail
* Strong communication skills and ability to collaborate across teams
**Responsibilities** 
* Develop and operationalize data pipelines to ensure data availability for reports and advanced analytics
* Design and implement standardized data management procedures, including data staging, ingestion, preparation, provisioning, and destruction
* Create, test, and maintain high\-performance data structures and architectures for business intelligence
* Design, develop, and maintain real\-time data processing applications and pipelines
* Ensure the quality, security, and integrity of data as it moves across Centene’s environments
* Engage with DevSecOps teams during continuous integration and deployment processes
* Identify opportunities to improve data reliability, efficiency, and automation
* Provide insights into evolving data processing, storage, and utilization needs, and recommend solutions
* Develop and construct architectures using programming languages and relevant tools
* Perform routine maintenance, troubleshooting, and optimization of data workflows
* Comply with all organizational policies, standards, and best practices
* Perform additional duties as assigned to support organizational goals
**Benefits** 
* Competitive salary commensurate with experience and skills
* Comprehensive health insurance plans
* 401(k) plan with company matching
* Stock purchase plans
* Tuition reimbursement programs
* Paid time off and holidays
* Flexible work arrangements including remote, hybrid, and field options
* Opportunities for professional development and career advancement
 Equal Opportunity
 Centene Corporation is an equal opportunity employer committed to fostering a diverse and inclusive workplace. We welcome applications from all qualified candidates regardless of race, color, religion, sex, sexual orientation, gender identity, national origin, disability, veteran status, or any other characteristic protected by law.</t>
        </is>
      </c>
    </row>
    <row r="27">
      <c r="A27" t="inlineStr">
        <is>
          <t>li-4359213926</t>
        </is>
      </c>
      <c r="B27" t="inlineStr">
        <is>
          <t>Senior Data Engineer</t>
        </is>
      </c>
      <c r="C27" t="inlineStr">
        <is>
          <t>BlueSky Resource Solutions</t>
        </is>
      </c>
      <c r="D27" t="inlineStr">
        <is>
          <t>linkedin</t>
        </is>
      </c>
      <c r="E27" t="inlineStr"/>
      <c r="F27" t="inlineStr"/>
      <c r="G27" t="inlineStr">
        <is>
          <t>Atlanta, GA</t>
        </is>
      </c>
      <c r="H27" t="inlineStr"/>
      <c r="I27" t="inlineStr">
        <is>
          <t>**This is a fulltime, hybrid opportunity. This role is NOT open to C2C, C2H, OPT, or Visa consideration. No vendor support of any kind!** 
**Senior Data Engineer** 
**Role Summary** 
 The Senior Data Engineer is responsible for developing and sustaining robust data infrastructure that enables reliable access to high\-quality data for analytics, reporting, and operational use. This position focuses on building scalable data pipelines, architecting modern data platforms, and optimizing data performance across cloud and database environments. The role partners closely with technical and business teams to support data\-driven decision\-making.
**Key Responsibilities** 
* Develop, enhance, and manage data ingestion and transformation pipelines using ETL and ELT methodologies.
* Ensure data workflows are resilient, scalable, and performant to meet growing business demands.
* Design and maintain data architectures, including data warehouses, data lakes, and lakehouse solutions.
* Implement and manage structured and semi\-structured data storage solutions across SQL and NoSQL platforms.
* Leverage distributed processing technologies to support high\-volume and high\-velocity data workloads.
* Deploy, monitor, and maintain data solutions within cloud\-based environments.
* Analyze and improve query performance and overall data platform efficiency.
* Apply best practices for indexing, partitioning, and data caching to support fast and reliable data access.
* Collaborate with cross\-functional teams to align data solutions with analytics and reporting requirements.
* Perform additional responsibilities as needed to support data and analytics initiatives.
**Education and Experience** 
* Bachelor’s degree with a minimum of 8 years of relevant experience,
* or a Master’s degree with at least 6 years of experience,
* or an equivalent combination of education and professional experience.
**Required Skills and Qualifications** 
* 8\-10 years of experience as a Data Professional with 5\+ years of experience as an Engineer/Developer
* Advanced proficiency in SQL (including T\-SQL) and Python.
* Fabric or DataBricks experience
* SSIS
* Hands\-on experience with data integration and orchestration tools.
* Strong understanding of both on\-premises and cloud\-based database systems.
* Demonstrated expertise in data modeling concepts, standards, and best practices.
* Solid knowledge of modern data platform architectures and parallel data processing concepts.
* Experience working with large\-scale data processing and streaming technologies.
* Excellent written and verbal communication skills.
* Strong analytical mindset with the ability to troubleshoot complex data challenges.
* High attention to detail and a commitment to data accuracy and reliability.</t>
        </is>
      </c>
    </row>
    <row r="28">
      <c r="A28" t="inlineStr">
        <is>
          <t>li-4325792246</t>
        </is>
      </c>
      <c r="B28" t="inlineStr">
        <is>
          <t>Sr. Data Platform Engineer</t>
        </is>
      </c>
      <c r="C28" t="inlineStr">
        <is>
          <t>ALLDATA</t>
        </is>
      </c>
      <c r="D28" t="inlineStr">
        <is>
          <t>linkedin</t>
        </is>
      </c>
      <c r="E28" t="inlineStr"/>
      <c r="F28" t="inlineStr"/>
      <c r="G28" t="inlineStr">
        <is>
          <t>Elk Grove, CA</t>
        </is>
      </c>
      <c r="H28" t="inlineStr"/>
      <c r="I28" t="inlineStr">
        <is>
          <t>**Job Description**
**Hybrid role 3X a week in office in Elk Grove, CA; no remote capabilities**
**Position Summary**
 The Senior Data Platform Engineer is a technical expert responsible for designing, implementing, and supporting scalable data solutions using modern big data technologies. In this full\-time role, you will work closely with data architects, analysts, and business stakeholders to build, optimize, and maintain data pipelines and platforms that drive analytics, reporting, and machine learning. You will ensure the reliability, performance, and security of production data systems, and play a key role in troubleshooting, monitoring, and continuous improvement.
**Position Responsibilities \- Other Duties May Be Assigned**
* Design, develop, and maintain robust data pipelines for ingesting, transforming, and storing large volumes of structured, semi\-structured, and unstructured data.
* Implement data workflows and ETL processes using technologies such as Spark, Delta Lake, and cloud\-native tools.
* Support the production use of big data platforms (e.g., Databricks, Snowflake, Google Cloud Platform), ensuring high availability, scalability, and performance.
* Monitor, troubleshoot, and resolve issues in production data systems, including job failures, performance bottlenecks, and data quality concerns.
* Collaborate with data architects to translate business requirements into technical solutions, ensuring alignment with architectural standards and best practices.
* Optimize SQL queries, Spark jobs, and data processing workloads for efficiency and cost\-effectiveness.
* Implement and maintain data governance, security, and compliance measures, including access controls, data masking, and audit logging.
* Integrate data workflows into CI/CD pipelines, automate deployment processes, and manage source control using Git and related DevOps tools.
* Document data pipelines, workflows, and operational procedures to support knowledge sharing and maintainability.
* Stay current with emerging big data technologies and recommend improvements to enhance reliability, scalability, and efficiency.
**Position Requirements**
* 7\+ years of experience in data engineering or related roles, with hands\-on experience building and supporting production data pipelines.
* Strong proficiency with big data platforms (e.g., Databricks, Snowflake, Google Cloud Platform) and the Spark ecosystem.
* Experience with data lakehouse and warehouse architectures, including Delta Lake or similar technologies.
* Senior Data Engineer with deep expertise in Retrieval\-Augmented Generation (RAG) systems and advanced chunking strategies for optimizing semantic search and LLM integration, delivering scalable solutions for enterprise knowledge retrieval and contextual AI applications.
* Advanced skills in PySpark, Python, SQL, and related data processing frameworks.
* Experience with cloud storage, messaging/streaming technologies (e.g., Apache Kafka, cloud Pub/Sub), and vector databases.
* Proven ability to optimize ETL jobs, tune cluster configurations, and troubleshoot production issues.
* Familiarity with data governance tools, catalog solutions, and security best practices.
* Experience integrating data workflows into CI/CD pipelines and using DevOps tools (e.g., Git, Jenkins, Terraform).
* Strong problem\-solving skills, attention to detail, and ability to work independently or as part of a team.
* Excellent communication skills to collaborate with cross\-functional teams and document technical solutions.
* Experience working in an Agile environment.
**Tools \&amp; Technologies**
* Big Data Platforms: Spark, Delta Lake, SQL engines, MLflow (or similar model tracking tools), relational databases.
* Data Governance: Data catalog and access control solutions.
* Programming \&amp; Data Processing: PySpark, Python, SQL.
* Cloud Services: Experience with cloud storage, messaging/streaming technologies, vector databases and BigQuery.
* DevOps \&amp; CI/CD: Git for version control, Jenkins, and infrastructure\-as\-code tools (e.g., Terraform) are a plus.
* Other Tools: Project and workflow management tools (e.g., JIRA, Confluence), BI/analytics tools (e.g., Power BI, Looker Studio).
**Preferred**
* Certifications in major big data platforms (e.g., Databricks, Snowflake, Google Cloud Platform) are advantageous.
* Exposure to related big data and streaming tools such as Apache Kafka, cloud messaging services, Apache Airflow, and BI/analytics tools is a plus.
* Google Professional Cloud Architect or better – Preferred, but not required
* Azure Solutions Architect Expert – Preferred, but not required
 The salary range for this position is $119,000 – $208,000\. When extending an offer of employment, ALLDATA considers factors such as (but not limited to) the scope and responsibilities of the position, the candidate’s work experience, education/training, key skills, internal peer equity, federal, state, and local laws, company financials, as well as external market and organizational considerations. ALLDATA values and is committed to diversity, equity and inclusion.
**About Us**
 ALLDATA® is the industry’s \#1 choice for unedited original equipment manufacturer (OEM) automotive repair and collision information. Founded in 1986, the Elk Grove, California\-based company has more than 115,000 subscribers worldwide who rely on us for access to the OEM\-accurate information and procedures they need for safe and accurate repairs. More than 400,000 technicians trust ALLDATA’s industry\-leading software solutions for faster diagnostics, updated OEM information covering 95% of vehicles on the road today, and simpler shop management. With the support of our parent company, AutoZone, we are an employer of choice for those who are passionate about working for a leader in the automotive software industry.
**Benefits At ALLDATA®**
 ALLDATA® offers thoughtful benefits programs with one\-on\-one benefits guidance designed to improve our teams’ physical, mental, and financial well\-being.
**Full\-Time And Part\-Time Benefits**
* Competitive pay
* Unrivaled company culture
* Medical, dental and vision plans
* Exclusive discounts and perks, including an AutoZone in\-store discount
* 401(k) with company match and Stock Purchase Plan
* AutoZoners Living Well Program for free mental health support
* Opportunities for career growth
**Additional Benefits For Full\-Time**
* Paid time off
* Life, and short\- and long\-term disability insurance options
* Health Savings and Flexible Spending Accounts with wellness rewards
* Tuition reimbursement
 Eligibility and waiting period requirements may apply; benefits for AutoZoners in Puerto Rico, Hawaii, or the U.S. Virgin Islands may differ. Learn more about all that AutoZone has to offer at Careers.AutoZone.com.
 AutoZone, and its subsidiary, ALLDATA are equal opportunity employers. All applicants will be considered for employment without attention to age, race, color, religion, sex, sexual orientation, gender identity, national origin, veteran or disability status, or any other legally protected categories.</t>
        </is>
      </c>
    </row>
    <row r="29">
      <c r="A29" t="inlineStr">
        <is>
          <t>li-4359264023</t>
        </is>
      </c>
      <c r="B29" t="inlineStr">
        <is>
          <t>Data Engineer</t>
        </is>
      </c>
      <c r="C29" t="inlineStr">
        <is>
          <t>Kuvare Holdings</t>
        </is>
      </c>
      <c r="D29" t="inlineStr">
        <is>
          <t>linkedin</t>
        </is>
      </c>
      <c r="E29" t="inlineStr"/>
      <c r="F29" t="inlineStr"/>
      <c r="G29" t="inlineStr">
        <is>
          <t>Cedar Rapids, IA</t>
        </is>
      </c>
      <c r="H29" t="inlineStr"/>
      <c r="I29" t="inlineStr">
        <is>
          <t>**About Kuvare**
 Kuvare is on a mission to serve hardworking consumers overwhelmed by the complexities of retirement and is built from the ground up to do so. Our unified financial hub protects the retirement of everyday Americans and the distributors, carriers and investors that serve them. We create life insurance and annuity products that protect consumers’ retirements, and are simplified for distributor partners and financial professionals to sell and service.
**Kuvare Family Of Companies**
 Retail Annuity and Life Insurance Solutions:
* United Life Insurance Company
* Guaranty Income Life Insurance Company
* Lincoln Benefit Life
**Institutional Insurance**
* Kuvare Life Re
**Bespoke Insurance Solutions**
* Ignite Partners
**About The Role**
 The Kuvare Data Engineer is responsible for the retrieval, storage, and distribution of data across varied platforms and data stores, including modern ETL/ELT pipelines such as Azure Data Factory, as well as modern models such as data mesh and event streaming architectures like Azure Event Hub or Kafka. The individual will rely on broad experience in data modeling, including relational and dimensional models as well as semi\-structured and unstructured data forms such as JSON, YAML, and PDF. This role has a direct business impact by providing rapid enhancements to the data platform in support of new business relationships, new consumer products, etc.
**What You'll Do**
* Research architectural trends, design methods, and emerging technologies, in adherence to and in support of company standards, helping Kuvare develop and maintain a nimble technology platform for adapting to new business opportunities.
* Work with Business SMEs and end users – including external business partners and vendors \- to translate business requirements into technical specifications, including technical designs, data flow diagrams, and other technical artifacts.
* Create data pipelines to ingest, update, or transport data to/from any variety of data stores, from external data files to internal dimensional or relational models; and leveraging a broad toolset including SFTP, Azure Data Factory, Azure Event Hub, SQL Stored Procedures, etc.
* Leverage excellent SQL skills to build structured data repositories: tables, views, indexes, constraints, etc.
* Perform tests and evaluations to ensure reliability, data security, privacy, and integrity.
* Other Responsibilities
* Ability and willingness to travel occasionally, such as for monthly meetings at the local office and an annual IT summit at a Kuvare hub office, which might be Baton Rouge, Cedar Rapids, or Chicago.
* Occasional evening and weekend work to meet deadlines.
* Other duties and responsibilities as assigned.
**Qualifications**
* Bachelor's degree in computer science, information systems, computer engineering or related field; or an equivalent combination of education and experience.
* Extensive experience with Microsoft SQL Server and the Azure environment.
* Expertise in relational and dimensional database modeling, data development and administration.
* Extensive experience with ETL/ELT pipelines including any combination of modern tools such as SSIS, Azure Data Factory, Function Apps, Logic Apps, etc.
* Analytic and problem\-solving skills and experience.
* Excellent written and oral communication skills.
**The Pay Range For This Role Is**
 120,000 \- 145,000 USD per year (Rosemont)</t>
        </is>
      </c>
    </row>
    <row r="30">
      <c r="A30" t="inlineStr">
        <is>
          <t>li-4360004389</t>
        </is>
      </c>
      <c r="B30" t="inlineStr">
        <is>
          <t>Senior Data Engineer (SQL, Python, Snowflake)</t>
        </is>
      </c>
      <c r="C30" t="inlineStr">
        <is>
          <t>Tata Consultancy Services</t>
        </is>
      </c>
      <c r="D30" t="inlineStr">
        <is>
          <t>linkedin</t>
        </is>
      </c>
      <c r="E30" t="inlineStr"/>
      <c r="F30" t="inlineStr"/>
      <c r="G30" t="inlineStr">
        <is>
          <t>Cupertino, CA</t>
        </is>
      </c>
      <c r="H30" t="inlineStr"/>
      <c r="I30" t="inlineStr">
        <is>
          <t>**Job Description**
 Job Description
* 8\+ years of experience in Data Engineering with advanced SQL skills
* Good with Python programming and experience with Data pipeline creation
* Experience with SQL
* Good understanding of Snowflake Database
* Good communication skills
 Salary Range: $90,000 \- $145,000 per year
**Qualifications:** 
 BACHELOR OF TECHNOLOGY</t>
        </is>
      </c>
    </row>
    <row r="31">
      <c r="A31" t="inlineStr">
        <is>
          <t>li-4360043040</t>
        </is>
      </c>
      <c r="B31" t="inlineStr">
        <is>
          <t>Analytics Engineer</t>
        </is>
      </c>
      <c r="C31" t="inlineStr">
        <is>
          <t>RemoteHunter</t>
        </is>
      </c>
      <c r="D31" t="inlineStr">
        <is>
          <t>linkedin</t>
        </is>
      </c>
      <c r="E31" t="inlineStr"/>
      <c r="F31" t="inlineStr"/>
      <c r="G31" t="inlineStr"/>
      <c r="H31" t="inlineStr"/>
      <c r="I31" t="inlineStr">
        <is>
          <t>About the Opportunity:
 A financial technology organization based in Boston, Massachusetts with team members across the United States, Dominican Republic, and Canada is on a mission to unlock capital that fuels small businesses nationwide. The Analytics Engineering team plays a central role in the data ecosystem by converting raw data into actionable insights. The role involves designing, constructing, and maintaining data models and supporting the analytics platform using tools such as dbt, Fivetran, Snowflake, Census, and Tableau.
 Responsibilities:
 • Design, build, and maintain robust data models and marts using dbt, adhering to clear logic and the DRY principle
 • Collaborate with Data Science to prepare and transform data features for predictive models
 • Assist Data Engineering in deploying and stabilizing data pipelines feeding production machine learning models
 • Partner with Technology teams to manage impacts of schema changes and data migrations on analytical models
 • Support DevOps in monitoring and maintaining real\-time streaming pipelines
 • Participate in peer reviews to ensure data quality and adherence to team standards
 • Assist in integrating new third\-party data sources to enrich the data ecosystem
 • Implement data governance standards, including quality checks, documentation, and compliance procedures
 Requirements:
 • 2 or more years of experience in Analytics Engineering, Data Engineering, or Business Intelligence
 • 1 or more years of hands\-on experience developing and maintaining production\-level data transformation pipelines using dbt or equivalent Python scripting
 • 1 or more years of experience with cloud\-based data warehouses such as Snowflake or Redshift
 • Strong proficiency in SQL and data modeling
 • Ability to translate complex business needs into scalable technical data solutions
 • Experience with business intelligence tools like Looker, Tableau, or similar
 • Bonus: Experience with Python
 Compensation:
 • Annual Targeted Salary: $110,000 to $130,000 USD
 • Annual Target Bonus: 10%
 Benefits \&amp; Perks:
 • Medical, dental, and vision insurance
 • Commuter benefits
 • Flexible time\-off policy
 • Paid parental leave
 • 401k match for US employees
 • Wellness reimbursement
 • Volunteering days
 • Annual professional development budget
 • Charitable donation match
 • Remote\-first work environment with optional office locations for in\-person collaboration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2">
      <c r="A32" t="inlineStr">
        <is>
          <t>li-4360073637</t>
        </is>
      </c>
      <c r="B32" t="inlineStr">
        <is>
          <t>Analytics Engineer</t>
        </is>
      </c>
      <c r="C32" t="inlineStr">
        <is>
          <t>Vanguard Charitable</t>
        </is>
      </c>
      <c r="D32" t="inlineStr">
        <is>
          <t>linkedin</t>
        </is>
      </c>
      <c r="E32" t="inlineStr"/>
      <c r="F32" t="inlineStr"/>
      <c r="G32" t="inlineStr">
        <is>
          <t>Malvern, PA</t>
        </is>
      </c>
      <c r="H32" t="inlineStr"/>
      <c r="I32" t="inlineStr">
        <is>
          <t>Position
 Analytics Engineer
 Reports to
 Data Science Manager
 Summary
 We’re transitioning from limited data access and ad hoc code to a modern, scalable data stack. This role will be instrumental in designing and rolling out foundational processes that support clean, documented, and reproducible analytics workflows. You’ll work closely with data scientists, analysts, and engineers to ensure our infrastructure supports fast, reliable insights.
 This is a great opportunity for someone mid\-career in the data space who’s excited to grow in a cloud\-native environment and contribute to a mission\-driven organization. This is an individual contributor role – ideal for someone who enjoys
 **technical ownership** 
 and
 **process leadership** 
 within a collaborative team.
 Responsibilities
* Design and implement technical standards for SQL style conventions, version control (e.g., Git), code reviews, and documentation practices.
* Build and maintain reusable data models and pipelines using tools like dbt, SQL, and cloud data warehouses.
* Establish and document best practices for data access, transformation, and testing.
* Lead the rollout of new processes across the team, including onboarding materials, training sessions, and feedback loops.
* Collaborate cross\-functionally to ensure alignment between data infrastructure and business needs.
* Monitor and improve data reliability and performance, including observability and alerting.
* Document data workflows, definitions, and lineage to support transparency and data governance.
* Stay current with best practices and emerging tools to continuously improve our analytics environment.
* Performs other duties as assigned.
 Qualifications
* Bachelor’s degree in a technical or analytical field (e.g., Data Science, Statistics, Computer Science).
* 3\+ years of experience writing SQL; data modeling experience is a plus.
* Proficiency with version control systems (e.g., Git) and code review workflows.
* Experience with dbt or similar transformation tools.
* Strong documentation and communication skills.
* Comfortable leading process change and training peers.
* Experience with cloud data platforms (e.g., Snowflake, BigQuery, Redshift).
* Self\-motivated with a commitment to continuous learning and development.
* Bonus: Experience with Python, data catalogs, or data in the financial/nonprofit sectors.</t>
        </is>
      </c>
    </row>
    <row r="33">
      <c r="A33" t="inlineStr">
        <is>
          <t>li-4357642351</t>
        </is>
      </c>
      <c r="B33" t="inlineStr">
        <is>
          <t>Senior Data Engineer AI</t>
        </is>
      </c>
      <c r="C33" t="inlineStr">
        <is>
          <t>Cotiviti</t>
        </is>
      </c>
      <c r="D33" t="inlineStr">
        <is>
          <t>linkedin</t>
        </is>
      </c>
      <c r="E33" t="inlineStr"/>
      <c r="F33" t="inlineStr"/>
      <c r="G33" t="inlineStr"/>
      <c r="H33" t="inlineStr"/>
      <c r="I33" t="inlineStr">
        <is>
          <t>**Overview**
 At Cotiviti, we are custodians of data for our clients. Using their technical experience in ETL processes, Data Engineers ensure operational functions are occurring as expected. This includes but is not limited to managing data implementations, data integrations, data production, data quality, and data security.
**Responsibilities**
* Create, maintain and execute complex SQL queries for data management and data validation.
* Demonstrates subject matter expertise in relation to data mapping, transformations, validations, and ingestion workflows.
* Monitor data processes, analyze data trends and identify anomalies or issues.
* Immediately report issues regarding quality of/or interruption of data processes following standard operating procedures.
* Perform production solutions and services configurations as needed.
* Serve as a change agent to identify organizational improvements and make recommendations to improve business processes.
* Create and maintain SOP documents.
* Train and mentor new members of the team as needed.
* Participate in meetings with clients and/or stakeholders.
* Troubleshoot issues and provide recommendations for remediation.
* Demonstrate sound judgment in selecting methods and techniques for obtaining solutions.
* Completes work as assigned.
* Participate in customer testing, as needed, for new technology or changes to existing.
* Provide after\-hours or weekend support as needed.
* Demonstrate an ability to work independently.
* Adhere to all the industry level and organization level compliance rules and regulations to maintain data integrity.
* Complete task assignments using department ticketing/productivity systems within assigned deadline.
* Achieve organizational and individual goals as identified in performance reviews and goal setting exercises.
* Complete all special projects and other duties as assigned.
* Must be able to perform duties with or without reasonable accommodation.
 This job description is intended to describe the general nature and level of work being performed and is not to be construed as an exhaustive list of responsibilities, duties and skills required. This job description does not constitute an employment agreement and is subject to change as the needs of Cotiviti and requirements of the job change.
**Qualifications**
* Bachelor’s degree in Computer Science, Information Technology or equivalent work experience.
* 8\+ years of working knowledge of big data / cloud technologies (Databricks, AWS, Azure, Hadoop, Spark, Snowflake etc.).
* Experienced in implementing data pipelines with data engineering best practices in SQL, Spark and Scala, implementation in a Databricks environment a plus.
* 8\+ years of data analysis. Preferably in the Healthcare industry of enrollment, medical claims and/or pharmacy claims.
* Any Databricks / AWS certifications is a big plus.
* Strong SQL and data modeling skills.
* Experience with data pipeline orchestration tools (e.g., Airflow, Databricks Workflows).
* Expertise in Microsoft Office Suite applications PowerPoint, Word, Excel and Outlook.
* Flexible work schedule.
* Experience with project management tools like JIRA.
* Strong analytical skills.
* Excellent verbal, listening and written communication skills.
**Cognitive/Mental Requirements**
* Ability to multitask and prioritize projects to meet scheduled deadlines and tight turnaround times.
* Ability to work well independently or in a team environment.
* Communicating with others to exchange information.
* Assessing the accuracy, neatness and thoroughness of the work assigned.
**Working Conditions And Physical Requirements**
* Remaining in a stationary position, often standing or sitting for prolonged periods.
* Repeating motions that may include the wrists, hands and/or fingers.
* No adverse environmental conditions expected.
* Must be able to provide a dedicated, secure work area.
* Must be able to provide high\-speed internet access / connectivity and office setup and maintenance.
 Base compensation ranges from $140,000 to $165,000 per year. Specific offers are determined by various factors, such as experience, education, skills, certifications, and other business needs. This role is eligible for discretionary bonus consideration.
 Cotiviti offers team members a competitive benefits package to address a wide range of personal and family needs, including medical, dental, vision, disability, and life insurance coverage, 401(k) savings plans, paid family leave, 9 paid holidays per year, and 17\-27 days of Paid Time Off (PTO) per year, depending on specific level and length of service with Cotiviti. For information about our benefits package, please refer to our Careers page.
 Since this job will be based remotely, all interviews will be conducted virtually.
 Date of posting:1/14/2026
 Applications are assessed on a rolling basis. We anticipate that the application window will close on 3/14/2026, but the application window may change depending on the volume of applications received or close immediately if a qualified candidate is selected.
 \#senior</t>
        </is>
      </c>
    </row>
    <row r="34">
      <c r="A34" t="inlineStr">
        <is>
          <t>li-4360063233</t>
        </is>
      </c>
      <c r="B34" t="inlineStr">
        <is>
          <t>Big Data Engineer</t>
        </is>
      </c>
      <c r="C34" t="inlineStr">
        <is>
          <t>Tata Consultancy Services</t>
        </is>
      </c>
      <c r="D34" t="inlineStr">
        <is>
          <t>linkedin</t>
        </is>
      </c>
      <c r="E34" t="inlineStr"/>
      <c r="F34" t="inlineStr"/>
      <c r="G34" t="inlineStr">
        <is>
          <t>Irving, TX</t>
        </is>
      </c>
      <c r="H34" t="inlineStr"/>
      <c r="I34" t="inlineStr">
        <is>
          <t>****Job Description****
 Roles \&amp; Responsibilities
 Job Title: BigData Platform Admin
**Job Description:**
 We are looking for a highly skilled and passionate BigData Platform Admin, who has deep knowledge of
 Hadoop Architecture and should be able to monitor and track the Hadoop Ecosystems components, can interact
 and co\-ordinate with multiple stakeholders and vendors to maintain the performance and high availability of the
 system.
**Responsibilities:**
* Good understanding on bigdata architecture and various components – Hive, HDFS, YARN ,HMS.
* Concepts like BDR copy
* Basic understanding on Spark/python
* Good understanding on shell commands to monitor the system.
* Cluster monitoring and troubleshooting. (Preferably have exposure to cloudera manager but not must)
* Should be able to coordinate with multiple stakeholders Application teams, admin teams etc., (Communication skills)
 Salary Range: $120,000 to $145,000 per year
**Qualifications:** 
 BACHELOR OF COMPUTER SCIENCE</t>
        </is>
      </c>
    </row>
    <row r="35">
      <c r="A35" t="inlineStr">
        <is>
          <t>li-4342261133</t>
        </is>
      </c>
      <c r="B35" t="inlineStr">
        <is>
          <t>Sr Associate Data Engineer (ETL / Databricks)</t>
        </is>
      </c>
      <c r="C35" t="inlineStr">
        <is>
          <t>McKesson</t>
        </is>
      </c>
      <c r="D35" t="inlineStr">
        <is>
          <t>linkedin</t>
        </is>
      </c>
      <c r="E35" t="inlineStr"/>
      <c r="F35" t="inlineStr"/>
      <c r="G35" t="inlineStr">
        <is>
          <t>Columbus, OH</t>
        </is>
      </c>
      <c r="H35" t="inlineStr"/>
      <c r="I35"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Rx Savings Solutions, part of McKesson's CoverMyMeds organization, offers an innovative, patented software system that educates and empowers consumers to make the best healthcare choices at the lowest cost. Founded and operated by a team of pharmacists and software engineers, we support a collaborative, cost\-saving solution for purchasing prescription drugs.
 We currently have an opportunity for a
 **Sr Associate** 
**Data Engineer (ETL / Databricks)** 
 to join our growing Business Operations Support data engineering team! This role will assist in planning, designing, troubleshooting and documenting technical requirements for data flows between disparate operational systems and our data warehouse. Our ideal candidate will have Databricks experience, ETL tool experience (i.e. Talend, Informatica, SSIS or DataStage), experience with SQL, and general\-purpose programming languages such as Python or Java for data engineering/ingestion work. This individual will assist in end\-to\-end development of the ETL processes, data analytics, review business requirement documents and execute object and data models.
* Our ideal candidate will reside in the Columbus, OH area, with the work primarily being remote with occasional in\-office work. We may consider a well\-qualified, fully remote candidate.
* At this time, we are not able to offer sponsorship for employment visas. This includes individuals currently on F\-1 OPT, STEM OPT, or any other visa status that would require future sponsorship. Candidates must be authorized to work in the United States on a permanent basis without the need for current or future sponsorship.
**Responsibilities:**
* Build data pipelines to ingest and automate files provided by customers using ETL tool
* Interface with other technology teams to extract, transform, and load data from a wide variety of data sources using primarily ETL tools
* Explore and learn the latest AWS technologies to provide new capabilities and increase efficiency
* Investigate and resolve data related issues and provide support and troubleshooting expertise
* Collaborating across teams to understand business needs and propose innovative solutions
**Requirements:**
* Bachelor's degree in Computer Science or related technical degree, or equivalent experience, and 2\+ years of relative experience
* 2\+ years of experience with Databricks and building data pipelines to ingest and automate files provided by customers
* 2\+ years of experience with SQL queries, including various SQL commands
* Experience with Python
* Knowledge of Structured and Unstructured data
* Possess understanding of BI concepts and be familiar with relational or multi\-dimensional modeling concepts
* Understanding of RDBMS best practices and performance tuning techniques
* Experience with cloud technologies such as AWS services such as S3, CloudWatch, EC2, and passion for a role working in a cloud data warehouse
**It would be nice if you had...**
* Experience with Agile and Scrum methodologies
* Knowledge of Java or JavaScript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$80,600 \- $134,400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**Join us at McKesson!**</t>
        </is>
      </c>
    </row>
    <row r="36">
      <c r="A36" t="inlineStr">
        <is>
          <t>li-4322164473</t>
        </is>
      </c>
      <c r="B36" t="inlineStr">
        <is>
          <t>Analytics Engineer</t>
        </is>
      </c>
      <c r="C36" t="inlineStr">
        <is>
          <t>SBA Communications</t>
        </is>
      </c>
      <c r="D36" t="inlineStr">
        <is>
          <t>linkedin</t>
        </is>
      </c>
      <c r="E36" t="inlineStr"/>
      <c r="F36" t="inlineStr"/>
      <c r="G36" t="inlineStr">
        <is>
          <t>Montgomery County, PA</t>
        </is>
      </c>
      <c r="H36" t="inlineStr"/>
      <c r="I36" t="inlineStr">
        <is>
          <t>SBA Communications is a leading independent owner and operator of wireless communications infrastructure, including towers, buildings, rooftops, DAS and small cells. We offer a competitive benefits and compensation package and are looking for team members who will thrive in our dynamic environment.
 We welcome your interest in SBA. Let us know a little about you by checking all that apply:
* You are a self\-starter.
* You are resourceful and thrive in a fast\-paced environment.
* You have a strong work ethic.
* You are passionate and driven to achieve results.
* You are a team player who enjoys working in a collaborative environment.
* You continuously challenge yourself to find innovative ways to improve.
 You may be a perfect fit. At SBA, we operate with the highest sense of integrity and commitment to quality. We focus on achievement and operate with responsiveness, timeliness and accountability. Our culture of excellence incorporates working collegially, where every team member can contribute meaningfully and make a difference.
 If you are ready to make an impact, join our team!
**Your Next Career Opportunity – Analytics Engineer – Data Analytics Center of Excellence**
 The Analytics Engineer bridges the gap between data engineering and analytics by enriching available data sources, enabling new data products, building semantic models, and improving infrastructure to support scalable and governed analytics solutions. This role is critical in enabling self\-service analytics and ensuring data quality and accessibility across SBA. The ideal candidate excels at translating complex business logic into enriched, reusable data products that empower business users to explore and analyze data independently, driving consistency and insight across the organization. This role is part of a collaborative, mission\-driven team focused on elevating data maturity and enabling enterprise\-wide analytics excellence. It also plays a foundational role in preparing enterprise data assets for consumption by AI and machine learning solutions, ensuring data is structured, enriched, and optimized for intelligent applications.
**What You Will Do – Primary Responsibilities**
* Design, build, and maintain robust semantic models and curated datasets that translate business logic into reusable, governed data products for self\-service analytics and AI consumption.
* Develop and optimize data pipelines and dataflows to support scalable and performant analytics solutions across Microsoft Fabric, Power BI, Azure, and Databricks, with an emphasis on preparing clean, structured data for AI Agentic workflows.
* Collaborate with citizen developers and business stakeholders to understand analytical requirements and ensure semantic models and data products meet usability, accuracy, and compliance standards.
* Implement and manage row\-level security (RLS) within semantic models to ensure appropriate data access and compliance with organizational policies.
* Develop and execute testing and validation strategies to ensure the accuracy, reliability, and consistency of data transformations and analytics outputs.
* Apply engineering best practices such as modular design, version control, and code documentation to analytics workflows.
* Document business logic, data transformations, and model structures in technical documentation, data dictionaries, and metadata catalogs, ensuring data lineage and feature clarity to support generative AI and predictive modeling initiatives.
* Design and implement automated data workflows and orchestration strategies to streamline model deployment, ensure timely data availability, and support scalable analytics operations.
* Support coordination with contractors and internal teams to align on data architecture, modeling standards, and delivery timelines.
* Promote adoption of self\-service analytics tools by enabling business users and ensuring data products are intuitive, well\-documented, and aligned with user needs.
* Other duties as required
**What You’ll Need – Qualifications \&amp; Requirements**
* Bachelor’s or Master’s degree in Data Engineering, Computer Science, Information Systems, a related field, or equivalent experience.
+ Minimum of 3 years of experience in analytics engineering, data modeling, or business intelligence development.
* Advanced proficiency in SQL, DAX, and Power BI, with demonstrated experience building and optimizing semantic models and dataflows.
* Hands\-on experience with Microsoft Fabric and modern data architecture principles.
* Strong understanding of data governance, row\-level security (RLS), and metadata management.
* Familiarity with CI/CD pipelines, version control systems (e.g., Git), and data orchestration tools (e.g., Azure Data Factory, dbt, or similar).
* Proven ability to translate complex business logic into scalable, reusable data products.
* Excellent communication skills and ability to collaborate with both technical and non\-technical stakeholders.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Ability to stoop, bend, kneel or crouch.
* Ability to stand, walk and sit.
* Ability to reach with hands and arms.
* Visual ability correctable to 20/20\.
* Sitting up to 90% of the day.
* Ability to respond verbally in an understandable, professional manner in person and over the telephone.
* Manual dexterity to input data into the computer and the calculator and operate the equipment listed above.
* Ability to lift up to 15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Office/ Cubicle workspace.
* Moderate noise level.</t>
        </is>
      </c>
    </row>
    <row r="37">
      <c r="A37" t="inlineStr">
        <is>
          <t>li-4360063269</t>
        </is>
      </c>
      <c r="B37" t="inlineStr">
        <is>
          <t>Senior Data Engineer (SQL, Python, Snowflake)</t>
        </is>
      </c>
      <c r="C37" t="inlineStr">
        <is>
          <t>Tata Consultancy Services</t>
        </is>
      </c>
      <c r="D37" t="inlineStr">
        <is>
          <t>linkedin</t>
        </is>
      </c>
      <c r="E37" t="inlineStr"/>
      <c r="F37" t="inlineStr"/>
      <c r="G37" t="inlineStr">
        <is>
          <t>Cupertino, CA</t>
        </is>
      </c>
      <c r="H37" t="inlineStr"/>
      <c r="I37" t="inlineStr">
        <is>
          <t>**Job Description**
 Job Description
* 8\+ years of experience in Data Engineering with advanced SQL skills
* Good with Python programming and experience with Data pipeline creation
* Experience with SQL
* Good understanding of Snowflake Database
* Good communication skills
 Salary Range: $90,000 \- $145,000 per year
**Qualifications:** 
 BACHELOR OF TECHNOLOGY</t>
        </is>
      </c>
    </row>
    <row r="38">
      <c r="A38" t="inlineStr">
        <is>
          <t>li-4360783280</t>
        </is>
      </c>
      <c r="B38" t="inlineStr">
        <is>
          <t>Cloud Data Engineer</t>
        </is>
      </c>
      <c r="C38" t="inlineStr">
        <is>
          <t>Net2Source (N2S)</t>
        </is>
      </c>
      <c r="D38" t="inlineStr">
        <is>
          <t>linkedin</t>
        </is>
      </c>
      <c r="E38" t="inlineStr"/>
      <c r="F38" t="inlineStr"/>
      <c r="G38" t="inlineStr">
        <is>
          <t>Dallas, TX</t>
        </is>
      </c>
      <c r="H38" t="inlineStr"/>
      <c r="I38" t="inlineStr">
        <is>
          <t>**Title\- Data Platform Engineer: Cloud Ops \+ Data Ops experience** 
**Location: Dallas, TX (Remote\+ Travel is an option for Non\-local candidates)** 
**Hire Type: Full time** 
 As a
 **Data Platform Engineer** 
 , you will lead the design, development, and optimization of our large\-scale, cloud\-native data platform. You will architect and build robust ETL/ELT pipelines using PySpark and Databricks, leveraging Delta Lake, Unity Catalog, and Delta Live Tables. You will own DevOps automation through GitHub Actions and ensure fast, reliable deployments of Databricks assets. You will also manage the AWS infrastructure supporting the platform—focusing on secure, scalable, and high\-performing environments. This role requires deep expertise in distributed data processing, Databricks engineering, CI/CD automation, and cloud infrastructure.
**Key Areas of Ownership:** 
* Build and maintain high\-scale ETL/ELT pipelines across diverse data sources
* Implement and optimize Databricks workflows using PySpark, Python, DLT, and Unity Catalog
* Configure and manage AWS environments including VPCs, IAM, S3, and secure connectivity
* Establish CI/CD pipelines using GitHub Actions for automated deployment of Databricks notebooks, jobs, and pipelines
* Drive data quality via automated testing frameworks (unit, integration, performance)
* Optimize cluster performance and cost efficiency
* Lead best practices in Medallion Architecture, ACID data principles, and high\-performance SQL
* Create clear technical documentation, architecture diagrams, and design specifications
**What you’ll bring** 
**Required Qualifications** 
* **8\+ years** 
 of experience building scalable Data Engineering platforms and production\-grade pipelines
* **3\+ years of hands\-on Databricks development** 
 , including expertise in:
* Delta Lake (ACID, time travel, optimization)
* Unity Catalog (security, governance, metadata)
* Delta Live Tables (DLT)
* Workspaces, Repos, Jobs, and Databricks SQL
* **3\+ years of AWS experience** 
 , including:
* VPC, Subnets, Endpoints, Routing
* IAM roles, policies, cross\-account access
* S3\-based data lake implementation
* **Expert programming skills in Python** 
 (4\+ years)
* **Deep hands\-on experience with PySpark** 
 and advanced SQL
* **Proven CI/CD experience** 
 using GitHub Actions or similar tools
* Strong understanding of ETL/ELT, Data Lake, Data Warehouse, and distributed computing concepts
* Agile (Scrum) experience and Git proficiency
**Preferred Qualifications** 
* Experience with AWS data services such as Glue, Athena, Redshift, RDS, DynamoDB
* Knowledge of real\-time streaming (Kafka, Spark Structured Streaming)
* Experience building ML feature pipelines
* Background in performance tuning and capacity planning for large Spark clusters</t>
        </is>
      </c>
    </row>
    <row r="39">
      <c r="A39" t="inlineStr">
        <is>
          <t>li-4359186936</t>
        </is>
      </c>
      <c r="B39" t="inlineStr">
        <is>
          <t>Senior Azure Data Engineer</t>
        </is>
      </c>
      <c r="C39" t="inlineStr">
        <is>
          <t>Precision Technologies</t>
        </is>
      </c>
      <c r="D39" t="inlineStr">
        <is>
          <t>linkedin</t>
        </is>
      </c>
      <c r="E39" t="inlineStr"/>
      <c r="F39" t="inlineStr"/>
      <c r="G39" t="inlineStr">
        <is>
          <t>Texas, United States</t>
        </is>
      </c>
      <c r="H39" t="inlineStr"/>
      <c r="I39" t="inlineStr">
        <is>
          <t>**Senior Azure Data Engineer (12\+ Years Experience)** 
**Location:** 
 New Jersey / New York (Onsite \| Local or open to relocate preferred)
**Employment Type:** 
 Full\-Time (W2 Only)
**Work Authorization:** 
 H4 EAD, L2S, GC EAD, Green Card, US Citizen
**Job Description** 
 We are seeking a highly experienced
 **Senior Azure Data Engineer** 
 to design, build, and maintain scalable cloud\-based data platforms. The ideal candidate will have deep expertise in Azure data services, modern data architectures, and ETL/ELT pipelines supporting analytics, reporting, and AI/ML workloads in enterprise environments.
**Key Responsibilities** 
* Design and implement end\-to\-end
 **data pipelines** 
 using Azure\-native services.
* Develop and optimize ETL/ELT workflows using
 **Azure Data Factory (ADF)** 
 .
* Build and manage large\-scale data processing solutions using
 **Azure Databricks (PySpark / Spark SQL)** 
 .
* Design and maintain
 **Azure Data Lake Storage (ADLS Gen2\)** 
 and data warehouse solutions.
* Implement data models optimized for analytics and reporting.
* Collaborate with BI, analytics, and business teams to deliver data\-driven insights.
* Implement CI/CD pipelines for data workloads using
 **Azure DevOps** 
 .
* Ensure data quality, security, governance, and performance optimization.
* Monitor, troubleshoot, and support production data pipelines.
**Required Technical Skills** 
**Azure Data Platform:** 
* Azure Data Factory (ADF)
* Azure Databricks (PySpark, Spark SQL)
* Azure Synapse Analytics
* Azure Data Lake Storage (ADLS Gen2\)
**Programming \&amp; Databases:** 
* Python, PySpark, SQL
* Strong knowledge of
 **Data Warehousing concepts**
* Experience with
 **Snowflake** 
 or other cloud data warehouses
**DevOps \&amp; Tools:** 
* Azure DevOps (Repos, Pipelines)
* Git, CI/CD for data engineering workloads
* Performance tuning and monitoring
**Methodologies:** 
* Strong understanding of
 **ETL frameworks, data modeling, and Agile/Scrum practices**
**Preferred Qualifications** 
* Experience with
 **Microsoft Fabric** 
 and lakehouse architecture
* Streaming platforms such as
 **Kafka or Azure Event Hubs**
* Exposure to
 **AI/ML data pipelines**
* Strong communication and stakeholder management skills
* Domain experience in BFSI, Healthcare, Retail, or Telecom
**Note (Strictly Enforced)** 
 No C2C submissions, consultancy resumes, or marketing profiles.
 Any violation will result in immediate and permanent disqualification from all supported clients.
**How to Apply** 
 Qualified candidates are encouraged to share their latest resumes at:
 📧
 **manish.g@precisiontechcorp.com**</t>
        </is>
      </c>
    </row>
    <row r="40">
      <c r="A40" t="inlineStr">
        <is>
          <t>li-4359176444</t>
        </is>
      </c>
      <c r="B40" t="inlineStr">
        <is>
          <t>Data Engineer - Snowflake - ETL - Healthcare</t>
        </is>
      </c>
      <c r="C40" t="inlineStr">
        <is>
          <t>Jobs via Dice</t>
        </is>
      </c>
      <c r="D40" t="inlineStr">
        <is>
          <t>linkedin</t>
        </is>
      </c>
      <c r="E40" t="inlineStr"/>
      <c r="F40" t="inlineStr"/>
      <c r="G40" t="inlineStr"/>
      <c r="H40" t="inlineStr"/>
      <c r="I40" t="inlineStr">
        <is>
          <t>Dice is the leading career destination for tech experts at every stage of their careers. Our client, KE Staffing, is seeking the following. Apply via Dice today!
 warehouse development and possess skills in Snowflake, SQL, Python, an ETL tool, and DevOps.
**Healthcare Industry Experience Is Required.**
 Experience with ETL tool such as SSIS, Talend, DataFlow, ADF or airflow required
 Fluency in SQL, DBT , python and Snowflake scripting.
 using data processing frameworks (e.g., snowpipe, fivetran</t>
        </is>
      </c>
    </row>
    <row r="41">
      <c r="A41" t="inlineStr">
        <is>
          <t>li-4363850061</t>
        </is>
      </c>
      <c r="B41" t="inlineStr">
        <is>
          <t>Senior Data Engineer</t>
        </is>
      </c>
      <c r="C41" t="inlineStr">
        <is>
          <t>Cox Automotive Inc.</t>
        </is>
      </c>
      <c r="D41" t="inlineStr">
        <is>
          <t>linkedin</t>
        </is>
      </c>
      <c r="E41" t="inlineStr"/>
      <c r="F41" t="inlineStr"/>
      <c r="G41" t="inlineStr"/>
      <c r="H41" t="inlineStr"/>
      <c r="I41" t="inlineStr">
        <is>
          <t>The
 **Insights \&amp; Advisory** 
 team at
 **Cox Automotive** 
 is seeking a highly skilled and forward\-thinking
 **Senior Data Engineer** 
 to design, build, and optimize data architecture and pipelines that power strategic decision\-making across the enterprise. This role combines deep technical expertise with a strong focus on
 **data quality and integrity** 
 , ensuring that data is accessible, trusted, and actionable for internal teams and automotive OEM clients.
 You'll play a critical role in shaping the data infrastructure roadmap, enabling advanced analytics through AI, machine learning, and big data technologies, while embedding rigorous testing and validation practices into every stage of the data lifecycle.
**Key Responsibilities**
**Data Architecture \&amp; Engineering**
* Design and implement robust data architectures supporting structured and unstructured data from internal and external sources.
* Build and maintain scalable, secure data pipelines using cloud\-based and distributed technologies.
* Establish data structures and routing mechanisms based on business and technical requirements.
* Ensure alignment with enterprise architecture standards and business goals
**Data Quality \&amp; Automated Testing**
* Develop and execute automated test cases to validate ETL workflows, data pipelines, and reporting logic.
* Create regression test suites to ensure ongoing data integrity and system stability.
* Monitor and troubleshoot data anomalies, proactively identifying root causes and implementing fixes.
* Maintain high standards of data quality across all reporting and analytical outputs.
**Advanced Data Solutions**
* Develop tools and programming to cleanse, organize, and transform data using AI, ML, and big data techniques.
* Automate manual data processes, transforming them into repeatable, scalable capabilities.
* Collaborate on application development projects to evolve database architecture and design.
**Data Analysis \&amp; Reporting**
* Analyze current and historical performance data to identify trends, variances, and opportunities.
* Support dashboard and reporting development using tools like Tableau, Power BI, or Domo.
* Fulfill routine and ad\-hoc reporting requests using accepted metrics and methodologies.
**Collaboration \&amp; Stakeholder Engagement**
* Partner with data consumers, project managers, and business stakeholders to define logical and physical database designs for analytics models.
* Collaborate with internal and external data providers to validate data, provide feedback, and customize data feeds and mappings.
* Communicate findings and test results clearly to both technical and non\-technical audiences.
**Process Improvement \&amp; Innovation**
* Identify and implement improvements in internal data management and testing processes.
* Influence the data infrastructure roadmap through technical leadership and innovation.
* Contribute to the development of design standards and assurance processes for software, systems, and applications.
**Minimum Qualifications**
* Bachelor's degree in a related discipline and 4\+ years of experience in data engineering or architecture. The right candidate could also have a different combination, such as a master's degree and 2 years' experience; a Ph.D. and up to 1 year of experience; or 16 years' experience in a related field
* Proven experience designing and building data pipelines and architectures in cloud environments (e.g., AWS, Azure, Snowflake).
* Strong programming skills in Python, Scala, or Java, and proficiency in SQL.
* Experience with big data technologies (e.g., Spark, Kafka, Hadoop) and machine learning frameworks.
* Familiarity with ETL processes, data modeling, and data warehousing concepts.
* Experience with automated testing frameworks (e.g., PyTest, Selenium, dbt tests) and data validation techniques.
* Excellent problem\-solving skills and ability to communicate technical concepts to non\-technical stakeholders.
* Experience supporting cross\-functional teams including Finance, Sales, and Product Development is a plus.
**Preferred Skills**
* Experience with AI/ML frameworks (e.g., TensorFlow, PyTorch, Scikit\-learn) for data transformation and predictive modeling.
* Familiarity with data orchestration tools such as Apache Airflow, dbt, or Dagster.
* Hands\-on experience with cloud\-native data platforms (e.g., Snowflake, AWS Redshift, Azure Synapse).
* Knowledge of data governance and metadata management best practices.
* Experience integrating external data sources and APIs into enterprise data ecosystems.
* Strong understanding of CI/CD pipelines and DevOps practices for data engineering.
* Ability to work in Agile environments and contribute to sprint planning and backlog grooming.
* Exposure to real\-time data streaming technologies (e.g., Kafka, Kinesis) is a plus.
**Why Join Cox Automotive?**
 At Cox Automotive, data is at the heart of every decision. As a Sr Data Engineer, you'll be part of a collaborative team that values innovation, precision, and impact. This role offers the opportunity to shape the future of data infrastructure and empower business leaders with trusted, high\-quality data solutions.
 USD 101,500\.00 \- 169,100\.00 per year
**Compensation**
 Compensation includes a base salary of $101,500\.00 \- $169,100\.00\.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Application Deadline: 05/24/2026</t>
        </is>
      </c>
    </row>
    <row r="42">
      <c r="A42" t="inlineStr">
        <is>
          <t>li-4353585475</t>
        </is>
      </c>
      <c r="B42" t="inlineStr">
        <is>
          <t>Data Engineering Senior Manager</t>
        </is>
      </c>
      <c r="C42" t="inlineStr">
        <is>
          <t>FanDuel</t>
        </is>
      </c>
      <c r="D42" t="inlineStr">
        <is>
          <t>linkedin</t>
        </is>
      </c>
      <c r="E42" t="inlineStr"/>
      <c r="F42" t="inlineStr"/>
      <c r="G42" t="inlineStr">
        <is>
          <t>Atlanta, GA</t>
        </is>
      </c>
      <c r="H42" t="inlineStr"/>
      <c r="I42" t="inlineStr">
        <is>
          <t>**THE POSITION**
 Our roster has an opening with your name on it
 We are looking for a Data Engineer to join our growing data engineering team and help build the pipelines and infrastructure that power analytics, machine learning, and business decision\-making across the company. In this role, you’ll contribute to the design, development, and maintenance of reliable data systems while collaborating with multiple departments and stakeholders to support high\-impact data use cases.
 The ideal candidate is a strong technical contributor who enjoys working with data at scale, solving practical problems, and continuously learning in a fast\-paced environment.
 In addition to the specific responsibilities outlined above, employees may be required to perform other such duties as assigned by the Company. This ensures operational flexibility and allows the Company to meet evolving business needs.
 If you’re excited by this challenge and want to work within a dynamic company, then we’d love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Build \&amp; Maintain Data Pipelines
* Design, build, and maintain scalable batch and streaming data pipelines to support analytics and business operations.
* Write clean, efficient, and well\-documented code using tools like Python, SQL, and Spark.
* Ensure data is reliable, accurate, and delivered in a timely manner
 Collaborate Across Teams
* Work with data analysts, data scientists, and product managers to understand requirements and deliver actionable data solutions
* Translate business questions into engineering tasks and contribute to technical planning.
* Participate in code reviews, sprint planning, and retrospectives as part of an agile team.
 Data Quality \&amp; Operations
* Monitor data pipelines and troubleshoot issues in a timely, systematic manner
* Implement data quality checks and contribute to observability and testing practices
* Document data sources, transformations, and architecture decisions to support long\-term maintainability
**THE STATS**
 What we're looking for in our next teammate
* 3\+ years of experience in data engineering, analytics engineering, or software engineering with a focus on data.
* Strong SQL skills and familiarity with at least one programming language (e.g., Python, Java, or Scala).
* Hands\-on experience with modern data tools such as Databricks, Airflow, dbt, Spark, or Kafka.
* Understanding of data modeling concepts, data warehousing, and ETL/ELT best practices.
* Experience working with cloud\-based data platforms (AWS, GCP, or Azure).
**Preferred Qualifications**
* Experience supporting BI, analytics, or data science teams.
* Familiarity with version control, CI/CD, and collaborative development workflows.
* Exposure to data governance, privacy, or compliance practices.
* Eagerness to learn new technologies and contribute to the growth of the team.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43">
      <c r="A43" t="inlineStr">
        <is>
          <t>li-4323348099</t>
        </is>
      </c>
      <c r="B43" t="inlineStr">
        <is>
          <t>Senior Business Intelligence Analytics Engineer - Healthcare</t>
        </is>
      </c>
      <c r="C43" t="inlineStr">
        <is>
          <t>PRO-spectus</t>
        </is>
      </c>
      <c r="D43" t="inlineStr">
        <is>
          <t>linkedin</t>
        </is>
      </c>
      <c r="E43" t="inlineStr"/>
      <c r="F43" t="inlineStr"/>
      <c r="G43" t="inlineStr"/>
      <c r="H43" t="inlineStr"/>
      <c r="I43" t="inlineStr">
        <is>
          <t>The Senior BI \&amp; Analytics Engineer will be the bridge between our business teams and data engineering. This fully remote role blends Business Intelligence and Analytics Engineering, focusing on delivering actionable insights through Salesforce and Tableau dashboards. This role supports scalable data infrastructure in collaboration with our Solution Architect and contributes directly to improving patient outcomes and operational efficiency.
**Core Duties/Responsibilities**
* Lead strategic partnerships with business leaders to define reporting needs, success metrics, and data\-driven decision frameworks.
* Architect, implement, and optimize Salesforce reports and dashboards that drive visibility and accountability across teams.
* Design Tableau dashboards and visualizations for patient services, operations, finance, and executive teams.
* Develop and execute complex SQL queries to extract, transform, and analyze data within Snowflake, ensuring accuracy and performance.
* Translate data into actionable insights by producing clear, stakeholder\-ready reports that inform decision\-making and operational strategy.
* Establish data definitions, documentations, and promote self\-service analytics across PRO\-spectus.
* Configure, monitor, and optimize data delivery methods, including APIs and SFTP automated delivery, to ensure secure and reliable access to business\-critical data.
**Skills \&amp; Requirements**
* Demonstrated expertise with 5\+ years of hands\-on experience in Business Intelligence, Data Analytics, or Analytics Engineering, delivering scalable solutions.
* Proven mastery in Salesforce reporting and dashboard development, with a track record of enabling business visibility and performance tracking.
* Advanced proficiency in Tableau, including calculated fields, level\-of\-detail (LOD) expressions, parameters, and interactive dashboard design to support executive decision\-making.
* Strong command of SQL for data transformation and analysis, with practical experience in Snowflake or comparable cloud\-based data warehouse platforms.
* Working knowledge of dbt and ELT workflows, with experience in FiveTran or similar data integration tools.
* Experience configuring and supporting automated data delivery pipelines using APIs and/or SFTP, including troubleshooting connectivity and ensuring compliance with security protocols.
* Exceptional communication and stakeholder engagement skills, with the ability to translate complex data into clear, actionable insights for diverse audiences.
* Self\-directed and impact\-driven, with the ability to manage competing priorities, meet deadlines, and deliver high\-value outcomes in a fully remote, fast\-paced and growth\-oriented organization.
**Education, Certifications And Experience**
* Bachelor’s degree in computer science, Data Science, Information Systems, Business Analytics, or a related field required.
* Master’s degree preferred.
* Proven track record of delivering BI solutions and analytics in a cross\-functional business environment.
* Experience working with healthcare, patient services, or operational data is a plus.
* At least two of the following Certifications preferred: Tableau Desktop Specialist or Certified Associate, Salesforce Certified Administrator, dbt Fundamentals or Advanced Certification, Snowflake SnowPro Core or Advanced Certification.
**Physical Requirements**
* Ability to work remotely with reliable internet access.
* No significant physical demands: standard remote office setup required.
**Our PRO\-spectus Culture Philosophy**
 At PRO\-spectus we have created a culture that is supportive, dedicated, and teamwork driven. We celebrate each other’s joys in personal life and professional accomplishments, promoting meaningful relationships and friendships.
 Our employees bring strength of mind and spirit to make the extraordinary happen every day. With humility and compassion at our core, PRO\-spectus is proud of our relentless focus towards the higher purpose of improving the lives of patients we support.
 We recognize it takes a lot of people working together with a common goal to make spectacular happen, and we never forget that at the heart of our company are the people who make it work.
 PRO\-spectus is an Equal Opportunity / Affirmative Action employer. All qualified individuals will receive consideration for employment without regard to race, color, religion, sex, sexual orientation, gender identity, national origin, ancestry, age, disability, protected veteran status, marital status or other protected status under federal, state or local laws.
 At PRO\-spectus, we are deeply committed to pay transparency and equity. The hourly range for this position is
 **$105,000 – 115,000 based on experience and qualifications** 
 , with the final offer reflecting skills and other job\-related factors. Beyond competitive pay, we offer a comprehensive and generous benefits package designed to support your well\-being and work\-life balance.
 Our benefits include robust medical, dental, and vision plans; life insurance and disability coverage; and tax\-advantaged savings accounts. We also provide an Employee Assistance Program, home office benefits, and unique perks like an Employee Ownership Program. With paid time off, holidays, bereavement leave, and a 401(k)\-retirement plan with employer matching, PRO\-spectus prioritizes your financial and personal security. Plus, you may be eligible for a performance\-based bonus opportunity.
 Join PRO\-spectus, where your career growth, well\-being, and contributions truly matter!</t>
        </is>
      </c>
    </row>
    <row r="44">
      <c r="A44" t="inlineStr">
        <is>
          <t>li-4360013445</t>
        </is>
      </c>
      <c r="B44" t="inlineStr">
        <is>
          <t>Analytics Engineer</t>
        </is>
      </c>
      <c r="C44" t="inlineStr">
        <is>
          <t>RemoteHunter</t>
        </is>
      </c>
      <c r="D44" t="inlineStr">
        <is>
          <t>linkedin</t>
        </is>
      </c>
      <c r="E44" t="inlineStr"/>
      <c r="F44" t="inlineStr"/>
      <c r="G44" t="inlineStr"/>
      <c r="H44" t="inlineStr"/>
      <c r="I44"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5">
      <c r="A45" t="inlineStr">
        <is>
          <t>li-4363711711</t>
        </is>
      </c>
      <c r="B45" t="inlineStr">
        <is>
          <t>Sr Data Engineer</t>
        </is>
      </c>
      <c r="C45" t="inlineStr">
        <is>
          <t>Disney Experiences</t>
        </is>
      </c>
      <c r="D45" t="inlineStr">
        <is>
          <t>linkedin</t>
        </is>
      </c>
      <c r="E45" t="inlineStr"/>
      <c r="F45" t="inlineStr"/>
      <c r="G45" t="inlineStr">
        <is>
          <t>Orlando, FL</t>
        </is>
      </c>
      <c r="H45" t="inlineStr"/>
      <c r="I45" t="inlineStr">
        <is>
          <t>At Disney Experiences Technology, our team creates world\-class immersive digital experiences for the Company’s premier vacation brands including Disney’s Parks \&amp; Resorts worldwide, Disney Cruise Line, Aulani, A Disney Resort \&amp; Spa, and Disney Vacation Club. The Disney Experiences Technology team is responsible for the end\-to\-end digital and physical Guest experience for all technology \&amp; digital\-led initiatives across the Attractions \&amp; Entertainment, Food \&amp; Beverage, Resorts \&amp; Transportation, and Merchandise lines of business as well as other initiatives including the MyDisneyExperience app and Hey, Disney!
 You will be a part of a group of experienced engineers in the Data Products \&amp; Platforms team within the Technology \&amp; Digital organization for Disney Experiences (DX). As a Sr Data Engineer you will report into the Manager, Engineering who oversees Cast data initiatives.
 Do you love data? Are you a supportive contributor who can drive excellence in delivery? Come join us! We are looking for a Senior Data Engineer to develop and successfully deliver data products and solutions.
**Responsibilities:**
* Contribute to the design and growth of our Data Products and Data Warehouses around Content Performance and Content Engagement data.
* Design and develop scalable data warehousing solutions, build ELT pipelines in Big Data environments (cloud, on\-premise, hybrid)
* Use our tech stack including AWS, Snowflake, Data Build Tool (DBT) and Automic UC4/Airflow to transform, store, retrieve, and distribute Financial Management data.
* Help architect data solutions/frameworks and use dimensional modeling to define data assets in a medallion structure
* Collaborate with Data Product Managers, Data Architects and Data Engineers to design, implement, and deliver successful data solutions
* Maintain detailed documentation of your work and changes to support data quality and data governance
* Ensure high operational efficiency and quality of your solutions to meet SLAs and support a dedicated focus on our customers (Data Science, Data Analytics and Business teams)
* Be an active participant and advocate of agile/scrum practice to ensure health and process improvements for your team
**Qualifications**
* 5\+ years of data engineering experience, developing large data pipelines
* Strong SQL skills writing queries to extract data and build performant datasets
* Bachelor's degree in Computer Science, Information Systems, Software, Electrical or Electronics Engineering, or comparable field of study, and/or equivalent work experience.
* Hands\-on experience with AWS tool stack such as Lambda, Kinesis, DMS, AppFlow, EventBridge) to ingest process data
* Experience with at least one major MPP or cloud database technology (Snowflake, Redshift, Big Query)
* Expert level experience with SQL/T\-SQL and ability to create and tune queries
* Agile and Scrum experience
* Strong attention to detail with excellent analytical, problem\-solving, and communication skills
* Solid experience with data integration toolsets (Airflow) and writing and maintaining Data Pipelines
* Familiarity with Data Modeling techniques and Data Warehousing standard methodologies and practices
**Preferred Education:**
* Master’s degree in Computer Science, Information Systems, Software, Electrical or Electronics Engineering, or comparable field of study, and/or equivalent work experience.
 The hiring range for this position in Florida is $135,200\.00\-$181,200\.00 and in California is $141,900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46">
      <c r="A46" t="inlineStr">
        <is>
          <t>li-4360091026</t>
        </is>
      </c>
      <c r="B46" t="inlineStr">
        <is>
          <t>Data Platform Engineer</t>
        </is>
      </c>
      <c r="C46" t="inlineStr">
        <is>
          <t>Tata Consultancy Services</t>
        </is>
      </c>
      <c r="D46" t="inlineStr">
        <is>
          <t>linkedin</t>
        </is>
      </c>
      <c r="E46" t="inlineStr"/>
      <c r="F46" t="inlineStr"/>
      <c r="G46" t="inlineStr">
        <is>
          <t>Parsippany, NJ</t>
        </is>
      </c>
      <c r="H46" t="inlineStr"/>
      <c r="I46" t="inlineStr">
        <is>
          <t>**Job Description**
**Must Have Technical/Functional Skills**
* 10\+ years of Total IT experience, including 5\+ years of experience in data platform engineering
* Strong hands\-on experience with AWS services such as RDS, Redshift, DMS, and Lambda
* Proficiency with Infrastructure\-as\-Code tools including Terraform and AWS CloudFormation
* Experience with IBM CDC replication \&amp; proficiency with Kafka
* Strong experience in Couchbase cluster management
* Capable of performing version upgrades, security patching, and performance tuning.
* Experience building and maintaining Jenkins\-based CI/CD pipelines
* Experience in integrating applications with third party encryption tools like voltage
* AWS IAM services experience.
* DBA experience with SQL/NoSQL databases
* Operating Systems: 2\+ years of experience in Linux/Unix environment
* Experience with scripting languages: Python/Shell
* Good communication skills, client\-facing role
**Roles \&amp; Responsibilities**
* Design, deploy, and manage scalable data platforms in AWS, including RDS, Redshift, DMS, and
* Lambda\-based data solutions
* Administer and optimize Couchbase clusters, including version upgrades, patching, performance tuning,
* and high\-availability configurations.
* Support and enhance OCI cloud data services as part of a broader multi\-cloud strategy
* Manage database services including RDS, Redshift, and associated data migration/replication pipelines
* Maintain CI/CD pipelines leveraging Jenkins for data platform deployments
* Implement and maintain Infrastructure\-as\-Code solutions using Terraform and AWS CloudFormation
* Develop and maintain robust data replication pipelines using IBM CDC and Kafka.
* Troubleshoot networking and distributed system issues impacting data services
 Salary Range\-$120,000\-$180,000 a year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t>
        </is>
      </c>
    </row>
    <row r="47">
      <c r="A47" t="inlineStr">
        <is>
          <t>li-4359196069</t>
        </is>
      </c>
      <c r="B47" t="inlineStr">
        <is>
          <t>Data Engineer II</t>
        </is>
      </c>
      <c r="C47" t="inlineStr">
        <is>
          <t>Glidewell Dental</t>
        </is>
      </c>
      <c r="D47" t="inlineStr">
        <is>
          <t>linkedin</t>
        </is>
      </c>
      <c r="E47" t="inlineStr"/>
      <c r="F47" t="inlineStr"/>
      <c r="G47" t="inlineStr">
        <is>
          <t>Irvine, CA</t>
        </is>
      </c>
      <c r="H47" t="inlineStr"/>
      <c r="I47" t="inlineStr">
        <is>
          <t>**Essential Functions
 :** 
* Creates and debugs ETL/ELT packages using SQL Server Integration Services (SSIS), Pentaho, or other open\-source programs.
* Creates, debugs, and optimizes stored procedures, views, and functions.
* Collaborates with Data Architect and other stakeholders to understand requirements, relation between various data sets, and frequency of updates.
* Defines metrics and calculations along with the corresponding updates to the semantic layer.
* Collaborates with the business community to identify, analyze and document data engineer’s needs.
* Collaborates with internal team members in the design and development of reports and dashboards for various business units.
* Assists in the definition of business intelligence (BI) strategy within the IT Department.
* Maintains documentation for data engineer processes and procedures.
* Collaborates with team to create proof of concept (POC) using Amazon Web Services (AWS).
* Performs other related duties and projects as business needs require at direction of management.
**Education and Experience**
* :Bachelor’s Degree in Computer Technology required
* .Minimum five (5\) years of relevant work experience in the areas below, or any equivalent education and/or experience from which comparable knowledge, skills and abilities have been demonstrated/achieved
* :Experience in TSQ
* LExperience in Business Objectives, Data Transformation Services (DTS) /SQL Server Integration Services (SSIS) and 3rd party ETL/ELT tools
* .Experience in an open source language such as Python, Java, PHP, or Ruby
* .Minimum one (1\) year of relevant cloud base technology experience such as Amazon Web Services (AWS)
 .
 Pay Range: $104,000\.00 \- 130,000\.00/
 yr</t>
        </is>
      </c>
    </row>
    <row r="48">
      <c r="A48" t="inlineStr">
        <is>
          <t>li-4297314452</t>
        </is>
      </c>
      <c r="B48" t="inlineStr">
        <is>
          <t>Senior Data Engineer</t>
        </is>
      </c>
      <c r="C48" t="inlineStr">
        <is>
          <t>Knowesis Inc.</t>
        </is>
      </c>
      <c r="D48" t="inlineStr">
        <is>
          <t>linkedin</t>
        </is>
      </c>
      <c r="E48" t="inlineStr"/>
      <c r="F48" t="inlineStr"/>
      <c r="G48" t="inlineStr">
        <is>
          <t>Alexandria, VA</t>
        </is>
      </c>
      <c r="H48" t="inlineStr"/>
      <c r="I48" t="inlineStr">
        <is>
          <t>**Position** 
 : Senior Data Engineer
**Location:** 
 Alexandria, VA
**Work Environment:** 
 Hybrid
**Clearance Required:** 
 Secret
**Status:** 
 Contingent Upon Contract Award
 Knowesis, Inc. is seeking a highly skilled and forward\-thinking Senior Data Engineer to support the Department of Defense (DoD), Office of Inspector General (OIG), Office of the Chief Information Officer (OCIO). This key technical role will lead the design, development, and optimization of data pipelines, architectures, and analytics platforms that enable secure, scalable, and mission\-aligned data operations across the enterprise. The Senior Data Engineer will collaborate closely with program leadership, cybersecurity teams, and business analysts to ensure data integrity, accessibility, and performance. This role demands a deep understanding of modern data engineering practices, cloud\-native technologies, and federal data governance standards.
 The DoD OIG mission is to detect and deter fraud, waste, and abuse in DoD programs and operations; promote the economy, efficiency, and effectiveness of the DoD; and help ensure ethical conduct throughout the DoD. The DoD OIG keeps the Secretary of Defense and the Congress informed of fraud, waste, abuse, and program deficiencies identified through its oversight work. The DoD OIG’s administrative and criminal investigators, auditors, evaluators, and support staff operate globally, conducting investigations, audits, evaluations, and mission support activities to accomplish the DoD OIG’s mission. The DoD OIG, OCIO is responsible for installing, maintaining, operating, and supporting all DoD OIG Information Technology (IT) systems and communication capabilities for approximately 2000 end users and over 60 locations around the globe. Due to the independence of the DoD OIG, the OCIO provides the full spectrum of IT services necessary to support the OIG mission including database support, storage management, transition management, application services, mobile device management, IT asset management, domain services, network transport, and service desk.
 To be eligible for this position, candidates must possess U.S. Citizenship without the need for sponsorship, both now and in the future. Applicants without proof of U.S. Citizenship will not be considered due to the position’s security clearance requirements.
**The Job Duties and Responsibilities include but are not limited to the following:**
* Design, build, and maintain robust data pipelines and ETL/ELT processes to support enterprise reporting, analytics, and operational systems.
* Develop and optimize data architectures that ensure scalability, performance, and security across structured and unstructured datasets.
* Implement data integration solutions that align with DoD OIG OCIO’s modernization goals and support cross\-functional interoperability.
* Collaborate with stakeholders to translate business requirements into technical specifications and data models.
* Ensure compliance with federal data governance, privacy, and security standards, including FISMA, NIST, and DoD directives.
* Support the development of dashboards, reports, and visualizations by enabling clean, well\-structured data delivery to downstream systems.
* Conduct data profiling, cleansing, and validation to maintain high data quality and reliability.
* Provide technical leadership and mentorship to junior data engineers and analysts.
* Document data flows, architecture diagrams, and operational procedures to support transparency and continuity.
* Participate in Agile ceremonies and contribute to sprint planning, backlog grooming, and iterative delivery cycles.
* Identify opportunities for automation, performance tuning, and cost optimization across data platforms.
**Required Qualifications:**
* Bachelor’s degree from an accredited University or College in Computer Science, Data Science, Information Systems.
* Minimum 8 years’ experience in strategic and operations planning and/or business analysis
* Minimum 8 years’ experience in at least three disciplines, such as business, information, solution or technical architecture, application development, middleware, information analysis, database management or operations in a multitier environment
* Proficiency in SQL, Python, and/or Scala for data manipulation and pipeline development.
* Experience with cloud platforms (e.g., AWS, Azure, GCP) and associated data services (e.g., Redshift, Snowflake, Databricks, BigQuery).
* Strong understanding of data warehousing concepts, dimensional modeling, and real\-time data streaming.
* Familiarity with Agile development methodologies and DevOps practices.
* Experience supporting federal or DoD programs, with knowledge of applicable data security and compliance frameworks.
* Ability to communicate complex technical concepts clearly to non\-technical stakeholders..
**Preferred Qualifications:**
* Experience with tools such as Apache Spark, Kafka, Airflow, or similar orchestration frameworks.
* Knowledge of CMMI, ITIL, and Agile delivery models in federal environments.
* Familiarity with data visualization platforms (e.g., Power BI, Tableau) and business intelligence workflows.
* Prior experience supporting system modernization or digital transformation initiatives.
* Certifications in cloud architecture, data engineering, or Agile methodologies.
* Experience supporting federal or DoD programs.
* Master’s degree in Computer Science, Data Science, Information Systems.
**Benefits:**
* Health (PPO \&amp; HDHP) Paid Time Off
* Company Paid STD \&amp; LTD, and Basic Life Insurance
* 401k Company Match
* Paid Time Off
* Multiple Voluntary Products
*Knowesis is committed to providing equal employment opportunities to all individuals based on merit and qualifications. We prohibit discrimination in all aspects of employment as required by Title VII of the Civil Rights Act and other applicable federal laws. Our company values all applicants and employees and fosters a work environment where everyone is treated with respect and dignity.*</t>
        </is>
      </c>
    </row>
    <row r="49">
      <c r="A49" t="inlineStr">
        <is>
          <t>li-4305800161</t>
        </is>
      </c>
      <c r="B49" t="inlineStr">
        <is>
          <t>Senior Data Engineer - Snowflake SME</t>
        </is>
      </c>
      <c r="C49" t="inlineStr">
        <is>
          <t>EY</t>
        </is>
      </c>
      <c r="D49" t="inlineStr">
        <is>
          <t>linkedin</t>
        </is>
      </c>
      <c r="E49" t="inlineStr"/>
      <c r="F49" t="inlineStr"/>
      <c r="G49" t="inlineStr">
        <is>
          <t>Jacksonville, FL</t>
        </is>
      </c>
      <c r="H49" t="inlineStr"/>
      <c r="I49" t="inlineStr">
        <is>
          <t>At EY, we’re all in to shape your future with confidence.
 We’ll help you succeed in a globally connected powerhouse of diverse teams and take your career wherever you want it to go. Join EY and help to build a better working world.
**The opportunity**
 As a Snowflake Subject Matter Expert (SME) you will be responsible for architecting, developing, and optimizing data warehouse and lakehouse solutions using the Snowflake platform and integrating into SAP BDC.
 Your expertise will be crucial in enabling the SAP BDC team to build a modern, scalable data platform that integrates SAP data with cloud\-native services from Microsoft, Nvidia, Databricks, AWS, and Google.
 You will collaborate closely with data architects, engineers, and business teams to ensure data ingestion, storage, and access solutions on Snowflake meet performance, security, and compliance requirements supporting enterprise SAP data migration and analytics.
**Your Key Responsibilities**
* Design and implement Snowflake data warehouse and lakehouse architectures aligned with SAP data migration strategies.
* Develop and optimize Snowflake SQL queries, stored procedures, and data transformation logic to support SAP workloads.
* Manage Snowflake account configurations, resource monitors, virtual warehouses, and access controls.
* Integrate Snowflake into SAP BDC, SAP Databricks and Databricks
* Integrate Snowflake with SAP data sources and other data platform components, including Databricks, Azure Data Factory, and cloud storage.
* Implement best practices for data partitioning, clustering, and caching to optimize performance and cost\-efficiency.
* Participate in data ingestion automation, metadata management, and monitoring within Snowflake environments.
* Collaborate with security teams to enforce data governance, encryption, and compliance policies in Snowflake.
* Support CI/CD and automation of Snowflake deployment and pipeline orchestration.
* Provide knowledge transfer and technical guidance to team members and clients.
* Stay updated on Snowflake innovations and new features relevant to SAP data platforms.
**Skills And Attributes For Success**
* Deep expertise in Snowflake data warehouse platform, including performance tuning and cost optimization.
* Strong SQL skills and experience with Snowflake\-specific features such as Time Travel, Zero Copy Cloning, Streams, and Tasks.
* Experience with integration into SAP BTP, BDC and Hana DB
* Familiarity with SAP data types, structures, and migration tools for seamless integration with Snowflake.
* Experience with cloud ecosystems (Azure, AWS, GCP) and data orchestration tools (ADF, Airflow).
* Understanding of data security, role\-based access control (RBAC), and compliance in Snowflake.
* Knowledge of data modeling principles for enterprise data warehouses.
* Excellent communication and collaboration skills to work with global SAP and data teams.
**Other Requirements:**
* Experience working on SAP migration or BDC data projects is preferred.
* Agile and DevOps experience with automation and pipeline deployment.
* Certifications like SnowPro Core Certification or relevant cloud certifications are desirable.
* Willingness to work in distributed teams and coordinate across time zones.
**Job Requirements:**
**Education:**
 BS/MS in Computer Science, Data Engineering, Information Systems, or a related field.
**Experience:**
 9\+ years in data warehousing and cloud data platforms with 5\+ years of hands\-on Snowflake experience.
**What We Offer You**
 The compensation ranges below are provided in order to comply with United States pay transparency laws. Other geographies will follow their local salary guidelines, which may not be a direct conversion of published US salary ranges.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$87,200 to $163,000\. The base salary range for New York City Metro Area, Washington State and California (excluding Sacramento) is $104,600 to $185,300 .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0">
      <c r="A50" t="inlineStr">
        <is>
          <t>li-4335680985</t>
        </is>
      </c>
      <c r="B50" t="inlineStr">
        <is>
          <t>AI/Machine Learning Data Engineer</t>
        </is>
      </c>
      <c r="C50" t="inlineStr">
        <is>
          <t>Acosta Group</t>
        </is>
      </c>
      <c r="D50" t="inlineStr">
        <is>
          <t>linkedin</t>
        </is>
      </c>
      <c r="E50" t="inlineStr"/>
      <c r="F50" t="inlineStr"/>
      <c r="G50" t="inlineStr">
        <is>
          <t>Lewisville, TX</t>
        </is>
      </c>
      <c r="H50" t="inlineStr"/>
      <c r="I50" t="inlineStr">
        <is>
          <t>**Description**
 Acosta Group is seeking a highly skilled and adaptable AI/ML Data Engineer to design, develop, deploy, and support AI\-powered solutions that enhance Acosta’s internal operations and decision\-making capabilities. This role combines deep technical expertise with a strong focus on scalability, reliability, and integration across enterprise platforms such as Azure AI, Power Platform, and Copilot Studio.
 The ideal candidate will have hands\-on experience with cloud platforms (preferably Azure), agentic frameworks (e.g., LangChain), Large Language Models (LLMs), and generative AI techniques including fine\-tuning and Retrieval\-Augmented Generation (RAG). Proficiency in Python and SQL is essential, along with a solid understanding of vector databases, semantic search, and dimensional data modeling. Experience with Databricks, serverless deployments (e.g., Azure Functions), containerization (Docker/Kubernetes), and CI/CD pipelines using Azure DevOps is highly valued.
 Beyond technical implementation, the AI Engineer will provide second\- and third\-level support, mentor business users and citizen developers, and collaborate with cross\-functional teams to embed AI into business\-critical workflows. The role also supports Acosta’s broader AI initiatives by enabling infrastructure readiness, contributing to the AI Center of Excellence, and integrating intelligent automation tools across the enterprise.
 This is a
 **hybrid role** 
 based in our office environment in either
 **Jacksonville, FL, Lewisville, TX** 
 or
 **Mississauga/Toronto, ON** 
 . Candidates will be expected to work as much as 3 days per week onsite depending on proximity to corporate hubs.
**Responsibilities**
 Essential Functions of this Position
* Design, develop, and deploy AI/ML models and intelligent automation solutions that support internal business operations and strategic initiatives
* API Development \&amp; Integration: Ability to build and integrate REST/GraphQL APIs to serve AI/ML models.
* Vectorization \&amp; Embeddings: Expertise in vector databases and semantic search.
* Collaborate with cross\-functional teams to identify, scope, and implement AI use cases using tools such as Azure AI, Power Platform AI Builder, and Copilot Studio
* Integrate AI capabilities into enterprise applications and workflows, including Power Apps, Power Automate, and Microsoft 365
* Monitor and maintain AI solutions in production, ensuring performance, reliability, and responsible AI practices
* Provide second\- and third\-level support for AI\-related incidents, enhancements, and deployments
* Partner with infrastructure and security teams to ensure readiness and compliance for AI workloads
* Contributes to the development of reusable AI components, templates, and frameworks to accelerate adoption
* Mentor and support business users and citizen developers in building and scaling AI\-powered solutions
* Participate in the evaluation of new AI tools, platforms, and methodologies to support innovation and continuous improvement
* Document solution architectures, workflows, and best practices to support knowledge sharing and operational continuity
* Support the AI Center of Excellence by contributing to governance, enablement, and enterprise\-wide AI strategy
* Maintain and enforce change control processes.
* Assist in developing and maintaining operational standards and best practices.
* Leverage AI and automation tools for proactive monitoring, anomaly detection, and incident response.
* Collaborate with AI Solutions Engineers and the AI Center of Excellence to support infrastructure for AI workloads and pilot initiatives.
* Ensure infrastructure readiness for hybrid cloud and AI platforms (e.g., Azure ML, VMware Private AI, NVIDIA AI Enterprise).
* Perform other duties as required and/or assigned.
**Qualifications**
 Applicants must be
 **legally authorized to work in the United States and/or Canada** 
 without the current or future need for
 **employer\-sponsored work authorization** 
 .
**Minimum Education And Work Experience**
* Bachelor’s Degree in Technology Industry is preferred or equivalent work experience
* High School Diploma/ GED is required
* Two (2\) or more years of professional experience in Machine Learning, Data Science, or Software Engineering.
* Microsoft Exam AI\-102: Designing and Implementing an Azure AI Solutions (preferred).
**Knowledge, Skills, And Abilities Requirements**
* Programming: Proficiency in Python (must) and SQL for data manipulation, querying, and automation.
* Data Warehousing: Solid understanding of data warehouse concepts, including dimensional modeling (fact and dimension tables).
* Agentic Frameworks: Knowledge of AI agent frameworks and orchestration (e.g., LangChain).
* LLMs \&amp; Generative AI: Strong understanding of Large Language Models, fine\-tuning, and RAG pipelines.
* Knowledge of machine learning fundamentals, including supervised and unsupervised learning, NLP, and generative AI
* Familiarity with MLOps practices and tools for model lifecycle management and monitoring
* Understanding of responsible AI principles, including fairness, transparency, and data privacy
* Ability to rapidly learn and apply new AI tools and frameworks in a fast\-evolving technology landscape
* Experience with cloud\-based development environments, particularly Microsoft Azure
* Ability to support AI solutions in production, including troubleshooting, performance tuning, and incident response
* Excellent communication skills (both written and oral) combined with strong interpersonal skills.
* Strong analytical skills and thought processes combined with the ability to be flexible and work analytically in a problem\-solving environment.
 Physical Requirements
* Seeing
* Listening
 The incumbent(s) in this position should exhibit the following Acosta values:
* People Minded – Must show dignity and respect to all people
* Integrity – Must exemplify the highest degree of ethical behavior
* Results Oriented – Must show passion, pride and commitment to succeed
* Trust – Must be honest, sincere and confident
* Teamwork – Must build trusting relationships
* Innovation – Must progress through a combination of creativity, common sense and vision
* Balance – Must maintain an optimistic attitude and keep perspective on what is important in life.
**About Us**
 Acosta Group is a collective uniting the most trusted retail, marketing, and foodservice agencies—Acosta, ActionLink, CORE Foodservice, CROSSMARK, Mosaic, Premium Retail Services, and Product Connections. Together, we connect consumers with the brands they love through omnichannel selling, merchandising, brand advocacy, and integrated marketing.
 We recognize our associates are the foundation of our success. That’s why we prioritize your growth, development, and well\-being to help you reach your full potential. With programs designed to support a fulfilling work\-life balance, we offer opportunities that fit your lifestyle and ambitions—whether you’re looking for part\-time flexibility or full\-time career advancement.
 Ready for a career path that’s as unique as you? Discover your path at Acosta Group!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
 Acosta, and its subsidiaries, is an Equal Opportunity Employer
**Job Category:** 
 Administration
**Position Type:** 
 Full time
**Business Unit:** 
 Corporate
**Salary Range:** 
 $85,800\.00 \- $110,000\.00
**Company:** 
 Acosta Services, Inc
**Req ID:** 
 16263
**Employer Description:** 
 ACOSTA\\
 *GRP\\* 
 EMP\\\_DESC</t>
        </is>
      </c>
    </row>
    <row r="51">
      <c r="A51" t="inlineStr">
        <is>
          <t>li-4335601209</t>
        </is>
      </c>
      <c r="B51" t="inlineStr">
        <is>
          <t>AI/Machine Learning Data Engineer</t>
        </is>
      </c>
      <c r="C51" t="inlineStr">
        <is>
          <t>Acosta Group</t>
        </is>
      </c>
      <c r="D51" t="inlineStr">
        <is>
          <t>linkedin</t>
        </is>
      </c>
      <c r="E51" t="inlineStr"/>
      <c r="F51" t="inlineStr"/>
      <c r="G51" t="inlineStr">
        <is>
          <t>Jacksonville, FL</t>
        </is>
      </c>
      <c r="H51" t="inlineStr"/>
      <c r="I51" t="inlineStr">
        <is>
          <t>**Description**
 Acosta Group is seeking a highly skilled and adaptable AI/ML Data Engineer to design, develop, deploy, and support AI\-powered solutions that enhance Acosta’s internal operations and decision\-making capabilities. This role combines deep technical expertise with a strong focus on scalability, reliability, and integration across enterprise platforms such as Azure AI, Power Platform, and Copilot Studio.
 The ideal candidate will have hands\-on experience with cloud platforms (preferably Azure), agentic frameworks (e.g., LangChain), Large Language Models (LLMs), and generative AI techniques including fine\-tuning and Retrieval\-Augmented Generation (RAG). Proficiency in Python and SQL is essential, along with a solid understanding of vector databases, semantic search, and dimensional data modeling. Experience with Databricks, serverless deployments (e.g., Azure Functions), containerization (Docker/Kubernetes), and CI/CD pipelines using Azure DevOps is highly valued.
 Beyond technical implementation, the AI Engineer will provide second\- and third\-level support, mentor business users and citizen developers, and collaborate with cross\-functional teams to embed AI into business\-critical workflows. The role also supports Acosta’s broader AI initiatives by enabling infrastructure readiness, contributing to the AI Center of Excellence, and integrating intelligent automation tools across the enterprise.
 This is a
 **hybrid role** 
 based in our office environment in either
 **Jacksonville, FL, Lewisville, TX** 
 or
 **Mississauga/Toronto, ON** 
 . Candidates will be expected to work as much as 3 days per week onsite depending on proximity to corporate hubs.
**Responsibilities**
 Essential Functions of this Position
* Design, develop, and deploy AI/ML models and intelligent automation solutions that support internal business operations and strategic initiatives
* API Development \&amp; Integration: Ability to build and integrate REST/GraphQL APIs to serve AI/ML models.
* Vectorization \&amp; Embeddings: Expertise in vector databases and semantic search.
* Collaborate with cross\-functional teams to identify, scope, and implement AI use cases using tools such as Azure AI, Power Platform AI Builder, and Copilot Studio
* Integrate AI capabilities into enterprise applications and workflows, including Power Apps, Power Automate, and Microsoft 365
* Monitor and maintain AI solutions in production, ensuring performance, reliability, and responsible AI practices
* Provide second\- and third\-level support for AI\-related incidents, enhancements, and deployments
* Partner with infrastructure and security teams to ensure readiness and compliance for AI workloads
* Contributes to the development of reusable AI components, templates, and frameworks to accelerate adoption
* Mentor and support business users and citizen developers in building and scaling AI\-powered solutions
* Participate in the evaluation of new AI tools, platforms, and methodologies to support innovation and continuous improvement
* Document solution architectures, workflows, and best practices to support knowledge sharing and operational continuity
* Support the AI Center of Excellence by contributing to governance, enablement, and enterprise\-wide AI strategy
* Maintain and enforce change control processes.
* Assist in developing and maintaining operational standards and best practices.
* Leverage AI and automation tools for proactive monitoring, anomaly detection, and incident response.
* Collaborate with AI Solutions Engineers and the AI Center of Excellence to support infrastructure for AI workloads and pilot initiatives.
* Ensure infrastructure readiness for hybrid cloud and AI platforms (e.g., Azure ML, VMware Private AI, NVIDIA AI Enterprise).
* Perform other duties as required and/or assigned.
**Qualifications**
 Applicants must be
 **legally authorized to work in the United States and/or Canada** 
 without the current or future need for
 **employer\-sponsored work authorization** 
 .
**Minimum Education And Work Experience**
* Bachelor’s Degree in Technology Industry is preferred or equivalent work experience
* High School Diploma/ GED is required
* Two (2\) or more years of professional experience in Machine Learning, Data Science, or Software Engineering.
* Microsoft Exam AI\-102: Designing and Implementing an Azure AI Solutions (preferred).
**Knowledge, Skills, And Abilities Requirements**
* Programming: Proficiency in Python (must) and SQL for data manipulation, querying, and automation.
* Data Warehousing: Solid understanding of data warehouse concepts, including dimensional modeling (fact and dimension tables).
* Agentic Frameworks: Knowledge of AI agent frameworks and orchestration (e.g., LangChain).
* LLMs \&amp; Generative AI: Strong understanding of Large Language Models, fine\-tuning, and RAG pipelines.
* Knowledge of machine learning fundamentals, including supervised and unsupervised learning, NLP, and generative AI
* Familiarity with MLOps practices and tools for model lifecycle management and monitoring
* Understanding of responsible AI principles, including fairness, transparency, and data privacy
* Ability to rapidly learn and apply new AI tools and frameworks in a fast\-evolving technology landscape
* Experience with cloud\-based development environments, particularly Microsoft Azure
* Ability to support AI solutions in production, including troubleshooting, performance tuning, and incident response
* Excellent communication skills (both written and oral) combined with strong interpersonal skills.
* Strong analytical skills and thought processes combined with the ability to be flexible and work analytically in a problem\-solving environment.
 Physical Requirements
* Seeing
* Listening
 The incumbent(s) in this position should exhibit the following Acosta values:
* People Minded – Must show dignity and respect to all people
* Integrity – Must exemplify the highest degree of ethical behavior
* Results Oriented – Must show passion, pride and commitment to succeed
* Trust – Must be honest, sincere and confident
* Teamwork – Must build trusting relationships
* Innovation – Must progress through a combination of creativity, common sense and vision
* Balance – Must maintain an optimistic attitude and keep perspective on what is important in life.
**About Us**
 Acosta Group is a collective uniting the most trusted retail, marketing, and foodservice agencies—Acosta, ActionLink, CORE Foodservice, CROSSMARK, Mosaic, Premium Retail Services, and Product Connections. Together, we connect consumers with the brands they love through omnichannel selling, merchandising, brand advocacy, and integrated marketing.
 We recognize our associates are the foundation of our success. That’s why we prioritize your growth, development, and well\-being to help you reach your full potential. With programs designed to support a fulfilling work\-life balance, we offer opportunities that fit your lifestyle and ambitions—whether you’re looking for part\-time flexibility or full\-time career advancement.
 Ready for a career path that’s as unique as you? Discover your path at Acosta Group!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
 Acosta, and its subsidiaries, is an Equal Opportunity Employer
**Job Category:** 
 Administration
**Position Type:** 
 Full time
**Business Unit:** 
 Corporate
**Salary Range:** 
 $85,800\.00 \- $110,000\.00
**Company:** 
 Acosta Services, Inc
**Req ID:** 
 16263
**Employer Description:** 
 ACOSTA\\
 *GRP\\* 
 EMP\\\_DESC</t>
        </is>
      </c>
    </row>
    <row r="52">
      <c r="A52" t="inlineStr">
        <is>
          <t>li-4335780850</t>
        </is>
      </c>
      <c r="B52" t="inlineStr">
        <is>
          <t>AI/Machine Learning Data Engineer</t>
        </is>
      </c>
      <c r="C52" t="inlineStr">
        <is>
          <t>Acosta Group</t>
        </is>
      </c>
      <c r="D52" t="inlineStr">
        <is>
          <t>linkedin</t>
        </is>
      </c>
      <c r="E52" t="inlineStr"/>
      <c r="F52" t="inlineStr"/>
      <c r="G52" t="inlineStr">
        <is>
          <t>Rogers, AR</t>
        </is>
      </c>
      <c r="H52" t="inlineStr"/>
      <c r="I52" t="inlineStr">
        <is>
          <t>**Description**
 Acosta Group is seeking a highly skilled and adaptable AI/ML Data Engineer to design, develop, deploy, and support AI\-powered solutions that enhance Acosta’s internal operations and decision\-making capabilities. This role combines deep technical expertise with a strong focus on scalability, reliability, and integration across enterprise platforms such as Azure AI, Power Platform, and Copilot Studio.
 The ideal candidate will have hands\-on experience with cloud platforms (preferably Azure), agentic frameworks (e.g., LangChain), Large Language Models (LLMs), and generative AI techniques including fine\-tuning and Retrieval\-Augmented Generation (RAG). Proficiency in Python and SQL is essential, along with a solid understanding of vector databases, semantic search, and dimensional data modeling. Experience with Databricks, serverless deployments (e.g., Azure Functions), containerization (Docker/Kubernetes), and CI/CD pipelines using Azure DevOps is highly valued.
 Beyond technical implementation, the AI Engineer will provide second\- and third\-level support, mentor business users and citizen developers, and collaborate with cross\-functional teams to embed AI into business\-critical workflows. The role also supports Acosta’s broader AI initiatives by enabling infrastructure readiness, contributing to the AI Center of Excellence, and integrating intelligent automation tools across the enterprise.
 This is a
 **hybrid role** 
 based in our office environment in either
 **Jacksonville, FL, Lewisville, TX** 
 or
 **Mississauga/Toronto, ON** 
 . Candidates will be expected to work as much as 3 days per week onsite depending on proximity to corporate hubs.
**Responsibilities**
 Essential Functions of this Position
* Design, develop, and deploy AI/ML models and intelligent automation solutions that support internal business operations and strategic initiatives
* API Development \&amp; Integration: Ability to build and integrate REST/GraphQL APIs to serve AI/ML models.
* Vectorization \&amp; Embeddings: Expertise in vector databases and semantic search.
* Collaborate with cross\-functional teams to identify, scope, and implement AI use cases using tools such as Azure AI, Power Platform AI Builder, and Copilot Studio
* Integrate AI capabilities into enterprise applications and workflows, including Power Apps, Power Automate, and Microsoft 365
* Monitor and maintain AI solutions in production, ensuring performance, reliability, and responsible AI practices
* Provide second\- and third\-level support for AI\-related incidents, enhancements, and deployments
* Partner with infrastructure and security teams to ensure readiness and compliance for AI workloads
* Contributes to the development of reusable AI components, templates, and frameworks to accelerate adoption
* Mentor and support business users and citizen developers in building and scaling AI\-powered solutions
* Participate in the evaluation of new AI tools, platforms, and methodologies to support innovation and continuous improvement
* Document solution architectures, workflows, and best practices to support knowledge sharing and operational continuity
* Support the AI Center of Excellence by contributing to governance, enablement, and enterprise\-wide AI strategy
* Maintain and enforce change control processes.
* Assist in developing and maintaining operational standards and best practices.
* Leverage AI and automation tools for proactive monitoring, anomaly detection, and incident response.
* Collaborate with AI Solutions Engineers and the AI Center of Excellence to support infrastructure for AI workloads and pilot initiatives.
* Ensure infrastructure readiness for hybrid cloud and AI platforms (e.g., Azure ML, VMware Private AI, NVIDIA AI Enterprise).
* Perform other duties as required and/or assigned.
**Qualifications**
 Applicants must be
 **legally authorized to work in the United States and/or Canada** 
 without the current or future need for
 **employer\-sponsored work authorization** 
 .
**Minimum Education And Work Experience**
* Bachelor’s Degree in Technology Industry is preferred or equivalent work experience
* High School Diploma/ GED is required
* Two (2\) or more years of professional experience in Machine Learning, Data Science, or Software Engineering.
* Microsoft Exam AI\-102: Designing and Implementing an Azure AI Solutions (preferred).
**Knowledge, Skills, And Abilities Requirements**
* Programming: Proficiency in Python (must) and SQL for data manipulation, querying, and automation.
* Data Warehousing: Solid understanding of data warehouse concepts, including dimensional modeling (fact and dimension tables).
* Agentic Frameworks: Knowledge of AI agent frameworks and orchestration (e.g., LangChain).
* LLMs \&amp; Generative AI: Strong understanding of Large Language Models, fine\-tuning, and RAG pipelines.
* Knowledge of machine learning fundamentals, including supervised and unsupervised learning, NLP, and generative AI
* Familiarity with MLOps practices and tools for model lifecycle management and monitoring
* Understanding of responsible AI principles, including fairness, transparency, and data privacy
* Ability to rapidly learn and apply new AI tools and frameworks in a fast\-evolving technology landscape
* Experience with cloud\-based development environments, particularly Microsoft Azure
* Ability to support AI solutions in production, including troubleshooting, performance tuning, and incident response
* Excellent communication skills (both written and oral) combined with strong interpersonal skills.
* Strong analytical skills and thought processes combined with the ability to be flexible and work analytically in a problem\-solving environment.
 Physical Requirements
* Seeing
* Listening
 The incumbent(s) in this position should exhibit the following Acosta values:
* People Minded – Must show dignity and respect to all people
* Integrity – Must exemplify the highest degree of ethical behavior
* Results Oriented – Must show passion, pride and commitment to succeed
* Trust – Must be honest, sincere and confident
* Teamwork – Must build trusting relationships
* Innovation – Must progress through a combination of creativity, common sense and vision
* Balance – Must maintain an optimistic attitude and keep perspective on what is important in life.
**About Us**
 Acosta Group is a collective uniting the most trusted retail, marketing, and foodservice agencies—Acosta, ActionLink, CORE Foodservice, CROSSMARK, Mosaic, Premium Retail Services, and Product Connections. Together, we connect consumers with the brands they love through omnichannel selling, merchandising, brand advocacy, and integrated marketing.
 We recognize our associates are the foundation of our success. That’s why we prioritize your growth, development, and well\-being to help you reach your full potential. With programs designed to support a fulfilling work\-life balance, we offer opportunities that fit your lifestyle and ambitions—whether you’re looking for part\-time flexibility or full\-time career advancement.
 Ready for a career path that’s as unique as you? Discover your path at Acosta Group!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
 Acosta, and its subsidiaries, is an Equal Opportunity Employer
**Job Category:** 
 Administration
**Position Type:** 
 Full time
**Business Unit:** 
 Corporate
**Salary Range:** 
 $85,800\.00 \- $110,000\.00
**Company:** 
 Acosta Services, Inc
**Req ID:** 
 16263
**Employer Description:** 
 ACOSTA\\
 *GRP\\* 
 EMP\\\_DESC</t>
        </is>
      </c>
    </row>
    <row r="53">
      <c r="A53" t="inlineStr">
        <is>
          <t>li-4353555396</t>
        </is>
      </c>
      <c r="B53" t="inlineStr">
        <is>
          <t>Data Engineer</t>
        </is>
      </c>
      <c r="C53" t="inlineStr">
        <is>
          <t>FanDuel</t>
        </is>
      </c>
      <c r="D53" t="inlineStr">
        <is>
          <t>linkedin</t>
        </is>
      </c>
      <c r="E53" t="inlineStr"/>
      <c r="F53" t="inlineStr"/>
      <c r="G53" t="inlineStr">
        <is>
          <t>Atlanta, GA</t>
        </is>
      </c>
      <c r="H53" t="inlineStr"/>
      <c r="I53" t="inlineStr">
        <is>
          <t>**THE POSITION**
 Our roster has an opening with your name on it
 We are looking for a Data Engineer to join our growing data platform team and help build, operate, and scale the foundational data infrastructure that powers analytics, machine learning, and business decision\-making across the company. In this role, you’ll design and maintain reliable, secure, and cost\-efficient data platforms, enabling data engineers, analysts, and data scientists to do their best work.
 You’ll work closely with engineering, analytics, and security partners to improve platform reliability, performance, and developer experience, while supporting high\-impact data workloads at scale.
 The ideal candidate is a strong technical contributor who enjoys working on distributed systems, automating infrastructure, and solving complex platform challenges in a fast\-paced environment.
 If you’re excited by building resilient data platforms and want to make a broad impact within a dynamic company, we’d love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Contribute to design and code reviews, learning and applying platform and development best practices to build high\-quality, maintainable data pipelines.
* Monitor Databricks and Airflow jobs and queries, helping identify performance issues and working with senior engineers to implement improvements.
* Assist in the design and evolution of data platform components built on Databricks and Airflow, with an emphasis on reliability, scalability, and cost awareness.
* Author and maintain clear documentation for pipelines, workflows, data models, and platform usage to support operational excellence and onboarding.
* Partner with platform, analytics, and engineering teams to support adoption of modern platform features and data governance standards.
* Build and operate production\-grade batch and near–real\-time data pipelines, including basic monitoring, alerting, and operational runbooks.
* Learn and apply platform best practices by collaborating closely with senior engineers and participating in incident response and postmortems.
* Communicate findings, improvements, and operational insights through dashboards, queries, or short written updates to help teams make informed decisions.
**THE STATS**
 What we're looking for in our next teammate
**Minimum Qualifications**
* 1–4 years of experience working with Apache Airflow or similar orchestration tools, including:
+ Building and maintaining DAGs for production workloads.
+ Understanding retries, scheduling, dependencies, and basic sensor usage.
* 1–4 years of experience developing in Python, with familiarity in writing readable, testable, and maintainable code.
* 1–4 years of experience working with Databricks or a comparable data platform, including:
+ Building ETL/ELT pipelines using Delta Lake or similar technologies.
+ Basic familiarity with SQL Warehouses, job compute, and performance concepts.
* Experience working in a cloud environment (AWS, Azure, or GCP), with exposure to:
+ Cloud storage (e.g., S3\), IAM concepts, and managed services.
+ Secure access patterns and data handling best practices.
* Some experience or exposure to infrastructure as code (Terraform preferred), with interest in learning how platform infrastructure is deployed and managed.
* Familiarity with Git\-based workflows and CI/CD concepts, especially as they relate to data or platform engineering.
* Exposure to data quality, observability, or lineage tools (e.g., Monte Carlo, Datafold) is a plus.
* Familiarity with dbt or an understanding of how it fits into a modern data stack is a plus.
**Preferred Qualifications**
* Experience supporting BI, analytics, or data science teams.
* Familiarity with version control, CI/CD, and collaborative development workflows.
* Exposure to data governance, privacy, or compliance practices.
* Eagerness to learn new technologies and contribute to the growth of the team.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54">
      <c r="A54" t="inlineStr">
        <is>
          <t>li-4340281540</t>
        </is>
      </c>
      <c r="B54" t="inlineStr">
        <is>
          <t>Data Engineer</t>
        </is>
      </c>
      <c r="C54" t="inlineStr">
        <is>
          <t>FanDuel</t>
        </is>
      </c>
      <c r="D54" t="inlineStr">
        <is>
          <t>linkedin</t>
        </is>
      </c>
      <c r="E54" t="inlineStr"/>
      <c r="F54" t="inlineStr"/>
      <c r="G54" t="inlineStr">
        <is>
          <t>New York, NY</t>
        </is>
      </c>
      <c r="H54" t="inlineStr"/>
      <c r="I54" t="inlineStr">
        <is>
          <t>**THE POSITION**
 Our roster has an opening with your name on it
 We are looking for a
 **Data Engineer** 
 to join our growing data engineering team and help build the pipelines and infrastructure that power analytics, machine learning, and business decision\-making across the company. In this role, you’ll contribute to the design, development, and maintenance of reliable data systems while collaborating with stakeholders to support high\-impact data use cases.
 The ideal candidate is a strong technical contributor who enjoys working with data at scale, solving practical problems, and continuously learning in a fast\-paced environment.
 If you’re excited by this challenge and want to work within a dynamic company, then we’d love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**Build \&amp; Maintain Data Pipelines**
* Design, build, and maintain scalable batch and streaming data pipelines to support analytics and business operations.
* Write clean, efficient, and well\-documented code using tools like Python, SQL, and Spark.
* Ensure data is reliable, accurate, and delivered in a timely manner
**Collaborate Across Teams**
* Work with data analysts, data scientists, and product managers to understand requirements and deliver actionable data solutions
* Translate business questions into engineering tasks and contribute to technical planning.
* Participate in code reviews, sprint planning, and retrospectives as part of an agile team.
**Data Quality \&amp; Operations**
* Monitor data pipelines and troubleshoot issues in a timely, systematic manner
* Implement data quality checks and contribute to observability and testing practices
* Document data sources, transformations, and architecture decisions to support long\-term maintainability
**THE STATS**
 What we're looking for in our next teammate
* 2–4 years of experience in data engineering, analytics engineering, or software engineering with a focus on data.
* Strong SQL skills and familiarity with at least one programming language (e.g., Python, Java, or Scala).
* Hands\-on experience with modern data tools such as Databricks, Airflow, dbt, Spark, or Kafka.
* Understanding of data modeling concepts, data warehousing, and ETL/ELT best practices.
* Experience working with cloud\-based data platforms (AWS, GCP, or Azure).
**Preferred Qualifications**
* Experience supporting BI, analytics, or data science teams.
* Familiarity with version control, CI/CD, and collaborative development workflows.
* Exposure to data governance, privacy, or compliance practices.
* Eagerness to learn new technologies and contribute to the growth of the team.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55">
      <c r="A55" t="inlineStr">
        <is>
          <t>li-4287598107</t>
        </is>
      </c>
      <c r="B55" t="inlineStr">
        <is>
          <t>Data Engineer</t>
        </is>
      </c>
      <c r="C55" t="inlineStr">
        <is>
          <t>Airtable</t>
        </is>
      </c>
      <c r="D55" t="inlineStr">
        <is>
          <t>linkedin</t>
        </is>
      </c>
      <c r="E55" t="inlineStr"/>
      <c r="F55" t="inlineStr"/>
      <c r="G55" t="inlineStr">
        <is>
          <t>San Francisco, CA</t>
        </is>
      </c>
      <c r="H55" t="inlineStr"/>
      <c r="I55" t="inlineStr">
        <is>
          <t>Airtable is the no\-code app platform that empowers people closest to the work to accelerate their most critical business processes. More than 500,000 organizations, including 80% of the Fortune 100, rely on Airtable to transform how work gets done.
 At Airtable, we’re passionate about democratizing software creation—empowering anyone to build powerful, flexible tools without writing code. With our shift to an AI\-native platform, customers can now generate full apps and deploy AI agents directly into their workflows. Data engineering plays a critical role in this evolution by delivering the insights our teams rely on to improve user experience, measure agent impact, and understand how the business is performing at scale.
 As one of the data engineers at Airtable, you'll make an enormous contribution to our data engineering efforts. You'll design and own mission\-critical data pipelines to enable decision\-making, partner with company leaders to create scalable data solutions, and launch innovative alerting and visualization solutions.
**What You'll Do**
* Work between our engineering organization and stakeholders from our data science, growth, sales, marketing, and product teams, to understand the data needs of the business and produce pipelines, data marts, and other data solutions that enable better product and growth decision\-making.
* Design and update our foundational business tables in order to simplify analysis across the entire company.
* Continue to improve the performance and reliability of our data warehouse.
* Build and enforce a pattern language across our data stack, ensuring that our data pipelines and tables are consistent, accurate, and well\-understood.
**Who You Are**
* You have 5\+ years of professional experience designing, creating and maintaining scalable data pipelines, preferably in Airflow.
* You've wrangled enough data to understand how often the complex systems that produce data can go wrong.
* You are proficient in at least one programming language (preferably Python), and are willing to become effective in others as needed to get your job done.
* You are highly effective with SQL and understand how to write and tune complex queries.
* You're passionate and thoughtful about building systems that enhance human understanding.
* You communicate with clarity and precision in written form; experience communicating with graphs and plots.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For work locations in the San Francisco Bay Area, Seattle, New York City, and Los Angeles, the base salary range for this role is:
 $179,500 \- $221,500 USD
 Please see our Privacy Notice for details regarding Airtable’s collection and use of personal information relating to the application and recruitment process by clicking here.
 🔒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t>
        </is>
      </c>
    </row>
    <row r="56">
      <c r="A56" t="inlineStr">
        <is>
          <t>li-4353211721</t>
        </is>
      </c>
      <c r="B56" t="inlineStr">
        <is>
          <t>Data Engineer I</t>
        </is>
      </c>
      <c r="C56" t="inlineStr">
        <is>
          <t>Alterman, Inc.</t>
        </is>
      </c>
      <c r="D56" t="inlineStr">
        <is>
          <t>linkedin</t>
        </is>
      </c>
      <c r="E56" t="inlineStr"/>
      <c r="F56" t="inlineStr"/>
      <c r="G56" t="inlineStr">
        <is>
          <t>Live Oak, TX</t>
        </is>
      </c>
      <c r="H56" t="inlineStr"/>
      <c r="I56" t="inlineStr">
        <is>
          <t>**Overview**
*The Data Engineer I is a key technical resource for Alterman’s data pipelines and helps contextualize and provide easy access to data for the entire organization. The Data Engineer I designs, builds, and deploys data solutions that capture, explore, transform, and utilize data to support and drive business initiatives.*
**Essential Functions**
* 90%
* Constructs new data pipelines and optimizes existing ones to ensure resiliency and scalability.
* Designs data models for optimized reporting.
* Creates complex views specific for various operations groups.
* Creates Extract, Load, Transform (ELT) jobs from various data sources.
* Assists data team with data initiatives and automation needs.
* Maintains and enforces best practices with regards to data source control and queries.
* Contributes to data catalogs and dictionaries.
* Tests and debugs ELT functions.
* Performs other duties as assigned. 10%
**Education And Experience**
* 2 years of related experience engineering and operationalizing data pipelines within a cloud environment required.
* 2 years of related experience with ELT and Data Warehousing required.
* Experience with Azure DevOps and Snowflake required.
* Experience with SQL required; Python preferred for light transformations and automation.
* Experience with data engineering best practices for development required, including query optimization, version control, code reviews and documentation.
**Skills/Abilities**
* Excellent verbal and written communication skills, with a demonstrated ability to translate the stories found in the data.
* Strong analytical and critical thinking skills.
* Statistical modeling and/or data visualizations skills preferred.
* Proficient with Microsoft Office Suite, or other related software.
* Proficient in SQL and/or Python.
* Familiarity with data quality, lineage, and cataloging practices.
* Awareness of data governance and security (RBAC/roles, object tags, masking, RAPS).
* Able to learn corporate processes, standards, and technologies.
* Able to work adaptively and collaboratively.
* Able to cross\-train with other system owners and administrators to ensure adequate coverage across platforms.
**Work Environment**
* Office environment.
**Physical Demands**
* Prolonged periods of sitting at a desk and working on a computer.
* Manual dexterity associated with computer data entry required.</t>
        </is>
      </c>
    </row>
    <row r="57">
      <c r="A57" t="inlineStr">
        <is>
          <t>li-4363880077</t>
        </is>
      </c>
      <c r="B57" t="inlineStr">
        <is>
          <t>Data Engineer, Sr.</t>
        </is>
      </c>
      <c r="C57" t="inlineStr">
        <is>
          <t>BNSF Railway</t>
        </is>
      </c>
      <c r="D57" t="inlineStr">
        <is>
          <t>linkedin</t>
        </is>
      </c>
      <c r="E57" t="inlineStr"/>
      <c r="F57" t="inlineStr"/>
      <c r="G57" t="inlineStr"/>
      <c r="H57" t="inlineStr"/>
      <c r="I57" t="inlineStr">
        <is>
          <t>**About The Company**
 BNSF Railway is one of the largest and most comprehensive freight transportation networks in North America, operating across 28 western states in the U.S. and three Canadian provinces. Committed to safety, inclusion, and excellence, BNSF plays a vital role in supporting the movement of essential products and materials that sustain communities and economies. The company values innovation and continuous improvement, making a significant impact on supply chains and logistics worldwide. BNSF is dedicated to fostering a diverse and inclusive environment where all employees have the opportunity to thrive and contribute meaningfully to the company's success.
**About The Role**
 As a Data \&amp; AI Lead at BNSF \| Tech, you will be instrumental in transforming data assets into real\-time enterprise solutions that drive business insights and operational efficiency. This remote position offers an exciting opportunity to lead the design and implementation of data streaming solutions, develop scalable data pipelines, and manage large\-scale data warehouses. You will collaborate with cross\-functional teams, including data scientists and analysts, to deliver innovative data solutions that support BNSF's strategic goals. The role requires a proactive approach to optimizing data workflows, ensuring data security, and staying current with industry advancements in data engineering, machine learning, and artificial intelligence. By joining our team, you will contribute to shaping the future of freight rail through cutting\-edge data and AI initiatives, making a tangible difference in the transportation industry.
**Qualifications**
* Minimum 6 years of experience in software engineering, data engineering, or relevant fields
* Proficiency in programming languages such as Python, SQL, and Java
* Strong understanding of data warehousing concepts, including dimensional modeling and star schema
* Experience with ETL processes and cloud\-based data integration solutions
* Familiarity with database management systems (SQL, NoSQL) and modern lakehouse technologies (e.g., Apache Iceberg, Delta Lake, Apache Trino)
* Hands\-on experience with data streaming technologies such as Apache Kafka, AWS Kinesis, Apache Flink, and Apache Spark
* Experience with data pipelines, data orchestration tools, datamart creation, and certified datasets
* Knowledge of DevSecOps standards, source control systems like Jenkins and GitHub
* Strong problem\-solving skills, attention to detail, and excellent communication abilities
* Ability to learn new technologies quickly and adapt in a dynamic environment
* Authorization to work in the United States; willingness to travel up to 20%
**Responsibilities**
* Design and implement real\-time data streaming solutions to process high\-velocity data efficiently
* Develop and maintain robust data pipelines for both real\-time and batch processing, including ETL workflows
* Create and manage large\-scale data warehouses to support business intelligence and analytics needs
* Integrate diverse data sources to develop certified datasets ensuring accuracy, consistency, and reliability
* Collaborate with data scientists, analysts, and stakeholders to understand data requirements and deliver tailored solutions
* Optimize data workflows, monitor data pipelines, and troubleshoot issues to ensure high performance and scalability
* Ensure data security, privacy, and compliance with industry standards and regulations
* Stay updated with emerging trends and advancements in data engineering, machine learning, and AI
* Write efficient, well\-documented code with comprehensive testing and documentation
* Lead the deployment of data engineering solutions into production environments, including design, development, testing, and monitoring
**Benefits**
* Industry\-leading 401(k) plan and a renowned Railroad Retirement program
* Comprehensive health care options for employees and dependents, including medical, dental, vision, and mental health services
* Health savings accounts (HSA) with employer contributions, along with life and disability insurance
* Family benefits such as parental leave, pediatric and family support, adoption and surrogacy reimbursement, and dependent care accounts with employer matching
* Discount programs on travel, gym memberships, counseling services, and wellness resources
* Annual incentive bonuses and performance\-based rewards
* Opportunities for professional growth and development within a supportive and inclusive environment
 Equal Opportunity
 BNSF Railway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veteran status, or any other protected characteristic. We encourage individuals from all backgrounds to apply and contribute to our mission of safety, innovation, and excellence.</t>
        </is>
      </c>
    </row>
    <row r="58">
      <c r="A58" t="inlineStr">
        <is>
          <t>li-4359203119</t>
        </is>
      </c>
      <c r="B58" t="inlineStr">
        <is>
          <t>Sr Data Engineer</t>
        </is>
      </c>
      <c r="C58" t="inlineStr">
        <is>
          <t>The Walt Disney Company</t>
        </is>
      </c>
      <c r="D58" t="inlineStr">
        <is>
          <t>linkedin</t>
        </is>
      </c>
      <c r="E58" t="inlineStr"/>
      <c r="F58" t="inlineStr"/>
      <c r="G58" t="inlineStr">
        <is>
          <t>Orlando, FL</t>
        </is>
      </c>
      <c r="H58" t="inlineStr"/>
      <c r="I58" t="inlineStr">
        <is>
          <t>At Disney Experiences Technology, our team creates world\-class immersive digital experiences for the Company’s premier vacation brands including Disney’s Parks \&amp; Resorts worldwide, Disney Cruise Line, Aulani, A Disney Resort \&amp; Spa, and Disney Vacation Club. The Disney Experiences Technology team is responsible for the end\-to\-end digital and physical Guest experience for all technology \&amp; digital\-led initiatives across the Attractions \&amp; Entertainment, Food \&amp; Beverage, Resorts \&amp; Transportation, and Merchandise lines of business as well as other initiatives including the MyDisneyExperience app and Hey, Disney!
 You will be a part of a group of experienced engineers in the Data Products \&amp; Platforms team within the Technology \&amp; Digital organization for Disney Experiences (DX). As a Sr Data Engineer you will report into the Manager, Engineering who oversees Cast data initiatives.
 Do you love data? Are you a supportive contributor who can drive excellence in delivery? Come join us! We are looking for a Senior Data Engineer to develop and successfully deliver data products and solutions.
**Responsibilities**
* Contribute to the design and growth of our Data Products and Data Warehouses around Content Performance and Content Engagement data.
* Design and develop scalable data warehousing solutions, build ELT pipelines in Big Data environments (cloud, on\-premise, hybrid)
* Use our tech stack including AWS, Snowflake, Data Build Tool (DBT) and Automic UC4/Airflow to transform, store, retrieve, and distribute Financial Management data.
* Help architect data solutions/frameworks and use dimensional modeling to define data assets in a medallion structure
* Collaborate with Data Product Managers, Data Architects and Data Engineers to design, implement, and deliver successful data solutions
* Maintain detailed documentation of your work and changes to support data quality and data governance
* Ensure high operational efficiency and quality of your solutions to meet SLAs and support a dedicated focus on our customers (Data Science, Data Analytics and Business teams)
* Be an active participant and advocate of agile/scrum practice to ensure health and process improvements for your team
**Qualifications**
* 5\+ years of data engineering experience, developing large data pipelines
* Strong SQL skills writing queries to extract data and build performant datasets
* Bachelor's degree in Computer Science, Information Systems, Software, Electrical or Electronics Engineering, or comparable field of study, and/or equivalent work experience.
* Hands\-on experience with AWS tool stack such as Lambda, Kinesis, DMS, AppFlow, EventBridge) to ingest process data
* Experience with at least one major MPP or cloud database technology (Snowflake, Redshift, Big Query)
* Expert level experience with SQL/T\-SQL and ability to create and tune queries
* Agile and Scrum experience
* Strong attention to detail with excellent analytical, problem\-solving, and communication skills
* Solid experience with data integration toolsets (Airflow) and writing and maintaining Data Pipelines
* Familiarity with Data Modeling techniques and Data Warehousing standard methodologies and practices
**Preferred Education**
* Master’s degree in Computer Science, Information Systems, Software, Electrical or Electronics Engineering, or comparable field of study, and/or equivalent work experience.
 The hiring range for this position in Florida is $135,200\.00\-$181,200\.00 and in California is $141,900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59">
      <c r="A59" t="inlineStr">
        <is>
          <t>li-4297970305</t>
        </is>
      </c>
      <c r="B59" t="inlineStr">
        <is>
          <t>Senior Data Engineer</t>
        </is>
      </c>
      <c r="C59" t="inlineStr">
        <is>
          <t>Recharge</t>
        </is>
      </c>
      <c r="D59" t="inlineStr">
        <is>
          <t>linkedin</t>
        </is>
      </c>
      <c r="E59" t="inlineStr"/>
      <c r="F59" t="inlineStr"/>
      <c r="G59" t="inlineStr"/>
      <c r="H59" t="inlineStr"/>
      <c r="I59" t="inlineStr">
        <is>
          <t>**Who We Are**
 Recharge is the subscription platform for the world’s fastest\-growing and most innovative brands. Shopify’s premier subscription solution, Recharge is on a mission to build the future of commerce around customer retention.
 Known for its relentless product innovation and focus on ease of use, Recharge helps merchants deliver seamless customer experiences that drive customer retention and revenue growth. The Recharge platform leverages data from over 100 million shoppers to help brands more successfully set up, manage, and grow their subscription businesses.
 Recharge is a hands\-on partner to over 20,000 brands globally — including quip, Dr. Squatch, Blueland, Estrid, Oats Overnight, Bobbie, and more.
 Learn more at: getrecharge.com
**Overview**
 The centralized Data and Analytics team at Recharge delivers critical analytic capabilities and insights for Recharge’s business and customers.
 As a Senior Data Engineer, you will build scalable data pipelines and infrastructure that power internal business analytics and customer\-facing data products. Your work will empower data analysts to derive deeper strategic insights from our data, and will enable developers to build applications that surface data insights directly to our merchants.
**What You’ll Do**
* Build data pipeline, ELT and infrastructure solutions to power internal data analytics/science and external, customer\-facing data products.
* Create automated monitoring, auditing and alerting processes that ensure data quality and consistency.
* Work with business and application/solution teams to implement data strategies, build data flows, and develop conceptual/logical/physical data models
* Design, develop, implement, and optimize existing ETL processes that merge data from disparate sources for consumption by data analysts, business owners, and customers
* Seek ways to continually improve the operations, monitoring and performance of the data warehouse
* Influence and communicate with all levels of stakeholders including analysts, developers, business users, and executives.
* Live by and champion our values: \#day\-one, \#ownership, \#empathy, \#humility.
**What You’ll Bring**
* Typically, 5\+ years experience in a data engineering related role (Data Engineer, Data Platform Engineer, Analytics Engineer etc) with a track record of building scalable data pipeline, transformation, and platform solutions.
* 3\+ years of hands\-on experience designing and building data pipelines and models to ingesting, transforming and delivery of large amounts of data, from multiple sources into a Dimensional (Star Schema) Data Warehouse, Data Lake.
* Experience with a variety of data warehouse, data lake and enterprise data management platforms (Snowflake {preferred}, Redshift, databricks, MySQL, Postgres, Oracle, RDS, AWS, GCP)
* Experience building data pipelines, models and infrastructure powering external, customer\-facing (in addition to internal business facing) analytics applications.
* Solid grasp to data warehousing methodologies like Kimball and Inmon
* Experience working with a variety of ETL tools. (FiveTran, dbt, Python etc)
* Experience with workflow orchestration management engines such as Airflow \&amp; Cloud Composer
* Hands on experience with Data Infra tools like Kubernetes, Docker
* Expert proficiency in SQL
* Strong Python proficiency
* Experience with ML Operations is a plus.
**Compensation**
 Recharge’s compensation offerings are grounded in a pay\-for\-performance philosophy that recognizes exceptional individual and team performance. Salary ranges are designed to be competitive and aligned with country specific practices, while individual compensation is determined by skills, qualifications, and experience. The compensation listed is not inclusive of any equity and benefits that might exist in your total compensation package.
* Hiring range in the US $144,000 \- 180,000 USD
* Hiring range in Canada $128,000 \- 160,000 CAD
 Application window anticipated to close 11/30/2025\. If you’re interested in this opportunity, please submit an application as soon as possible.
 Benefits at a Glance
* Medical, dental and vision plans
* Retirement plan with employer contribution
* Flexible Time Off
* Paid Parental Leave
* Monthly Remote Life and Merchant stipends
 Recharge \| Instagram \| Twitter \| Facebook
*Recharge Payments is an equal opportunity employer. In addition to EEO being the law, it is a policy that is fully consistent with our principles. All qualified applicants will receive consideration for employment without regard to status as a protected veteran or a qualified individual with a disability, or other protected status such as race, religion, color, national origin, sex, sexual orientation, gender identity, genetic information, pregnancy or age. Recharge Payments prohibits any form of workplace harassment.*
 T
 **ransparency in Coverage**
*This link leads to the Anthem Blue Cross machine\-readable files that are made available in response to the federal Transparency in Coverage Rule and includes network negotiated rates for all items and services; allowed amounts for OON items, services and prescription drugs; and negotiated rates and historical prices for network prescription drugs (delayed). EIN 80\-6245138\. This link leads to the Kaiser machine\-readable files.*</t>
        </is>
      </c>
    </row>
    <row r="60">
      <c r="A60" t="inlineStr">
        <is>
          <t>li-4361294764</t>
        </is>
      </c>
      <c r="B60" t="inlineStr">
        <is>
          <t>Data Engineer I</t>
        </is>
      </c>
      <c r="C60" t="inlineStr">
        <is>
          <t>Cox Automotive Inc.</t>
        </is>
      </c>
      <c r="D60" t="inlineStr">
        <is>
          <t>linkedin</t>
        </is>
      </c>
      <c r="E60" t="inlineStr"/>
      <c r="F60" t="inlineStr"/>
      <c r="G60" t="inlineStr">
        <is>
          <t>Austin, TX</t>
        </is>
      </c>
      <c r="H60" t="inlineStr"/>
      <c r="I60" t="inlineStr">
        <is>
          <t>Cox Automotive seeks a Data Engineer to join AI \&amp; Data Delivery Platform organization in Austin, TX
 **.**
**Our Teams**
 Cox Automotive is the market\-leading provider of technology services to the automotive industry. Our engineering organization takes pride in building innovative products that make our customers successful. We are passionate about building great software while having fun doing it. The result is an award\-winning culture where everyone is approachable, ideas are judged on merits, and empowered people drive transformative technology.
**Job Summary**
 Are you passionate about data? Join Cox Automotive as a Data Engineer I! You'll design high\-performance queries, work with diverse data sources, and drive data solutions. Collaborate with data delivery teams to build applications using Python and maintain data pipelines, models, and queries in cloud environments using technologies like Snowflake, NoSQL databases, ETL tools, and AWS services (ECS, Lambdas, SQS, DynamoDB, Step Functions, RDS). Contribute throughout the SDLC, from design to CI/CD operations. Make a significant impact in the automotive industry with your data engineering skills!
**What You'll Do**
 Role Overview:
* Collaborate with Product and Engineering to understand data needs and deliver high\-quality data solutions.
* Develop and manage scalable data pipelines and architectures.
* Engage with your agile delivery team to build a culture of passion, trust, and creativity.
* Learn and leverage the automotive digital marketing domain to change how the world buys, sells, and uses cars.
**Who You Are**
 Required Experience:
* Applicants must currently be authorized to work in the United States for any employer without current or future sponsorship. No OPT, CPT, STEM/OPT or visa sponsorship now or in future.
* Required BA/BS or higher degree in a related discipline with a focus in Data Engineering or Software Engineering
* 1 to 3 years of related professional work experience in Data Engineering
* MUST live within a commutable distance to Cox Automotive's Austin TX office and work in a hybrid\-onsite setting
* Experience with cloud\-based application development, support and DevOps (ideally AWS)
* Object\-oriented design experience, including applied use of design patterns.
* Experience with programming languages such as Python
* Ability to work independently, to design, develop, and deploy solutions, and to deliver projects on time with moderate direction.
* Ability to collaborate with other developers to build the best solution for the customer.
* Database development skills, including using database technologies and logical and physical data modeling.
* Please include links to any side projects you've worked on in your Github profile
**Preferred AI\-Related Skills**
* Exposure to AI/ML workflows and data preparation for model training
* Experience with AI\-assisted development tools (e.g., GitHub Copilot)
* Familiarity with vector databases, LLM integration, or prompt engineering
* Understanding of MLOps practices and cloud\-based AI infrastructure
* Commitment to ethical AI practices and data governance
 USD 73,800\.00 \- 110,800\.00 per year
**Compensation**
 Compensation includes a base salary of $73,800\.00 \- $110,800\.00\.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61">
      <c r="A61" t="inlineStr">
        <is>
          <t>li-4364010497</t>
        </is>
      </c>
      <c r="B61" t="inlineStr">
        <is>
          <t>Data Engineer</t>
        </is>
      </c>
      <c r="C61" t="inlineStr">
        <is>
          <t>Custom Business Solutions, Inc.</t>
        </is>
      </c>
      <c r="D61" t="inlineStr">
        <is>
          <t>linkedin</t>
        </is>
      </c>
      <c r="E61" t="inlineStr"/>
      <c r="F61" t="inlineStr"/>
      <c r="G61" t="inlineStr">
        <is>
          <t>Bedford Park, IL</t>
        </is>
      </c>
      <c r="H61" t="inlineStr"/>
      <c r="I61" t="inlineStr">
        <is>
          <t>Data Engineer (SQL Server / Azure)
 We're looking for a Data Engineer to support day\-to\-day data workflows, reporting, and ongoing cloud modernization efforts. This role is a great fit for someone with a solid foundation in SQL Server, SSIS, and SSRS who wants to grow their skills in Azure\-based data platforms while working alongside experienced engineers.
 What You'll Do
* Maintain and enhance SQL Server workflows, including stored procedures and existing SSIS/SSRS solutions
* Support senior engineers with data integration, data quality validation, and foundational data modeling
* Assist with migrating on\-prem data workloads into Azure technologies such as ADLS and Synapse
* Help automate recurring data and reporting processes using UiPath or similar tools (training provided)
* Collaborate with backend developers on data integrations using C\#, .NET, and ADO.NET
* Work with frontend developers and analysts to prepare datasets for dashboards and reporting needs
* Contribute to documentation, quality checks, and continuous improvement of data pipelines
 What You Bring
* 3\-5 years of hands\-on experience with Microsoft SQL Server (queries, stored procedures, basic performance tuning)
* Strong experience with SSIS and SSRS
* Solid understanding of ETL concepts and production data workflows
* Exposure to cloud platforms (Azure preferred; AWS or GCP also acceptable)
* Basic experience with C\#, .NET, or ADO.NET in data\-related scenarios
* Familiarity with HTML, CSS, and JavaScript to support reporting or visualization needs
* Comfortable using AI\-assisted development tools such as Copilot or ChatGPT
 Nice to Have
* Experience with UiPath or similar automation tools
* Exposure to Azure Data Factory, Databricks, or Power BI
* Familiarity with data governance, metadata, or data quality practices
* Interest in growing toward cloud\-Financial architecture and orchestration
 Ideal Candidate
* Collaborative, detail\-oriented, and eager to learn
* Comfortable supporting teammates while building deeper technical expertise
* Able to communicate clearly with both technical and non\-technical partners</t>
        </is>
      </c>
    </row>
    <row r="62">
      <c r="A62" t="inlineStr">
        <is>
          <t>li-4363674101</t>
        </is>
      </c>
      <c r="B62" t="inlineStr">
        <is>
          <t>Senior Data Engineer - CETS</t>
        </is>
      </c>
      <c r="C62" t="inlineStr">
        <is>
          <t>American Express</t>
        </is>
      </c>
      <c r="D62" t="inlineStr">
        <is>
          <t>linkedin</t>
        </is>
      </c>
      <c r="E62" t="inlineStr"/>
      <c r="F62" t="inlineStr"/>
      <c r="G62" t="inlineStr">
        <is>
          <t>Phoenix, AZ</t>
        </is>
      </c>
      <c r="H62" t="inlineStr"/>
      <c r="I62" t="inlineStr">
        <is>
          <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We are looking for a highly skilled Senior Data Engineer with a solid experience of building Bigdata, GCP Cloud based ETL Pipelines and Spark applications. The Senior Engineer will play a crucial role in designing, implementing, and optimizing data solutions to support our organization’s data\-driven initiatives. This role requires expertise in data engineering, strong problem\-solving abilities, and a collaborative mindset to work effectively with various stakeholders.
 Joining the CETS team, this role will be focused on the delivery of innovative solutions to satisfy the needs of our business. As an agile team we work closely with our business partners to understand what they require, and we strive to continuously improve as a team.
 We pride ourselves on a culture of kindness and positivity, and a continuous focus on supporting colleague development to help you achieve your career goals.  We lead with integrity, and we emphasize work/life balance for all of our teammates.
 How will you make an impact in this role?
 There are hundreds of opportunities to make your mark on technology and life at American Express. Here’s just some of what you’ll be doing:
* Develop modern, high quality, and robust operational engineering capabilities.
* Develop software in technology stack which is constantly evolving but currently includes Big data platforms like BigQuery, Airflow, DataProc.
* Work with Business partners and stakeholders to understand functional requirements, architecture dependencies, and business capability roadmaps.
* Create technical solution designs to meet business requirements.
* Define best practices to be followed by team.
* Taking your place as a core member of an Agile team driving the latest development practices
* Identify and drive reengineering opportunities, and opportunities for adopting new technologies and methods.
* Perform peer code review and participate in technical discussions with the team on the best solutions possible
 Minimum Qualifications
* BS or MS degree in computer science, computer engineering, or other technical discipline, or equivalent work experience.
* 8\+ years of hands\-on software development experience with Big Data \&amp; Analytics solutions
	+ Hadoop Hive, Spark, Python, shell scripting, GCP Cloud \- Big Query, Airflow, DataProc, PubSub
* Strong experience in designing, developing, and optimizing data pipelines for large\-scale data processing, transformation, and analysis using Big Data and GCP technologies.
* Proficiency in SQL and database systems, with experience in designing and optimizing data models for performance and scalability.
* Experience of building event processing pipelines with Kafka or GCP PubSub.
* Design and development experience with Airflow, PubSub Kafka, Git, Jenkins is desirable.
* Knowledge of distributed (multi\-tiered) systems, algorithms \&amp; relational databases.
* Strong Object\-Oriented Programming skills and design patterns.
* Experience with CICD pipelines, Automated test frameworks, and source code management tools (XLR, Jenkins, Git).
* Good knowledge and experience with configuration management tools like GitHub
* Ability to analyze complex data engineering problems, propose effective solutions, and implement them effectively.
* Ability and willingness to learn, adopt and build solutions using the Enterprise frameworks established for Big Data
* Looks proactively beyond the obvious for continuous improvement opportunities.
* Communicates effectively with product and cross functional team.
* Willingness to learn new technologies and leverage them to their optimal potential.
* Understanding of various SDLC methodologies, familiarity with Agile \&amp; scrum ceremonies.
* Certifications in cloud platform (GCP Professional Data Engineer) is a plus.
 Salary Range: $123,000\.00 to $215,250\.00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
 Know Your Rights
 ” poster. If the link does not work, you may access the poster by copying and pasting the following URL in a new browser window:
 https://www.eeoc.gov/poster
 Employment eligibility to work with American Express in the U.S. is required as the company will not pursue visa sponsorship for these positions</t>
        </is>
      </c>
    </row>
    <row r="63">
      <c r="A63" t="inlineStr">
        <is>
          <t>li-4340716005</t>
        </is>
      </c>
      <c r="B63" t="inlineStr">
        <is>
          <t>Principal Data Engineer (Celonis)</t>
        </is>
      </c>
      <c r="C63" t="inlineStr">
        <is>
          <t>Waters Corporation</t>
        </is>
      </c>
      <c r="D63" t="inlineStr">
        <is>
          <t>linkedin</t>
        </is>
      </c>
      <c r="E63" t="inlineStr"/>
      <c r="F63" t="inlineStr"/>
      <c r="G63" t="inlineStr">
        <is>
          <t>Milford, MA</t>
        </is>
      </c>
      <c r="H63" t="inlineStr"/>
      <c r="I63" t="inlineStr">
        <is>
          <t>**Overview**
 Our Center for Process Excellence team is on a mission to improve business outcomes and employee experiences by driving step\-change improvements in critical enterprise processes, and the technology and analytics supporting these.
 As a Principal, Data Engineer (Celonis), you will be r esponsible for implementing AI, process automation, data solutions, and app development on the Celonis and other platforms. This will require you to understand business needs in various domains, define ground breaking solutions that meet the needs, and work collaboratively as part of a multi\-functional team to deliver the solutions. Success will require close collaboration with stakeholders across multiple functions, and the ability to influence changes in a global organization. This position is ideally suited for an individual who is comfortable in a dynamic environment, with experience in conceptual and analytical problem solving.
**Responsibilities**
* Work with team members to understand business requirements
* Collaborate with process analysts, data scientists, and domain experts to ensure alignment on business objectives and technical requirements
* Build and customize data models, apps, automations, etc. on the Celonis platform to deploy AI agents, process orchestrations, process improvements, and analytics solutions
* Design, develop, and implement data pipelines within the Celonis internal and external data sources (e.g., SAP, Salesforce)
* Develop and implement data quality and governance processes to ensure data accuracy and integrity
* Integrate Celonis apps with other enterprise tools, ensuring smooth data flow and system interoperability
* Build automated workflows to integrate (with) other enterprise systems and applications
* Optimize and maintain large\-scale data processing systems for performance, scalability, and reliability
* Provide ongoing support for Celonis applications and data pipelines, solving issues and ensuring high system uptime
* Document technical specifications, solutions, and processes for future reference
**Qualifications**
* 8\+ years dynamic experience in data engineering, data science, software development, analytics or similar roles
* Validated experience working with the Celonis platform or equivalent platforms, including data engineering, process mining, app development, and automation
* Track record of optimally completing projects across people, process, data, and technology in complex, global organizations
* Strong proficiency in data engineering and software development; Experience with programming languages such as Python, SQL
* Solid understanding of data modelling, warehousing, and governance practices
* Familiarity with common enterprise systems (SAP, CRM, HRM, etc.) and integrating data from such systems into the Celonis platform
* Hands\-on experience with process automation and orchestration tools a plus
* Familiarity with cloud platforms (e.g., Azure) and distributed data systems
* Ability to optimally translate business problems into implementable solutions with quantifiable business benefits
* Results oriented mentality, operates with high sense of urgency. Proven track record of solving problems, breaking down barriers and delivering results ahead of schedule
* Strong written and verbal communication
* Knowledge of business process modelling and process mining solutions a plus
* Experience working on an Agile / Scrum team a plus
* Product Owner and/or Scrum Master certifications a plus
* Bachelor’s Degree in Computer Science, Data Engineering, or a related subject area. Master’s Degree preferred
**Company Description**
 Waters Corporation (NYSE:WAT) is a global leader in analytical instruments, separations technologies, and software, serving the life, materials, food, and environmental sciences for over 65 years. Our Company helps ensure the efficacy of medicines, the safety of food and the purity of water, and the quality and sustainability of products used every day. In over 100 countries, our 7,600\+ passionate employees collaborate with customers in laboratories, manufacturing sites, and hospitals to accelerate the benefits of pioneering science .
 Diversity and inclusion are fundamental to our core values at Waters Corporation. It benefits our employees, our products, our customers and our community. Waters complies with all applicable federal, state, and local laws. Qualified applicants are considered without regard to sex, race, color, ancestry, national origin, citizenship status, religion, age, marital status (including civil unions), military service, veteran status, pregnancy (including childbirth and related medical conditions), genetic information, sexual orientation, gender identity, legally recognized disability, domestic violence victim status, or any other characteristic protected by law. Waters is proud to be an equal opportunity workplace and is an affirmative action employer. All hiring decisions are based solely on qualifications, merit, and business needs at the time.
**Key Words**
 \#Celonis
 \#Data
 \#AI
 \# Data</t>
        </is>
      </c>
    </row>
    <row r="64">
      <c r="A64" t="inlineStr">
        <is>
          <t>li-4360033157</t>
        </is>
      </c>
      <c r="B64" t="inlineStr">
        <is>
          <t>Senior Data Engineer</t>
        </is>
      </c>
      <c r="C64" t="inlineStr">
        <is>
          <t>Tata Consultancy Services</t>
        </is>
      </c>
      <c r="D64" t="inlineStr">
        <is>
          <t>linkedin</t>
        </is>
      </c>
      <c r="E64" t="inlineStr"/>
      <c r="F64" t="inlineStr"/>
      <c r="G64" t="inlineStr">
        <is>
          <t>Verona, WI</t>
        </is>
      </c>
      <c r="H64" t="inlineStr"/>
      <c r="I64" t="inlineStr">
        <is>
          <t>**Job Description**
**Must Have Technical/Functional Skills:**
* Strong expertise in data modeling techniques (conceptual, logical, physical).
* Proficiency in SQL and NoSQL databases (e.g., MySQL, PostgreSQL, MongoDB, Cassandra).
* In\-depth knowledge of data warehousing concepts and tools (e.g., Redshift, Snowflake, Google BigQuery)
* Experience with big data platforms (e.g., Hadoop, Spark, Kafka).
* Familiarity with cloud\-based data platforms and services (e.g., AWS, Azure, Google Cloud).
* Expertise in ETL tools and processes (e.g., Apache NiFi, Talend, Informatica).
* Proficiency in data integration tools and technologies
* Familiarity with data visualization and reporting tools (e.g., Tableau, Power BI) is a plus.
* Deep understanding of data governance frameworks and best practices.
* Knowledge of security protocols, data privacy regulations (e.g., GDPR, CCPA), and how they apply to data architecture
**Roles \&amp; Responsibilities**
* Working on client projects as Data Architect and successfully designing and implementing data architecture solutions
 Salary Range: $100,000\-$150,000 a year</t>
        </is>
      </c>
    </row>
    <row r="65">
      <c r="A65" t="inlineStr">
        <is>
          <t>li-4359244663</t>
        </is>
      </c>
      <c r="B65" t="inlineStr">
        <is>
          <t>Foundry Data Engineer</t>
        </is>
      </c>
      <c r="C65" t="inlineStr">
        <is>
          <t>Tata Consultancy Services</t>
        </is>
      </c>
      <c r="D65" t="inlineStr">
        <is>
          <t>linkedin</t>
        </is>
      </c>
      <c r="E65" t="inlineStr"/>
      <c r="F65" t="inlineStr"/>
      <c r="G65" t="inlineStr">
        <is>
          <t>Oakland, CA</t>
        </is>
      </c>
      <c r="H65" t="inlineStr"/>
      <c r="I65" t="inlineStr">
        <is>
          <t>**Job Description**
 Must Have Technical/Functional Skills
 We are seeking a Palantir Foundry Data Engineer to design, build, and maintain data pipelines and workflows that power advanced analytics and operational insights for the utility industry. This role focuses on leveraging Palantir Foundry to integrate diverse data sources, ensure data quality, and enable real\-time decision\-making for grid reliability, asset management, and regulatory compliance.
 Technical Expertise
* Hands\-on experience with Palantir Foundry development and data integration.
* Strong proficiency in Python, SQL, and Foundry\-specific frameworks.
* Knowledge of utility data systems (SCADA, AMI, GIS, OMS).
**Experience**
* 3\+ years in data engineering or related roles, preferably in utilities or energy sector.
* Familiarity with cloud platforms (AWS, Azure) and containerization (Docker, Kubernetes).
 Soft Skills
* Strong problem\-solving and analytical skills.
* Ability to work in cross\-functional teams and communicate effectively.
**Preferred Qualifications**
* Experience with real\-time data streaming technologies (Kafka, Spark).
* Knowledge of grid modernization, DER integration, and renewable forecasting.
* Certifications in Palantir Foundry or data engineering.
 Roles \&amp; Responsibilities
 Data Pipeline Development
* Build and optimize ETL workflows in Palantir Foundry for ingesting data from SCADA, AMI, GIS, OMS, and ERP systems.
* Develop scalable pipelines for real\-time sensor data and IoT streams.
* Implement data transformations and enrichment to support analytics and reporting.
 Integration \&amp; Automation
* Integrate structured and unstructured data sources into Foundry.
* Automate data ingestion and validation processes to ensure accuracy and timeliness.
* Collaborate with IT and OT teams to bridge operational and enterprise data systems.
 Data Quality \&amp; Governance
* Monitor and maintain data integrity across all pipelines.
* Apply data governance standards and ensure compliance with NERC CIP, FERC, and state regulations.
* Implement robust security and access controls within Foundry.
 Collaboration \&amp; Support
* Work closely with data scientists, analysts, and business teams to deliver reliable datasets for predictive analytics and reporting.
* Provide technical support and documentation for Foundry workflows.
 Performance Optimization
* Optimize workflows for high\-volume, high\-velocity data.
* Troubleshoot and resolve pipeline failures and performance bottlenecks.
 Salary Range: $130,000 $170,000 Year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amp; Training Reimbursement.
 Time Off: Vacation, Time Off, Sick Leave \&amp; Holidays.
 Legal \&amp; Financial Assistance: Legal Assistance, 401K Plan, Performance Bonus, College Fund, Student Loan Refinancing.
**Qualifications:** 
 BACHELOR OF COMPUTER SCIENCE</t>
        </is>
      </c>
    </row>
    <row r="66">
      <c r="A66" t="inlineStr">
        <is>
          <t>li-4335788563</t>
        </is>
      </c>
      <c r="B66" t="inlineStr">
        <is>
          <t>Lead Data Engineer</t>
        </is>
      </c>
      <c r="C66" t="inlineStr">
        <is>
          <t>Rural King</t>
        </is>
      </c>
      <c r="D66" t="inlineStr">
        <is>
          <t>linkedin</t>
        </is>
      </c>
      <c r="E66" t="inlineStr"/>
      <c r="F66" t="inlineStr"/>
      <c r="G66" t="inlineStr">
        <is>
          <t>Mattoon, IL</t>
        </is>
      </c>
      <c r="H66" t="inlineStr"/>
      <c r="I66" t="inlineStr">
        <is>
          <t>**About Us**
 Rural King is America’s Farm and Home Store, providing essentials to the communities we serve. With a wide array of necessities ranging from food and feed to farm and home products, Rural King serves over 130 locations across 13 states and is
 **constantly expanding** 
 . Our annual sales exceed
 **$2\.5 Billion** 
 , and our heart beats in Mattoon, IL, home to our corporate office, distribution center, and flagship store.
 One thing our customers appreciate is our unique shopping experience, complete with complimentary
 **popcorn and coffee** 
 . It's just one way we show our appreciation for their support.
 At Rural King, we value our associates and strive to create a positive, rewarding workplace. We offer growth opportunities, competitive benefits, and a
 **people\-first** 
 environment where dedicated individuals come together to serve rural communities passionately. Join us, and you'll find not just a job but a chance to
 **grow professionally** 
 , contribute meaningfully, and make a difference in the lives of those we serve.
**How We Reward You**
 401(k) plan that provides a 100% match on the first 3% of your contributions and 50% of the next 2%
 Healthcare plans to support your needs
 Virtual doctor visits
 Access to Centers of Excellence with Barnes Jewish Hospital and Mayo Clinic’s Complex Care Program
 15% Associate Discount
 Dave Ramsey’s SmartDollar Program
 Associate Assistance Program
 RK Cares Associate Hardship Program
 24/7 Chaplaincy Services
 Company paid YMCA Family Membership
**What You’ll Do**
 As a Lead Data Engineer you will be responsible for designing, building, and maintaining the data architecture, infrastructure, and systems necessary for collecting, storing, processing, and analyzing large volumes of data. They work with large and complex data sets from various sources, including databases, APIs, and streaming data, to create scalable and reliable pipelines that facilitate data collection, storage, processing, and analysis They play a crucial role in the data pipeline, ensuring that data is available, accessible, and reliable for data scientists, analysts, and other stakeholders within an organization.
* Design, build, maintain, and manage the systems that move data efficiently within the organization.
* Design and implement ETL pipelines that can extract data from various sources, transform it, and load it into the data warehouse and/or data lake.
* Work collaboratively with cross\-functional teams and communicate effectively with technical and non\-technical stakeholders to understand data needs
* Monitor the performance of data pipelines that are efficient and secure
* Lead associates in a way that exemplifies the leadership principles taught in Rural King’s Thrive Leadership Program.
* Use discretion and independent judgment in daily decisions while maintaining a high level of confidentiality and professionalism.
* Actively participate in learning initiatives offered such as training programs, workshops, and webinars. Leverage these opportunities to acquire new knowledge, refine existing skills, and stay current on the latest developments.
* Provide friendly, proactive, and professional internal and external support to others, assisting with inquiries, concerns, and issues promptly and effectively.
* Demonstrate behaviors that exemplify Rural King’s Values: People First, Integrity, Attitude, Initiative, Teamwork, Accountability, and Continuous Improvement.
* Perform other duties as assigned.
**Supervisory Responsibilities**
 Yes
**Essential Qualities For Success**
* At least 4 years of relevant experience or equivalent combination of experience and education.
* Information Technology Engineering experience preferred.
* Bachelors in computer science, Engineering, or relevant field
* Experience as a Data Engineer or similar software engineering role .
* Proficient with git.
* Good knowledge of SQL and PHP or similar languages
* Good knowledge of big data technologies
* Good knowledge of data modeling
* Good knowledge of ETL/ELT tools
* Familiar with Looker, Power BI or other BI tools
* Working knowledge of databases, MySQL/MariaDB, and SQL
* Strong understanding of retail business practices.
* Excellent negotiation and conflict resolution skills.
* Demonstrated ability to adapt in a fast\-paced environment.
* Strong analytical and problem\-solving skills.
* Excellent organizational skills and attention to detail.
* Demonstrated behaviors must reflect integrity, professionalism, and confidentiality.
**Physical Requirements**
* Ability to maintain a seated or standing position for extended durations.
* Capability to lift 15 pounds periodically.
* Able to navigate and access all facilities.
* Skill to effectively communicate verbally with others, both in\-person and via electronic devices.
* Close vision for computer\-related tasks.
**Reasonable accommodations may be made to enable individuals with disabilities to perform essential job functions.**
 The pay range for this position is $78,000 \- $85,000 annualized and is bonus eligible. Exact compensation is determined by factors such as relevant geographic location, education, certifications, experience, job level, shift, and organizational needs. To learn more about our benefits, review here https://acrobat.adobe.com/id/urn:aaid:sc:VA6C2:14539c15\-191a\-4b77\-9c13\-f6ccfce10094\.</t>
        </is>
      </c>
    </row>
    <row r="67">
      <c r="A67" t="inlineStr">
        <is>
          <t>li-4359243064</t>
        </is>
      </c>
      <c r="B67" t="inlineStr">
        <is>
          <t>Data Engineer</t>
        </is>
      </c>
      <c r="C67" t="inlineStr">
        <is>
          <t>Total Quality Logistics</t>
        </is>
      </c>
      <c r="D67" t="inlineStr">
        <is>
          <t>linkedin</t>
        </is>
      </c>
      <c r="E67" t="inlineStr"/>
      <c r="F67" t="inlineStr"/>
      <c r="G67" t="inlineStr">
        <is>
          <t>Cincinnati, OH</t>
        </is>
      </c>
      <c r="H67" t="inlineStr"/>
      <c r="I67" t="inlineStr">
        <is>
          <t>**About the role:** 
 As a Data Engineer, with TQL you will be supporting the FP\&amp;A department by developing scalable reporting solutions in Microsoft Fabric. This role will focus on migrating data from on\-premises systems to the cloud, building and optimizing SQL views and pipelines, and creating governed Power BI datasets and semantic models. 
**What’s in it for you:** 
* $85,000\-$125,000 base salary \+ performance bonuses
* Advancement opportunities with aggressive and structured career paths
* A culture of continuous education and technical training with reimbursements available
* Comprehensive benefits package
	+ Health, dental and vision coverage
	+ 401(k) with company match
	+ Perks including employee discounts, financial wellness planning, tuition reimbursement and more
**What you’ll be doing:** 
* Migrate FP\&amp;A datasets from on\-premises to Microsoft Fabric/Lakehouse
* Build and maintain SQL pipelines, transformations, and views that support reporting needs
* Ensure performance, scalability, and reliability through automation, monitoring, and CI/CD best practices
* Design, publish, and manage Power BI certified datasets, semantic models, and reports/dashboards
* Apply best practices in DAX, modeling, and governance to enable accurate, self\-service reporting
* Partner with Finance stakeholders to translate reporting requirements into technical deliverables
* Implement processes to ensure accuracy, consistency, and reconciliation across financial and operational systems
* Maintain documentation of data models, business logic, and reporting standards
* Troubleshoot and resolve issues impacting reporting accuracy or performance
* Collaborate with Data Governance and Quality teams to align with enterprise standards and metadata frameworks
**What you need:** 
* Bachelor’s degree in Computer Science, Information Systems, Data Engineering, or related field
* 3\+ years of experience in BI/data engineering or analytics engineering
* Advanced SQL skills with proven experience in building and optimizing large\-scale datasets
* Strong Power BI expertise (datasets, DAX, performance tuning, semantic models)
* Hands\-on experience with Microsoft Fabric and Lakehouse/cloud data platforms preferred
* Knowledge of financial reporting concepts and ability to work with FP\&amp;A stakeholders p
* Strong problem\-solving skills and ability to bridge Finance and IT needs
**Where you'll be:** 
 4289 Ivy Pointe Boulevard, Cincinnati, Ohio 45245
*Employment visa sponsorship is unavailable for this position. Applicants requiring employment visa sponsorship now or in the future (e.g., F\-1 STEM OPT, H\-1B, TN, J1 etc.) will not be considered.*</t>
        </is>
      </c>
    </row>
    <row r="68">
      <c r="A68" t="inlineStr">
        <is>
          <t>li-4359243391</t>
        </is>
      </c>
      <c r="B68" t="inlineStr">
        <is>
          <t>Qlik Data Engineer</t>
        </is>
      </c>
      <c r="C68" t="inlineStr">
        <is>
          <t>Tata Consultancy Services</t>
        </is>
      </c>
      <c r="D68" t="inlineStr">
        <is>
          <t>linkedin</t>
        </is>
      </c>
      <c r="E68" t="inlineStr"/>
      <c r="F68" t="inlineStr"/>
      <c r="G68" t="inlineStr">
        <is>
          <t>Raleigh, NC</t>
        </is>
      </c>
      <c r="H68" t="inlineStr"/>
      <c r="I68" t="inlineStr">
        <is>
          <t>**Job Description**
 Qlik Data Engineer/Developer
 Qlik Replicate Automation for Data Ingestion role for a professional with 3\-7 years of experience generally focuses on the design, development, and maintenance of robust, automated data pipelines using Qlik's suite of tools (Qlik Replicate, Qlik Compose, Qlik Sense, and Qlik Automate). This role requires a strong mix of data engineering skills, Qlik platform expertise, and collaboration with business stakeholders.
 Roles and Responsibilities
* Design and Implementation:
* Design, develop, and maintain efficient and scalable data integration and ETL/ELT (Extract, Transform,
* Load/Extract, Load, Transform) pipelines for both batch and real\-time data processing.
* Utilize Qlik data integration tools (e.g., Qlik Replicate, Qlik Compose) to ingest data from various sources (SQL databases, APIs, cloud platforms, flat files) into target data warehouses or data lakes.
* Implement data models (in snowflake schema) using the Qlik associative data model to ensure efficient data storage and retrieval.
* Automation and Optimization:
* Automate data ingestion processes, application reloads, and administrative tasks using Qlik Automate or scripting
* (e.g., Python) to improve efficiency and reduce manual intervention.
* Monitor and optimize data integration processes and Qlik applications for performance, identifying and resolving bottlenecks in data loading and query execution.
* Implement data quality frameworks, including validation, monitoring, and alerting systems to ensure data accuracy and consistency.
* Collaboration and Support:
* Collaborate closely with data engineers, analysts, data scientists, and business stakeholders to gather and understand data requirements and deliver solutions that enable actionable insights.
* Troubleshoot and resolve data integration issues, providing ongoing support for Qlik solutions.
* Document data pipelines, schemas, and business logic for knowledge sharing and efficient onboarding.
* Governance and Compliance:
* Implement data security measures, including encryption, access controls, and audit logging, to ensure
* compliance with relevant data governance policies.
* Manage the data lifecycle, including archival, retention, and deletion policies.
**Required Qualifications And Skills**
* Experience: 3\-7 years of proven experience working directly with Qlik platforms (Qlik Sense, QlikView, Qlik Data Integration suite) as
 a developer or data integrator.
* Strong proficiency in SQL and experience with relational and non\-relational databases.
* Solid understanding of data warehousing concepts, ETL processes, and data modeling techniques.
* Familiarity with cloud platform (AWS) and Data Platform(Snowflake) and related data services.
* Experience with other programming/scripting languages (e.g., Python) for advanced automation is a plus.
 Salary Range\- $100,000\-$110,000 a year
**Qualifications:** 
 BACHELOR OF COMPUTER SCIENCE</t>
        </is>
      </c>
    </row>
    <row r="69">
      <c r="A69" t="inlineStr">
        <is>
          <t>li-4305807064</t>
        </is>
      </c>
      <c r="B69" t="inlineStr">
        <is>
          <t>Senior Data Engineer - Snowflake SME</t>
        </is>
      </c>
      <c r="C69" t="inlineStr">
        <is>
          <t>EY</t>
        </is>
      </c>
      <c r="D69" t="inlineStr">
        <is>
          <t>linkedin</t>
        </is>
      </c>
      <c r="E69" t="inlineStr"/>
      <c r="F69" t="inlineStr"/>
      <c r="G69" t="inlineStr">
        <is>
          <t>San Francisco, CA</t>
        </is>
      </c>
      <c r="H69" t="inlineStr"/>
      <c r="I69" t="inlineStr">
        <is>
          <t>At EY, we’re all in to shape your future with confidence.
 We’ll help you succeed in a globally connected powerhouse of diverse teams and take your career wherever you want it to go. Join EY and help to build a better working world.
**The opportunity**
 As a Snowflake Subject Matter Expert (SME) you will be responsible for architecting, developing, and optimizing data warehouse and lakehouse solutions using the Snowflake platform and integrating into SAP BDC.
 Your expertise will be crucial in enabling the SAP BDC team to build a modern, scalable data platform that integrates SAP data with cloud\-native services from Microsoft, Nvidia, Databricks, AWS, and Google.
 You will collaborate closely with data architects, engineers, and business teams to ensure data ingestion, storage, and access solutions on Snowflake meet performance, security, and compliance requirements supporting enterprise SAP data migration and analytics.
**Your Key Responsibilities**
* Design and implement Snowflake data warehouse and lakehouse architectures aligned with SAP data migration strategies.
* Develop and optimize Snowflake SQL queries, stored procedures, and data transformation logic to support SAP workloads.
* Manage Snowflake account configurations, resource monitors, virtual warehouses, and access controls.
* Integrate Snowflake into SAP BDC, SAP Databricks and Databricks
* Integrate Snowflake with SAP data sources and other data platform components, including Databricks, Azure Data Factory, and cloud storage.
* Implement best practices for data partitioning, clustering, and caching to optimize performance and cost\-efficiency.
* Participate in data ingestion automation, metadata management, and monitoring within Snowflake environments.
* Collaborate with security teams to enforce data governance, encryption, and compliance policies in Snowflake.
* Support CI/CD and automation of Snowflake deployment and pipeline orchestration.
* Provide knowledge transfer and technical guidance to team members and clients.
* Stay updated on Snowflake innovations and new features relevant to SAP data platforms.
**Skills And Attributes For Success**
* Deep expertise in Snowflake data warehouse platform, including performance tuning and cost optimization.
* Strong SQL skills and experience with Snowflake\-specific features such as Time Travel, Zero Copy Cloning, Streams, and Tasks.
* Experience with integration into SAP BTP, BDC and Hana DB
* Familiarity with SAP data types, structures, and migration tools for seamless integration with Snowflake.
* Experience with cloud ecosystems (Azure, AWS, GCP) and data orchestration tools (ADF, Airflow).
* Understanding of data security, role\-based access control (RBAC), and compliance in Snowflake.
* Knowledge of data modeling principles for enterprise data warehouses.
* Excellent communication and collaboration skills to work with global SAP and data teams.
**Other Requirements:**
* Experience working on SAP migration or BDC data projects is preferred.
* Agile and DevOps experience with automation and pipeline deployment.
* Certifications like SnowPro Core Certification or relevant cloud certifications are desirable.
* Willingness to work in distributed teams and coordinate across time zones.
**Job Requirements:**
**Education:**
 BS/MS in Computer Science, Data Engineering, Information Systems, or a related field.
**Experience:**
 9\+ years in data warehousing and cloud data platforms with 5\+ years of hands\-on Snowflake experience.
**What We Offer You**
 The compensation ranges below are provided in order to comply with United States pay transparency laws. Other geographies will follow their local salary guidelines, which may not be a direct conversion of published US salary ranges.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$87,200 to $163,000\. The base salary range for New York City Metro Area, Washington State and California (excluding Sacramento) is $104,600 to $185,300 .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0">
      <c r="A70" t="inlineStr">
        <is>
          <t>li-4363850231</t>
        </is>
      </c>
      <c r="B70" t="inlineStr">
        <is>
          <t>Senior Data Engineer (P358)</t>
        </is>
      </c>
      <c r="C70" t="inlineStr">
        <is>
          <t>84.51˚</t>
        </is>
      </c>
      <c r="D70" t="inlineStr">
        <is>
          <t>linkedin</t>
        </is>
      </c>
      <c r="E70" t="inlineStr"/>
      <c r="F70" t="inlineStr"/>
      <c r="G70" t="inlineStr">
        <is>
          <t>Cincinnati, OH</t>
        </is>
      </c>
      <c r="H70" t="inlineStr"/>
      <c r="I70" t="inlineStr">
        <is>
          <t>**84\.51° Overview**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Join us at 84\.51°!
 \_\_\_\_\_\_\_\_\_\_\_\_\_\_\_\_\_\_\_\_\_\_\_\_\_\_\_\_\_\_\_\_\_\_\_\_\_\_\_\_\_\_\_\_\_\_\_\_\_\_\_\_\_\_\_\_\_\_
**Please Note**
 Applicants for employment in the US must have work authorization that does not now or in the future require sponsorship of a visa for employment authorization in the United Stated and with the Kroger Family of Companies (i.e. H1\-B visa, F\-1 visa (OPT), TN visa or any other non\-immigrant status).
 Senior Data Engineer, AI Enablement (P358\)
**Summary**
 As a Senior Data Engineer on our AI Enablement team, you will cultivate strategies and solutions to ingest, store and distribute our big data. This role is on our enablement team that builds solutions for monitoring, registering, and tracking our machine learning and AI solutions across 84\.51˚ and develops monitoring and observability pipelines for our internal AI tooling. Our engineers use PySpark, Python, SQL, GitHub actions, and Databricks/Azure to develop scalable data solutions.
**Responsibilities**
 Take ownership of features and drive them to completion through all phases of the entire 84\.51° SDLC. This includes external facing and internal applications as well as process improvement activities such as:
* Lead design of Python and PySpark based solutions
* Perform development of cloud based (Azure) ETL solutions
* Build and configure cloud infrastructure for all stages of the data development lifecycle
* Execute unit and integration testing
* Develop robust data QA processes
* Collaborate with senior resources to ensure consistent development practices
* Provide mentoring to junior resources
* Build visualizations in Databricks Apps, Databricks Dashboards and PowerBI
* Bring new perspectives to problems and be driven to improve yourself and the way things are done
**Qualifications, Skills, And Experience**
* Bachelor’s degree in Computer Science, Management Information Systems, Mathematics, Business Analytics or another technically strong program.
* 3\+ years proven ability of professional data engineering experience
* Strong understanding of Agile Principles (Scrum)
* 3\+ years proven ability of developing with Python and PySpark
* Full understanding of ETL concepts and data warehousing concepts
* Experience with CI/CD frameworks (GitHub Actions a plus)
* Experience with visualization techniques and tools like Databricks dashboards or PowerBI a plus
* Languages/Tech stack:
+ Python
+ PySpark
+ Terraform
+ Databricks
+ GitHub Actions
+ Azure
+ AKS experience a plus
+ Dashboard experience a plus
+ WebApp experience a plus
**Pay Transparency And Benefits**
* The stated salary range represents the entire span applicable across all geographic markets from lowest to highest. Actual salary offers will be determined by multiple factors including but not limited to geographic location, relevant experience, knowledge, skills, other job\-related qualifications, and alignment with market data and cost of labor. In addition to salary, this position is also eligible for variable compensation.
* Below is a list of some of the benefits we offer our associates:
+ Health: Medical: with competitive plan designs and support for self\-care, wellness and mental health. Dental: with in\-network and out\-of\-network benefit. Vision: with in\-network and out\-of\-network benefit.
+ Wealth: 401(k) with Roth option and matching contribution. Health Savings Account with matching contribution (requires participation in qualifying medical plan). AD\&amp;D and supplemental insurance options to help ensure additional protection for you.
+ Happiness: Paid time off with flexibility to meet your life needs, including 5 weeks of vacation time, 7 health and wellness days, 3 floating holidays, as well as 6 company\-paid holidays per year. Paid leave for maternity, paternity and family care instances.
 Pay Range
 $97,000—$166,750 USD</t>
        </is>
      </c>
    </row>
    <row r="71">
      <c r="A71" t="inlineStr">
        <is>
          <t>li-4363871313</t>
        </is>
      </c>
      <c r="B71" t="inlineStr">
        <is>
          <t>Data Engineer</t>
        </is>
      </c>
      <c r="C71" t="inlineStr">
        <is>
          <t>Allegiant</t>
        </is>
      </c>
      <c r="D71" t="inlineStr">
        <is>
          <t>linkedin</t>
        </is>
      </c>
      <c r="E71" t="inlineStr"/>
      <c r="F71" t="inlineStr"/>
      <c r="G71" t="inlineStr">
        <is>
          <t>Las Vegas, NV</t>
        </is>
      </c>
      <c r="H71" t="inlineStr"/>
      <c r="I71" t="inlineStr">
        <is>
          <t>SummaryThe Data Engineer is responsible for architecting, developing, and maintaining Allegiant’s enterprise data infrastructure. The Data Engineer will oversee our transition from on\-premise data marts to a cloud hosted warehouse data and develop the next generation of our data tools.
 Visa Sponsorship Available: No
 Minimum RequirementsCombination of Education and Experience will be considered. Must be authorized to work in the US as defined by the Immigration Act of 1986\. Must pass a Criminal Background Check.Education: Bachelor’s Degree In Computer Science, Engineering, or a related technical field.Years of Experience: Minimum three (3\) years of experience as a Data Engineer which includes work experience in data mart development and data warehousing, including experience working with ETL processes, OLAP structures, and dimensional modeling.
* Strong SQL Server and Amazon Redshift skills.
* In depth understanding of database architecture.
* Demonstrated basic proficiency in AWS services, including but not limited to S3, Glue, Lambda, and Redshift.
* Basic understanding of Infrastructure as Code (IAC) principles to define and manage infrastructure using code (e.g., AWS CloudFormation, Terraform).
* Manage time effectively to meet deadlines across multiple projects.
* Excellent critical thinker and effective problem solver with creative solutions.
* Detail oriented and highly organized.
* Results\-driven; accepting responsibility for individual performance and contributions to team projects.
* Ability to work a hybrid schedule with the expectation to be in the office 2 days a week or 8 days a month (when campus is open) and to work the remainder remotely.
* Must be able to work in a high pressure environment.
* Must have sufficient vision and ability to safely perform the essential functions of the position.
 Preferred Requirements
* Python development skills. Job Duties
* Develop and maintain Allegiant data marts and data warehouses.
* Migrate Allegiant’s existing on\-premise infrastructure to the AWS environment.
* Design, implement, and maintain scalable ETL processes to ensure efficient data flow and accessibility.
* Implement data quality checks to ensure accuracy and reliability of data.
* Troubleshoot and resolve issues related to data processing and ETL pipelines.
* Design, build, and implement data transformation, conversion, and validation of data required for BI applications.
* Maintain SQL Server and Redshift data marts, databases, and data warehouses.
* Provide services to replicate data from various data sources to reporting database servers for enterprise reporting applications.
* Work closely with the business to understand and translate user requirements into practical data models.
* Develop and maintain repeatable, systemic processes while finding ways to make internal team processes more efficient.
* Other duties as assigned. Physical RequirementsThe Physical Demands and Work Environment described here are a representative of those that must be met by a Team Member to successfully perform the essential functions of the role. Reasonable accommodations may be made to enable individuals with disabilities to perform the essential functions of the role. Office/IT \- While performing the duties of this job, the Team Member is regularly required to stand, sit, talk, hear, see, reach, stoop, kneel, and use hands and fingers to operate a computer, key board, printer, and phone. May be required to lift, push, pull, or carry up to 50 lbs. May be required to work various shifts/days in a 24 hour situation. Regular attendance is a requirement of the role. Exposure to moderate noise (i.e. business office with computers, phones, printers, and foot traffic), temperature and light fluctuations. Ability to work in a confined area as well as the ability to sit at a computer terminal for an extended period of time. Some travel may be a requirement of the role. Essential Services ProviderAllegiant as a national air carrier is deemed an essential service provider during declared national and state emergencies. Team Members will be required to report to their assigned trip or work location during national and state emergencies unless prohibited by local, state or federal order. EEO StatementWe welcome all individuals from varied backgrounds and experiences to apply. Our company celebrates diversity, and we value the unique perspectives and talents that each person brings to our team. Equal Opportunity Employer: Disability/VeteranFor more information, see https://allegiantair.jobs $87,000 \- $124,700 a yearFull Time Benefits:Profit SharingMedical/Dental/Vision/Life/ Disability InsuranceMedical Travel ReimbursementLegal, Identity and Pet Insurance401K with an employer matchEmployee Stock Purchase PlanEmployee Assistance ProgramTuition ReimbursementFlight BenefitsPaid vacation, holidays, and sick time Part Time Benefits:Profit SharingMedical Travel ReimbursementLegal, Identity and Pet Insurance401K with an employer matchEmployee Stock Purchase PlanEmployee Assistance ProgramTuition ReimbursementFlight BenefitsSick timeWe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2">
      <c r="A72" t="inlineStr">
        <is>
          <t>li-4359284894</t>
        </is>
      </c>
      <c r="B72" t="inlineStr">
        <is>
          <t>AppleCare Data Engineer</t>
        </is>
      </c>
      <c r="C72" t="inlineStr">
        <is>
          <t>Apple</t>
        </is>
      </c>
      <c r="D72" t="inlineStr">
        <is>
          <t>linkedin</t>
        </is>
      </c>
      <c r="E72" t="inlineStr"/>
      <c r="F72" t="inlineStr"/>
      <c r="G72" t="inlineStr">
        <is>
          <t>Austin, TX</t>
        </is>
      </c>
      <c r="H72" t="inlineStr"/>
      <c r="I72" t="inlineStr">
        <is>
          <t>**Summary**
 The people here at Apple don’t just craft products \- they build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The AppleCare Business Insights, Operations, and Systems (ACBIOS) team builds advanced analytics solutions that drive key decisions across Apple’s service and support ecosystem. As a Data Scientist, you will transform complex data into actionable insights that empower AppleCare leadership and product teams to enhance customer experience and operational excellence.
**Description**
 You will work across the data lifecycle—from modeling and extraction to visualization and storytelling—partnering closely with cross\-functional teams to deliver scalable, high\-impact insights that uphold Apple’s standards of accuracy, usability, and security.
 Design and implement advanced analytical models and pipelines using SQL and R/Python.
 Develop and optimize data extraction and transformation processes to improve accessibility and performance.
 Ensure adherence to data quality, governance, and security protocols.
 Build intuitive visualizations and dashboards to communicate insights effectively to technical and business audiences.
 Document methodologies and share analytical best practices to strengthen data culture across teams.
 Collaborate with data scientists, product managers, and leadership to shape the future of analytics platforms within AppleCare.
 Lead end\-to\-end analytics initiatives, from scoping and exploration to analysis, interpretation, and executive presentations.
**Minimum Qualifications**
* 7\+ years of applied experience in data science, business analytics, or business intelligence roles.
* Strong proficiency in SQL and R/Python (pandas, NumPy, scikit\-learn).
* Experience with data modeling, transformation, and analytics frameworks such as Snowflake.
* Skilled in building data visualizations using Tableau, and presenting insights to diverse audiences.
* Strong foundation in statistical analysis, including hypothesis testing and confidence intervals.
* Experience delivering end\-to\-end analytical projects, from scoping to presentation.
* Excellent communication and collaboration skills, including translating data insights for business stakeholders.
* Bachelor’s degree in a quantitative or technical discipline.
**Preferred Qualifications**
* Hands\-on experience with Snowpark, PySpark, and streaming/interactive visualization tools such as Streamlit or Plotly.
* Background in SMB, product, or service analytics, including service performance, warranty trends, and support operations.
* Applied experience with software engineering workflows, including Git, CI/CD, and producing maintainable, well\-documented code.
* Experience developing custom Tableau extensions or deploying LLM\-powered analytics systems.
* Strong experience in storytelling with data, translating complex analyses into actionable recommendations for leadership.
* Familiarity with large\-scale data platforms and scalable analytical pipelines.
* Master's degree in a quantitative or technical discipline.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3">
      <c r="A73" t="inlineStr">
        <is>
          <t>li-4353635762</t>
        </is>
      </c>
      <c r="B73" t="inlineStr">
        <is>
          <t>Lead Data Engineer</t>
        </is>
      </c>
      <c r="C73" t="inlineStr">
        <is>
          <t>AECOM</t>
        </is>
      </c>
      <c r="D73" t="inlineStr">
        <is>
          <t>linkedin</t>
        </is>
      </c>
      <c r="E73" t="inlineStr"/>
      <c r="F73" t="inlineStr"/>
      <c r="G73" t="inlineStr">
        <is>
          <t>Dallas, TX</t>
        </is>
      </c>
      <c r="H73" t="inlineStr"/>
      <c r="I73" t="inlineStr">
        <is>
          <t>**Work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We’re hiring a hands\-on Lead Data Engineer to help modernize an enterprise data platform from legacy, on\-prem systems to a cloud\-native AWS lakehouse. This is a lead individual contributor role with high ownership and a strong hands\-on focus (approximately 70%), balancing deep technical delivery with design guidance, code reviews, and mentorship.
 While we leverage AWS S3 Tables (managed Apache Iceberg), success in this role requires a solid understanding of how modern table formats operate under the hood, beyond reliance on fully managed tooling.
*This position will offer flexibility for hybrid work schedules to include both in\-office presence and telecommute/virtual work, to be based from either Houston or Dallas, TX.*
 Key Responsibilities:
* Design, build, and operate end\-to\-end, production\-grade data pipelines in AWS
* Re\-engineer legacy ETL into a lakehouse architecture (Bronze/Silver/Gold) on S3
* Work hands\-on with open table formats in AWS (S3 Tables / Apache Iceberg) and understand their metadata, snapshots, schema evolution, and performance characteristics
* Develop pipelines using Python, PySpark, and Spark on AWS Glue and/or EMR
* Orchestrate workloads using Airflow or AWS Step Functions
* Partner with data architects to translate business requirements into data products
* Perform code reviews, mentor engineers, and contribute hands\-on in production
* Support agile development practices, including planning, demos, and reviews
**Qualifications**
**Minimum Requirements:**
* BA/BS in Computer Science, Engineering, or a related field plus at least 8 years of hands\-on data engineering experience, or demonstrated equivalent experience and education
* Strong, current hands\-on experience with AWS data services, including S3 and Spark\-based processing
* Hands\-on experience with an open table format (such as Apache Iceberg, Delta Lake, or Hudi), with a clear understanding of table metadata, schema evolution, partitioning, and performance tradeoffs
* Proficiency in Python and PySpark for production data pipelines
* Experience designing, building, and operating data pipelines end\-to\-end in AWS
* Experience orchestrating data pipelines using Airflow or AWS Step Functions
* Strong communication skills and ability to operate as a hands\-on technical lead
**Preferred Qualifications** 
 :
* Master's degree in a relevant field
* Experience working with AWS S3 Tables or native Apache Iceberg in AWS environments
* Experience modernizing on\-prem or legacy data warehouse platforms
* Familiarity with lakehouse performance tuning, schema evolution, and partitioning
* Experience with data pipeline orchestration frameworks
* Exposure to AI/ML data readiness or downstream analytics use cases
* Experience working in large, complex enterprise environments
**Additional Information**
* Relocation assistance is not available for this position
* Sponsorship for US work authorization is not available for this position, now or in the future.
 Why You’ll Love Working Here:
* Leadership Impact: Shape the direction of our enterprise data platform and mentor the next generation of data engineers
* Enterprise Reach: Work with diverse, large\-scale datasets from critical business systems.
* Modern Tech Stack: AWS\-first environment with continuous improvement and best\-practice adoption.
* Career Growth: Opportunities to advance into architecture or senior leadership roles.
 Join us in shaping the future of data engineering and contribute to the development of innovative data solutions that drive business success.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74">
      <c r="A74" t="inlineStr">
        <is>
          <t>li-4359205089</t>
        </is>
      </c>
      <c r="B74" t="inlineStr">
        <is>
          <t>Data Analytics Engineer - Apple Services Engineering</t>
        </is>
      </c>
      <c r="C74" t="inlineStr">
        <is>
          <t>Apple</t>
        </is>
      </c>
      <c r="D74" t="inlineStr">
        <is>
          <t>linkedin</t>
        </is>
      </c>
      <c r="E74" t="inlineStr"/>
      <c r="F74" t="inlineStr"/>
      <c r="G74" t="inlineStr">
        <is>
          <t>Cupertino, CA</t>
        </is>
      </c>
      <c r="H74" t="inlineStr"/>
      <c r="I74" t="inlineStr">
        <is>
          <t>**Summary**
 The Apple Services Engineering team is one of the most exciting examples of Apple’s long\-held passion for combining art and technology! These are the people who power the App Store, Apple Music, Apple TV, Apple Games, and many others. And they do it on a massive scale, meeting Apple’s high expectations with high performance to deliver a huge variety of entertainment in over 35 languages to more than 150 countries. These engineers build secure, end\-to\-end solutions. They develop the custom software used to process all the creative work, the tools that providers use to deliver that media, all the server\-side systems, and the APIs for many Apple services. Thanks to Apple’s unique integration of hardware, software, and services, engineers here partner to get behind a single unified vision. That vision always includes a deep commitment to strengthening Apple’s privacy policy, one of Apple’s core values. Although services are a bigger part of Apple’s business than ever before, these teams remain small, forward\-thinking, and cross\-functional, offering greater exposure to the array of opportunities here.
**Description**
 As a team member of the ASE Data Engineering team, you will have significant responsibility and influence in shaping its future direction. This role is inherently cross\-functional and the ideal candidate will work across disciplines. We are looking for someone with a love for data and ability to iterate quickly on all stages of data pipeline. This position involves working on a small team to develop large scale data pipelines and analytical solutions using Big Data technologies. Successful candidates will have strong engineering skills and communication, as well as, a belief that data driven processes lead to phenomenal products. You will need to have a passion for quality and an ability to understand sophisticated systems.
**Minimum Qualifications**
* BS in Computer Science or a related field with 5\+ years experience.
* Strong technical knowledge in Java, Scala, SQL.
* Multi year experience with Big Data technologies like Spark batch, Spark streaming, Flink and Hadoop ecosystem.
* Experience integrating messaging technologies like Kafka.
* Effectively collaborate with engineers, product managers, designers, collaborators, partners, etc.
* Enjoys deep technical and product discussions. Has attention to detail and can context switch across multiple projects.
**Preferred Qualifications**
* MS in Computer Science or a related field with 7\+ years experience.
* Experience leading complex engineering projects from inception to production across organizational boundaries.
* Exceptional analytical skills combined with a deep knowledge of data structures and algorithms.
* Can see the big picture, set a vision, and grow the team and platform in accordance to that vision.
* Excellent communication skills. Can effectively communicate complex ideas and make compelling arguments \- guiding the team, partners and leadership.
* Deep experience in designing and implementing scalable big data solutions that span multi\-functional teams.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5">
      <c r="A75" t="inlineStr">
        <is>
          <t>li-4360074387</t>
        </is>
      </c>
      <c r="B75" t="inlineStr">
        <is>
          <t>Data Engineer, Apple Services Engineering</t>
        </is>
      </c>
      <c r="C75" t="inlineStr">
        <is>
          <t>Apple</t>
        </is>
      </c>
      <c r="D75" t="inlineStr">
        <is>
          <t>linkedin</t>
        </is>
      </c>
      <c r="E75" t="inlineStr"/>
      <c r="F75" t="inlineStr"/>
      <c r="G75" t="inlineStr">
        <is>
          <t>Cupertino, CA</t>
        </is>
      </c>
      <c r="H75" t="inlineStr"/>
      <c r="I75" t="inlineStr">
        <is>
          <t>**Summary**
 The Apple Services Engineering team (ASE) is one of the most exciting examples of Apple’s long\-held passion for combining art and technology. We are the people who power the App Store, AppleTV, Apple Music, iCloud, and many more. We’re idealists. Inventors. Forever tinkering with products and processes, always on the lookout for better. Does an exciting, dynamic, and fast\-paced environment catch your attention? Consider joining our team!
 We are seeking a Data Engineer to join our team who brings deep passion for designing and building data platforms that power visualizations and insights that enable us to track and ship our projects to billions of customers worldwide. If you love data and creating beautiful, compelling, and intuitive visualizations, we want to hear from you.
**Description**
 As a Data Engineer in ASE, you will be responsible for designing, developing, and maintaining robust data pipelines to support data science initiatives. Our team's task is to build a comprehensive aggregate data layer that enables efficient and flexible executive reporting, highly customized data applications, and powerful ML inference and analysis.
 In this role, you will work closely with data scientists, engineers, and Quality teams to build scalable data pipelines and solutions. As a data engineer, you must effectively collaborate to bridge the gap between business needs, analytical solutions, and engineering requirements.
**Responsibilities**
* Design, implement, and maintain data pipelines using Python and SQL
* Manage data stores containing millions of records and insure availability, security, and scalability
* Collaborate with data scientists, business partners, and engineering groups to identify performance indicators from complex data sets, then create visualizations for these indicators, metrics, and trends
**Minimum Qualifications**
* 3\-5 years of experience in Data Engineering or similar role
* 3\-5 years of experience in Python and SQL
* 3\-5 years of experience with data schema design and data modeling
* Bachelors degree in Computer Science, Data Science, Mathematics, or related field, or equivalent experience
* Experience creating data visualizations that tell compelling stories using tools such as Tableau, D3, Plotly, or Observable
**Preferred Qualifications**
* Experience with JavaScript/TypeScript, Swift, R, or Scala is a big plus
* Experience with NoSQL datastores (such as HBase, Cassandra, MongoDB)
* Experience integrating messaging technologies like Kafka or Flink
* Experience with Big Data Tech such as Apache Spark or Hadoop
* Observability and telemetry tools such as CloudWatch, Splunk, Prometheus, OpenTelemetry
* Ability to build CI pipelines and automation tools using tools such as Jenkins, GitHub Actions, CircleCI, etc.
* Experience with mentoring, guiding, and motivating other team members
* Excellent presentation and communication skills, with strong attention to detail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6">
      <c r="A76" t="inlineStr">
        <is>
          <t>li-4359205351</t>
        </is>
      </c>
      <c r="B76" t="inlineStr">
        <is>
          <t>Sr. Data Engineer</t>
        </is>
      </c>
      <c r="C76" t="inlineStr">
        <is>
          <t>Apple</t>
        </is>
      </c>
      <c r="D76" t="inlineStr">
        <is>
          <t>linkedin</t>
        </is>
      </c>
      <c r="E76" t="inlineStr"/>
      <c r="F76" t="inlineStr"/>
      <c r="G76" t="inlineStr">
        <is>
          <t>Seattle, WA</t>
        </is>
      </c>
      <c r="H76" t="inlineStr"/>
      <c r="I76" t="inlineStr">
        <is>
          <t>**Summary**
 As a Data Engineer on the Capacity Engineering team, you will help design, build, and operate the data foundation that drives capacity, cost, and power\-related decisions across Apple’s infrastructure footprint.
**In This Role, You Will**
 Architect, implement, and maintain large\-scale batch and streaming pipelines that ingest, process, and model infrastructure telemetry, cost, metering, utilization, forecasting, and power metrics from multiple clouds and bare metal environments.
 Design and evolve robust data models (with a strong focus on dimensional modeling) and storage patterns that support analytics, internal billing, and efficiency use\-cases.
 Treat data as a product: define quality checks, SLAs, and observability to ensure data is accurate, timely, and trusted by stakeholders across Apple.
 Integrate and enrich raw signals with metadata and attribution to power use cases such as internal billing/showback, usage understanding, efficiency and optimization, clawbacks, planning, and procurement.
 Collaborate closely with data scientists, software engineers, platform teams, finance partners, program managers, and leadership to translate requirements into scalable, reliable data solutions and services.
 Implement standard methodologies for data governance, lineage, metadata management, and security, in alignment with Apple’s standards for data protection and privacy.
 Build end\-to\-end data solutions that include logging, anomaly detection, data validation, cleaning, and transformation, with strong emphasis on monitoring, debuggability, and continuous improvement.
 Contribute to the evolution of our data and platform stack, including tooling, frameworks, and standards for development, testing, deployment, and operations (CI/CD, infrastructure as code, etc.).
**Description**
 Apple’s Capacity data engineering team, within the Apple Services Engineering organization, is building the centralized data backbone that powers how Apple understands, plans, and optimizes its cloud and data center infrastructure.
 We engineer a unified, trusted data lake that consolidates cost, metering, utilization, forecasting, and power metrics produced by Apple platforms and systems (including bare metal) across both third\-party and Apple internal clouds. Enriched with metadata and attribution, this becomes the single source of truth for internal billing, understanding usage and utilization, clawbacks, planning, procurement, and efficiency initiatives.
 We collaborate with platform engineering, finance, capacity engineering, and leadership teams to build large\-scale data pipelines, enable descriptive and predictive analytics, and power dashboards and products that support critical business decisions. This is your opportunity to help design and operate highly visible, global\-scale systems processing petabytes of data and supporting hundreds of users across Apple.
 Come join us to help deliver the next generation of infrastructure insights at Apple.
**Minimum Qualifications**
* Bachelors degree or equivalent experience in Computer Science, Information systems, Software Engineering, Data Science or related field.
* 5\+ years of experience in data engineering (or equivalent practical experience), including:
* Building and maintaining large\-scale ETL/ELT data pipelines
* Distributed computing (e.g., Spark / PySpark) for data processing and automation
* Query performance optimization and tuning at scale
* Hands\-on experience with:
* Apache Spark and Airflow (or similar workflow/orchestration tools) for efficient large\-scale data pipelines
* Data modeling, especially dimensional modeling, and designing schemas optimized for analytics and reporting
* Big data platforms and/or data lake architectures
* Experience with CI/CD tooling such as Jenkins (or similar tools)
* Experience with cloud technologies, AWS/GCP (e.g., S3, EMR, Lambda, Glue, RDS/Redshift, Big\-query, Kinesis or similar services)
**Preferred Qualifications**
* Advanced degree in a related field a plus.
* Experience with data visualization / BI tools, such as Superset or Tableau (other tools like QuickSight, QlikView, Cognos, or Business Objects are a plus)
* Experience with containerization and orchestration, such as Docker and Kubernetes/EKS is a plus
* Understanding of authentication and authorization (AuthN/AuthZ) patterns
* Knowledge of data governance principles, data security best practices, and data privacy regulations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7">
      <c r="A77" t="inlineStr">
        <is>
          <t>li-4359638490</t>
        </is>
      </c>
      <c r="B77" t="inlineStr">
        <is>
          <t>Data Engineer</t>
        </is>
      </c>
      <c r="C77" t="inlineStr">
        <is>
          <t>XeoMatrix</t>
        </is>
      </c>
      <c r="D77" t="inlineStr">
        <is>
          <t>linkedin</t>
        </is>
      </c>
      <c r="E77" t="inlineStr"/>
      <c r="F77" t="inlineStr"/>
      <c r="G77" t="inlineStr">
        <is>
          <t>Austin, TX</t>
        </is>
      </c>
      <c r="H77" t="inlineStr"/>
      <c r="I77" t="inlineStr">
        <is>
          <t>Data Engineer
 We are currently seeking an experienced data engineer with 3 \- 5 years with hands\-on data engineering experience. This candidate must possess technical, business analysis, and communication skills. This position offers an opportunity to work directly with clients to design strategic data solutions that help them visualize complex data in a focused manner. This includes architecting, building, \&amp; maintaining data lakes, data warehouses, \&amp; data pipelines. This individual will work closely with customers to gather requirements, prototype designs, and develop the final deliverable. Familiarity with the Tableau architecture and best practices is a plus.
 Position Requirements:
* 3 \- 5 years experience with implementing client\-facing large\-scale data warehouse solutions
* Experience with Salesforce products (specifically Data Cloud) is preferred
* Extensive experience with programming data pipelines: Python, SQL, \&amp; REST APIs required
* Strong experience with AWS, GCP, \&amp; Azure technology stacks
* Experience implementing data solutions using Snowflake, BigQuery, Databricks, Redshift, \&amp; Azure Synapse
* Familiarity working building data lake and data warehouse architectures
* Experience with developmental best practices: source control, PRs, CI/CD
* Familiarity with orchestration tools like Airflow
* Experience building data pipelines with Matillion \&amp; Fivetran is a plus.
* Experience assisting clients with migrating from legacy to modern data platforms
* Expertise with Tableau dashboard and data visualization design is a plus
* Industry experience in Retail, Finance, Supply Chain, Healthcare, and/or Manufacturing
 XeoMatrix is an Equal Opportunity Employer and does not discriminate on the basis of race, color, religion, sex, age, national origin, disability, veteran status, sexual orientation or any other classification protected by Federal, State, or local law. Employment decisions are based solely on qualifications, merit, and business need.</t>
        </is>
      </c>
    </row>
    <row r="78">
      <c r="A78" t="inlineStr">
        <is>
          <t>li-4353435979</t>
        </is>
      </c>
      <c r="B78" t="inlineStr">
        <is>
          <t>DATA ENGINEER</t>
        </is>
      </c>
      <c r="C78" t="inlineStr">
        <is>
          <t>Eigen X</t>
        </is>
      </c>
      <c r="D78" t="inlineStr">
        <is>
          <t>linkedin</t>
        </is>
      </c>
      <c r="E78" t="inlineStr"/>
      <c r="F78" t="inlineStr"/>
      <c r="G78" t="inlineStr">
        <is>
          <t>Philadelphia County, PA</t>
        </is>
      </c>
      <c r="H78" t="inlineStr"/>
      <c r="I78" t="inlineStr">
        <is>
          <t>Amanda Mittnacht
 January 16, 2026
 Data Engineer
 Amanda Mittnacht
 January 16, 2026
 Data Engineer (Master’s deg. w/3 yr exp OR Bachelor’s deg w/5 yrs exp) King of Prussia, PA. Req. exp. in data (governance, discovery, lineage, flow tasks); Unit Testing; \&amp; work/w: Oracle, Teradata, SQL Server, DAX, Power BI, ETL, SSIS, SSRS \&amp; Windows. Send resume: EigenX, LLC, 1030 Continental Dr., King of Prussia, PA 19406
 0 Likes
 Share
 Older PostSenior Salesforce Consultant</t>
        </is>
      </c>
    </row>
    <row r="79">
      <c r="A79" t="inlineStr">
        <is>
          <t>li-4317203984</t>
        </is>
      </c>
      <c r="B79" t="inlineStr">
        <is>
          <t>Data Engineer</t>
        </is>
      </c>
      <c r="C79" t="inlineStr">
        <is>
          <t>Carrot</t>
        </is>
      </c>
      <c r="D79" t="inlineStr">
        <is>
          <t>linkedin</t>
        </is>
      </c>
      <c r="E79" t="inlineStr"/>
      <c r="F79" t="inlineStr"/>
      <c r="G79" t="inlineStr"/>
      <c r="H79" t="inlineStr"/>
      <c r="I79" t="inlineStr">
        <is>
          <t>**About Carrot:** 
 Carrot is a global, comprehensive fertility and family care platform, supporting members and their families through many of life's most memorable moments. Trusted by many of the world’s leading multinational employers, health plans, and health systems, Carrot’s proven clinical program delivers exceptional outcomes and experiences for members and industry\-leading cost\-savings for employers. Its award\-winning products serve all populations, from preconception care through pregnancy, IVF, male factor infertility, adoption, gestational carrier care, and menopause. Carrot offers localized support in over 170 countries and 25 languages. With a comprehensive program that prioritizes clinical excellence and human\-centered care, Carrot supports members and their families through many of the most meaningful moments of their lives. Learn more at get\-carrot.com.
 Role overview
 The Data Engineer helps evolve the reliability and scalability of Carrot’s modern data platform across analytics, reporting, and business intelligence. They build and maintain robust, automated data pipelines and partner with cross\-functional stakeholders to deliver secure, compliant, high\-quality data solutions.
 This role is hands\-on across the data lifecycle—contributing to resilient ETL/ELT pipelines, real\-time and batch integrations, and workflow orchestration—while steadily improving automation, cost efficiency, and documentation quality.
 You will improve the reliability and scalability of Carrot’s data platform, reduce manual operational risk through automation, and enable stakeholders with secure, high\-quality data—while growing your scope toward deeper ownership and technical leadership over time.
 Key responsibilities
 * Data pipeline development and operations: Build, test, deploy, monitor, and iterate on scalable ETL/ELT pipelines using platforms such as dbt and Fivetran; contribute to standard workflows (e.g., member engagement, finance/billing reports) and support ad hoc reporting needs.
* Warehouse and lake stewardship: Contribute to the design and continuous improvement of Snowflake and related cloud data platforms (AWS/GCP), including source integrations, performance tuning, and cost optimizations.
* Workflow orchestration and integrations: Develop auditable orchestration flows with tools like Prefect or Airflow; integrate with services such as S3, SFTP, APIs, and Files.com: Next\-Generation MFT, SFTP \&amp; File Sharing ; implement robust alerting, retries, and monitoring.
* Infrastructure optimization: Identify opportunities to improve pipeline speed, reliability, and cost; help refactor legacy processes, reduce manual steps, and document changes for scale and reuse.
* Partner\- and stakeholder\-facing deliverables: Support automated data integrations and exports (e.g., eligibility feeds, payroll/tax/billing files) with finance, product, legal, and commercial teams; help enforce data specs and secure handling of sensitive information.
* Change management and auditability: Follow best practices for Git/GitHub, code reviews, testing, Jira workflows, audit\-trail documentation, and exception logging; uphold InfoSec and compliance standards across the data lifecycle.
* Analytics enablement: Help design modular, well\-documented data models and marts (dbt/Snowflake) that enable BI and data science use cases (e.g., segmentation, provider matching, engagement analytics).
* Incident participation and support: Participate in on\-call or escalation routines for high\-impact data incidents; assist with root\-cause analysis, remediation, and clear stakeholder communications.
* Process automation: Codify business rules and automate recurring cycles (e.g., monthly finance handoffs, audit logs) to reduce manual intervention and operational risk.
* Data security and governance: Implement privacy\-conscious practices such as masking and de\-identification; contribute to safe, compliant access across the stack and external data exchanges.
 Minimum qualifications
 * Proficiency with Snowflake, dbt, and Python for data modeling, transformations, and pipeline development in production environments.
* Strong SQL skills for complex querying and performance optimization across large datasets.
* Experience building and maintaining automated ETL/ELT pipelines using orchestration tools such as Prefect or Airflow, including alerting, dependency management, and retries.
* Hands\-on exposure to cloud data platforms (e.g., Snowflake, AWS S3/Redshift, Google Cloud) and integrating new data sources at scale.
* Understanding of secure external data flows via SFTP, Files.com: Next\-Generation MFT, SFTP \&amp; File Sharing, and APIs, with attention to reliability and compliance requirements.
* Comfort with Git/GitHub and Jira for version control, code reviews, and operational transparency in a team setting.
* Track record of automating manual workflows and creating reusable components that reduce operational overhead.
* Collaborative, dependable working style with adaptability in dynamic environments and clear communication with technical and non\-technical partners.
 Preferred qualifications
 * Experience in fast\-paced or growth environments delivering data solutions under shifting priorities and timelines.
* Background enabling BI and data science teams via scalable integrations, data marts, and documentation that supports multi\-tenant reporting or advanced analytics.
* Familiarity with batch and event\-driven paradigms, including near\-real\-time pipelines using Snowflake, dbt, and Python.
* Experience automating operational, financial, or compliance\-driven workflows in cloud data environments.
* Exposure to audit, privacy, and compliance frameworks (e.g., SOC, HIPAA, GDPR, ISO, SOX) and role\-based access controls in regulated or healthtech contexts.
**Compensation:** 
 Carrot offers a comprehensive Total Rewards package designed to support our employees in all aspects of their lives both inside and outside of work. This includes health and wellness benefits, retirement savings plans, short\- and long\-term incentives, parental leave, family\-forming assistance, and a competitive compensation package. The starting base salary for this position will range from $104,000\.00 to $130,000\.00\. Actual compensation may differ from the listed base salary based on your specific skills and experience. 
 Fraud and Security Notice: Please note that all communication regarding job opportunities at Carrot will come exclusively from an @get\-carrot.com email address. If you receive messages from any other domain, please disregard them and report the incident to: securityreporting@get\-carrot.com
**Why Carrot?** 
 Carrot has received national and international recognition for its pioneering work, including Fast Company's Most Innovative Companies and World Changing Ideas, Inc. Power Partners, and Modern Healthcare’s Innovators. Carrot’s global workforce has been acknowledged with several accolades, including Fortune’s Best Workplaces in Healthcare, Great Place to Work, and Age\-Friendly Employer certifications. Carrot is regularly featured in media reporting on issues related to the future of work, women in leadership, and healthcare innovation, including MSNBC, The Economist, Bloomberg, The Wall Street Journal, CNBC, National Public Radio, Harvard Business Review, and more. Learn more at carrotfertility.com.</t>
        </is>
      </c>
    </row>
    <row r="80">
      <c r="A80" t="inlineStr">
        <is>
          <t>li-4360015210</t>
        </is>
      </c>
      <c r="B80" t="inlineStr">
        <is>
          <t>Data Engineer - Camera Intelligence</t>
        </is>
      </c>
      <c r="C80" t="inlineStr">
        <is>
          <t>Apple</t>
        </is>
      </c>
      <c r="D80" t="inlineStr">
        <is>
          <t>linkedin</t>
        </is>
      </c>
      <c r="E80" t="inlineStr"/>
      <c r="F80" t="inlineStr"/>
      <c r="G80" t="inlineStr">
        <is>
          <t>Cupertino, CA</t>
        </is>
      </c>
      <c r="H80" t="inlineStr"/>
      <c r="I80" t="inlineStr">
        <is>
          <t>**Summary**
 Imagine the possibilities here. At Apple, new ideas swiftly transform into extraordinary products, services, and customer experiences. With passion and dedication, you can achieve remarkable things. Here, dynamic and hardworking individuals, coupled with inspiring and innovative technologies, are the norm.
 Our passion for innovation extends beyond our products to our practices, solidifying our commitment to leaving the world better than we found it. Join us in delivering the next groundbreaking Apple product.
 Are you passionate about tackling unsolved challenges? As a member of our dynamic group, you’ll have the unique and rewarding opportunity to design upcoming products that will delight and inspire millions of Apple’s customers daily.
 Are you passionate about building products that harness the power of artificial intelligence, machine learning, and computer vision? Do you have the expertise to apply cutting\-edge knowledge to create innovative AI camera features for Apple’s products, such as the iPhone or iPad? If you’re an exceptional data engineer, the Camera Intelligence team is seeking you to join us in building our next generation of camera features.
**Description**
 We are seeking a Data Engineer to join our team to leverage the potential of artificial intelligence in Apple's cameras. In this highly collaborative role, you will partner with data collection/annotation teams, ML researchers, and camera feature teams to integrate models, design data pipelines, and shape the data requirements for next\-generation camera intelligence features. An ideal candidate should possess experience with modern machine learning workflows, a solid grasp of deep learning and the data requirements of modern network architectures.
**Responsibilities**
* Work and communicate cross functionally with ML researcher and annotation teams.
* Drive our ML data efforts.
* Design and implement data pipelines.
* Support our model selection process.
**Minimum Qualifications**
* Excellent written and verbal communication skills.
* Proven ability to collaborate across multiple teams including data collection/annotation, ML researchers, and camera feature teams.
* Strong programming skills in Python with hands\-on experience with Dask for distributed data processing
* Familiarity with ML frameworks (TensorFlow, PyTorch) and modern deep learning architectures
* Understanding of imaging fundamentals: raw sensor data, ISP outputs, color spaces, and image quality metrics.
* Ability to work independently and resolve infrastructure challenges with minimal support.
* Bachelor's degree in Computer Science, Engineering, or related field with relevant experience in data engineering and computer vision/imaging domains.
**Preferred Qualifications**
* Deep understanding of concurrency, parallelism, and working with S3\-like object storage systems
* Experience with efficient data storage formats for ML workflows (LMDB, HDF5, Parquet, or similar)
* Experience building ETL pipelines for image/video datasets and ML training workflows.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1">
      <c r="A81" t="inlineStr">
        <is>
          <t>li-4359215323</t>
        </is>
      </c>
      <c r="B81" t="inlineStr">
        <is>
          <t>Senior Data Engineer</t>
        </is>
      </c>
      <c r="C81" t="inlineStr">
        <is>
          <t>Apple</t>
        </is>
      </c>
      <c r="D81" t="inlineStr">
        <is>
          <t>linkedin</t>
        </is>
      </c>
      <c r="E81" t="inlineStr"/>
      <c r="F81" t="inlineStr"/>
      <c r="G81" t="inlineStr">
        <is>
          <t>San Francisco, CA</t>
        </is>
      </c>
      <c r="H81" t="inlineStr"/>
      <c r="I81" t="inlineStr">
        <is>
          <t>**Summary**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Data Products Engineering team is seeking an ambitious and versatile Data engineer to help lead the design and scale of key data systems, delivering data products that solve exciting business problems. Responsibilities range from designing and implementing core stream\-processing and batch\-processing capabilities, to supporting privacy preserving critical pipelines. You will have the opportunity to define, refine, and refactor approaches, designs, and architectures to meet the data engineering challenges we must solve. You will join a team of world\-class data engineers with an appetite for applying leading\-edge technologies to deliver extraordinary experiences to our customers. You will play a meaningful role building data products that deliver on Apple's privacy commitments and change the way advertising works with data. You will be a leading voice in our technology strategy and its delivery, developing and mentoring team members. You will collaborate closely with the business to deliver relevant data and insight to inform our strategy and decisions. You should have 8\+ years experience in data engineering roles, ideally within the ads or media space. You will have an excellent understanding of scalable approaches and thrive working in Agile environments. The ability to be a good standout colleague under tight deadline constraints is key to success!
**Description**
 At Apple Ads, we are building the next generation of privacy\-focused advertising capabilities. As a part of the data organization, we work at the cutting edge of data engineering, machine learning, and privacy at Apple's scale. We are constantly developing data products to provide amazing user experiences and to drive value for developers and publishers. As a part of this team, as a Data Engineer, you will \* Engineer secure and scalable data processing systems across different execution contexts such as real\-time, near real\-time, and batch using Spark, Hadoop, Kafka, Cassandra and beyond \* Collaborate with a team of world\-class data engineers and product managers to apply leading\-edge techniques and technologies that process petabytes of realtime streaming and batch events \* Require a strong understanding of the intersection between business, analytics, and engineering resulting in a proactive approach, focusing on reusable solutions, to improve efficiency and time to insight \* Must be able to work in a rapidly changing environment and perform effectively in a sprint\-based, agile development environment \* Join and contribute to a culture that emphasizes reliability, resiliency, extensibility, scalability, and productivity. We are one team, nurturing each other’s growth and supporting each other in delivering for our customers and Apple
**Minimum Qualifications**
* 8\+ years of industry experience building distributed, scalable data pipelines and data platforms
* Proven track record of successful and timely software product delivery with complex dependencies
* Demonstrated innovative, critical thinking and troubleshooting skills
* Excellent collaborative skills
* History of motivating teams to meet aggressive goals and innovate
* Proficiency with modern programming languages (e.g. Java/Scala/C\+\+) and ease with picking up new technologies independently
* Strong computer science and data engineering fundamentals
* Expertise in data modeling and Iceberg lake house implementation
* Proficiency in distributed systems and data processing technologies (e.g. Spark, Kafka, Flink)
* Experience building and scaling systems on premise and in the cloud
* Strong technical skills with proven experience developing, architecting, and supporting scalable data infrastructure
* Passion for data quality, code elegance, clear documentation, cost saving and operational excellence
**Preferred Qualifications**
* Ability to communicate effectively with cross\-functional technical and non\-technical teams
* Comfortable working in a rapidly changing environment with ambiguous requirements
* Comfortable with rotating on\-call for mission\-critical applications
* Prior experience in advertising industry is a huge plus!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2">
      <c r="A82" t="inlineStr">
        <is>
          <t>li-4363801574</t>
        </is>
      </c>
      <c r="B82" t="inlineStr">
        <is>
          <t>Junior Data Engineer</t>
        </is>
      </c>
      <c r="C82" t="inlineStr">
        <is>
          <t>Agility Partners</t>
        </is>
      </c>
      <c r="D82" t="inlineStr">
        <is>
          <t>linkedin</t>
        </is>
      </c>
      <c r="E82" t="inlineStr"/>
      <c r="F82" t="inlineStr"/>
      <c r="G82" t="inlineStr">
        <is>
          <t>Cincinnati, OH</t>
        </is>
      </c>
      <c r="H82" t="inlineStr"/>
      <c r="I82" t="inlineStr">
        <is>
          <t>Agility Partners is seeking a qualified Junior Data Engineer to fill an open position with one of our clients in the banking industry. This role is an exciting opportunity for someone early in their data career to gain hands‑on experience building and maintaining modern data pipelines and systems. You’ll work alongside experienced engineers while contributing to real business initiatives that improve data accessibility and quality. This position is perfect for someone eager to learn, grow, and develop foundational technical skills in a collaborative environment.
**Responsibilities** 
* Curate data elements, document data lineage, and maintain accurate metadata.
* Build, manage, and support data pipelines and ETL processes across cloud and on‑prem environments.
* Develop scripts and automation to improve data processing efficiency and reliability.
* Collaborate with Product Owners and Analysts to understand requirements and deliver data solutions aligned with business needs.
**The Ideal Candidate** 
* Strong problem‑solving abilities and clear communication skills.
* Proficiency in at least one programming language (Python preferred; Java also acceptable).
* Working knowledge of SQL.
* Eagerness to learn new tools and grow within a collaborative, mentorship‑focused environment.
* Familiarity with GitHub for version control.
* Understanding of data warehousing concepts, ETL technologies, or cloud platforms (nice to have).
* Exposure to big data concepts, Microsoft Power Platform, or tools like dbt, DataStage, Snowflake, or AWS (nice to have).
**Reasons to Love It** 
* Opportunity to build foundational data engineering skills with direct mentorship from senior engineers.
* Exposure to modern data platforms, cloud environments, and real business use cases.
* Collaborative, learning‑oriented team culture with room for rapid career growth.
* Chance to contribute to meaningful data initiatives that impact decision‑making across the organization.</t>
        </is>
      </c>
    </row>
    <row r="83">
      <c r="A83" t="inlineStr">
        <is>
          <t>li-4359255143</t>
        </is>
      </c>
      <c r="B83" t="inlineStr">
        <is>
          <t>Data Engineer - Health Sensing</t>
        </is>
      </c>
      <c r="C83" t="inlineStr">
        <is>
          <t>Apple</t>
        </is>
      </c>
      <c r="D83" t="inlineStr">
        <is>
          <t>linkedin</t>
        </is>
      </c>
      <c r="E83" t="inlineStr"/>
      <c r="F83" t="inlineStr"/>
      <c r="G83" t="inlineStr">
        <is>
          <t>Sunnyvale, CA</t>
        </is>
      </c>
      <c r="H83" t="inlineStr"/>
      <c r="I83" t="inlineStr">
        <is>
          <t>**Summary**
 We are a team of strong data engineers that build the scalable data infrastructure that powers health research at Apple. We develop high\-performance data pipelines and processing systems to support large\-scale health studies, clinical validations, and advanced analytics. Working closely with researchers, clinicians, and product teams, we ensure health data is accurate, accessible, and actionable — enabling science and product innovation that can improve lives.
**Description**
 We are looking for a passionate and experienced Data Engineer to join our team focused on powering cutting\-edge health research through scalable and reliable data systems. In this role, you’ll design and build high\-throughput, distributed data pipelines that ingest, process, and transform large volumes of sensor data collected from health studies. Your work will directly contribute to the advancement of health research and product development at Apple.
* Design and develop scalable, parallelized data systems to process complex, time\-series health data captured from consumer\-grade sensors.
* Implement robust ETL pipelines using distributed computing frameworks such as Apache Spark to ingest and transform binary and proprietary data formats.
* Collaborate with study stakeholders to gather requirements and contribute to the study design process, ensuring data architecture supports evolving research needs.
* Build tools and dashboards to visualize health data and support data exploration, analysis, and research insights.
* Work closely with cross\-functional teams including Software, Algorithms, and Quality Engineering to support design, integration, testing, and deployment of health data solutions.
* Own and evolve data architecture by driving standardization and reusability across studies, contributing to the development of a company\-wide health data platform.
**Minimum Qualifications**
* BS degree in Computer Science, Engineering, Data Science, or a related technical field.
* Minimum of 3 years relevant industry experience building and maintaining data pipelines or distributed data systems.
* Proficiency in Python and strong programming skills with a focus on writing clean, maintainable, and high\-performance code.
* Familiarity in SQL for querying, transforming, and analyzing structured data.
* Hands\-on experience with distributed computing frameworks like Apache Spark.
* Experience with ETL development, data modeling, and data transformation workflows.
**Preferred Qualifications**
* Experience working with sensor data, time\-series data, or healthcare datasets.
* Experience working in cloud\-based environments (e.g., AWS, GCP, or Azure) and with containerization tools like Docker and Kubernetes.
* Familiarity with job orchestration tools such as Apache Airflow or similar workflow schedulers.
* Comfort working in Linux\-based environments, including scripting, system navigation, and basic troubleshooting.
* Exposure to clinical studies, FDA validation processes, or working in regulated health environments.
* Strong communication and collaboration skills; ability to work cross\-functionally with technical and non\-technical partners.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4">
      <c r="A84" t="inlineStr">
        <is>
          <t>li-4363791539</t>
        </is>
      </c>
      <c r="B84" t="inlineStr">
        <is>
          <t>Data Engineer</t>
        </is>
      </c>
      <c r="C84" t="inlineStr">
        <is>
          <t>Alexander Chapman</t>
        </is>
      </c>
      <c r="D84" t="inlineStr">
        <is>
          <t>linkedin</t>
        </is>
      </c>
      <c r="E84" t="inlineStr"/>
      <c r="F84" t="inlineStr"/>
      <c r="G84" t="inlineStr"/>
      <c r="H84" t="inlineStr"/>
      <c r="I84" t="inlineStr">
        <is>
          <t>A leading
 **investment firm specializing in private assets** 
 is seeking an experienced
 **Data Engineer** 
 to help build and scale a modern data platform supporting institutional investment, reporting, and analytics.
 This role sits at the intersection of finance and technology and offers ownership over core data infrastructure used for decision\-making across the firm.
**Key Responsibilities** 
* Build and maintain scalable data pipelines using
 **Snowflake, DBT, and FiveTran (or Hevo)**
* Develop analytics\-ready data models for
 **PowerBI, Sigma, or Tableau**
* Automate workflows using
 **Azure Logic Apps and Power Automate**
* Implement and manage
 **CI/CD pipelines** 
 for data engineering workflows
* Establish data governance, security, and QA/QC best practices
* Partner with investment and business teams to standardize data and enable reporting
* Monitor and optimize pipeline performance and reliability
**Qualifications** 
* 5–7 years of experience as a Data Engineer (finance experience preferred)
* Hands\-on expertise with
 **Snowflake, DBT, FiveTran/Hevo**
* Experience with BI tools (
 **PowerBI, Sigma, or Tableau** 
 )
* Strong understanding of data governance, security, and data quality
* Familiarity with cloud platforms (
 **Azure, AWS, or GCP** 
 )
* Strong communication skills and a collaborative mindset
**Why This Role** 
* High\-impact work supporting institutional investment decisions
* Exposure to sophisticated private asset strategies
* Collaborative, high\-performance environment
* Competitive compensation and benefits</t>
        </is>
      </c>
    </row>
    <row r="85">
      <c r="A85" t="inlineStr">
        <is>
          <t>li-4363781333</t>
        </is>
      </c>
      <c r="B85" t="inlineStr">
        <is>
          <t>Data Engineer</t>
        </is>
      </c>
      <c r="C85" t="inlineStr">
        <is>
          <t>Stelvio Inc.</t>
        </is>
      </c>
      <c r="D85" t="inlineStr">
        <is>
          <t>linkedin</t>
        </is>
      </c>
      <c r="E85" t="inlineStr"/>
      <c r="F85" t="inlineStr"/>
      <c r="G85" t="inlineStr">
        <is>
          <t>Phoenix, AZ</t>
        </is>
      </c>
      <c r="H85" t="inlineStr"/>
      <c r="I85" t="inlineStr">
        <is>
          <t>**Data Engineer** 
**Hybrid \- 2\-3 days on site** 
**Phoenix, AZ** 
**$110\-117k** 
**\*\*Must be legally authorized to work in the U.S. (no visa sponsorship)\*\*** 
 We’re looking for a product\-oriented Data Engineer who thrives in a fast\-paced, highly collaborative Agile environment. If you enjoy partnering daily with product teams, engineers, and end\-users to ship reliable, well\-tested data solutions, this role is for you.
 As part of a modern product engineering SCRUM team, you’ll build and optimize cloud\-native data pipelines, improve data quality, and contribute to high\-impact features that support real\-world operational workflows.
**What You’ll Do:** 
* Build scalable data pipelines using modern cloud technologies
* Write clean, test\-driven C\# and Python code for data transformations
* Collaborate closely with engineers and product partners in daily standups, refinements, and design sessions
* Contribute to product\-focused solutions, not just ETL tasks
* Ensure disciplined Git/GitHub workflows (GitFlow), code reviews, and CI/CD best practices
* Communicate clearly and directly with technical and non\-technical teams
* Help evolve our data architecture, quality practices, and engineering standards
**What We’re Looking For:** 
* Strong hands\-on skills in Python and/or C\#
* Solid experience building data pipelines, ETL/ELT, and SQL solutions
* Familiarity with Agile (Scrum/XP) and working inside a product engineering team
* Experience with TDD, automated testing, and high\-quality code delivery
* Excellent communication and the ability to move quickly with cross\-functional teams
* Strong Git/GitHub habits (branches, PRs, reviews, GitFlow)
* A mindset of ownership, collaboration, and continuous improvement
 If you enjoy solving complex data problems, shipping quickly, and working in a tight\-knit Agile team where communication is constant and clarity matters, we’d love to speak with you.
**Benefits** 
 Medical, dental, and vision from day one · PTO \&amp; holidays · 401(k) with match · Lifestyle account · Tuition reimbursement · Voluntary benefits · Employee Assistance Program · Well\-being \&amp; culture programs · Professional development support</t>
        </is>
      </c>
    </row>
    <row r="86">
      <c r="A86" t="inlineStr">
        <is>
          <t>li-4359196726</t>
        </is>
      </c>
      <c r="B86" t="inlineStr">
        <is>
          <t>AIML - Sr Data Engineer, Evaluation</t>
        </is>
      </c>
      <c r="C86" t="inlineStr">
        <is>
          <t>Apple</t>
        </is>
      </c>
      <c r="D86" t="inlineStr">
        <is>
          <t>linkedin</t>
        </is>
      </c>
      <c r="E86" t="inlineStr"/>
      <c r="F86" t="inlineStr"/>
      <c r="G86" t="inlineStr">
        <is>
          <t>Seattle, WA</t>
        </is>
      </c>
      <c r="H86" t="inlineStr"/>
      <c r="I86" t="inlineStr">
        <is>
          <t>**Summary**
 The SWE Data organization seeks to improve products by using data as the voice of our customers. Within this organization, the Search Data Engineering team builds systems that process data reliably at scale to generate high\-quality datasets that support confident, data informed decision\-making for improving understanding capabilities of Search capabilities.
 We’re looking for exceptional data engineers who are passionate about our product and values; who love working with data at scale, and who are committed to continuously improve. As a part of this group, you will work with petabytes of data daily using diverse technologies. You will be expected to effectively partner with upstream engineering \&amp; privacy teams and downstream consumers, including data scientists and ML engineers.
**Description**
 In this role, you will be building ultra large scale batch \&amp; streaming datasets to support analytics, experimentation and machine learning and helping to drive our self\-serve strategy for reporting on\-behalf of data scientists and product engineers as we collectively make product better.
 You will help design instrumentation required to log data from device and server side upholding Apple’s privacy promise and validate data is flowing in the correct shape, frequency, and quality into the Data Warehouse. Curate a high performance and easy to understand data model that meets the needs of the many. Identify common patterns and build self\-serve tools to scale data engineering, and automate lifecycle of datasets with the highest standards of data quality. Educate your consumers on how to access your products, assuring transparency and understanding in logic definitions and enabling self\-service.
**Responsibilities**
**Minimum Qualifications**
* 5\+ years of technical experience designing, building, and maintaining distributed data processing platforms.
* 3\+ years of industry experience working with batch or streaming distributed data processing technologies (e.g. Spark, Flink, Kafka, Presto, Hadoop, MapReduce, etc.) for building efficient \&amp; large\-scale data pipelines.
* 3\+ years of data modeling experience designing data warehouse table schemas and logging schemas.
**Preferred Qualifications**
* Proficiency in at least one high\-level programming language (Python, Java, Scala, Go or equivalent).
* Experience with large, complex, highly dimensional data sets; hands\-on experience with SQL.
* Experience working with cross\-functional teams to collect business requirements, build consensus, and manage expectations
* You are self\-directed and capable of operating amidst ambiguity.
* You are humble, continually growing in self\-awareness, and possessing a growth mindset.
* You are curious and have excellent written and verbal communication as well as problem\-solving skills.
* You are excited about digging into massive petabyte\-scale semi\-structured datasets.
* MS or BS in CS, Engineering, Math, Statistics, or a related field or equivalent practical experience in data engineering.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7">
      <c r="A87" t="inlineStr">
        <is>
          <t>li-4359178128</t>
        </is>
      </c>
      <c r="B87" t="inlineStr">
        <is>
          <t>Data Engineering - (Data Products, Apple Ads)</t>
        </is>
      </c>
      <c r="C87" t="inlineStr">
        <is>
          <t>Apple</t>
        </is>
      </c>
      <c r="D87" t="inlineStr">
        <is>
          <t>linkedin</t>
        </is>
      </c>
      <c r="E87" t="inlineStr"/>
      <c r="F87" t="inlineStr"/>
      <c r="G87" t="inlineStr">
        <is>
          <t>Austin, TX</t>
        </is>
      </c>
      <c r="H87" t="inlineStr"/>
      <c r="I87" t="inlineStr">
        <is>
          <t>**Summary**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Data Products Engineering team is seeking an ambitious and versatile Data engineer to help lead the design and scale of key data systems, delivering data products that solve exciting business problems. Responsibilities range from designing and implementing core stream\-processing and batch\-processing capabilities, to supporting privacy preserving critical pipelines. You will have the opportunity to define, refine, and refactor approaches, designs, and architectures to meet the data engineering challenges we must solve. You will join a team of world\-class data engineers with an appetite for applying leading\-edge technologies to deliver extraordinary experiences to our customers. You will play a meaningful role building data products that deliver on Apple's privacy commitments and change the way advertising works with data. You will be a leading voice in our technology strategy and its delivery, developing and mentoring team members. You will collaborate closely with the business to deliver relevant data and insight to inform our strategy and decisions. You should have 8\+ years experience in data engineering roles, ideally within the ads or media space. You will have an excellent understanding of scalable approaches and thrive working in Agile environments. The ability to be a good standout colleague under tight deadline constraints is key to success!
**Description**
 At Apple Ads, we are building the next generation of privacy\-focused advertising capabilities. As a part of the data organization, we work at the cutting edge of data engineering, machine learning, and privacy at Apple's scale. We are constantly developing data products to provide amazing user experiences and to drive value for developers and publishers. As a part of this team, as a Data Engineer, you will
* Engineer secure and scalable data processing systems across different execution contexts such as real\-time, near real\-time, and batch using Spark, Hadoop, Kafka, Cassandra and beyond
* Collaborate with a team of world\-class data engineers and product managers to apply leading\-edge techniques and technologies that process petabytes of realtime streaming and batch events
* Require a strong understanding of the intersection between business, analytics, and engineering resulting in a proactive approach, focusing on reusable solutions, to improve efficiency and time to insight
* Must be able to work in a rapidly changing environment and perform effectively in a sprint\-based, agile development environment
* Join and contribute to a culture that emphasizes reliability, resiliency, extensibility, scalability, and productivity. We are one team, nurturing each other’s growth and supporting each other in delivering for our customers and Apple
**Minimum Qualifications**
* 8\+ years of industry experience building distributed, scalable data pipelines and data platforms
* Proven track record of successful and timely software product delivery with complex dependencies
* Demonstrated innovative, critical thinking and troubleshooting skills
* Excellent collaborative skills
* History of motivating teams to meet aggressive goals and innovate
* Proficiency with modern programming languages (e.g. Java/Scala/C\+\+) and ease with picking up new technologies independently
* Strong computer science and data engineering fundamentals
* Expertise in data modeling and Iceberg lake house implementation
* Proficiency in distributed systems and data processing technologies (e.g. Spark, Kafka, Flink)
* Experience building and scaling systems on premise and in the cloud
* Strong technical skills with proven experience developing, architecting, and supporting scalable data infrastructure
* Passion for data quality, code elegance, clear documentation, cost saving and operational excellence
**Preferred Qualifications**
* Ability to communicate effectively with cross\-functional technical and non\-technical teams
* Comfortable working in a rapidly changing environment with ambiguous requirements
* Comfortable with rotating on\-call for mission\-critical applications
* Prior experience in advertising industry is a huge plus!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8">
      <c r="A88" t="inlineStr">
        <is>
          <t>li-4353586112</t>
        </is>
      </c>
      <c r="B88" t="inlineStr">
        <is>
          <t>Data Engineer, Dynamic Messaging</t>
        </is>
      </c>
      <c r="C88" t="inlineStr">
        <is>
          <t>Electronic Arts (EA)</t>
        </is>
      </c>
      <c r="D88" t="inlineStr">
        <is>
          <t>linkedin</t>
        </is>
      </c>
      <c r="E88" t="inlineStr"/>
      <c r="F88" t="inlineStr"/>
      <c r="G88" t="inlineStr">
        <is>
          <t>Austin, TX</t>
        </is>
      </c>
      <c r="H88" t="inlineStr"/>
      <c r="I88"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Data Engineer, Dynamic Messaging
 Hybrid \- Austin, TX or Great Northern Way Vancouver, BC
 Electronic Arts creates next\-level entertainment experiences that inspire players and fans around the world. Here, everyone is part of the story. Part of a community that connects across the globe. We create a place where creativity is paramount, we invite new perspectives, and we make ideas matter. A team where everyone makes play happen.
 The Dynamic Messaging Data Engineer will report to the Manager, Messaging Insights \&amp; Diagnostics. This is a hybrid role (3 days in office per week).
**EA Experiences OCXO CRM**
 The Email \&amp; Dynamic Messaging (EDM) team sits within the CRM group, responsible for email as a channel, and for developing products that improve the way we implement strategies at scale.
 Our team focuses on core metrics that improve incremental growth for the business, while maintaining the health of the channel and creating positive experiences for the Player.
 As a Dynamic Messaging Data Engineer, you will manage the daily targeting, matching, performance, and measurement processes within our data pipelines. You will work with other teams across CRM and the broader organization to ensure successful outcomes for Players. You have a background in data analytics, marketing, and data engineering.
**Responsibilities**
* Investigate \&amp; Improve: Dive deep into data systems to uncover insights, troubleshoot issues, and design scalable databases and models that power high\-volume, low\-latency applications.
* ETL Development: Maintain ETL pipelines, ensuring best performance and reliability.
* Plan for Scale: Influence planning, and scalability strategies to meet evolving business needs.
* Collaborate \&amp; Align: Inform requirements for developers, product managers, solution architects, and strategists to deliver impactful outcomes.
* Technical Expertise: Act as a trusted consultant to architects and business partners, managing dependencies and guiding best practices.
* Stay Curious: Embrace change, learn new technologies, and apply fresh skillsets to ensure team and company success.
* Secure \&amp; Comply: Uphold database security standards and ensure compliance with policies and regulations.
**Qualifications**
* Experience: Minimum 3\+ years in enterprise environments managing relational and non\-relational databases.
* CRM Expertise: Knowledge of CRM concepts, marketing data, and marketing technologies.
* Programming: SQL, Python (or Scala/Java).
* Databases: Relational (PostgreSQL, MySQL) \&amp; NoSQL (DynamoDB).
* Pipeline Expertise: Experience building and scaling ETL/data pipelines for high\-volume, low\-latency applications.
* Version Control: Experience with Git, GitHub, GitLab
* Data Science Concepts: Understanding data lifecycle, analysis principles.
* System Design: Basic concepts of distributed systems, scalability.
**Preferred Qualifications**
* Governance Knowledge: Familiarity with data governance, privacy regulations, and security best practices.
* ETL/ELT Tools: Experience with tools like Apache Airflow
* Big Data: Familiarity with Spark, Hadoop, Kafka.
* Cloud Platforms: Experience with AWS, Azure, or Google Cloud.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\*$83,000 \- $116,400 CAD
 Pay is just one part of the overall compensation at EA.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89">
      <c r="A89" t="inlineStr">
        <is>
          <t>li-4363732161</t>
        </is>
      </c>
      <c r="B89" t="inlineStr">
        <is>
          <t>Senior Data Engineer</t>
        </is>
      </c>
      <c r="C89" t="inlineStr">
        <is>
          <t>Mangomint</t>
        </is>
      </c>
      <c r="D89" t="inlineStr">
        <is>
          <t>linkedin</t>
        </is>
      </c>
      <c r="E89" t="inlineStr"/>
      <c r="F89" t="inlineStr"/>
      <c r="G89" t="inlineStr"/>
      <c r="H89" t="inlineStr"/>
      <c r="I89" t="inlineStr">
        <is>
          <t>**About Mangomint** 
 Mangomint
 is a fast\-growing SaaS company on a mission to make every salon and spa more profitable. We are already the
 highest\-rated
 salon and spa software in the US and Canada with thousands of customers and seek to become the \#1 market leader in the coming years.
 We’re a fully remote, fun, and ambitious
 team
 and get together every few months in person. As we grow, we’re looking to attract high\-potential individuals who want to be part of a winning team. If that’s you,
 come join us
 !
**About the Role** 
 Mangomint is looking for a
 **Senior Data Engineer** 
 to design, build, and optimize data pipelines, automations, and internal data tools that support all aspects of our business. As a Senior Data Engineer at Mangomint, you’ll work across multiple systems, integrating data from our product, CRM, and other business platforms to drive analytics, automation, and operational efficiency. Your primary focus will be on developing scalable data solutions, building automations, and enabling efficient, data\-driven operations.
 In this role you’ll primarily work in SQL, Python, and Javascript within our data platform. We use AWS, Snowflake, Prefect, Pipedream, dbt, Sigma, and a variety of other internal business systems.
 If you love taking data projects from start to finish, enjoy working autonomously in a fast\-paced startup environment, don’t mind some ambiguity, and thrive when collaborating directly with stakeholders, this role could be for you!
**As a Senior Data Engineer at Mangomint you will:** 
* **Design, develop, and maintain ETL/ELT data pipelines** 
 using Snowflake, dbt, Prefect, and other modern data tools
* **Automate data workflows** 
 to improve efficiency and reliability
* **Integrate CRM and other business systems** 
 to support cross\-functional needs
* **Develop data enrichment pipelines** 
 to power our sales process
* **Build internal data tools** 
 to drive data\-driven decision making
* **Work directly with stakeholders** 
 to define requirements and implement data solutions that support business objectives
* **Ensure data integrity, governance, and security best practices** 
 are upheld
* **Support analytics and reporting efforts** 
 by building dashboards and data models in dbt and Sigma
**What We’re Looking For** 
* **5\+ years of experience** 
 in data engineering or a related role
* **Proficiency in SQL and Python** 
 for data pipelines and automation
* **Experience with dbt** 
 (or similar data modeling tools)
* **Familiarity with Snowflake** 
 (or other cloud data warehouses)
* **Knowledge of APIs** 
 and experience integrating various data sources
* **Experience with CRM and business systems** 
 (Salesforce, Outreach, Stripe, etc.)
* **Strong problem\-solving and communication skills** 
 and the ability to take ownership of projects
**Bonus points if you have:** 
* Prior experience working at a
 **startup** 
 or similarly scaled company
* Exposure to multiple tech stacks and experience at different companies
**What You'll Love About Mangomint** 
* Competitive compensation
* Employee stock options
* Comprehensive health coverage (health, dental, vision, life \&amp; disability)
* Generous monthly wellness budget (gym, massage, etc.)
* Premium
 Calm
 app \&amp;
 One Medical
 membership
* Flexible, unlimited PTO
* 401k, HSA and FSA plans available (no current match)
***Mangomint is an equal opportunity employer. We do not discriminate against any employee or job applicant on the basis of race, color, religion, sex (including pregnancy, sexual orientation, and gender identity), national origin, age, disability and genetic information (including family medical history).***</t>
        </is>
      </c>
    </row>
    <row r="90">
      <c r="A90" t="inlineStr">
        <is>
          <t>li-4360015392</t>
        </is>
      </c>
      <c r="B90" t="inlineStr">
        <is>
          <t>Data Engineer</t>
        </is>
      </c>
      <c r="C90" t="inlineStr">
        <is>
          <t>Mindex</t>
        </is>
      </c>
      <c r="D90" t="inlineStr">
        <is>
          <t>linkedin</t>
        </is>
      </c>
      <c r="E90" t="inlineStr"/>
      <c r="F90" t="inlineStr"/>
      <c r="G90" t="inlineStr">
        <is>
          <t>Rochester, New York Metropolitan Area</t>
        </is>
      </c>
      <c r="H90" t="inlineStr"/>
      <c r="I90" t="inlineStr">
        <is>
          <t>**Description** 
 Founded in 1994 and celebrating 30 years in business, Mindex is a software development company with a rich history of demonstrated software and product development success. We specialize in agile software development, cloud professional services, and creating our own innovative products. We are proud to be recognized as the \#1 Software Developer in the 2023 RBJ's Book of Lists and ranked 27th in Rochester Chamber’s Top 100 Companies. Additionally, we have maintained our certification as a Great Place to Work for consecutive years in a row. Our list of satisfied clients and \#ROCstar employees are both rapidly growing— Are you next to join our team?
 Mindex’s Software Development division is the go\-to software developer for enterprise organizations looking to engage teams of skilled technical resources to help them plan, navigate, and execute through the full software development lifecycle.
 We seek a skilled Google Cloud Platform Data Engineer to join our team.
**Essential Functions** 
 The GCP Data Engineer will develop data integration processes supporting client data initiatives. This includes ensuring accuracy and consistency of business data across systems, with extensive use of Python, SQL, and modern data engineering frameworks. The role also requires providing technical support during business hours.
 Key Responsibilities:
* Develop an understanding of the data environment through profiling and analysis to enhance data quality.
* Build Python\-based solutions for data extraction, cleansing, transformation, and validation to support data migration.
* Document data integration processes, ensure traceability and develop data monitoring solutions.
* Collaborate with architects for solution integration ensuring alignment with company standards.
* Manage data tools and platforms for proper software/infrastructure updates.
* Work with the Data Management Organization to align with data quality improvement objectives.
* Ensure solutions meet Service Level Agreements with capacity and performance considerations.
**Requirements** 
* Bachelor’s Degree in Computer Science or equivalent experience preferred.
* 4 years of experience in software engineering with a strong focus on Python and data engineering.
* Advanced proficiency in Python and
 **Agent Development** 
 with strong problem\-solving skills required.
* 3 years of development experience and proficiency with Relational Databases, NoSQL, and/or Data Lakehouses (
 **Snowflake** 
 , Microsoft Fabric, Databricks)
* Intermediate proficiency in cloud technologies, including
 **Google Cloud Platform** 
 , required.
* Working knowledge of REST standards preferred.
* Experienced in data quality, data integration, and data processing.
* Proficiency with data movement solutions like Informatica IICS, Fivetran, and Airbyte.
* Experience with data transformation solutions, such as dbt.
* Experience with workflow orchestration tools such as
 **Airflow or Astronmer** 
 , Dagster, and Prefect.
* Familiarity with CI/CD and container technology is preferred. Understanding usage of AI technologies for development and proficiency in prompting
*Physical Conditions/Requirements* 
* Prolonged periods sitting at a desk and working on a computer
* No heavy lifting is expected. Exertion of up to 10 lbs.
**Benefits** 
* Health insurance
* Paid holidays
* Flexible time off
* 401k retirement savings plan and company match with pre\-tax and ROTH options
* Dental insurance
* Vision insurance
* Employer paid disability insurance
* Life insurance and AD\&amp;D insurance
* Employee assistance program
* Flexible spending accounts
* Health savings account with employer contributions
* Accident, critical illness, hospital indemnity, and legal assistance
* Adoption assistance
* Domestic partner coverage
**Mindex Perks** 
* Tickets to local sporting events
* Teambuilding events
* Holiday and celebration parties
**Professional Development** 
* Leadership training
* License to Udemy online training courses
* Growth opportunities
 The band range for this role takes into account the wide range of factors that are considered in making compensation decisions including, but not limited to, skill sets, education, experience, training, certifications, internal equity, and other business and organizational needs. It is not typical for an individual to be hired at, or near, the top of the range for their role; and compensation decisions are dependent on the facts and circumstances of each case. The range for this role is $90,000\-$140,000
 Applicants must be authorized to work for ANY employer in the U.S. We are unable to sponsor, or take over sponsorship of an employment Visa at this time.</t>
        </is>
      </c>
    </row>
    <row r="91">
      <c r="A91" t="inlineStr">
        <is>
          <t>li-4359255786</t>
        </is>
      </c>
      <c r="B91" t="inlineStr">
        <is>
          <t>Data Analytics Engineer JN -102025-166384</t>
        </is>
      </c>
      <c r="C91" t="inlineStr">
        <is>
          <t>Goodwin Recruiting</t>
        </is>
      </c>
      <c r="D91" t="inlineStr">
        <is>
          <t>linkedin</t>
        </is>
      </c>
      <c r="E91" t="inlineStr"/>
      <c r="F91" t="inlineStr"/>
      <c r="G91" t="inlineStr">
        <is>
          <t>Atlanta, GA</t>
        </is>
      </c>
      <c r="H91" t="inlineStr"/>
      <c r="I91" t="inlineStr">
        <is>
          <t>**To Apply for this Job Click Here**
 The Data Analytics Engineer will help the business intelligence team by building reliable data pipelines, creating data models for reports, and making sure stakeholders get accurate and timely information. You’ll work closely with senior engineers and analysts, gaining hands\-on experience with cloud data platforms, automation tools, and modern analytics processes.
**Responsibilities**
* Build and maintain data pipelines using tools like dbt, Snowflake, Airflow, Dagster, and Azure Data Factory, with guidance from senior team members.
* Write SQL and Python code to clean, transform, and load data from different sources.
* Help create and update data models (like tables for reporting and analysis).
* Support BI tools (like Sigma) by making sure data is accurate and current.
* Monitor data pipelines and fix issues related to data quality or performance.
* Document data workflows and models for team sharing and future use.
* Integrate APIs into data pipelines.
* Work with the BI team to turn business needs into useful datasets and dashboards.
* Participate in code reviews and use version control (Git) to keep data consistent and reliable.
**Requirements**
* 2–3 years of experience in data or analytics engineering.
* Strong SQL skills for analysis and data transformation.
* Basic Python skills for data processing.
* Experience with cloud data warehouses, preferably Snowflake.
* Familiarity with data transformation tools like dbt.
* Some experience with workflow tools like Airflow or Azure Data Factory.
* Understanding of databases, data schemas, joins, and data modeling.
* Good communication and problem\-solving skills, eager to learn new tools.
**Nice to Have**
* Experience with BI tools like Sigma, Power BI, Looker, or Tableau.
* Knowledge of Git and teamwork in software development.
* Understanding of data governance, data quality, and data lineage.
* Experience working in cloud platforms such as Azure, AWS, or GCP.
 At Goodwin Recruiting, we are committed to our core values and providing world class customer service. We are committed to helping our clients navigate and comply with the complex and ever\-changing labor laws as well as help ensure that in every hiring decision, internally and with our client partners, that all viable candidates are considered, and the most qualified candidate is offered the role. We evaluate the knowledge, skills, and abilities that meet the requirements of the position and aim to open doors and change lives. We value all people, understanding that uniqueness and diversity foster a stronger team that is innovative and brings varying perspectives to the table. We put our money where our mouth is and are proud of our efforts to identify a broad slate of candidates, with many hiring success stories to share.
 **JOB ID** 
 : 166384 \#post
 Jennie Tay
**To Apply for this Job Click Here**
 , $100,000 \- $125,000,</t>
        </is>
      </c>
    </row>
    <row r="92">
      <c r="A92" t="inlineStr">
        <is>
          <t>li-4360045521</t>
        </is>
      </c>
      <c r="B92" t="inlineStr">
        <is>
          <t>Data Engineer (Intermediate)</t>
        </is>
      </c>
      <c r="C92" t="inlineStr">
        <is>
          <t>ampliFI Loyalty Solutions</t>
        </is>
      </c>
      <c r="D92" t="inlineStr">
        <is>
          <t>linkedin</t>
        </is>
      </c>
      <c r="E92" t="inlineStr"/>
      <c r="F92" t="inlineStr"/>
      <c r="G92" t="inlineStr">
        <is>
          <t>Naperville, IL</t>
        </is>
      </c>
      <c r="H92" t="inlineStr"/>
      <c r="I92" t="inlineStr">
        <is>
          <t>**Overview**
 The
 **Intermediate Data Engineer** 
 is responsible for designing, building, and maintaining scalable, high\-performance data pipelines and solutions. This role works closely with business stakeholders and development teams to transform complex data into actionable insights. The position requires hands\-on experience with Big Data technologies, cloud platforms (especially AWS), and multiple programming languages. The ideal candidate is analytical, detail\-oriented, and capable of architecting solutions that drive business value.
**Responsibilities**
* Design, develop, and maintain modular, reusable, and efficient code to solve complex, real\-world data problems.
* Conduct regular peer code reviews to ensure quality, maintainability, and compliance with industry best practices.
* Collaborate with cross\-functional teams to understand business requirements and ingest diverse data sources.
* Research, experiment, and implement leading Big Data technologies on AWS.
* Develop and maintain ETL pipelines, data warehouses, and streaming data solutions.
* Assist in defining and enforcing data architecture, governance, and platform standards.
* Participate in developing thought leadership and best practices for data engineering at ampliFI.
* Transform and visualize data for both ad hoc analyses and automated product\-level solutions.
* Troubleshoot, optimize, and monitor data workflows and pipelines for performance, reliability, and security.
* Collaborate with internal teams and stakeholders to communicate technical concepts clearly and manage project interdependencies.
**Essential Skills And Experience**
* 3\+ years of experience in data engineering, ETL development, or a related field using Big Data methodologies.
* Bachelor’s degree in Computer Science, Engineering, Information Technology, or a related technical field.
* Proficiency in Python, Pandas, Spark, and Java.
* Hands\-on experience with AWS Big Data services such as EC2, S3, EMR, Kinesis, DynamoDB, Athena, AWS Glue, and Redshift.
* Experience with Unix/Linux environments.
* Knowledge of source code management systems like Git.
* Strong understanding of programming best practices, testing, and version control.
* Experience building scalable, high\-performance data pipelines and data processing workflows.
* Ability to communicate complex technical concepts to both technical and non\-technical stakeholders.
**Preferred Skills And Experience**
* Master’s degree in Computer Science, Data Engineering, Information Technology, or related field.
* Experience with Terraform or other infrastructure\-as\-code (IaC) tools.
* Familiarity with Agile development methodologies and software lifecycle management.
* Experience with data visualization tools and reporting frameworks.
* Exposure to machine learning pipelines or analytics platforms.
* Knowledge of cloud security, data privacy, and compliance best practices.
**Key Competencies and Attributes**
* Analytical thinker with strong problem\-solving skills and attention to detail.
* Curious, proactive, and committed to learning and adopting new technologies.
* Ability to work independently and collaboratively in cross\-functional teams.
* Strong interpersonal and communication skills.
* Passion for delivering scalable, efficient, and high\-quality data solutions.
* Ability to manage multiple projects simultaneously and meet deadlines.
* Demonstrated ownership, accountability, and a sense of urgency.
**Work Arrangement**
* Based at ampliFI’s Naperville, IL Corporate office, this hybrid role requires onsite reporting Tuesday\-Thursday weekly.
* National remote opportunities require residency in one of the following states AZ, CO, FL, GA, IL, IN, MA, MT, NE, NH, NJ, NY, OH, PA, SC, TN, TX, UT, VA or WI.
**Physical Requirements**
 This role involves sitting or standing for extended periods, using computers, phones, and other office equipment. Visual acuity and manual dexterity are needed for reading documents and handling materials. Occasional lifting of items up to 20 lbs. and frequent phone communication is required.
**Other Duties**
 Duties, responsibilities, and activities are not all encompassing and may change at any time with or without notice. To perform this job successfully, an individual must be able to satisfactorily carry out each essential duty. Reasonable accommodation may be made to enable qualified individuals with disabilities to perform essential job functions
 The compensation range listed below represents the potential salary for this role at the time of posting. However, the final salary may be higher or lower than the stated range, and this range may be adjusted in the future. An employee’s placement within the salary range will depend on various factors, including but not limited to relevant education, qualifications, certifications, experience, skills, seniority, geographic location, performance, shift, travel requirements, sales or revenue\-based metrics, any applicable collective bargaining agreements, and the needs of the business or organization. The salary range for this role is $95,000 to $110,000\.
**About AmpliFI**
 At ampliFI
 *Integrity* 
 guides every decision,
 *Curiosity* 
 drives innovation, and
 *Advocacy* 
 ensures we always put our clients and teammates first. We foster a supportive, fun workplace where your contributions are valued, and your growth is encouraged.
 ampliFI provides fully outsourced, customized credit and debit card loyalty programs exclusively focused on banks and credit unions nationwide. For nearly two decades, we have delivered compelling rewards programs, unique earn and burn opportunities and card\-linked programs to leverage merchant funded offers. Here at ampliFI, we are always looking for more great people to be a part of the
 *relentless pursuit of excellence in everything we do* 
 .
**Benefits And Perks**
* Competitive pay plus 401(k) with employer match
* Medical, dental, vision, and life insurance
* Voluntary café plans, including voluntary life, accident, hospital, critical care, and parking/transit options
* Tuition Reimbursement
* Paid time off, company holidays, and parental leave
* Employee Assistance Program
* Hybrid work environment with flexible hours
* Onsite perks including gym access and snacks
* Employee recognition programs celebrating milestones and achievements
* Growth opportunities within a supportive, team\-oriented environment
*ampliFI Loyalty Solutions embraces diversity and equal opportunity. We are committed to building a team that represents a variety of backgrounds, perspectives, and skills because we believe that the more inclusive we are, the greater impact we can make together.*</t>
        </is>
      </c>
    </row>
    <row r="93">
      <c r="A93" t="inlineStr">
        <is>
          <t>li-4330597543</t>
        </is>
      </c>
      <c r="B93" t="inlineStr">
        <is>
          <t>Senior Data Engineer</t>
        </is>
      </c>
      <c r="C93" t="inlineStr">
        <is>
          <t>Peerspace</t>
        </is>
      </c>
      <c r="D93" t="inlineStr">
        <is>
          <t>linkedin</t>
        </is>
      </c>
      <c r="E93" t="inlineStr"/>
      <c r="F93" t="inlineStr"/>
      <c r="G93" t="inlineStr"/>
      <c r="H93" t="inlineStr"/>
      <c r="I93" t="inlineStr">
        <is>
          <t>**Senior Data Engineer** 
**About Peerspace** 
 Peerspace is the leading and category defining online marketplace for venue rentals for meetings, productions, and events. We open doors to the most inspiring spaces around the world, from lofts and mansions to storefronts and studios. Over $500M has been transacted through the platform, and our investors include GV (Google Ventures) and Foundation Capital.
 We are looking for a Senior Data Engineer who approaches data with the mindset of a Software Engineer. You won't just be moving data; you will be building the robust infrastructure and services that power our product. In this role, you will take ownership of decomposing and modernizing our legacy business data pipelines. You will be a key architect in building data services that expose critical information directly within our product, as well as for internal analytics. We need a builder who values clean code, testability, and scalability alongside data quality.
 What you will do:
 \* Modernize \&amp; Decompose: Take the lead on breaking down large, monolithic data initiatives into manageable, modern services and pipelines that allow us to ship fast and scale efficiently.
 \* Architecture \&amp; Design: Drive the strategy for new data storage patterns and the services required to serve data back to the core product as well as for internal analytics consumption.
 \* Engineering Excellence: Apply software engineering best practices—such as CI/CD, unit testing, and version control—to our data ecosystem.
 \* End\-to\-End Data Ownership: Act with a strong ownership mindset, digging into the "why" and "how" to find answers in a startup\-style environment.
 \* Collaborate \&amp; Mentor: We’re a small and nimble team. You will be a primary collaborator across the company, from Product and Engineering to Marketing and Finance, serving as a partner and mentor to bring the whole team along in building production\-grade systems.
 What we are looking for:
 \* Software\-Driven Data Engineering: You have a deep understanding of software design patterns and a strong foundation in data engineering basics. You are opinionated on best practices regarding data orchestration and storage, and you know how to apply engineering rigor (modularity, testing, and maintainability) to data workflows.
 \* Strategic Pragmatism: You have a track record of balancing short\-term business requirements with long\-term technical health. You know when to build for the future and when a tactical solution is the right call for the moment.
 \* Python \&amp; SQL Mastery: You are highly proficient in Python and can write complex, performant SQL.
 \* Architectural Grit: You have a track record of breaking down high\-level business requirements into technical roadmaps and executing them.
 \* Collaborative Ownership: You are a proactive communicator who takes pride in owning a problem from discovery to resolution. You enjoy digging in yourself to find answers and partnering with others to implement the right solution.
 \* The "Startup" Spirit: You are comfortable with ambiguity. You don’t wait for a manual; you enjoy digging into the code to figure out how things work.
 Bonus Points:
 \* Experience or a strong interest in deploying ML pipelines and working with LLM tooling.
 \* Experience with dbt.
 \* Experience with real\-time or near real\-time data processing (streaming).
 Our Tech Stack:
 Knowing these specific tools is not a requirement for application, but we like to give you a heads\-up on what you would be working with daily: Google Cloud Platform (GCP), BigQuery, Airflow, dbt, Metaplane, Segment, Postgres, Tableau
 Why Peerspace?
 Peerspace is proudly certified as a Great Place to Work™ and we're a remote first company with team members located in cities around the globe. Beyond competitive salary and equity compensation, we provide:
 ● 100% employee coverage of medical, dental and vision insurance
 ● $500 annual professional development allowance
 ● Discount on all Peerspace bookings
 ● Laptop, high res display, and stipend to setup home office
 ● Monthly cell phone and internet credit
 ● Coworking membership if needed (in lieu of home office)
 ● Flexible take it as you need it time off policy
 ● Wellness Fridays observed company wide
 ● Annual in\-person, all company offsites and team\-building events
 The annual salary range for this role is $160,000 to $175,000\. The actual salary will vary depending on experience, skills, and abilities as well as internal equity and market data.
 Diversity
 At Peerspace, we're dedicated to creating a team that's diverse, equitable and inclusive. We believe bringing people together from different backgrounds and identities makes us stronger and better serves the Peerspace community. We'd especially like to encourage applicants from different backgrounds, locations, and experiences.
 At Peerspace, we are committed to maintaining a secure and transparent hiring experience. Please be aware that scammers sometimes impersonate companies like ours by posting fake job listings or reaching out to job seekers in misleading ways. All legitimate communication from Peerspace will come from an official @peerspace.com email address. We do not contact candidates through personal email accounts, third\-party messaging apps such as WhatsApp or Microsoft Teams, or through the Peerspace platform's internal messaging system. All Interviews are conducted only by phone or Zoom, and we will never ask for sensitive personal or financial information such as your Social Security number or bank details during the early stages of the hiring process. If you receive any message that seems suspicious or does not align with these practices, please contact us immediately at help@peerspace.com so we can investigate. We only post our job openings and process applications, through our official careers page at
 https://jobs.lever.co/peerspace
 .</t>
        </is>
      </c>
    </row>
    <row r="94">
      <c r="A94" t="inlineStr">
        <is>
          <t>li-4363880903</t>
        </is>
      </c>
      <c r="B94" t="inlineStr">
        <is>
          <t>Analytics Engineer (hybrid)</t>
        </is>
      </c>
      <c r="C94" t="inlineStr">
        <is>
          <t>Aeroflow Health</t>
        </is>
      </c>
      <c r="D94" t="inlineStr">
        <is>
          <t>linkedin</t>
        </is>
      </c>
      <c r="E94" t="inlineStr"/>
      <c r="F94" t="inlineStr"/>
      <c r="G94" t="inlineStr">
        <is>
          <t>Asheville, NC</t>
        </is>
      </c>
      <c r="H94" t="inlineStr"/>
      <c r="I94" t="inlineStr">
        <is>
          <t>**Aeroflow Health – Analytics Engineer**
 Aeroflow Health is made up of creative and talented associates who are transforming the home medical equipment industry. Our patient\-centric business model is founded on innovation through technology and cutting\-edge delivery platforms. We have grown to be a leader in the home medical equipment segment of the healthcare industry, are among the fastest\-growing healthcare companies in the country and recognized on Inc. 5000’s list of fastest\-growing companies in the U.S.
 As Aeroflow has grown, our needs to curate an amazing employee environment and experience have grown as well. We’re working hard to ensure that Aeroflow remains a premier employer in Western North Carolina by making constant improvements to our office spaces, thus bettering the everyday lives of the employees that work so hard to service our patients.
**The Opportunity**
 Within Aeroflow, the Data Operations team is comprised of a small but mighty team of data professionals. Our engineers work alongside our business stakeholders, product owners, technical leads, and QA specialists to help facilitate quality data products for our internal customers.
 For this role, you will be joining our Data Operations team. This team is a group of passionate data practitioners and innovators dedicated to building cutting\-edge solutions using the latest in ELT technologies, including Airbyte, DBT, Snowflake and Sigma. You will play a pivotal role in designing, developing, and deploying models in our Data Warehouse. You will collaborate with cross\-functional teams to bring innovative ideas to life, leveraging your expertise in ELT and Data Warehouses to maximize the value of Aeroflow’s data.
 Key objectives for this position include partnering with our internal stakeholders to create high value data products to drive growth, efficiency, and opportunity.
**Your Primary Responsibilities**
 We are currently seeking an Analytics Engineer. The Engineer is typically responsible for
* Data Modeling: Design, develop, and maintain a robust and scalable data model within the Snowflake data warehouse, ensuring data accuracy, consistency, and performance.
* Data Pipelines: Build and optimize data pipelines using Airbyte to efficiently extract, transform, and load data into the Snowflake data warehouse.
* dbt Development: Create, manage, and optimize dbt models to transform raw data into actionable insights.
* Semantic Layer: Develop a comprehensive semantic layer to provide a unified view of the data for business users and analysts.
* Data Quality: Implement data quality checks and monitoring to ensure data integrity and reliability.
* Collaboration: Work closely with data analysts, SQL engineers, and business stakeholders to understand data requirements and deliver solutions.
* Employee has an individual responsibility for knowledge of and compliance with laws, regulations, and policies.
* Compliance is a condition of employment and is considered an element of job performance
* Maintain HIPAA/patient confidentiality
* Regular and reliable attendance as assigned by your schedule
* Other job duties assigned
**Skills For Success**
* Data Engineering: Strong proficiency in data engineering concepts, including data modeling, ELT processes, and data warehousing.
* SQL: Expert\-level SQL skills for data manipulation and analysis.
* dbt: In\-depth knowledge of dbt for building and managing data transformations.
* Airbyte: Experience with Airbyte or Fivetran for data ingestion and pipeline management.
* Cloud Platforms: Familiarity with cloud platforms (e.g., AWS, GCP, Azure) and cloud data warehousing.
* Data Quality: Understanding of data quality concepts and tools.
* Problem Solving: Ability to analyze complex data challenges and develop effective solutions.
**Required Qualifications**
* Bachelor's degree in Computer Science, Statistics, or a related field.
* 3\+ years of experience in data engineering or a related role.
* Proven experience with data modeling and ETL processes.
* Strong SQL skills and proficiency in Python or other scripting languages.
* Experience with data warehousing platforms (Snowflake preferred).
* Knowledge of data quality best practices.
* ETC
**What We Look For**
 We are seeking a highly analytical and detail\-oriented individual with a passion for data. The ideal candidate will have a strong foundation in data engineering and a proven ability to build efficient and reliable data pipelines. We value a collaborative and problem\-solving mindset, as well as a strong desire to drive data\-driven decision making.
**What Aeroflow Offers**
 Competitive Pay, Health Plans with FSA or HSA options, Dental, and Vision Insurance, Optional Life Insurance, 401K with Company Match, 12 weeks of parental leave for birthing parent/ 4 weeks leave for non\-birthing parent(s), Additional Parental benefits to include fertility stipends, free diapers, breast pump, Paid Holidays, PTO Accrual from day one, Employee Assistance Programs and SO MUCH MORE!!
 Here at Aeroflow, we are proud of our commitment to all of our employees. Aeroflow Health has been recognized both locally and nationally for the following achievements:
* Family Forward Certified
* Great Place to Work Certified
* Inc. 5000 Best Place to Work award winner
* HME Excellence Award
* Sky High Growth Award
 If you’ve been looking for an opportunity that will allow you to make an impact, and an organization with unlimited growth potential, we want to hear from you!
 Aeroflow Health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t>
        </is>
      </c>
    </row>
    <row r="95">
      <c r="A95" t="inlineStr">
        <is>
          <t>li-4363871170</t>
        </is>
      </c>
      <c r="B95" t="inlineStr">
        <is>
          <t>Data Engineer</t>
        </is>
      </c>
      <c r="C95" t="inlineStr">
        <is>
          <t>Eurofins Environment Testing (USA)</t>
        </is>
      </c>
      <c r="D95" t="inlineStr">
        <is>
          <t>linkedin</t>
        </is>
      </c>
      <c r="E95" t="inlineStr"/>
      <c r="F95" t="inlineStr"/>
      <c r="G95" t="inlineStr">
        <is>
          <t>Stafford, TX</t>
        </is>
      </c>
      <c r="H95" t="inlineStr"/>
      <c r="I95" t="inlineStr">
        <is>
          <t>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Eurofins is dedicated to delivering testing services that contribute to the health and safety of society and the planet, and to its corporate responsibility to protect the environment and ensure diversity, equity, and inclusion across the entire network of Eurofins companies.
**Job Description**
 Our team is at the forefront of applying Machine Learning (ML) to interpret and process complex chemical data, specifically chromatograms and environmental testing results. We're seeking a skilled Data Engineer to design, build, and maintain the robust data pipelines and infrastructure necessary to support our ML model training, deployment, and analysis workflows. The ideal candidate has a strong foundation in data engineering, understands the unique challenges of scientific data, and is eager to work closely with both Machine Learning Engineers (MLE) and Chemists.
**Key Responsibilities**
* Data Pipeline Development: Design, construct, and manage scalable and reliable ETL/ELT pipelines to ingest, clean, transform, and store raw chemistry data (e.g., CSV, JSON, and proprietary instrument formats).
* Data Modeling \&amp; Warehousing: Develop optimized data models and manage a data warehouse (or data lake) to support fast querying and ML feature engineering on complex datasets, including time\-series and spectral data from chromatograms.
* ML Infrastructure: Collaborate with MLE to containerize and deploy ML models and build automated model retraining and monitoring pipelines.
* Data Quality \&amp; Governance: Implement robust data quality checks, validation, and monitoring to ensure the integrity and reproducibility of chemical experiment data used for ML.
* Tooling: Develop internal tools and APIs to facilitate data access for MLE and provide standardized interfaces for data submission from chemistry lab systems.
**Qualifications**
**Education:** 
 Bachelor’s or Master’s degree in Computer Science, Data Engineering, or a related technical field (or equivalent practical experience)
**Required Experience:**
* Programming: Expert\-level proficiency in Python (including packages like Pandas, NumPy, and familiarity with data engineering libraries).
* Cloud \&amp; Infrastructure: Hands\-on experience with at least one major cloud provider (AWS, Azure, or GCP, preferred Azure), including services related to computing, storage, and serverless functions (e.g., Azure Data Lake Storage (ADLS), Azure Compute VMs, Azure Functions).
* Data Orchestration: Proven experience building and managing data workflows using an orchestration tool like Apache Airflow, Prefect, or Dagster.
* Databases: Strong knowledge of SQL and experience working with both relational (e.g., PostgreSQL) and NoSQL databases.
* Version Control: Proficient with Git and standard DevOps practices
* Scientific Data Experience: Prior experience handling and processing complex, large\-volume scientific data (e.g., mass spectrometry, chromatography, LIMS/ELN integration).
* MLOps: Familiarity with MLOps platforms and tools such as Azure ML Studio, MLflow, Kubeflow, or Sagemaker.
* Chemistry Domain: Basic understanding of analytical chemistry concepts, such as chromatography fundamentals (e.g., retention time, peak integration) and relevant file formats.
* Authorization to work in the United States without restriction or sponsorship
* Professional working proficiency in English is a requirement, including the ability to read, write and speak in English.
**Required General Skills**
* Problem\-Solving: Strong analytical and problem\-solving skills with a focus on delivering high\-quality, reproducible data solutions.
* Communication: Excellent verbal and written communication skills, with the ability to bridge the gap between technical infrastructure, data science models, and chemical applications.
****Additional Information****
 As a Eurofins employee, you will become part of a company that has received national recognition as a great place to work. We offer excellent full\-time benefits including comprehensive medical coverage, life and disability insurance, 401(k) with company match, paid holidays, paid time off, and dental and vision options.
**We support your development!** 
 Do you feel you don’t match 100% of the requirements? Don’t hesitate to apply anyway! Eurofins companies are committed to supporting your career development.
**We embrace diversity!** 
 Eurofins network of companies believe in strength and innovation through diversity, being an Equal Opportunity Employer. We prohibit discrimination against employees or applications based on gender identity and/or expression, race, nationality, age, religion, sexual orientation, disability, and everything else that makes employees of Eurofins companies unique.
**Sustainability matters to us!** 
 We are well on our way to achieving our objective of carbon neutrality by 2025, through a combination of emission reduction and compensation initiatives. We encourage our laboratory leaders to make sustainable changes at their local level, and in addition to their initiatives we also count on our dedicated carbon reduction team to help us to achieve this goal!
 Find out more in our career page: https://careers.eurofins.com/
**Eurofins USA Environment Testing is a Disabled and Veteran Equal Employment Opportunity employer.**</t>
        </is>
      </c>
    </row>
    <row r="96">
      <c r="A96" t="inlineStr">
        <is>
          <t>li-4359245969</t>
        </is>
      </c>
      <c r="B96" t="inlineStr">
        <is>
          <t>Data Engineer</t>
        </is>
      </c>
      <c r="C96" t="inlineStr">
        <is>
          <t>Randstad Digital Americas</t>
        </is>
      </c>
      <c r="D96" t="inlineStr">
        <is>
          <t>linkedin</t>
        </is>
      </c>
      <c r="E96" t="inlineStr"/>
      <c r="F96" t="inlineStr"/>
      <c r="G96" t="inlineStr">
        <is>
          <t>Boston, MA</t>
        </is>
      </c>
      <c r="H96" t="inlineStr"/>
      <c r="I96" t="inlineStr">
        <is>
          <t>**Job Summary**
 Seeking a highly experienced, hands\-on technical data professional to design and implement a modern enterprise data lake and analytics platform for the Finance and Administration organization. This role will focus on building and delivering a consolidated data layer that integrates data from multiple systems and modernizes existing financial data analytics and reporting solutions.
 The current reporting ecosystem includes a range of Tableau dashboards and reporting solutions. The new data lake platform will provide a scalable, governed, and high\-performance data foundation to support advanced analytics, standardized reporting, and self\-service data access for downstream consuming teams.
 This role is ideal for a senior technologist who enjoys deep technical problem solving, hands\-on development, and close collaboration with business partners, while contributing to architectural direction and best practices.
 location: Boston, Massachusetts
 job type: Contract
 salary: $70 \- 75 per hour
 work hours: 8am to 5pm
 education: Bachelors
**Responsibilities**
* Design, build, and implement a cloud\-based data lake and analytics platform supporting Finance and Administration use cases
* Partner closely with finance stakeholders to understand reporting requirements and translate them into technical solutions
* Develop and maintain data ingestion pipelines from multiple upstream systems, including finance, client services, and operational platforms
* Perform hands\-on development of data transformations, data models, and analytical datasets using SQL and modern ELT patterns
* Build and optimize curated data layers to support reporting, analytics, and downstream consumption
* Modernize existing Tableau\-based reporting solutions by re\-platforming datasets and improving performance, scalability, and data consistency
* Implement data quality checks, data governance standards \&amp; compliance, and reconciliation processes to ensure accuracy and trust in financial data
* Troubleshoot and resolve complex data, performance, and pipeline issues across the data platform
* Contribute to platform standards, best practices, and reusable data patterns
* Collaborate with infrastructure, security, and architecture teams to ensure solutions meet governance and compliance requirements
**Qualifications**
* 10\-15 years of experience in data engineering, analytics engineering, or enterprise data platform development
* Strong, hands\-on expertise in advanced SQL (such as Oracle, MS SQL Server, PostgreSQL, or MySQL), including performance tuning and complex analytical queries
* Demonstrated experience implementing data lakes or cloud data platforms, such as: Microsoft Fabric, Snowflake, AWS (S3, Glue, Athena, Redshift, Lambda), Azure Data Lake, Synapse, or equivalent platforms
* Experience with AI technologies is a plus
* Experience working with Agile methodologies, CI/CD tools (Jenkins or equivalent), version control (Git) and Orchestration tools
* Experience operating in a DevOps environment with cloud technologies. Amazon Web Services is a plus.
* Experience building end\-to\-end data pipelines, including ingestion, transformation, and consumption layers
* Strong experience supporting business intelligence and analytics tools, such as Tableau, Power BI, or similar platforms
* Solid understanding of data modeling techniques (dimensional, normalized, and analytical models)
* Experience working with financial data domains (e.g., accounting, FP\&amp;A, budgeting, expense, headcount, or vendor data)
* Ability to independently implement solutions from requirements through production deployment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It is unlawful in Massachusetts to require or administer a lie detector test as a condition of employment or continued employment. An employer who violates this law shall be subject to criminal penalties and civil liability.</t>
        </is>
      </c>
    </row>
    <row r="97">
      <c r="A97" t="inlineStr">
        <is>
          <t>li-4363721665</t>
        </is>
      </c>
      <c r="B97" t="inlineStr">
        <is>
          <t>Senior Full-Stack BI Architect / Fabric Data Engineer</t>
        </is>
      </c>
      <c r="C97" t="inlineStr">
        <is>
          <t>Proactive Technology Management</t>
        </is>
      </c>
      <c r="D97" t="inlineStr">
        <is>
          <t>linkedin</t>
        </is>
      </c>
      <c r="E97" t="inlineStr"/>
      <c r="F97" t="inlineStr"/>
      <c r="G97" t="inlineStr">
        <is>
          <t>Ferndale, MI</t>
        </is>
      </c>
      <c r="H97" t="inlineStr"/>
      <c r="I97" t="inlineStr">
        <is>
          <t>**About Us**
 At Proactive Technology Management, we're transforming how businesses harness data to drive innovation and informed decision\-making. As leaders in the SMB space, we leverage cutting\-edge technologies to deliver actionable insights that give our clients a competitive advantage. We're seeking a
 **Senior Full\-Stack BI Architect / Fabric Data Engineer** 
 to design and implement innovative, domain\-driven data solutions that humanize data and empower decision\-makers. If you have a passion for making data meaningful and impactful, we want to hear from you!
**Role Summary**
 As a Senior Full\-Stack BI Architect / Fabric Data Engineer, you will lead the design and development of robust, enterprise\-grade data solutions that prioritize human\-centric design through the use of ubiquitous language and domain\-driven principles. You will leverage deep expertise in medallion architecture, advanced data modeling, and visualization to ensure our clients receive intuitive, actionable insights. Your technical expertise in the Microsoft Cloud Data Stack, DAX, Power Query M, SQL, and Spark Python will drive success in building scalable, user\-friendly solutions.
**Key Responsibilities**
* Lead the design and implementation of ETL/ELT pipelines within a medallion architecture (Bronze, Silver, and Gold layers) to ensure data quality, scalability, and accessibility across use cases.
* Architect and develop advanced data models that reflect domain\-driven design principles, aligning with business domains and using ubiquitous language to ensure clarity and usability for all stakeholders.
* Design and implement star and snowflake schemas, along with medallion schema practices, to provide flexible, high\-performance data structures for analytics.
* Create dynamic, user\-centric dashboards and advanced reports in Power BI, empowering stakeholders with real\-time insights and actionable metrics.
* Leverage DAX and Power Query M to craft sophisticated calculations and transformations that enhance data usability and business relevance.
* Build and optimize SQL\-based solutions for database management, queries, and data integration, ensuring efficiency and scalability.
* Use Spark Python for processing large datasets and performing advanced analytics to meet complex business requirements.
* Collaborate with business leaders and cross\-functional teams to understand data needs, define key performance indicators (KPIs), and ensure alignment with organizational goals.
* Stay informed on advancements in data engineering, business intelligence, and analytics, continuously driving innovation and improvement.
* Mentor team members to build organizational capacity in BI and data engineering best practices.
**Requirements**
****Qualifications****
* Bachelor's or Master's degree in Computer Science, Engineering, Data Science, or a related field; advanced certifications in data engineering or BI are a plus.
* 7\+ years of experience in data engineering, BI architecture, or a related role, with a focus on enterprise\-grade solutions.
* In\-depth expertise in medallion architecture, data modeling (star schemas, snowflake schemas), and best practices for data warehousing.
* Proven ability to implement domain\-driven design (DDD) principles, ensuring data solutions reflect business domains and are accessible through ubiquitous language.
* Expert\-level proficiency in Power BI, DAX, Power Query M, and SQL, with demonstrated success delivering scalable, impactful BI solutions.
* Strong programming skills with Spark Python for advanced data processing and analytics.
* Experience with the Microsoft Cloud Data Stack (Azure Data Factory, Azure Synapse Analytics, Microsoft Fabric) and other cloud technologies.
* A track record of translating complex datasets into intuitive insights, creating value for both technical and non\-technical stakeholders.
* Exceptional problem\-solving skills, attention to detail, and ability to thrive in a fast\-paced, dynamic environment.
* Strong communication and leadership skills, with a focus on collaboration and stakeholder engagement.
**Benefits**
* Competitive compensation tailored to senior\-level expertise.
* Opportunities to shape data strategy and lead transformative BI projects.
* Ongoing professional development through advanced training and certifications.
* A supportive, innovative culture that values diversity, inclusion, and creativity.
* Flexible remote work arrangements to support work\-life balance
* Comprehensive health, dental, and vision insurance
* 401(k) retirement plan with company match
 If you're ready to lead the next evolution of business intelligence—harnessing the power of
 **medallion architecture, domain\-driven design,** 
 and user\-centric modeling—apply today. Help us transform data into a powerful, humanized tool for business success.</t>
        </is>
      </c>
    </row>
    <row r="98">
      <c r="A98" t="inlineStr">
        <is>
          <t>li-4353586016</t>
        </is>
      </c>
      <c r="B98" t="inlineStr">
        <is>
          <t>Snowflake Data Engineer</t>
        </is>
      </c>
      <c r="C98" t="inlineStr">
        <is>
          <t>Codebase Inc</t>
        </is>
      </c>
      <c r="D98" t="inlineStr">
        <is>
          <t>linkedin</t>
        </is>
      </c>
      <c r="E98" t="inlineStr"/>
      <c r="F98" t="inlineStr"/>
      <c r="G98" t="inlineStr">
        <is>
          <t>Dallas, TX</t>
        </is>
      </c>
      <c r="H98" t="inlineStr"/>
      <c r="I98" t="inlineStr">
        <is>
          <t>**Tittle : Snowflake Data Engineer** 
**Location : Dallas TX (Day1 onsite)** 
**Position Type:: FTE** 
**Key Responsibilities** 
* Design and implement Snowflake schemas (star, snowflake, data vault) optimized with micro\-partitioning, clustering keys, materialized views, and search optimization services.
* Build real\-time and batch ingestion pipelines into Snowflake using Snowpipe, Kafka Connect, Fivetran, Matillion, Informatica, or dbt.
* Automate incremental data processing with Streams \&amp; Tasks to support CDC (Change Data Capture).
* Use Zero\-Copy Cloning for environment management, testing, and sandboxing.
* Apply Time Travel and Fail\-safe features for data recovery and auditing.
* Develop data transformation logic in Snowpark for Python/SQL/Scala to push compute directly into Snowflake.
* Design integrations with cloud storage (S3, Azure ADLS, GCS) for staging and external tables.
* Implement data sharing and data marketplace solutions via Snowflake Secure Data Sharing and Snowflake Marketplace.
* Enable semi\-structured data handling (JSON, Avro, Parquet, ORC, XML) using VARIANT columns and lateral flattening.
* Integrate Snowflake with BI tools (Power BI, Tableau) via live connections and semantic layers.
* Implement RBAC (Role\-Based Access Control), Row Access Policies, and Dynamic Data Masking for data security.
* Optimize compute usage with multi\-cluster warehouses, resource monitors, and query performance tuning.
* Manage cost optimization strategies (warehouse auto\-suspend, query profiling, storage/compute separation).
* Integrate with data catalog \&amp; governance platforms (Collibra, Alation, Informatica CDGC) using Snowflake metadata and APIs.
* Work with domain teams to deliver data products leveraging Snowflake’s data mesh\-friendly features.
* Collaborate with architects to design a Snowflake\-centric data fabric integrated with ETL/ELT and API layers.
* Support CI/CD automation for Snowflake code deployment using GitHub Actions, Azure DevOps, or dbt Cloud.
**Qualifications** 
**Education: Bachelor’s or Master’s in Computer Science, Data Engineering, or related field.** 
**Experience:** 
* 10\+ years of data engineering experience, with
 **5\+ years in Snowflake Data Cloud.**
* Expertise in SQL optimization and Snowflake performance tuning.
* **Hands\-on with Snowpipe, Streams \&amp; Tasks, Snowpark, Zero\-Copy Cloning, and Secure Data Sharing.**
* **Proficiency in Python, Scala, or Java for Snowpark development.**
* Experience integrating with cloud platforms like
 **AWS** 
 .
* **Exposure to ETL/ELT tools (Informatica, Matillion, Fivetran).**
* Familiarity with CI/CD, Git, DevOps practices for data operations.
* Preferred Certifications:
* SnowPro Core Certification
**Key Skills** 
* Snowflake\-native feature design and implementation (Snowpark, Streams, Time Travel, Secure Data Sharing)
* Data ingestion (Snowpipe, CDC, Kafka, Fivetran)
* Semi\-structured data handling (VARIANT, JSON, Avro, Parquet)
* Advanced SQL and performance tuning
* Data governance (RBAC, masking, lineage, catalogs)
* Cloud data platform integrations (AWS S3, Azure ADLS, GCP GCS)
* BI and analytics tool integration
* Cost optimization and warehouse orchestration</t>
        </is>
      </c>
    </row>
    <row r="99">
      <c r="A99" t="inlineStr">
        <is>
          <t>li-4363880051</t>
        </is>
      </c>
      <c r="B99" t="inlineStr">
        <is>
          <t>Senior Data Engineer</t>
        </is>
      </c>
      <c r="C99" t="inlineStr">
        <is>
          <t>Cox Automotive Inc.</t>
        </is>
      </c>
      <c r="D99" t="inlineStr">
        <is>
          <t>linkedin</t>
        </is>
      </c>
      <c r="E99" t="inlineStr"/>
      <c r="F99" t="inlineStr"/>
      <c r="G99" t="inlineStr"/>
      <c r="H99" t="inlineStr"/>
      <c r="I99" t="inlineStr">
        <is>
          <t>The
 **Insights \&amp; Advisory** 
 team at
 **Cox Automotive** 
 is seeking a highly skilled and forward\-thinking
 **Senior Data Engineer** 
 to design, build, and optimize data architecture and pipelines that power strategic decision\-making across the enterprise. This role combines deep technical expertise with a strong focus on
 **data quality and integrity** 
 , ensuring that data is accessible, trusted, and actionable for internal teams and automotive OEM clients.
 You'll play a critical role in shaping the data infrastructure roadmap, enabling advanced analytics through AI, machine learning, and big data technologies, while embedding rigorous testing and validation practices into every stage of the data lifecycle.
**Key Responsibilities**
**Data Architecture \&amp; Engineering**
* Design and implement robust data architectures supporting structured and unstructured data from internal and external sources.
* Build and maintain scalable, secure data pipelines using cloud\-based and distributed technologies.
* Establish data structures and routing mechanisms based on business and technical requirements.
* Ensure alignment with enterprise architecture standards and business goals
**Data Quality \&amp; Automated Testing**
* Develop and execute automated test cases to validate ETL workflows, data pipelines, and reporting logic.
* Create regression test suites to ensure ongoing data integrity and system stability.
* Monitor and troubleshoot data anomalies, proactively identifying root causes and implementing fixes.
* Maintain high standards of data quality across all reporting and analytical outputs.
**Advanced Data Solutions**
* Develop tools and programming to cleanse, organize, and transform data using AI, ML, and big data techniques.
* Automate manual data processes, transforming them into repeatable, scalable capabilities.
* Collaborate on application development projects to evolve database architecture and design.
**Data Analysis \&amp; Reporting**
* Analyze current and historical performance data to identify trends, variances, and opportunities.
* Support dashboard and reporting development using tools like Tableau, Power BI, or Domo.
* Fulfill routine and ad\-hoc reporting requests using accepted metrics and methodologies.
**Collaboration \&amp; Stakeholder Engagement**
* Partner with data consumers, project managers, and business stakeholders to define logical and physical database designs for analytics models.
* Collaborate with internal and external data providers to validate data, provide feedback, and customize data feeds and mappings.
* Communicate findings and test results clearly to both technical and non\-technical audiences.
**Process Improvement \&amp; Innovation**
* Identify and implement improvements in internal data management and testing processes.
* Influence the data infrastructure roadmap through technical leadership and innovation.
* Contribute to the development of design standards and assurance processes for software, systems, and applications.
**Minimum Qualifications**
* Bachelor's degree in a related discipline and 4\+ years of experience in data engineering or architecture. The right candidate could also have a different combination, such as a master's degree and 2 years' experience; a Ph.D. and up to 1 year of experience; or 16 years' experience in a related field
* Proven experience designing and building data pipelines and architectures in cloud environments (e.g., AWS, Azure, Snowflake).
* Strong programming skills in Python, Scala, or Java, and proficiency in SQL.
* Experience with big data technologies (e.g., Spark, Kafka, Hadoop) and machine learning frameworks.
* Familiarity with ETL processes, data modeling, and data warehousing concepts.
* Experience with automated testing frameworks (e.g., PyTest, Selenium, dbt tests) and data validation techniques.
* Excellent problem\-solving skills and ability to communicate technical concepts to non\-technical stakeholders.
* Experience supporting cross\-functional teams including Finance, Sales, and Product Development is a plus.
**Preferred Skills**
* Experience with AI/ML frameworks (e.g., TensorFlow, PyTorch, Scikit\-learn) for data transformation and predictive modeling.
* Familiarity with data orchestration tools such as Apache Airflow, dbt, or Dagster.
* Hands\-on experience with cloud\-native data platforms (e.g., Snowflake, AWS Redshift, Azure Synapse).
* Knowledge of data governance and metadata management best practices.
* Experience integrating external data sources and APIs into enterprise data ecosystems.
* Strong understanding of CI/CD pipelines and DevOps practices for data engineering.
* Ability to work in Agile environments and contribute to sprint planning and backlog grooming.
* Exposure to real\-time data streaming technologies (e.g., Kafka, Kinesis) is a plus.
**Why Join Cox Automotive?**
 At Cox Automotive, data is at the heart of every decision. As a Sr Data Engineer, you'll be part of a collaborative team that values innovation, precision, and impact. This role offers the opportunity to shape the future of data infrastructure and empower business leaders with trusted, high\-quality data solutions.
 USD 101,500\.00 \- 169,100\.00 per year
**Compensation**
 Compensation includes a base salary of $101,500\.00 \- $169,100\.00\.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Application Deadline: 05/24/2026</t>
        </is>
      </c>
    </row>
    <row r="100">
      <c r="A100" t="inlineStr">
        <is>
          <t>li-4363780630</t>
        </is>
      </c>
      <c r="B100" t="inlineStr">
        <is>
          <t>Data Engineer</t>
        </is>
      </c>
      <c r="C100" t="inlineStr">
        <is>
          <t>Storm2</t>
        </is>
      </c>
      <c r="D100" t="inlineStr">
        <is>
          <t>linkedin</t>
        </is>
      </c>
      <c r="E100" t="inlineStr"/>
      <c r="F100" t="inlineStr"/>
      <c r="G100" t="inlineStr"/>
      <c r="H100" t="inlineStr"/>
      <c r="I100" t="inlineStr">
        <is>
          <t>**Data Engineer \| $170k \- $200k \+ bonus \+ equity** 
**Hybrid NYC** 
**Company Overview:** 
 This is a global fintech and crypto market data provider founded in 2014, with offices in Europe, the U.S., and Asia. They deliver institutional\-grade data, analytics, and index products across centralized and decentralized finance, supporting financial institutions, exchanges, and enterprises worldwide.
**Role Summary:** 
 The team is seeking a
 **Data Engineer** 
 to design and scale blockchain data extraction pipelines, integrate with on\-chain protocols, and enhance decentralized data infrastructure. The role sits at the intersection of blockchain engineering, data architecture, and DeFi protocol integration—ideal for someone experienced in smart contracts, on\-chain data systems, and large\-scale backend development.
**Key Responsibilities:** 
* Build and maintain data extraction pipelines across multiple blockchains (EVM \&amp; non\-EVM).
* Develop and deploy smart contracts (Solidity, Vyper, etc.) and integrate DeFi protocols.
* Design efficient on\-chain data abstractions and expose them via REST APIs.
* Collaborate with product teams from concept to production on new blockchain data products.
* Participate in on\-call rotation and ensure system reliability and incident response.
* Document systems, review code, and stay up to date with evolving blockchain standards (EIPs, ERCs, L2s).
- 
**Requirements:** 
* 5\+ years experience,
 **blockchain/crypto experience preferred**
* Strong background in data engineering and pipeline design for blockchain data.
* **Proficiency in Go** 
 and smart contract languages (Solidity, DAML, Move).
* Hands\-on experience with web3 tooling (Hardhat, Foundry, ethers.js).
* Familiarity with Kubernetes, microservices, and distributed systems.
* Solid grasp of EVM, consensus mechanisms, gas optimization, and transactions.
**Preferred:** 
* Background in event\-driven systems and API security best practices.
* DevOps exposure and experience with data infrastructure at scale.</t>
        </is>
      </c>
    </row>
    <row r="101">
      <c r="A101" t="inlineStr">
        <is>
          <t>li-4359178184</t>
        </is>
      </c>
      <c r="B101" t="inlineStr">
        <is>
          <t>Senior Data Engineer - BPR Insights, Enterprise Technology Services</t>
        </is>
      </c>
      <c r="C101" t="inlineStr">
        <is>
          <t>Apple</t>
        </is>
      </c>
      <c r="D101" t="inlineStr">
        <is>
          <t>linkedin</t>
        </is>
      </c>
      <c r="E101" t="inlineStr"/>
      <c r="F101" t="inlineStr"/>
      <c r="G101" t="inlineStr">
        <is>
          <t>Elk Grove, CA</t>
        </is>
      </c>
      <c r="H101" t="inlineStr"/>
      <c r="I101" t="inlineStr">
        <is>
          <t>**Summary**
 Are you a Senior Data Engineer with a passion for very large data sets analytics and can provide solutions to real business problems? Or perhaps you thrive on performing data discovery and creating proof of concepts? Do you want to be part of an energetic team critical to the success of Apple? We are looking for a Senior Data Engineer that can quickly summarize complex problems, and soar in a dynamic, high\-energy environment. Your rock solid integrity, teamwork and ability to work independently are valued and encouraged. Having the ability to quantify your decisions, critical thinking and using your gut instinct are all key qualities that make our Analytics Team successful and fun!
**Description**
 The Insight Analytics Engineering team serves as Apple's central data manufacturing analytics needs, designing and maintaining enterprise\-scale data pipelines and real\-time analytics platforms that process petabytes of data daily. We partner with all business functions—from Hardware Engineering. Operations, AppleCare —delivering custom data engineering solutions, self\-service analytics tools, and automated reporting systems that enable data\-driven decision making.
**Responsibilities**
* Design, develop and maintain robust pipelines to support various LOBs analytics needs in multi\-petabyte cloud environment.
* Perform in\-depth analysis on our Analytics platform to help solve hard business questions.
* Developing maintain data models and architecture to support analytics reporting.
* Work side by side with exceptional people that run, optimize and scale our environment and help to tell relevant stories with data.
* Stay ahead of the latest trends and technologies in data analytics, and cloud computing
* Perform complex data analytics in new and innovative ways and demonstrating your creativity to go beyond current tools to deliver amazing solutions.
* Work with high degree of independence, but supported by a broad technical team
**Minimum Qualifications**
* Bachelors/Masters in technical field (math, statistics, engineering, computer science, analytics, or similar)
* 8\+ years of hands\-on experience with data analytics in large scale volumes in Cloud environment AWS and GCP.
* Experience with Spark, SQL, Iceberg, Trino and Big Data systems and tools
* Programming skills in Scala, Java, Python, Jupyter Notebook
**Preferred Qualifications**
* Ability to work with various multi\-functional teams to gather input and provide guidance
* Ability to present information to peers and senior management
* Ability to bring creative, simple and logical approaches to complex problems
* Technical minded with the ability to learn new technologies
**Pay \&amp; Benefits**
 At Apple, base pay is one part of our total compensation package and is determined within a range. This provides the opportunity to progress as you grow and develop within a role. The base pay range for this role is between $162,500 and $244,600,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02">
      <c r="A102" t="inlineStr">
        <is>
          <t>li-4364002063</t>
        </is>
      </c>
      <c r="B102" t="inlineStr">
        <is>
          <t>Data Engineer (AWS, Azure, GCP)</t>
        </is>
      </c>
      <c r="C102" t="inlineStr">
        <is>
          <t>CapTech</t>
        </is>
      </c>
      <c r="D102" t="inlineStr">
        <is>
          <t>linkedin</t>
        </is>
      </c>
      <c r="E102" t="inlineStr"/>
      <c r="F102" t="inlineStr"/>
      <c r="G102" t="inlineStr">
        <is>
          <t>Richmond, VA</t>
        </is>
      </c>
      <c r="H102" t="inlineStr"/>
      <c r="I102" t="inlineStr">
        <is>
          <t>CapTech is an award\-winning consulting firm that collaborates with clients to achieve what’s possible through the power of technology. At CapTech, we’re passionate about the work we do and the results we achieve for our clients. From the outset, our founders shared a collective passion to create a consultancy centered on strong relationships that would stand the test of time. Today we work alongside clients that include Fortune 100 companies, mid\-sized enterprises, and government agencies, a list that spans across the country.
**Job Description**
 CapTech Data Engineering consultants enable clients to build and maintain advanced data systems that bring together data from disparate sources in order to enable decision\-makers. We build pipelines and prepare data for use by data scientists, data analysts, and other data systems. We love solving problems and providing creative solutions for our clients. Cloud Data Engineers leverage the client’s cloud infrastructure to deliver this value today and to scale for the future. We enjoy a collaborative environment and have many opportunities to learn from and share knowledge with other developers, architects, and our clients.
 Specific responsibilities for the Data Engineer – Cloud position include:
* Developing data pipelines and other data products using Amazon Web Services (AWS), Microsoft Azure, or Google Cloud Platform (GCP)
* Advising clients on specific technologies and methodologies for utilizing cloud resources to efficiently ingest and process data quickly
* Utilizing your skills in engineering best practices to solve complex data problems
* Collaborating with end users, development staff, and business analysts to ensure that prospective data architecture plans maximize the value of client data across the organization.
* Articulating architectural differences between solution methods and the advantages/disadvantages of each
**Qualifications**
 Typical experience for successful candidates includes:
* Experience delivering solutions on a major cloud platform
* Ability to think strategically and relate architectural decisions/recommendations to business needs and client culture
* Experience in the design and implementation of data architecture solutions
* A wide range of production database experience, usually including substantial SQL expertise, database administration, and scripting data pipelines
* Ability to assess and utilize traditional and modern architectural components required based on business needs.
* A demonstrable ability to deliver production data pipelines and other data products. This could be hands on experience, degree, certification, bootcamp, or other learning.
**Skills:**
 Successful candidates usually have demonstrable experience with technologies in some of these categories:
* Languages: SQL, Python, Java, R, C\# / C\+\+ / C
* Database: SQL Server, PostgreSQL, Snowflake, Redshift, Aurora, Presto, BigQuery, Oracle
* DevOps: git, docker, subversion, Kubernetes, Jenkins
* Additional Technologies: Spark, Databricks, Kafka, Kinesis, Hadoop, Lambda, EMR
* Popular Certifications: AWS Cloud Practitioner, Microsoft Azure Data Fundamentals, Google Associate Cloud Engineer
**Additional Information**
 We want everyone at CapTech to be able to envision a lasting and rewarding career here, which is why we offer a variety of career paths based on your skills and passions. You decide where and how you want to develop, and we help get you there with customizable career progression and a comprehensive benefits package to support you along the way. Alongside our suite of traditional benefits encompassing generous PTO, health coverage, disability insurance, paid family leave and more, we’ve launched extended benefits to help meet our employees’ needs.
* Learning \&amp; Development – Programs offering certification and tuition support, digital on\-demand learning courses, mentorship, and skill development paths
* Modern Health –A mental health and well\-being platform that provides 1:1 care, group support sessions, and self\-serve resources to support employees and their families through life’s ups and downs
* Carrot Fertility –Inclusive fertility and family\-forming coverage for all paths to parenthood – including adoption, surrogacy, fertility treatments, pregnancy, and more – and opportunities for employer\-sponsored funds to help pay for care
* Fringe –A company paid stipend program for personalized lifestyle benefits, allowing employees to choose benefits that matter most to them – ranging from vendors like Netflix, Spotify, and GrubHub to services like student loan repayment, travel, fitness, and more
* Employee Resource Groups – Employee\-led committees that embrace and incorporate diversity and inclusion into our day\-to\-day operations
* Philanthropic Partnerships – Opportunities to engage in partnerships and pro\-bono projects that support our communities.
* 401(k) Matching – Generous matching and no vesting period to help you continue to build financial wellness
 CapTech is an equal opportunity employer committed to fostering a culture of equality, inclusion and fairness — each foundational to our core values. We strive to create a diverse environment where each employee is encouraged to bring their unique ideas, backgrounds and experiences to the workplace. For more information about our Diversity, Inclusion and Belonging efforts, click HERE. As part of this commitment, CapTech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Laura Massa directly via email lmassa@captechconsulting.com.
 At this time, CapTech cannot transfer nor sponsor a work visa for this position. Applicants must be authorized to work directly for any employer in the United States without visa sponsorship.</t>
        </is>
      </c>
    </row>
    <row r="103">
      <c r="A103" t="inlineStr">
        <is>
          <t>li-4363556059</t>
        </is>
      </c>
      <c r="B103" t="inlineStr">
        <is>
          <t>Lead Data Engineer</t>
        </is>
      </c>
      <c r="C103" t="inlineStr">
        <is>
          <t>American Unit, Inc</t>
        </is>
      </c>
      <c r="D103" t="inlineStr">
        <is>
          <t>linkedin</t>
        </is>
      </c>
      <c r="E103" t="inlineStr"/>
      <c r="F103" t="inlineStr"/>
      <c r="G103" t="inlineStr">
        <is>
          <t>New York, United States</t>
        </is>
      </c>
      <c r="H103" t="inlineStr"/>
      <c r="I103" t="inlineStr">
        <is>
          <t>Hi,
 Position: Lead Data Engineer
 Location: New York city, New York
 Only on W2
 Job Description:
 Need strong 15\+ years candidates as per below mentioned JD , must have architect/design exp in React JS, . Focus is on front\-end React skills. Must have led team of 3\-4 members, very good communication, must be able to converse/convince with senior management of the client, exp in product companies like Google/Apple/Facebook/Intel etc is advantage, financial domain/client exp is preferred.
 Experience
 · 12–15 years engineering experience with a strong frontend focus
 Deep experience with React and component\-driven architectures at scale
 Experience with micro\-frontend architectures (independently deployable modules)
 Experience building or extending component libraries (not just consuming)
 Familiarity with AWS serverless (Lambda, API Gateway, Fargate)
 Experience with CI/CD, containerization, versioning, and semantic versioning
 Comfortable working through evolving requirements and partial clarity
 Frontend Technologies \&amp; Skills
 Rendering \&amp; Architecture
 · Client\-Side Rendering (CSR)
 · Server\-Side Rendering (SSR) using frameworks such as Next.js
 State Management
 · Redux, Zustand, React Context, or state machines
 Performance \&amp; Profiling
 · Optimizing FCP/LCP, first paint, render time
 · Tooling: Lighthouse, Core Web Vitals, Chrome DevTools, React Profiler
 Real\-Time Communication
 · Experience with WebSockets for real\-time experiences
 Styling \&amp; Frameworks
 · Bootstrap, Tailwind CSS
 · CSS/SCSS, Styled Components, or CSS\-in\-JS approaches
 Component Tooling
 · Storybook for component development and documentation
 UI Performance Testing
 · Familiarity with metrics: TTI, TBT, FCP, LCP
 · Tooling: Lighthouse, WebPageTest API, browser profiling, Web Vitals
 Component Ecosystem Awareness (Nice to Have)
 · Material UI, Ant Design, Chakra UI
 Please share resume at Anusha@americanunit.com</t>
        </is>
      </c>
    </row>
    <row r="104">
      <c r="A104" t="inlineStr">
        <is>
          <t>li-4353476256</t>
        </is>
      </c>
      <c r="B104" t="inlineStr">
        <is>
          <t>Senior Data Engineer</t>
        </is>
      </c>
      <c r="C104" t="inlineStr">
        <is>
          <t>CyberCoders</t>
        </is>
      </c>
      <c r="D104" t="inlineStr">
        <is>
          <t>linkedin</t>
        </is>
      </c>
      <c r="E104" t="inlineStr"/>
      <c r="F104" t="inlineStr"/>
      <c r="G104" t="inlineStr">
        <is>
          <t>Minneapolis, MN</t>
        </is>
      </c>
      <c r="H104" t="inlineStr"/>
      <c r="I104" t="inlineStr">
        <is>
          <t>**Senior Data Engineer**
**Position Overview**
 We are seeking a Senior Data Engineer to design, develop, and maintain robust data pipelines and architecture in support of our supply chain and logistics operations. The ideal candidate will possess deep expertise in data engineering practices and a solid background in supply chain data management, enabling insights that drive operational efficiency and business intelligence.
**Key Responsibilities** 
* Design and implement data pipelines to support ETL processes from various sources including ERP systems and logistics data.
* Develop and maintain data models and data flow diagrams to visualize data movement and transformations.
* Collaborate with cross\-functional teams to understand data needs and provide timely and accurate data solutions.
* Optimize SQL queries and data models for performance in Cloud SQL and Oracle SQL environments.
* Utilize Business Intelligence tools such as Power BI and Tableau for data visualization and reporting.
* Implement data governance best practices to ensure data integrity and quality across systems.
* Leverage cloud platforms and tools including Google BigQuery Dataprocs for scalable data processing and storage.
* Mentor junior data engineers and contribute to the development of best practices in data engineering.
**Qualifications** 
* Bachelor's degree in Computer Science, Data Engineering, or a related field; Master's degree preferred.
* 5\+ years of experience in data engineering or a related field with a focus on supply chain and logistics data.
* Proficiency in SQL, with experience in Cloud SQL and Oracle SQL.
* Strong knowledge of ETL processes and tools, such as Informatica ETL and DataFusion.
* Experience with data modeling and building data flow diagrams.
* Familiarity with Business Intelligence tools like Oracle Business Intelligence Publisher, Power BI, and Tableau.
* Proficiency in Python for data manipulation and analysis.
* Experience with data warehousing and big data technologies such as Google BigQuery Dataprocs.
* Strong analytical and problem\-solving skills with attention to detail.
**Email Your Resume In Word To**
 Ashley.Gill@CyberCoders.com
 Looking forward to receiving your resume through our website and going over the position with you. Clicking apply is the best way to apply.
 Please do NOT change the email subject line in any way. You must keep the JobID: linkedin : AG22\-1974855 \-\- in the email subject line for your application to be considered.
 Ashley Gill \- Recruiter
 For this position, you must be currently authorized to work in the United States without the need for sponsorship for a non\-immigrant visa.
 This job was first posted by CyberCoders on 01/16/2026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1999 \- 2026\. CyberCoders , Inc. All rights reserved.</t>
        </is>
      </c>
    </row>
    <row r="105">
      <c r="A105" t="inlineStr">
        <is>
          <t>li-4364031839</t>
        </is>
      </c>
      <c r="B105" t="inlineStr">
        <is>
          <t>Lead Data Engineer (AWS, Azure, GCP)</t>
        </is>
      </c>
      <c r="C105" t="inlineStr">
        <is>
          <t>CapTech</t>
        </is>
      </c>
      <c r="D105" t="inlineStr">
        <is>
          <t>linkedin</t>
        </is>
      </c>
      <c r="E105" t="inlineStr"/>
      <c r="F105" t="inlineStr"/>
      <c r="G105" t="inlineStr">
        <is>
          <t>Atlanta, GA</t>
        </is>
      </c>
      <c r="H105" t="inlineStr"/>
      <c r="I105" t="inlineStr">
        <is>
          <t>CapTech is an award\-winning consulting firm that collaborates with clients to achieve what’s possible through the power of technology. At CapTech, we’re passionate about the work we do and the results we achieve for our clients. From the outset, our founders shared a collective passion to create a consultancy centered on strong relationships that would stand the test of time. Today we work alongside clients that include Fortune 100 companies, mid\-sized enterprises, and government agencies, a list that spans across the country.
**Job Description**
 CapTech Data Engineering consultants enable clients to build and maintain advanced data systems that bring together data from disparate sources in order to enable decision\-makers. We build pipelines and prepare data for use by data scientists, data analysts, and other data systems. We love solving problems and providing creative solutions for our clients. Cloud Data Engineers leverage the client’s cloud infrastructure to deliver this value today and to scale for the future. We enjoy a collaborative environment and have many opportunities to learn from and share knowledge with other developers, architects, and our clients.
 The Value You Deliver (or What You’ll Do)
* Be trusted advisor to customers with best practices, methodologies, and technologies to implement data engineering solutions.
* Design, implement, and maintain modern data pipelines to deliver optimal solutions utilizing appropriate cloud technologies.
* Partner with product owners and business SMEs to analyze customer requirements and provide a supportable and sustainable engineered solution.
* Provide technical leadership and collaborate within and across teams to ensure that the overall technical solution is aligned with the customer needs.
* Stay current with the latest cloud technologies, patterns, and methodologies; share knowledge by clearly articulating results and ideas to key stakeholders.
**Qualifications**
* Experience building/operating highly available distributed systems of data extraction, ingestion, and processing large data sets
* 5\+ years of experience delivering data engineering solutions on cloud platform
* 5\+ years of experience implementing modern designs using at least one cloud\-based solution/platform (AWS, Azure, GCP)
* Advanced level proficiency with at least one ETL / Data Orchestration technology (Azure Data Factory, SSIS, Informatica, Alteryx, Ab Initio, Pentaho, Talend, Matillion)
* Experience cloud\-based data warehousing and data lake solutions like Snowflake, Redshift, Databricks
* 5\+ years of experience with SQL or NoSQL database (PostgreSQL, MySQL, SQL server, Oracle, Aurora, Presto, BigQuery)
* Expertise with SQL, database design/structure and data structure (star, snowflake schemas, de/normalized designs)
* 5\+ years of experience with at least one programming language (Python, Java, R, C / C\# / C\+\+, Shell)
* Familiarity with one or more DevOps tools (git, Jenkins, CI/CD, Jira)
* Fundamental understanding of big data, open source, and data streaming concepts
* Ability to think strategically and provide recommendations utilizing traditional and modern architectural components based on business needs
* Experience providing technical leadership and mentoring other engineers in data engineering space
* Cloud certification on any platform a plus
**Additional Information**
 We want everyone at CapTech to be able to envision a lasting and rewarding career here, which is why we offer a variety of career paths based on your skills and passions. You decide where and how you want to develop, and we help get you there with customizable career progression and a comprehensive benefits package to support you along the way. Alongside our suite of traditional benefits encompassing generous PTO, health coverage, disability insurance, paid family leave and more, we’ve launched extended benefits to help meet our employees’ needs.
* Learning \&amp; Development – Programs offering certification and tuition support, digital on\-demand learning courses, mentorship, and skill development paths
* Modern Health –A mental health and well\-being platform that provides 1:1 care, group support sessions, and self\-serve resources to support employees and their families through life’s ups and downs
* Carrot Fertility –Inclusive fertility and family\-forming coverage for all paths to parenthood – including adoption, surrogacy, fertility treatments, pregnancy, and more – and opportunities for employer\-sponsored funds to help pay for care
* Fringe –A company paid stipend program for personalized lifestyle benefits, allowing employees to choose benefits that matter most to them – ranging from vendors like Netflix, Spotify, and GrubHub to services like student loan repayment, travel, fitness, and more
* Employee Resource Groups – Employee\-led committees that embrace and incorporate diversity and inclusion into our day\-to\-day operations
* Philanthropic Partnerships – Opportunities to engage in partnerships and pro\-bono projects that support our communities.
* 401(k) Matching – Generous matching and no vesting period to help you continue to build financial wellness
 CapTech is an equal opportunity employer committed to fostering a culture of equality, inclusion and fairness — each foundational to our core values. We strive to create a diverse environment where each employee is encouraged to bring their unique ideas, backgrounds and experiences to the workplace. For more information about our Diversity, Inclusion and Belonging efforts, click HERE. As part of this commitment, CapTech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Laura Massa directly via email lmassa@captechconsulting.com.
 At this time, CapTech cannot transfer nor sponsor a work visa for this position. Applicants must be authorized to work directly for any employer in the United States without visa sponsorship.</t>
        </is>
      </c>
    </row>
    <row r="106">
      <c r="A106" t="inlineStr">
        <is>
          <t>li-4363761759</t>
        </is>
      </c>
      <c r="B106" t="inlineStr">
        <is>
          <t>Lead Data Engineer (AWS, Azure, GCP)</t>
        </is>
      </c>
      <c r="C106" t="inlineStr">
        <is>
          <t>CapTech</t>
        </is>
      </c>
      <c r="D106" t="inlineStr">
        <is>
          <t>linkedin</t>
        </is>
      </c>
      <c r="E106" t="inlineStr"/>
      <c r="F106" t="inlineStr"/>
      <c r="G106" t="inlineStr">
        <is>
          <t>Chicago, IL</t>
        </is>
      </c>
      <c r="H106" t="inlineStr"/>
      <c r="I106" t="inlineStr">
        <is>
          <t>CapTech is an award\-winning consulting firm that collaborates with clients to achieve what’s possible through the power of technology. At CapTech, we’re passionate about the work we do and the results we achieve for our clients. From the outset, our founders shared a collective passion to create a consultancy centered on strong relationships that would stand the test of time. Today we work alongside clients that include Fortune 100 companies, mid\-sized enterprises, and government agencies, a list that spans across the country.
**Job Description**
 CapTech Data Engineering consultants enable clients to build and maintain advanced data systems that bring together data from disparate sources in order to enable decision\-makers. We build pipelines and prepare data for use by data scientists, data analysts, and other data systems. We love solving problems and providing creative solutions for our clients. Cloud Data Engineers leverage the client’s cloud infrastructure to deliver this value today and to scale for the future. We enjoy a collaborative environment and have many opportunities to learn from and share knowledge with other developers, architects, and our clients.
 The Value You Deliver (or What You’ll Do)
* Be trusted advisor to customers with best practices, methodologies, and technologies to implement data engineering solutions.
* Design, implement, and maintain modern data pipelines to deliver optimal solutions utilizing appropriate cloud technologies.
* Partner with product owners and business SMEs to analyze customer requirements and provide a supportable and sustainable engineered solution.
* Provide technical leadership and collaborate within and across teams to ensure that the overall technical solution is aligned with the customer needs.
* Stay current with the latest cloud technologies, patterns, and methodologies; share knowledge by clearly articulating results and ideas to key stakeholders.
**Qualifications**
* Experience building/operating highly available distributed systems of data extraction, ingestion, and processing large data sets
* 5\+ years of experience delivering data engineering solutions on cloud platform
* 5\+ years of experience implementing modern designs using at least one cloud\-based solution/platform (AWS, Azure, GCP)
* Advanced level proficiency with at least one ETL / Data Orchestration technology (Azure Data Factory, SSIS, Informatica, Alteryx, Ab Initio, Pentaho, Talend, Matillion)
* Experience cloud\-based data warehousing and data lake solutions like Snowflake, Redshift, Databricks
* 5\+ years of experience with SQL or NoSQL database (PostgreSQL, MySQL, SQL server, Oracle, Aurora, Presto, BigQuery)
* Expertise with SQL, database design/structure and data structure (star, snowflake schemas, de/normalized designs)
* 5\+ years of experience with at least one programming language (Python, Java, R, C / C\# / C\+\+, Shell)
* Familiarity with one or more DevOps tools (git, Jenkins, CI/CD, Jira)
* Fundamental understanding of big data, open source, and data streaming concepts
* Ability to think strategically and provide recommendations utilizing traditional and modern architectural components based on business needs
* Experience providing technical leadership and mentoring other engineers in data engineering space
* Cloud certification on any platform a plus
**Additional Information**
 We want everyone at CapTech to be able to envision a lasting and rewarding career here, which is why we offer a variety of career paths based on your skills and passions. You decide where and how you want to develop, and we help get you there with customizable career progression and a comprehensive benefits package to support you along the way. Alongside our suite of traditional benefits encompassing generous PTO, health coverage, disability insurance, paid family leave and more, we’ve launched extended benefits to help meet our employees’ needs.
* Learning \&amp; Development – Programs offering certification and tuition support, digital on\-demand learning courses, mentorship, and skill development paths
* Modern Health –A mental health and well\-being platform that provides 1:1 care, group support sessions, and self\-serve resources to support employees and their families through life’s ups and downs
* Carrot Fertility –Inclusive fertility and family\-forming coverage for all paths to parenthood – including adoption, surrogacy, fertility treatments, pregnancy, and more – and opportunities for employer\-sponsored funds to help pay for care
* Fringe –A company paid stipend program for personalized lifestyle benefits, allowing employees to choose benefits that matter most to them – ranging from vendors like Netflix, Spotify, and GrubHub to services like student loan repayment, travel, fitness, and more
* Employee Resource Groups – Employee\-led committees that embrace and incorporate diversity and inclusion into our day\-to\-day operations
* Philanthropic Partnerships – Opportunities to engage in partnerships and pro\-bono projects that support our communities.
* 401(k) Matching – Generous matching and no vesting period to help you continue to build financial wellness
 CapTech is an equal opportunity employer committed to fostering a culture of equality, inclusion and fairness — each foundational to our core values. We strive to create a diverse environment where each employee is encouraged to bring their unique ideas, backgrounds and experiences to the workplace. For more information about our Diversity, Inclusion and Belonging efforts, click HERE. As part of this commitment, CapTech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Laura Massa directly via email lmassa@captechconsulting.com.
 CapTech supports Equal Pay for all. In addition, in the State of Illinois we are committed to Equal Pay for ALL in accordance with the Illinois Equal Pay Act. The base pay range for this role is: $150,000 \- $200,000k.
 At this time, CapTech cannot transfer nor sponsor a work visa for this position. Applicants must be authorized to work directly for any employer in the United States without visa sponsorship.</t>
        </is>
      </c>
    </row>
    <row r="107">
      <c r="A107" t="inlineStr">
        <is>
          <t>li-4363891701</t>
        </is>
      </c>
      <c r="B107" t="inlineStr">
        <is>
          <t>Lead Data Engineer (AWS, Azure, GCP)</t>
        </is>
      </c>
      <c r="C107" t="inlineStr">
        <is>
          <t>CapTech</t>
        </is>
      </c>
      <c r="D107" t="inlineStr">
        <is>
          <t>linkedin</t>
        </is>
      </c>
      <c r="E107" t="inlineStr"/>
      <c r="F107" t="inlineStr"/>
      <c r="G107" t="inlineStr">
        <is>
          <t>Reston, VA</t>
        </is>
      </c>
      <c r="H107" t="inlineStr"/>
      <c r="I107" t="inlineStr">
        <is>
          <t>CapTech is an award\-winning consulting firm that collaborates with clients to achieve what’s possible through the power of technology. At CapTech, we’re passionate about the work we do and the results we achieve for our clients. From the outset, our founders shared a collective passion to create a consultancy centered on strong relationships that would stand the test of time. Today we work alongside clients that include Fortune 100 companies, mid\-sized enterprises, and government agencies, a list that spans across the country.
**Job Description**
 CapTech Data Engineering consultants enable clients to build and maintain advanced data systems that bring together data from disparate sources in order to enable decision\-makers. We build pipelines and prepare data for use by data scientists, data analysts, and other data systems. We love solving problems and providing creative solutions for our clients. Cloud Data Engineers leverage the client’s cloud infrastructure to deliver this value today and to scale for the future. We enjoy a collaborative environment and have many opportunities to learn from and share knowledge with other developers, architects, and our clients.
 The Value You Deliver (or What You’ll Do)
* Be trusted advisor to customers with best practices, methodologies, and technologies to implement data engineering solutions.
* Design, implement, and maintain modern data pipelines to deliver optimal solutions utilizing appropriate cloud technologies.
* Partner with product owners and business SMEs to analyze customer requirements and provide a supportable and sustainable engineered solution.
* Provide technical leadership and collaborate within and across teams to ensure that the overall technical solution is aligned with the customer needs.
* Stay current with the latest cloud technologies, patterns, and methodologies; share knowledge by clearly articulating results and ideas to key stakeholders.
**Qualifications**
* Experience building/operating highly available distributed systems of data extraction, ingestion, and processing large data sets
* 5\+ years of experience delivering data engineering solutions on cloud platform
* 5\+ years of experience implementing modern designs using at least one cloud\-based solution/platform (AWS, Azure, GCP)
* Advanced level proficiency with at least one ETL / Data Orchestration technology (Azure Data Factory, SSIS, Informatica, Alteryx, Ab Initio, Pentaho, Talend, Matillion)
* Experience cloud\-based data warehousing and data lake solutions like Snowflake, Redshift, Databricks
* 5\+ years of experience with SQL or NoSQL database (PostgreSQL, MySQL, SQL server, Oracle, Aurora, Presto, BigQuery)
* Expertise with SQL, database design/structure and data structure (star, snowflake schemas, de/normalized designs)
* 5\+ years of experience with at least one programming language (Python, Java, R, C / C\# / C\+\+, Shell)
* Familiarity with one or more DevOps tools (git, Jenkins, CI/CD, Jira)
* Fundamental understanding of big data, open source, and data streaming concepts
* Ability to think strategically and provide recommendations utilizing traditional and modern architectural components based on business needs
* Experience providing technical leadership and mentoring other engineers in data engineering space
* Cloud certification on any platform a plus
**Additional Information**
 We want everyone at CapTech to be able to envision a lasting and rewarding career here, which is why we offer a variety of career paths based on your skills and passions. You decide where and how you want to develop, and we help get you there with customizable career progression and a comprehensive benefits package to support you along the way. Alongside our suite of traditional benefits encompassing generous PTO, health coverage, disability insurance, paid family leave and more, we’ve launched extended benefits to help meet our employees’ needs.
* Learning \&amp; Development – Programs offering certification and tuition support, digital on\-demand learning courses, mentorship, and skill development paths
* Modern Health –A mental health and well\-being platform that provides 1:1 care, group support sessions, and self\-serve resources to support employees and their families through life’s ups and downs
* Carrot Fertility –Inclusive fertility and family\-forming coverage for all paths to parenthood – including adoption, surrogacy, fertility treatments, pregnancy, and more – and opportunities for employer\-sponsored funds to help pay for care
* Fringe –A company paid stipend program for personalized lifestyle benefits, allowing employees to choose benefits that matter most to them – ranging from vendors like Netflix, Spotify, and GrubHub to services like student loan repayment, travel, fitness, and more
* Employee Resource Groups – Employee\-led committees that embrace and incorporate diversity and inclusion into our day\-to\-day operations
* Philanthropic Partnerships – Opportunities to engage in partnerships and pro\-bono projects that support our communities.
* 401(k) Matching – Generous matching and no vesting period to help you continue to build financial wellness
 CapTech is an equal opportunity employer committed to fostering a culture of equality, inclusion and fairness — each foundational to our core values. We strive to create a diverse environment where each employee is encouraged to bring their unique ideas, backgrounds and experiences to the workplace. For more information about our Diversity, Inclusion and Belonging efforts, click HERE. As part of this commitment, CapTech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Laura Massa directly via email lmassa@captechconsulting.com.
 At this time, CapTech cannot transfer nor sponsor a work visa for this position. Applicants must be authorized to work directly for any employer in the United States without visa sponsorship.</t>
        </is>
      </c>
    </row>
    <row r="108">
      <c r="A108" t="inlineStr">
        <is>
          <t>li-4360093085</t>
        </is>
      </c>
      <c r="B108" t="inlineStr">
        <is>
          <t>Software Developer/Data Engineer - Apple Music</t>
        </is>
      </c>
      <c r="C108" t="inlineStr">
        <is>
          <t>Apple</t>
        </is>
      </c>
      <c r="D108" t="inlineStr">
        <is>
          <t>linkedin</t>
        </is>
      </c>
      <c r="E108" t="inlineStr"/>
      <c r="F108" t="inlineStr"/>
      <c r="G108" t="inlineStr">
        <is>
          <t>Cupertino, CA</t>
        </is>
      </c>
      <c r="H108" t="inlineStr"/>
      <c r="I108" t="inlineStr">
        <is>
          <t>**Summary**
 This team is more than a group of engineers — it’s a group of music lovers. That passion has made Apple Music the world’s most complete music experience, with over 60 million songs, thousands of playlists, and daily selections from music experts for 115 countries. The team’s data\-driven engineers focus relentlessly on the customer experience by running worldwide experiments and analyzing usage and latency, while collaborating with Apple’s product groups. As a result, someone can use the Shazam app to identify an intriguing song in a café in the morning, add it to their playlist from Apple Watch, listen to it through their AirPods on their commute, and share it with their family on HomePod at dinnertime. And there’s more where that came from, because personalization powered by machine learning and music science helps listeners discover more of what they love. Apple Music is a huge part of Apple’s business because it’s a big part of people’s lives.
**Description**
 We are seeking a hardworking, performance\-savvy, engineer to build out the big data platform and services, which power many of these customer features — existing and new. As a core member of the Data Engineering team you will be responsible for designing and implementing features that rely on processing and serving very large datasets with an awareness of scalability. This will include crafting systems to model, ingest, process and compute large\-scale, mission\-critical data across Apple Music. High\-throughput and reliability are essential. The computed datasets are produced for internal reporting used by executives and they are also shared across many teams within the ASE organization, such as the Search team, Recommendation team, AB team, Marketing team. You will also enjoy the benefits of working in a fast growing business where you are encouraged to “Think Different” to solve very interesting technical challenges and where your efforts play a key role in the success of Apple’s business. This is your opportunity to help engineer highly visible global\-scale systems with petabytes of data, supporting hundreds of millions of users. Come join us to help deliver the next amazing Apple product!
**Responsibilities**
* Lead technical discussions with engineering teams, data scientists, and business stakeholders to define data requirements and drive the execution of complex projects.
* Take ownership of the full software development lifecycle: architecting, designing, implementing, and testing highly scalable and efficient data processing pipelines.
* Create technical design documents and drive consensus across stakeholders.
* Work with our QA and SRE teams to establish and meet quality and reliability goals.
* Design, implement and support highly scalable data systems and services
* Build large\-scale data pipelines, including data ingest from various sources to feed batch and near\-realtime or streaming compute components
* Drive innovation and explore new technologies to improve our data infrastructure.
* Represent our team in meetings and drive consensus across participants.
* Create reusability across our features and our engineering stack e.g. utilising standard libraries and contributing to their development.
* Mentor junior engineers on the team, fostering a culture of technical excellence, and elevating the team’s capabilities through code reviews and design guidance.
**Minimum Qualifications**
* Bachelor’s degree in Engineering, Computer Science, Business Information Systems, or related field
* At least 5\+ years relevant industry experience
* Proficiency and hands\-on experience in at least one of Java or Scala.
* Experience with Apache Flink or Spark
* Skilled at writing clean, performant and well\-tested code, as well as reviewing and debugging existing code.
* Solid Computer Science fundamentals, including algorithms and data structures.
* A strong command of distributed data processing fundamentals and patterns (e.g., partitioning, data locality, distributed consensus).
* Excellent communication skills, with the ability to articulate complex technical designs and concepts to both technical and non\-technical stakeholders.
* Good critical thinking skills.
**Preferred Qualifications**
* Experience with Apache Iceberg tables
* Experience with Apache Beam
* Familiarity with Docker and Kubernetes
* Familiarity with Apache Airflow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09">
      <c r="A109" t="inlineStr">
        <is>
          <t>li-4359285130</t>
        </is>
      </c>
      <c r="B109" t="inlineStr">
        <is>
          <t>Simulation Synthetic Data Engineer - Special Projects</t>
        </is>
      </c>
      <c r="C109" t="inlineStr">
        <is>
          <t>Apple</t>
        </is>
      </c>
      <c r="D109" t="inlineStr">
        <is>
          <t>linkedin</t>
        </is>
      </c>
      <c r="E109" t="inlineStr"/>
      <c r="F109" t="inlineStr"/>
      <c r="G109" t="inlineStr">
        <is>
          <t>Cupertino, CA</t>
        </is>
      </c>
      <c r="H109" t="inlineStr"/>
      <c r="I109" t="inlineStr">
        <is>
          <t>**Summary**
 Play a role in bringing Apple technology to the world. We are looking for a hardworking, dedicated, and results\-oriented Synthetic Data Engineer. You would join a team using simulation to generate synthetic data. Apple is where individual imaginations gather together, committing to the values that lead to great work. Every new product we build, service we create, or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**Description**
 As a Simulation Synthetic Data Engineer, you will help develop next\-generation simulation technology powering a broad range of AI/ML efforts at Apple. You will work on highly ambitious projects that transform ideas into production tools and datasets used across the organization to develop new Apple products.
 We’re looking for an engineer who is both practical and inventive—comfortable extending existing simulation frameworks, experimenting with new approaches, and iterating quickly from prototype to high\-quality implementation. You will collaborate closely with engineers, technical artists, animators, and research teams to deliver scalable pipelines and compelling synthetic data. Your work will directly influence dataset quality and model performance across multiple product areas.
**Responsibilities**
* Build, enhance, and operate tools and pipelines for scenario creation, simulation execution, and generation of annotated 3D and multi\-modal synthetic datasets.
* Design and implement prototypes, proofs\-of\-concept, and production systems that expand the capabilities of our simulation stack.
* Deliver high\-quality, validated datasets to internal customers—leveraging procedural systems, generative models, scene variation tools, and diverse data sources.
* Partner with engineers, animators, and technical artists to transform creative intent into efficient, scalable pipelines for generating, varying, organizing, and validating scenarios.
* Develop tools, APIs, and reusable components that allow other teams to easily generate, manage, and automate simulation workflows.
* Stay current with advances in simulation, rendering, generative models, VLMs, and synthetic data in academia, industry, and at Apple; introduce new approaches where valuable.
**Minimum Qualifications**
* Master’s degree in Computer Science or related field, or equivalent practical experience.
* Strong programming skills in C\+\+ and Python, with solid software engineering fundamentals.
* Experience with 3D graphics or game engines, including topics such as rendering, animation, scene graphs, or content pipelines.
* Familiarity with machine learning workflows, especially perception tasks, generative models, or VLMs.
* Ability to work collaboratively with cross\-functional partners including engineers, artists, and researchers; strong communication skills.
**Preferred Qualifications**
* Experience with real\-time simulation engines (Unreal, Unity, Godot, Omniverse, custom engines).
* Familiarity with USD, MaterialX, or other modern 3D content standards.
* Experience with real\-time and offline rendering, ray tracing, lighting, or shading.
* Knowledge of physics simulation, sensor simulation, or physically\-based modeling.
* Experience with industrial/commercial simulation tools or large\-scale data pipelines.
**Pay \&amp; Benefits**
 At Apple, base pay is one part of our total compensation package and is determined within a range. This provides the opportunity to progress as you grow and develop within a role. The base pay range for this role is between $126,800 and $220,900,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10">
      <c r="A110" t="inlineStr">
        <is>
          <t>li-4359245760</t>
        </is>
      </c>
      <c r="B110" t="inlineStr">
        <is>
          <t>Staff Data Engineer</t>
        </is>
      </c>
      <c r="C110" t="inlineStr">
        <is>
          <t>Keystone</t>
        </is>
      </c>
      <c r="D110" t="inlineStr">
        <is>
          <t>linkedin</t>
        </is>
      </c>
      <c r="E110" t="inlineStr"/>
      <c r="F110" t="inlineStr"/>
      <c r="G110" t="inlineStr">
        <is>
          <t>San Francisco, CA</t>
        </is>
      </c>
      <c r="H110" t="inlineStr"/>
      <c r="I110" t="inlineStr">
        <is>
          <t>Keystone is a premier economics, technology, and strategy consulting firm built to help companies lead through transformation. As breakthrough innovations reshape industries,
 redefine competition and change our society, complex and highly competitive ecosystems emerge. Keystone advises technology leaders, Fortune 100 companies, their legal counsel, and
 governments on business, economic, litigation, and regulatory strategy in relation to these innovations and competitive eco\-systems. We operate globally from offices in New York, Boston, San Francisco, Seattle, London, Dubai, and Washington, D.C.
**About Keystone**
 Keystone is a premier economics, technology, and strategy consulting firm built to help companies lead through transformation. As breakthrough innovations reshape industries, redefine competition and change our society, complex and highly competitive ecosystems emerge. Keystone advises technology leaders, Fortune 100 companies, their legal counsel, and governments on business, economic, litigation, and regulatory strategy in relation to these innovations and competitive eco\-systems. We operate globally from offices in New York, Boston, San Francisco, London, Dubai, and Washington, D.C.
 K.ATS Foundry is Keystone’s engineering center of excellence, embedding data, platform, and forensic expertise into the firm’s most complex and high\-impact projects. Foundry builds secure, reusable infrastructure and scalable technical solutions that accelerate project delivery and ensure defensible, data\-driven outcomes. Our engineers work across disciplines—from automating data pipelines and managing cloud platforms to conducting forensic code investigations—helping every engagement start faster, run smoother, and deliver greater impact.
**About The Staff Data Engineer Role**
 You will lead the design and implementation of reproducible, scalable data workflows that power Keystone’s most data\-intensive projects. You will architect infrastructure, guide technical implementation across engagements, and develop reusable frameworks that accelerate work across the firm.
 This role sits at the intersection of data engineering, platform design, and applied analytics, supporting cross\-disciplinary teams in building data systems that are robust, defensible, and automation\-first. You’ll serve as a senior individual contributor and mentor, own project\-level architecture, shape technical standards, and contribute to Foundry’s shared engineering culture.
**Key Responsibilities**
**Technical Leadership**
* Architect and implement end\-to\-end data pipelines, transformations, and infrastructure across cloud environments (AWS, GCP, Azure, Snowflake).
* Develop reproducible workflows using Infrastructure as Code and data orchestration tools (Airflow, dbt, Spark, or equivalent).
* Design data models and storage systems optimized for performance, scalability, and defensibility in regulatory and litigation contexts.
* Build and maintain reusable templates, libraries, and automation frameworks that improve engineering efficiency across projects.
* Conduct code reviews, mentor peers, and ensure technical rigor and reproducibility in all project deliverables.
**Collaboration and Delivery**
* Partner with client\-facing teams, economists, and data scientists to translate analytical goals into scalable, automated data solutions.
* Collaborate with Platform and Forensic Engineering peers to develop integrated solutions across Foundry focus areas.
* Support the design and delivery of data visualization and analytic tooling (e.g., Power BI, Tableau, Streamlit) for client and internal projects.
* Contribute to documentation and internal guides that capture lessons learned, reusable modules, and technical standards.
**Practice Development**
* Mentor junior engineers and foster adoption of best practices in data architecture, version control, testing, and CI/CD.
* Participate in Scaling Days to share learnings, refine templates, and advance the firm’s reusable engineering assets.
* Identify opportunities to generalize project solutions into reusable Foundry tooling and QuickStarts.
* Contribute to research and evaluation of emerging technologies (e.g., SQLMesh, OpenLineage, LLM data evaluation pipelines).
* Travel 10 – 25% depending on project assignments.
**What You'll Bring**
* 6\+ years of experience in data engineering, data infrastructure, or software engineering roles.
* Deep proficiency in Python, SQL, and modern data stack tools (Airflow, dbt, Spark, Snowflake, BigQuery, or equivalent).
* Strong understanding of cloud architecture and Infrastructure as Code (Terraform, CloudFormation, or similar).
* Experience with version control, CI/CD workflows, and containerization (Docker, Kubernetes).
* Proven ability to architect and optimize large\-scale data systems for performance, reliability, and reproducibility.
* Excellent communication skills with the ability to convey technical concepts to non\-technical audiences.
* Demonstrated collaboration across disciplines and commitment to mentoring and technical excellence.
* Bachelor’s or advanced degree in Computer Science, Engineering, or related field.
**Preferred Experience**
* Prior experience at a consulting firm or matrix\-based organization.
* Experience developing internal libraries, frameworks, or automation solutions.
* Familiarity with data governance, lineage tracking, or privacy\-preserving techniques.
* Exposure to AI/ML data pipelines, LLM evaluation, or text analytics systems.
 In addition to annual salary, we provide annual 401k contributions and competitive benefits package. Actual Compensation within the range will depend upon the level the individual is hired into based on their skills, experience, and qualifications.
 Annual Salary Range
 $135,000—$186,000 USD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t>
        </is>
      </c>
    </row>
    <row r="111">
      <c r="A111" t="inlineStr">
        <is>
          <t>li-4359197350</t>
        </is>
      </c>
      <c r="B111" t="inlineStr">
        <is>
          <t>Data Engineer II, Enterprise Operations Analytics</t>
        </is>
      </c>
      <c r="C111" t="inlineStr">
        <is>
          <t>Travelers</t>
        </is>
      </c>
      <c r="D111" t="inlineStr">
        <is>
          <t>linkedin</t>
        </is>
      </c>
      <c r="E111" t="inlineStr"/>
      <c r="F111" t="inlineStr"/>
      <c r="G111" t="inlineStr">
        <is>
          <t>Hartford, CT</t>
        </is>
      </c>
      <c r="H111" t="inlineStr"/>
      <c r="I111"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$126,500\.00 \- $208,700\.00
**Target Openings**
 1
**What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stories found in data by leveraging a variety of data programming techniques. You will leverage your ability to design, build and deploy data solutions that capture, explore, transform, and utilize data to support Artificial Intelligence, Machine Learning and business intelligence/insights.
**What Will You Do?**
* Build and operationalize complex data solutions, correct problems, apply transformations, and recommending data cleansing/quality solutions.
* Design complex data solutions
* Perform analysis of complex sources to determine value and use and recommend data to include in analytical processes.
* Incorporate core data management competencies including data governance, data security and data quality.
* Collaborate within and across teams to support delivery and educate end users on complex data products/analytic environment.
* Perform data and system analysis, assessment and resolution for complex defects and incidents and correct as appropriate.
* Test data movement, transformation code, and data components.
* Perform other duties as assigned.
**What Will Our Ideal Candidate Have?**
* Bachelor’s Degree in STEM related field or equivalent
* Eight years of related experience
* Experience with building robust data pipelines and working with large\-scale datasets.
* Highly proficient use of tools, techniques, and manipulation including Cloud platforms, programming languages, and a full understanding of modern engineering practices.
* Proficiency in tools like AWS, Databricks, Snowflake, Ab Initio, Terraform etc.
* Passion for automation, optimization and delivering high\-quality data solutions.
* The ability to deliver work at a steady, predictable pace to achieve commitments, deliver complete solutions but release them in small batches, and identify and negotiate important tradeoffs.
* Demonstrated track record of domain expertise including understanding technical concepts necessary and industry trends and possess in\-depth knowledge of immediate systems worked on and some knowledge of adjacent systems.
* Strong problem solver who ensures systems are built with longevity and creates innovate ways to resolve issues.
* Strong written and verbal communication skills with the ability to work collaborate well with team members and business partners.
* Ability to lead team members and help create a safe environment for others to learn and grow as engineers. and a proven track record of self\-motivation in identifying opportunities and tracking team efforts.
* Experience with some of the following tools \&amp; platforms (or similar): AWS (S3, Lambda, Kinesis, API Gateway, IAM, Glue, SNS, SQS, EventBridge, EKS, VPC, Step Functions, ECS/EKS, DynamoDB, etc.), Databricks, Python, JavaScript, Kafka, dbt, Terraform, Snowflake, SQL, Jenkins, GitHub, Airflow, Alation, Secrets Management (HashiCorp Vault, AWS Secrets Manager, or similar), Docker / OpenShift / Open Cloud Foundry, MongoDB, SonarQube
* Knowledge and experience with the some of the following concepts: Real\-time \&amp; Batch Data Processing, Workload Orchestration, Cloud, Data lakes, Data Security, Networking, Serverless, Testing/Test Automation (Unit, Integration, Performance, etc.), DevOps, Logging, Monitoring, and Alerting, Containerization, Encryption / Decryption, Data Masking, Cost \&amp; Performance Optimization
**What is a Must Have?**
* Bachelor’s degree in computer science, related STEM field, or its equivalent in education and/or work experience.
* 4 additional years of 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112">
      <c r="A112" t="inlineStr">
        <is>
          <t>li-4360005268</t>
        </is>
      </c>
      <c r="B112" t="inlineStr">
        <is>
          <t>ETL BI Data Engineer</t>
        </is>
      </c>
      <c r="C112" t="inlineStr">
        <is>
          <t>Jobs via Dice</t>
        </is>
      </c>
      <c r="D112" t="inlineStr">
        <is>
          <t>linkedin</t>
        </is>
      </c>
      <c r="E112" t="inlineStr"/>
      <c r="F112" t="inlineStr"/>
      <c r="G112" t="inlineStr">
        <is>
          <t>San Jose, CA</t>
        </is>
      </c>
      <c r="H112" t="inlineStr"/>
      <c r="I112" t="inlineStr">
        <is>
          <t>Dice is the leading career destination for tech experts at every stage of their careers. Our client, Laiba Technologies LLC, is seeking the following. Apply via Dice today!
**Role: ETL Developer**
**Location: San Jose, CA (Onsite)**
 Qualifications needed: Proficiency in Python, SQL and data engineering concepts.
**Technologies used** 
 : Google internal tools
**Platform/Tools used :** 
 Google Cloud Platform, BigQuery
* Design, develop, and maintain scalable and robust ETL/ELT processes and data pipelines using various tools and technologies.
* Build and optimize data warehouses, data lakes, and other data storage solutions to support analytical and operational needs.
* Implement data quality checks and monitoring to ensure the accuracy, completeness, and consistency of data.
* Work with large datasets, performing data modeling, schema design, and performance tuning.
* Create data models that are easy for BI tools to consume and build dashboard.</t>
        </is>
      </c>
    </row>
    <row r="113">
      <c r="A113" t="inlineStr">
        <is>
          <t>li-4360044697</t>
        </is>
      </c>
      <c r="B113" t="inlineStr">
        <is>
          <t>Research Tooling &amp; Data Platform Engineer</t>
        </is>
      </c>
      <c r="C113" t="inlineStr">
        <is>
          <t>Runway</t>
        </is>
      </c>
      <c r="D113" t="inlineStr">
        <is>
          <t>linkedin</t>
        </is>
      </c>
      <c r="E113" t="inlineStr"/>
      <c r="F113" t="inlineStr"/>
      <c r="G113" t="inlineStr"/>
      <c r="H113" t="inlineStr"/>
      <c r="I113" t="inlineStr">
        <is>
          <t>*\*Open to hiring remote across North America and Europe — we also have offices in NYC, San Francisco, Seattle, London, and Tel Aviv* 
 We are building AI to simulate the world through merging art and science.
 We believe that world models are at the frontier of progress in artificial intelligence. Language models alone won’t solve the world’s hardest problems – robotics, disease, scientific discovery. Real progress requires models that experience the world and learn from their mistakes, the same way that humans do. And this kind of trial and error can be massively accelerated when done in simulation, rather than in the real world.
 World models offer the most clear path to general\-purpose simulation, changing how stories are told, how scientific progress is made and how the next frontiers of humanity are reached.
 Our team consists of creative, open minded, caring and ambitious people who are determined to change the world. We aspire to continuously build impossible things and our ability to do so relies on building an incredible team. If you are driven to do the same, we'd love to hear from you.
**About the role** 
 We're looking for an engineer to own Runway's internal exploratory data analysis (EDA) and evaluation platform used daily by our ML research, design, product, and creative teams. This is a high\-impact role where you'll directly accelerate research velocity and enable better decision\-making across the company.
 This platform helps researchers query large\-scale datasets, run evaluations on model outputs, and analyze results \- all through an intuitive interface. As the owner, you'll be responsible for the full product experience: from database query optimization and infrastructure management to building user\-facing features that make complex ML workflows accessible to non\-engineers.
**A peek at our technical stack** 
 Our API endpoints for real\-time collaboration and media asset management is written in
 **TypeScript** 
 , and runs in ECS containers on AWS Fargate. We leverage multiple AWS\-native components, such as S3, CloudFront, Lambda, Kinesis, and SQS, as building blocks of our infrastructure.
 Our inference backend is written in
 **Python (PyTorch, TorchScript),** 
 and is deployed across multiple clusters / cloud providers. We use
 **Kubernetes** 
 for container orchestration, and k8s\-native components such as Flyte, Kueue, and Kyverno efficient job orchestration. We invest in prometheus and grafana for monitoring, and
 **Terraform** 
 to manage our infrastructure.
**What you’ll do** 
* **Own the EDA platform end\-to\-end** 
 : Take full ownership of architecture, infrastructure, feature development, and operations
* **Optimize for scale** 
 : Improve query performance and write efficiency for vector search, integrate with new data warehouses, and optimize our custom query parsing/suggestion system
* **Build for researchers** 
 : Design and ship features that help ML researchers source data faster, run more effective evaluations, and iterate quickly
* **Enable cross\-functional users** 
 : Work with design, product, and creative teams to build intuitive evaluation workflows
* **Manage infrastructure** 
 : Deploy and maintain services across ECS and Kubernetes, including embedding services and database integrations
* **Provide support** 
 : Be responsive to user needs, debug issues quickly, and gather feedback to prioritize improvements
**What you’ll need** 
* 4\+ years of industry experience in a backend focused software engineering role
* Strong experience in at least 2 of 3 areas (platform/infrastructure, ML domain knowledge, frontend/product engineering) with eagerness to learn the third:
1. Platform/infrastructure: experience with vector databases, cloud primitives (i.e. SQS, ECR, Kinesis) and container orchestration (Kubernetes, ECS)
2. ML domain knowledge: Understanding of ML workflows, model training, evaluation, testing, dataset management, feature engineering, or research tooling
3. Product engineering: Ability to build clean, intuitive user experiences with product thinking and user empathy. You care deeply about building tools people love to use (TypeScript/React experience is a plus)
* Comfortable setting up and maintaining production infrastructure and services
* Self\-starter who can navigate ambiguity and make pragmatic technical decisions
* Humility and open mindedness; at Runway we love to learn from one another
 Runway strives to recruit and retain exceptional talent from diverse backgrounds while ensuring pay equity for our team. Our salary ranges are based on competitive market rates for our size, stage and industry, and salary is just one part of the overall compensation package we provide.
 There are many factors that go into salary determinations, including relevant experience, skill level and qualifications assessed during the interview process, and maintaining internal equity with peers on the team. The range shared below is a general expectation for the function as posted, but we are also open to considering candidates who may be more or less experienced than outlined in the job description. In this case, we will communicate any updates in the expected salary range.
 Lastly, the provided range is the expected salary for candidates in the U.S. Outside of those regions, there may be a change in the range, which again, will be communicated to candidates.</t>
        </is>
      </c>
    </row>
    <row r="114">
      <c r="A114" t="inlineStr">
        <is>
          <t>li-4360055056</t>
        </is>
      </c>
      <c r="B114" t="inlineStr">
        <is>
          <t>Data Engineer</t>
        </is>
      </c>
      <c r="C114" t="inlineStr">
        <is>
          <t>Jobs via Dice</t>
        </is>
      </c>
      <c r="D114" t="inlineStr">
        <is>
          <t>linkedin</t>
        </is>
      </c>
      <c r="E114" t="inlineStr"/>
      <c r="F114" t="inlineStr"/>
      <c r="G114" t="inlineStr">
        <is>
          <t>Dallas, TX</t>
        </is>
      </c>
      <c r="H114" t="inlineStr"/>
      <c r="I114" t="inlineStr">
        <is>
          <t>Dice is the leading career destination for tech experts at every stage of their careers. Our client, DATASYS CONSULTING \&amp; SOFTWARE INC, is seeking the following. Apply via Dice today!
 Title: Data Engineer
 Location: Dallas , TX (Hybrid)
 Employment Type : W2 Only
 We are seeking an experienced Data Engineer to design and maintain scalable data pipelines in Databricks. The role involves end\-to\-end ownership of data workflows, from ingestion to production, ensuring performance, quality, and reliability.
 Responsibilities:
* Build and optimize pipelines in Databricks (PySpark, SQL, Delta Lake).
* Ingest data from databases, APIs, PDFs, Excel, flat files, and web scraping.
* Implement data quality checks, validation, and testing frameworks.
* Deploy, monitor, and optimize pipelines in Databricks/AWS.
* Collaborate with data science/analytics teams and document data processes.
 Qualifications:
* 8\+ years of Data Engineering experience.
* Hands\-on expertise in Databricks (PySpark, SQL, Delta Lake).
* Strong experience with structured \&amp; unstructured data.
* Knowledge of data quality/testing tools (Great Expectations, Deequ, dbt tests).
* Proven ability to optimize large\-scale Spark/Databricks workloads.
 Email : shraddha (dot) m (at) datasysamerica (dot) com</t>
        </is>
      </c>
    </row>
    <row r="115">
      <c r="A115" t="inlineStr">
        <is>
          <t>li-4360045163</t>
        </is>
      </c>
      <c r="B115" t="inlineStr">
        <is>
          <t>Data Engineer</t>
        </is>
      </c>
      <c r="C115" t="inlineStr">
        <is>
          <t>Jobs via Dice</t>
        </is>
      </c>
      <c r="D115" t="inlineStr">
        <is>
          <t>linkedin</t>
        </is>
      </c>
      <c r="E115" t="inlineStr"/>
      <c r="F115" t="inlineStr"/>
      <c r="G115" t="inlineStr">
        <is>
          <t>Houston, TX</t>
        </is>
      </c>
      <c r="H115" t="inlineStr"/>
      <c r="I115" t="inlineStr">
        <is>
          <t>Dice is the leading career destination for tech experts at every stage of their careers. Our client, Kanshe Infotech, is seeking the following. Apply via Dice today!
**Job Title:** 
 Data Engineer
**Location: Houston, TX
**Duration:** 
 Long Term**
**Requirements:**
* 5\+ years of experience in data engineering
* Strong SQL \&amp; NoSQL experience: Oracle, SQL Server, PostgreSQL, DB2, ElasticSearch, MongoDB
* Advanced Python development skills
* Experience implementing business logic using SQL procedures and NoSQL utilities
* Hands\-on experience with FastAPI microservices
* Exposure to LLM models, coding agents, and testing agents</t>
        </is>
      </c>
    </row>
    <row r="116">
      <c r="A116" t="inlineStr">
        <is>
          <t>li-4359295415</t>
        </is>
      </c>
      <c r="B116" t="inlineStr">
        <is>
          <t>Data Engineer</t>
        </is>
      </c>
      <c r="C116" t="inlineStr">
        <is>
          <t>Jobs via Dice</t>
        </is>
      </c>
      <c r="D116" t="inlineStr">
        <is>
          <t>linkedin</t>
        </is>
      </c>
      <c r="E116" t="inlineStr"/>
      <c r="F116" t="inlineStr"/>
      <c r="G116" t="inlineStr">
        <is>
          <t>Malvern, PA</t>
        </is>
      </c>
      <c r="H116" t="inlineStr"/>
      <c r="I116" t="inlineStr">
        <is>
          <t>Dice is the leading career destination for tech experts at every stage of their careers. Our client, 1 Point System, is seeking the following. Apply via Dice today!
**Role: Data Engineer**
**Location: Malvern, PA**
**Experience: 5\-7\+ years exp required.**
**Key Responsibilities**
* Develop and Implement Data Pipelines: Design, build, and maintain robust data pipelines primarily using AWS Glue and PySpark.
* Data Sourcing and Transformation: Source data from various systems, including Redshift and Aurora, performing necessary streaming transformations and heavy data cleaning.
* Data Delivery: Push resulting, cleaned datasets into S3 buckets.
* External Integration: Manage the secure transfer of resulting files via SFTP to an external 3rd party company's server, adhering to non\-negotiable external integration deadlines.
* Collaboration: Work closely with the team to consult on the best and most efficient solutions for achieving required data outputs, given the constraints of the AWS Glue/PySpark environment.</t>
        </is>
      </c>
    </row>
    <row r="117">
      <c r="A117" t="inlineStr">
        <is>
          <t>li-4359188002</t>
        </is>
      </c>
      <c r="B117" t="inlineStr">
        <is>
          <t>Data Engineer</t>
        </is>
      </c>
      <c r="C117" t="inlineStr">
        <is>
          <t>Jobs via Dice</t>
        </is>
      </c>
      <c r="D117" t="inlineStr">
        <is>
          <t>linkedin</t>
        </is>
      </c>
      <c r="E117" t="inlineStr"/>
      <c r="F117" t="inlineStr"/>
      <c r="G117" t="inlineStr">
        <is>
          <t>Cincinnati, OH</t>
        </is>
      </c>
      <c r="H117" t="inlineStr"/>
      <c r="I117" t="inlineStr">
        <is>
          <t>Dice is the leading career destination for tech experts at every stage of their careers. Our client, Javen Technologies, Inc, is seeking the following. Apply via Dice today!
**Must Have:**
 Business Intelligence \- Data Engineering.
**Job Description:**
 A Junior Data Engineer is an entry\-level data professional (0 18 months of experience) responsible for designing, building, and maintaining data pipelines and systems. They collaborate with Product Owners, Data Analysts, and business stakeholders to ensure data is accessible, reliable, and high quality. Junior Data Engineers typically work under the guidance of experienced engineers as they develop their skills.
**Job Summary:**
 We are seeking a highly motivated and detail\-oriented Entry\-Level Data Engineer to join our dynamic team. In this role, you will assist with gathering requirements, curating data elements, and documenting data lineage within designated data repositories. This position offers an excellent opportunity to gain hands\-on experience in data engineering and work closely with seasoned professionals in a collaborative environment.
**Duties and Responsibilities:**
 Curate data elements and document data lineage
 Manage data storage and ensure data quality
 Build and maintain data pipelines and ETL processes to move data between cloud\-based platforms and on\-premises sources
 Collaborate with Product Owners and Analysts to understand business requirements and deliver data solutions
 Write scripts and code to automate data processes
 Develop and maintain data models and transformation logic using dbt in cloud or on\-prem environments
 Participate in Agile ceremonies and contribute to sprint planning and reviews
**Requirements and Qualifications:**
 Strong problem\-solving and communication skills
 Proficiency in at least one programming language (Python preferred; Java, etc.)
 Knowledge of SQL
 Eagerness to learn and grow in a collaborative environment
 Familiarity with GitHub
**Nice\-to\-Have Skills:**
 In\-depth understanding of commonly used databases, data warehousing concepts, and ETL technologies (e.g., DataStage, dbt, Snowflake, AWS)
 Microsoft s Power Platform (Power Bi \&amp; Power Apps)
 Understanding of big data concepts (data curation, data lineage, data mesh, etc.)
 Experience with cloud platforms (Snowflake, AWS, etc.)</t>
        </is>
      </c>
    </row>
    <row r="118">
      <c r="A118" t="inlineStr">
        <is>
          <t>li-4363831303</t>
        </is>
      </c>
      <c r="B118" t="inlineStr">
        <is>
          <t>Staff Data Engineering Specialist</t>
        </is>
      </c>
      <c r="C118" t="inlineStr">
        <is>
          <t>TouchTunes</t>
        </is>
      </c>
      <c r="D118" t="inlineStr">
        <is>
          <t>linkedin</t>
        </is>
      </c>
      <c r="E118" t="inlineStr"/>
      <c r="F118" t="inlineStr"/>
      <c r="G118" t="inlineStr">
        <is>
          <t>Schaumburg, IL</t>
        </is>
      </c>
      <c r="H118" t="inlineStr"/>
      <c r="I118" t="inlineStr">
        <is>
          <t>**Location:** 
 Schaumburg, Illinois (currently hybrid with up to 50% remote)
**Your Mission In The Data Engineering Team**
 At Touchtunes, your work matters.
 We are seeking a highly skilled and experienced Staff Data Platform Engineer to lead the design, development, and optimization of our data platform. This role is ideal for someone who thrives at the intersection of cloud architecture, big data engineering, and enabling AI/ML capabilities at scale. You will partner closely with data scientists, analysts, DevOps, and engineering teams to drive scalable, secure, and high\-performing data solutions.
**Your Day\-to\-day**
* Architect and build scalable data platforms using AWS services such as S3, Glue, Lambda, Redshift, EMR, and CloudWatch.
* Design and optimize end\-to\-end ETL/ELT pipelines using Databricks, PySpark, Python, and SQL to support batch and real\-time data workflows.
* Define, build, and maintain data models and warehouse structures optimized for analytics and ML workloads.
* Implement and maintain CI/CD pipelines for data workflows and ML models using Jenkins, Git, and other DevOps tools.
* Experience building and supporting real\-time data pipelines using tools such as Kafka, Kinesis, or Structured Streaming.
* Drive the adoption of DataOps and MLOps best practices, ensuring robust testing, observability, monitoring, and rollback strategies.
* Partner with machine learning engineers to enable scalable model training, deployment, and monitoring pipelines.
* Establish and enforce data quality, governance, security, and cataloging standards (e.g., Unity Catalog).
* Evaluate and recommend new tools and frameworks that enhance the scalability and reliability of the data ecosystem.
* Mentor junior engineers, promote engineering excellence, and participate in architectural decision\-making.
**Your Profile**
* Deep expertise in Databricks (clusters, jobs, Delta Lake, Unity Catalog, notebooks).
* Proficiency in Python and PySpark for developing large\-scale data processing jobs.
* Advanced SQL skills, including complex joins, window functions, CTEs, and performance tuning.
* Hands\-on experience with Jenkins for CI/CD automation in data/ML workflows.
* Solid understanding of DataOps/MLOps practices, including version control, testing, monitoring, and deployment of data pipelines and models.
* Experience with orchestration tools such as Airflow, dbt, or similar.
* Familiarity with data security, compliance, and governance frameworks.
* Strong problem\-solving and communication skills; ability to lead cross\-functional technical discussions.
**Even Better If You Have**
* Familiarity with AI development tools and environments such as Cursor, and other modern code generation, debugging, or co\-piloting platforms.
* Experience with containerization and orchestration (e.g., Docker, Kubernetes).
* AWS or Databricks certifications are a plus
**What’s In It For You**
 At TouchTunes, your work impacts our customers as part of interesting projects that transform the in\-venue entertainment industry. We foster open communication and collaboration across all levels, with approachable leaders who value all voices and empower you to excel and innovate. Our team thrives in an environment where fun meets hard work, and everyone is encouraged to be their authentic selves.
**Our Perks And Benefits**
* Hybrid Work Environment: Hybrid schedule with 50% work\-from\-home and in\-office time, with the ability to work anywhere in the world for up to 2 months per year.
* Financial Wellness: Annual performance bonus, long\-term company bonus, 401k matching, life insurance.
* Comprehensive Benefits: Competitive health insurance and disability coverage, a Lifestyle Spending Account, access to telemedicine, and an unlimited sick days policy.
* Professional Development: Continuous hands\-on learning with access to e\-learning platform, tuition reimbursement, and peer mentorship.
* Accessibility: An inclusive workplace designed to accommodate people with disabilities.
**TouchTunes**
 At TouchTunes, the world’s largest in\-venue interactive music and entertainment platform, we’re all about sparking joy and human connection. That moment in a bar where someone at the next table cues the jukebox to play your favorite song? That’s what we do – our platform plays millions of songs daily – but we’re also so much more! We just bought the largest soft\-tipped darts business in the United States, we’re reinventing our mobile app for launch later this year, and we’re operating nearly 100,000 connected devices across North America and Europe. We’re innovators, strategic thinkers, people making the future possible today – and what a great time to join our team.
**Work Requirements:** 
 Must be authorized to work in the United States
 TouchTunes is an Equal Employment Opportunity / Affirmative Action employer. TouchTunes provides equal employment opportunities (EEO) to all employees and applicants for employment without regard to race, color, religion, creed, sex, gender identity or expression, age, national origin or ancestry, citizenship, disability, sexual orientation, marital status, pregnancy, veteran status, membership in the uniformed services, genetic information, or any other basis protected by applicable law. This policy applies to all terms and conditions of employment, including recruiting, hiring, placement, promotion, termination, layoff, recall, transfer, leaves of absence, compensation, and training.
 🌈TouchTunes is a proud ally of
 **QueerTech** 
 and
 **DiversityJobs.**</t>
        </is>
      </c>
    </row>
    <row r="119">
      <c r="A119" t="inlineStr">
        <is>
          <t>li-4363891682</t>
        </is>
      </c>
      <c r="B119" t="inlineStr">
        <is>
          <t>Lead Data Engineer (AWS, Azure, GCP)</t>
        </is>
      </c>
      <c r="C119" t="inlineStr">
        <is>
          <t>CapTech</t>
        </is>
      </c>
      <c r="D119" t="inlineStr">
        <is>
          <t>linkedin</t>
        </is>
      </c>
      <c r="E119" t="inlineStr"/>
      <c r="F119" t="inlineStr"/>
      <c r="G119" t="inlineStr">
        <is>
          <t>Denver, CO</t>
        </is>
      </c>
      <c r="H119" t="inlineStr"/>
      <c r="I119" t="inlineStr">
        <is>
          <t>CapTech is an award\-winning consulting firm that collaborates with clients to achieve what’s possible through the power of technology. At CapTech, we’re passionate about the work we do and the results we achieve for our clients. From the outset, our founders shared a collective passion to create a consultancy centered on strong relationships that would stand the test of time. Today we work alongside clients that include Fortune 100 companies, mid\-sized enterprises, and government agencies, a list that spans across the country.
**Job Description**
 CapTech Data Engineering consultants enable clients to build and maintain advanced data systems that bring together data from disparate sources in order to enable decision\-makers. We build pipelines and prepare data for use by data scientists, data analysts, and other data systems. We love solving problems and providing creative solutions for our clients. Cloud Data Engineers leverage the client’s cloud infrastructure to deliver this value today and to scale for the future. We enjoy a collaborative environment and have many opportunities to learn from and share knowledge with other developers, architects, and our clients.
 The Value You Deliver (or What You’ll Do)
* Be trusted advisor to customers with best practices, methodologies, and technologies to implement data engineering solutions.
* Design, implement, and maintain modern data pipelines to deliver optimal solutions utilizing appropriate cloud technologies.
* Partner with product owners and business SMEs to analyze customer requirements and provide a supportable and sustainable engineered solution.
* Provide technical leadership and collaborate within and across teams to ensure that the overall technical solution is aligned with the customer needs.
* Stay current with the latest cloud technologies, patterns, and methodologies; share knowledge by clearly articulating results and ideas to key stakeholders.
**Qualifications**
* Experience building/operating highly available distributed systems of data extraction, ingestion, and processing large data sets
* 5\+ years of experience delivering data engineering solutions on cloud platform
* 5\+ years of experience implementing modern designs using at least one cloud\-based solution/platform (AWS, Azure, GCP)
* Advanced level proficiency with at least one ETL / Data Orchestration technology (Azure Data Factory, SSIS, Informatica, Alteryx, Ab Initio, Pentaho, Talend, Matillion)
* Experience cloud\-based data warehousing and data lake solutions like Snowflake, Redshift, Databricks
* 5\+ years of experience with SQL or NoSQL database (PostgreSQL, MySQL, SQL server, Oracle, Aurora, Presto, BigQuery)
* Expertise with SQL, database design/structure and data structure (star, snowflake schemas, de/normalized designs)
* 5\+ years of experience with at least one programming language (Python, Java, R, C / C\# / C\+\+, Shell)
* Familiarity with one or more DevOps tools (git, Jenkins, CI/CD, Jira)
* Fundamental understanding of big data, open source, and data streaming concepts
* Ability to think strategically and provide recommendations utilizing traditional and modern architectural components based on business needs
* Experience providing technical leadership and mentoring other engineers in data engineering space
* Cloud certification on any platform a plus
**Additional Information**
 We want everyone at CapTech to be able to envision a lasting and rewarding career here, which is why we offer a variety of career paths based on your skills and passions. You decide where and how you want to develop, and we help get you there with customizable career progression and a comprehensive benefits package to support you along the way. Alongside our suite of traditional benefits encompassing generous PTO, health coverage, disability insurance, paid family leave and more, we’ve launched extended benefits to help meet our employees’ needs.
* Learning \&amp; Development – Programs offering certification and tuition support, digital on\-demand learning courses, mentorship, and skill development paths
* Modern Health –A mental health and well\-being platform that provides 1:1 care, group support sessions, and self\-serve resources to support employees and their families through life’s ups and downs
* Carrot Fertility –Inclusive fertility and family\-forming coverage for all paths to parenthood – including adoption, surrogacy, fertility treatments, pregnancy, and more – and opportunities for employer\-sponsored funds to help pay for care
* Fringe –A company paid stipend program for personalized lifestyle benefits, allowing employees to choose benefits that matter most to them – ranging from vendors like Netflix, Spotify, and GrubHub to services like student loan repayment, travel, fitness, and more
* Employee Resource Groups – Employee\-led committees that embrace and incorporate diversity and inclusion into our day\-to\-day operations
* Philanthropic Partnerships – Opportunities to engage in partnerships and pro\-bono projects that support our communities.
* 401(k) Matching – Generous matching and no vesting period to help you continue to build financial wellness
 CapTech is an equal opportunity employer committed to fostering a culture of equality, inclusion and fairness — each foundational to our core values. We strive to create a diverse environment where each employee is encouraged to bring their unique ideas, backgrounds and experiences to the workplace. For more information about our Diversity, Inclusion and Belonging efforts, click HERE. As part of this commitment, CapTech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Laura Massa directly via email lmassa@captechconsulting.com.
 CapTech supports Equal Pay for all. In addition, in the State of Colorado, we are committed to Equal Pay for ALL in accordance with the Colorado Equal Pay for Equal Work Act. The base pay range for this role is: $115,000 \- $160,000\.
 At this time, CapTech cannot transfer nor sponsor a work visa for this position. Applicants must be authorized to work directly for any employer in the United States without visa sponsorship.</t>
        </is>
      </c>
    </row>
    <row r="120">
      <c r="A120" t="inlineStr">
        <is>
          <t>li-4364032841</t>
        </is>
      </c>
      <c r="B120" t="inlineStr">
        <is>
          <t>Data Engineer</t>
        </is>
      </c>
      <c r="C120" t="inlineStr">
        <is>
          <t>FanDuel</t>
        </is>
      </c>
      <c r="D120" t="inlineStr">
        <is>
          <t>linkedin</t>
        </is>
      </c>
      <c r="E120">
        <f>HYPERLINK("https://www.linkedin.com/jobs/view/4364032841", "https://www.linkedin.com/jobs/view/4364032841")</f>
        <v/>
      </c>
      <c r="F120" t="inlineStr"/>
      <c r="G120" t="inlineStr">
        <is>
          <t>Atlanta, GA</t>
        </is>
      </c>
      <c r="H120" t="inlineStr"/>
      <c r="I120" t="inlineStr">
        <is>
          <t>**THE POSITION**
 Our roster has an opening with your name on it
 We are looking for a Data Engineer to join our growing data engineering team and help build the pipelines and infrastructure that power analytics, machine learning, and business decision\-making across the company. In this role, you’ll contribute to the design, development, and maintenance of reliable data systems while collaborating with multiple departments and stakeholders to support high\-impact data use cases.
 The ideal candidate is a strong technical contributor who enjoys working with data at scale, solving practical problems, and continuously learning in a fast\-paced environment.
 In addition to the specific responsibilities outlined above, employees may be required to perform other such duties as assigned by the Company. This ensures operational flexibility and allows the Company to meet evolving business needs.
 If you’re excited by this challenge and want to work within a dynamic company, then we’d love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Build \&amp; Maintain Data Pipelines
* Design, build, and maintain scalable batch and streaming data pipelines to support analytics and business operations.
* Write clean, efficient, and well\-documented code using tools like Python, SQL, and Spark.
* Ensure data is reliable, accurate, and delivered in a timely manner
 Collaborate Across Teams
* Work with data analysts, data scientists, and product managers to understand requirements and deliver actionable data solutions
* Translate business questions into engineering tasks and contribute to technical planning.
* Participate in code reviews, sprint planning, and retrospectives as part of an agile team.
 Data Quality \&amp; Operations
* Monitor data pipelines and troubleshoot issues in a timely, systematic manner
* Implement data quality checks and contribute to observability and testing practices
* Document data sources, transformations, and architecture decisions to support long\-term maintainability
**THE STATS**
 What we're looking for in our next teammate
* 3\+ years of experience in data engineering, analytics engineering, or software engineering with a focus on data.
* Strong SQL skills and familiarity with at least one programming language (e.g., Python, Java, or Scala).
* Hands\-on experience with modern data tools such as Databricks, Airflow, dbt, Spark, or Kafka.
* Understanding of data modeling concepts, data warehousing, and ETL/ELT best practices.
* Experience working with cloud\-based data platforms (AWS, GCP, or Azure).
**Preferred Qualifications**
* Experience supporting BI, analytics, or data science teams.
* Familiarity with version control, CI/CD, and collaborative development workflows.
* Exposure to data governance, privacy, or compliance practices.
* Eagerness to learn new technologies and contribute to the growth of the team.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121">
      <c r="A121" t="inlineStr">
        <is>
          <t>li-4363753770</t>
        </is>
      </c>
      <c r="B121" t="inlineStr">
        <is>
          <t>Analytics Engineer</t>
        </is>
      </c>
      <c r="C121" t="inlineStr">
        <is>
          <t>Paycom</t>
        </is>
      </c>
      <c r="D121" t="inlineStr">
        <is>
          <t>linkedin</t>
        </is>
      </c>
      <c r="E121">
        <f>HYPERLINK("https://www.linkedin.com/jobs/view/4363753770", "https://www.linkedin.com/jobs/view/4363753770")</f>
        <v/>
      </c>
      <c r="F121" t="inlineStr"/>
      <c r="G121" t="inlineStr">
        <is>
          <t>Grapevine, TX</t>
        </is>
      </c>
      <c r="H121" t="inlineStr"/>
      <c r="I121" t="inlineStr">
        <is>
          <t>Paycom is seeking a highly skilled and self\-motivated Data Analyst to join our team, responsible for transforming complex data into actionable insights that drive business growth and inform strategic decision\-making. As a Data Analyst, you will design, build, and maintain large\-scale data pipelines, develop predictive models, and apply AI and machine learning techniques to uncover trends, patterns, and anomalies. You will collaborate with cross\-functional teams to deliver data\-driven solutions, communicate findings to stakeholders, and drive business outcomes through data\-driven decision support. If you have a passion for data analysis, a talent for storytelling with data, and experience working with cutting\-edge technologies, we encourage you to apply for this exciting opportunity.
**Responsibilities**
* Build data pipelines following the most optimum industry standards
* Build forecasting models to understand user behavior and user retention
* Clean and preprocess data to ensure accuracy and consistency
* Automate workflows and data processing tasks
* Perform exploratory data analysis to uncover trends, patterns, and anomalies
* Apply AI and machine learning techniques to derive insights from complex datasets
* Create visually appealing and interactive dashboards, reports, and presentations
* Communicate findings and recommendations to stakeholders using data visualization tools
* Collaborate with cross\-functional teams to design and deliver actionable insights
* Identify and address data quality issues and discrepancies
* Implement data quality controls and monitoring mechanisms
* Partner with business units to define key performance indicators (KPIs) and metrics
* Analyze business processes and operations to identify opportunities for improvement
* Provide decision support through ad\-hoc analysis and scenario modeling.</t>
        </is>
      </c>
    </row>
    <row r="122">
      <c r="A122" t="inlineStr">
        <is>
          <t>li-4353458158</t>
        </is>
      </c>
      <c r="B122" t="inlineStr">
        <is>
          <t>Analytics Engineer</t>
        </is>
      </c>
      <c r="C122" t="inlineStr">
        <is>
          <t>CurbWaste</t>
        </is>
      </c>
      <c r="D122" t="inlineStr">
        <is>
          <t>linkedin</t>
        </is>
      </c>
      <c r="E122">
        <f>HYPERLINK("https://www.linkedin.com/jobs/view/4353458158", "https://www.linkedin.com/jobs/view/4353458158")</f>
        <v/>
      </c>
      <c r="F122">
        <f>HYPERLINK("https://www.resume-library.com/feed/click/551/235716056?dpj=yes&amp;urlHash=YYSy", "https://www.resume-library.com/feed/click/551/235716056?dpj=yes&amp;urlHash=YYSy")</f>
        <v/>
      </c>
      <c r="G122" t="inlineStr">
        <is>
          <t>New York County, NY</t>
        </is>
      </c>
      <c r="H122" t="inlineStr"/>
      <c r="I122" t="inlineStr">
        <is>
          <t>**About Us**
 CurbWaste is a venture\-backed, early\-stage vertical SaaS company on a mission to modernize the waste and recycling industry — one of the most critical and underserved sectors in the world. Our customers are hard\-working, no\-frills operators running complex businesses with limited tools. We’re here to change that.
 With $50M raised and the backing of top\-tier investors, we serve over 150 customers who rely on CurbWaste’s all\-in\-one solution to power their operations. But we’re just getting started. Our ambition is to become the system of record for the waste industry and support the people who keep our cities running.
 At CurbWaste, We Hold a High Bar. We Believe In Trust, Ownership, And a Relentless Focus On Delivering Value. We Challenge Each Other To Grow Every Day And Live By Values That Shape How We Show Up
* Serve our customers, serve our industry
* Be infinitely curious
* Resourcefulness over resources
* Win as a team, learn as a team
* Do the 1% more
 We’re building something meaningful — and we’re looking for big thinkers and humble warriors to join us.
**About The Role**
 We're looking for an Analytics Engineer to build our data and analytics function from the ground up. This is a foundational role — you'll be the first person dedicated to turning CurbWaste's data into actionable insights across operations, finance, and product.
 You'll work closely with engineering to shape our data infrastructure (Snowflake, Sigma, and beyond), partner with business teams to deliver the metrics and dashboards they need, and play a key role in preparing data for AI\-powered features on our 2026 roadmap. This isn't a role where you wait for tickets — you'll identify what matters, build it, and own it.
 If you're someone who thrives with autonomy, thinks end\-to\-end, and wants to shape how a growing company uses data, this is for you.
**Requirements**
 What You'll Do
* Build and own dashboards, reports, and self\-serve analytics that drive decisions across the company
* Partner with engineering to design and implement our data warehouse and BI stack
* Define key metrics and data models for operational and financial performance
* Prepare and structure datasets that power AI and machine learning initiatives
* Work cross\-functionally with product, ops, finance, and engineering to understand needs and deliver insights
* Establish data quality standards and documentation as the foundation for a future data team
 About The Ideal Candidate
* Bachelor's or Master's degree in a quantitative field (Computer Science, Statistics, Economics, Engineering, or similar), with strong academic performance
* Deep SQL expertise — you can write complex queries, optimize performance, and model data cleanly
* Hands\-on experience with modern BI tools; Sigma experience is a strong plus
* Familiarity with cloud data warehouses (Snowflake, BigQuery, Redshift, or similar)
* Demonstrated grit and resourcefulness; thrives in high\-growth, fast\-moving, and often ambiguous environments
* Strong communicator who can translate data into clear recommendations for non\-technical stakeholders
* Self\-directed and proactive — you don't wait to be told what to build
* Mission\-driven attitude — you care about helping customers win and making a real impact
 Nice to Have
* Some programming ability (Python, Javascript) for data manipulation or automation
* Exposure to the waste, logistics, or industrial sectors
* Experience preparing data for machine learning or analytics\-driven product features
* Background in both operational and financial analytics
**Benefits**
 Location
 This role is based in New York City (3 days/week minimum in office).
 What We Offer
 This is not just a job, this is a career, it’s an opportunity to make a real impact in a critical industry.
* Join a high\-performing, mission\-driven team transforming a critical industry.
* Competitive salary ($120k–$150k), flexible time off, and ample opportunities for learning and development.
* Company\-paid medical, dental, and vision coverage, plus 401k.
* Be part of a diverse, inclusive, and supportive culture where individuality is celebrated.
 Our Mission
 We aim to change the way waste companies run their business. We’re a software company founded by haulers and built for haulers. We care about the environment and want to play a positive role in the future of the waste industry. Software helps create solutions, and we are focused on being the leaders in change.
 At CurbWaste, we celebrate individuality and uniqueness. We believe that the convergence of fresh perspectives and experiences from all walks of life is what makes our product and culture so great. We strongly encourage people from underrepresented groups to apply. We do not discriminate against employees based on race, color, religion, sex, national origin, gender identity or expression, age, disability, pregnancy (including childbirth, breastfeeding, or related medical condition), genetic information, protected military or veteran status, sexual orientation, or any other characteristic protected by applicable federal, state or local laws.</t>
        </is>
      </c>
    </row>
    <row r="123">
      <c r="A123" t="inlineStr">
        <is>
          <t>li-4363793051</t>
        </is>
      </c>
      <c r="B123" t="inlineStr">
        <is>
          <t>Data Engineer, Ads Product &amp; Tech</t>
        </is>
      </c>
      <c r="C123" t="inlineStr">
        <is>
          <t>Spotify</t>
        </is>
      </c>
      <c r="D123" t="inlineStr">
        <is>
          <t>linkedin</t>
        </is>
      </c>
      <c r="E123">
        <f>HYPERLINK("https://www.linkedin.com/jobs/view/4363793051", "https://www.linkedin.com/jobs/view/4363793051")</f>
        <v/>
      </c>
      <c r="F123">
        <f>HYPERLINK("https://jobs.lever.co/spotify/6698ffb1-ad8f-4173-bf81-884357eaba0d?lever-source=LinkedInJobs&amp;urlHash=oINc", "https://jobs.lever.co/spotify/6698ffb1-ad8f-4173-bf81-884357eaba0d?lever-source=LinkedInJobs&amp;urlHash=oINc")</f>
        <v/>
      </c>
      <c r="G123" t="inlineStr">
        <is>
          <t>New York, NY</t>
        </is>
      </c>
      <c r="H123" t="inlineStr"/>
      <c r="I123" t="inlineStr">
        <is>
          <t>Our mission on the Advertising Product \&amp; Technology team is to build a next generation advertising platform that aligns with our unique value proposition for audio and video. We work to scale the user experience for hundreds of millions of fans and hundreds of thousands of advertisers. This scale brings unique challenges as well as tremendous opportunities for our artists and creators.
 The ads reporting team is dedicated to creating scalable, reliable data and backend systems that power our advertising ecosystem. Our mission is to enable seamless delivery of personalized, impactful ads while maintaining an exceptional user experience. As part of our team, you will play a key role in shaping and realizing our vision to enhance the advertising experience for our clients and establish Spotify as a market leader in advertising.
 We are seeking engineers who are passionate about designing, developing, and maintaining robust and scalable systems. You will work closely with cross\-functional teams to build data services and APIs that support our advertising platform, enabling innovative features and analytics. Positioned at the heart of our backend operations, you will assist product teams in driving high performance, reliability, and scalability across our systems. Our team culture emphasizes creative problem\-solving, rapid iteration, execution, and collaboration.
 What You'll Do
* Maintain and enhance Spotify’s reporting pipelines, ensuring they remain business\-critical
* Build large\-scale batch and real\-time data pipelines to efficiently collect, process, and store reporting\-related data
* Make enhancements to data models and ETL code to improve pipeline efficiency and data quality
* Design, develop, and maintain high\-performance backend services and APIs to power Spotify’s advertising platform
* Work closely with stakeholders to understand and translate business requirements into technical solutions
* Write scalable, testable, maintainable, and high\-quality code
* Collaborate with engineers, product managers, and other stakeholders, embracing learning and leadership opportunities daily
* Monitor daily execution, diagnose issues, and ensure SLAs are met by maintaining and fixing business\-critical pipelines
 Who You Are
* Experience in data engineering with high\-volume, heterogeneous data, ideally within distributed systems such as Hadoop, BigTable, Cassandra, GCP, AWS, or Azure
* Familiarity with data processing frameworks like Scio, GCP Dataflow, AWS EMR, and Apache Beam
* Familiarity with API design, microservice architecture, and frameworks like Spring Boot or gRPC.
* Programming skills in Java or Scala, and for analytics and data extraction (SQL, Python, Pandas, R)
* Commitment to agile software processes, data\-driven development, reliability, and responsible experimentation
* Hands\-on experience with orchestration tools like Airflow or similar
* Experience with database systems, both relational (e.g., PostgreSQL, MySQL) and non\-relational (e.g., Cassandra, DynamoDB).
* Excellent problem\-solving and communication skills
 Where You'll be
* We offer you the flexibility to work where you work best! For this role, you can be within the Americas region as long as we have a work location.
* This team operates within the Eastern time zone for collaboration.
 The United States base range for this position is $132,949 \- $189,927, plus equity. The benefits available for this position include health insurance, six month paid parental leave, 401(k) retirement plan, monthly meal allowance, 23 paid days off, 13 paid flexible holidays. This range encompasses multiple levels. Leveling is determined during the interview process. Placement in a level depends on relevant work history and interview performance.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124">
      <c r="A124" t="inlineStr">
        <is>
          <t>li-4363880077</t>
        </is>
      </c>
      <c r="B124" t="inlineStr">
        <is>
          <t>Data Engineer, Sr.</t>
        </is>
      </c>
      <c r="C124" t="inlineStr">
        <is>
          <t>BNSF Railway</t>
        </is>
      </c>
      <c r="D124" t="inlineStr">
        <is>
          <t>linkedin</t>
        </is>
      </c>
      <c r="E124">
        <f>HYPERLINK("https://www.linkedin.com/jobs/view/4363880077", "https://www.linkedin.com/jobs/view/4363880077")</f>
        <v/>
      </c>
      <c r="F124" t="inlineStr"/>
      <c r="G124" t="inlineStr"/>
      <c r="H124" t="inlineStr"/>
      <c r="I124" t="inlineStr">
        <is>
          <t>**About The Company**
 BNSF Railway is one of the largest and most comprehensive freight transportation networks in North America, operating across 28 western states in the U.S. and three Canadian provinces. Committed to safety, inclusion, and excellence, BNSF plays a vital role in supporting the movement of essential products and materials that sustain communities and economies. The company values innovation and continuous improvement, making a significant impact on supply chains and logistics worldwide. BNSF is dedicated to fostering a diverse and inclusive environment where all employees have the opportunity to thrive and contribute meaningfully to the company's success.
**About The Role**
 As a Data \&amp; AI Lead at BNSF \| Tech, you will be instrumental in transforming data assets into real\-time enterprise solutions that drive business insights and operational efficiency. This remote position offers an exciting opportunity to lead the design and implementation of data streaming solutions, develop scalable data pipelines, and manage large\-scale data warehouses. You will collaborate with cross\-functional teams, including data scientists and analysts, to deliver innovative data solutions that support BNSF's strategic goals. The role requires a proactive approach to optimizing data workflows, ensuring data security, and staying current with industry advancements in data engineering, machine learning, and artificial intelligence. By joining our team, you will contribute to shaping the future of freight rail through cutting\-edge data and AI initiatives, making a tangible difference in the transportation industry.
**Qualifications**
* Minimum 6 years of experience in software engineering, data engineering, or relevant fields
* Proficiency in programming languages such as Python, SQL, and Java
* Strong understanding of data warehousing concepts, including dimensional modeling and star schema
* Experience with ETL processes and cloud\-based data integration solutions
* Familiarity with database management systems (SQL, NoSQL) and modern lakehouse technologies (e.g., Apache Iceberg, Delta Lake, Apache Trino)
* Hands\-on experience with data streaming technologies such as Apache Kafka, AWS Kinesis, Apache Flink, and Apache Spark
* Experience with data pipelines, data orchestration tools, datamart creation, and certified datasets
* Knowledge of DevSecOps standards, source control systems like Jenkins and GitHub
* Strong problem\-solving skills, attention to detail, and excellent communication abilities
* Ability to learn new technologies quickly and adapt in a dynamic environment
* Authorization to work in the United States; willingness to travel up to 20%
**Responsibilities**
* Design and implement real\-time data streaming solutions to process high\-velocity data efficiently
* Develop and maintain robust data pipelines for both real\-time and batch processing, including ETL workflows
* Create and manage large\-scale data warehouses to support business intelligence and analytics needs
* Integrate diverse data sources to develop certified datasets ensuring accuracy, consistency, and reliability
* Collaborate with data scientists, analysts, and stakeholders to understand data requirements and deliver tailored solutions
* Optimize data workflows, monitor data pipelines, and troubleshoot issues to ensure high performance and scalability
* Ensure data security, privacy, and compliance with industry standards and regulations
* Stay updated with emerging trends and advancements in data engineering, machine learning, and AI
* Write efficient, well\-documented code with comprehensive testing and documentation
* Lead the deployment of data engineering solutions into production environments, including design, development, testing, and monitoring
**Benefits**
* Industry\-leading 401(k) plan and a renowned Railroad Retirement program
* Comprehensive health care options for employees and dependents, including medical, dental, vision, and mental health services
* Health savings accounts (HSA) with employer contributions, along with life and disability insurance
* Family benefits such as parental leave, pediatric and family support, adoption and surrogacy reimbursement, and dependent care accounts with employer matching
* Discount programs on travel, gym memberships, counseling services, and wellness resources
* Annual incentive bonuses and performance\-based rewards
* Opportunities for professional growth and development within a supportive and inclusive environment
 Equal Opportunity
 BNSF Railway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veteran status, or any other protected characteristic. We encourage individuals from all backgrounds to apply and contribute to our mission of safety, innovation, and excellence.</t>
        </is>
      </c>
    </row>
    <row r="125">
      <c r="A125" t="inlineStr">
        <is>
          <t>li-4363784553</t>
        </is>
      </c>
      <c r="B125" t="inlineStr">
        <is>
          <t>Data Engineer (Pricing &amp; Monetization)</t>
        </is>
      </c>
      <c r="C125" t="inlineStr">
        <is>
          <t>Alguna</t>
        </is>
      </c>
      <c r="D125" t="inlineStr">
        <is>
          <t>linkedin</t>
        </is>
      </c>
      <c r="E125">
        <f>HYPERLINK("https://www.linkedin.com/jobs/view/4363784553", "https://www.linkedin.com/jobs/view/4363784553")</f>
        <v/>
      </c>
      <c r="F125" t="inlineStr"/>
      <c r="G125" t="inlineStr"/>
      <c r="H125" t="inlineStr"/>
      <c r="I125" t="inlineStr">
        <is>
          <t>Who you are
* You’re user\-impact obsessed: You want to build customer\-facing insights that help teams make better pricing and monetization decisions, not just internal dashboards.
* You think in “insight → action”: You care about turning messy data into clear recommendations, experiments, and measurable outcomes.
* You’re a 0→1 builder: You like blank\-slate work: defining the data foundation, choosing tools, and setting patterns for how we build data products at Alguna.
* You’re comfortable with ambiguity: Early\-stage means fuzzy requirements and shifting priorities. You can still ship and iterate quickly.
* You’re pragmatic and fast: You ship the simplest thing that delivers value, then refine once you learn what customers actually use.
* You’re autonomous: You can make good decisions, unblock yourself, and own problems end\-to\-end.
* You’re efficiency\-obsessed: You automate repetitive work, reduce manual analysis, and shorten feedback loops.
* You’re AI\-enabled: You use AI tools to accelerate development, debugging, testing, documentation, and analysis—while owning correctness and security.
* You’ve done this in production: You’ve built and operated a data stack before (0→1 or close to it).
 What the job involves
* 0→1: Build the data foundation for monetization products: Create the pipelines, models, and metric definitions needed to power pricing and monetization insights.
* Customer\-facing insights: Ship features customers trust, like:
+ Conversion and funnel performance
+ Cohorts, segmentation, and retention/expansion signals
+ Usage\-to\-revenue and feature adoption analysis
+ Experiment measurement (A/B tests) and learnings
+ Forecasting, anomaly detection, and “what changed?” explainability
* Move fast with customers: Build → ship → learn → iterate. Stay close to real usage and feedback.
* Data quality and trust: Implement testing, monitoring, and clear definitions so customers can rely on the outputs.
* Improve internal developer experience: Make data work easy for the team: automation, reusable patterns, docs, and observability.
* Write it down: Short proposals and decision docs to align quickly and keep context.
* Be pragmatic: We’re still finding product\-market fit. Not everything will be polished at first; we’ll prioritize learning and customer value.</t>
        </is>
      </c>
    </row>
    <row r="126">
      <c r="A126" t="inlineStr">
        <is>
          <t>li-4327177793</t>
        </is>
      </c>
      <c r="B126" t="inlineStr">
        <is>
          <t>Data Engineer</t>
        </is>
      </c>
      <c r="C126" t="inlineStr">
        <is>
          <t>AssetWatch®</t>
        </is>
      </c>
      <c r="D126" t="inlineStr">
        <is>
          <t>linkedin</t>
        </is>
      </c>
      <c r="E126">
        <f>HYPERLINK("https://www.linkedin.com/jobs/view/4327177793", "https://www.linkedin.com/jobs/view/4327177793")</f>
        <v/>
      </c>
      <c r="F126" t="inlineStr"/>
      <c r="G126" t="inlineStr"/>
      <c r="H126" t="inlineStr"/>
      <c r="I126" t="inlineStr">
        <is>
          <t>AssetWatch serves global manufacturers by powering manufacturing uptime through the delivery of an unparalleled condition monitoring experience, with a passion to care about the assets our customers care for every day. We are a devoted and capable team that includes world\-renowned engineers and distinguished business leaders united by a common goal – To build the future of predictive maintenance. As we enter the next phase of rapid growth, we are seeking people to help lead the journey.
 The Data Services team designs, manages, and optimizes critical backend data infrastructure and pipelines supporting AssetWatch’s condition monitoring and predictive maintenance solutions. Our team maintains and evolves serverless architectures, builds robust APIs, ensures efficient database operations, and drives improvements in data ingestion and alerting systems. We collaborate closely across multiple engineering teams to enhance system performance, scalability, and reliability, ensuring seamless data flow and availability.
* Collaborate closely with the Data Architect and other stakeholders to translate data models and product requirements into scalable data solutions.
* Develop and maintain ETL/ELT pipelines that ingest, process, validate, and load data across AWS environments while adding observability to the processes.
* Build and manage data workflows using AWS Glue, Lambda, and Step Functions to support real\-time and batch processing.
* Work within structured S3 Raw, Curated, and Consumption zones, ensuring data quality and consistency.
* Participate in establishing data standards, naming conventions, and metadata practices.
* Incorporate AI\-assisted development tools to enhance data scrubbing, anomaly detection, and transformation logic within ETL/ELT pipelines.
* Proactively use AI tools to improve engineering velocity, reduce manual rework, and elevate overall pipeline reliability and maintainability.
* Use Terraform to define and manage data infrastructure in a repeatable, auditable manner.
* Troubleshoot data issues, performance bottlenecks, and pipeline failures with a proactive mindset.
* Implement data validation, monitoring, and quality checks to ensure reliability of pipelines.
* Load, maintain, and optimize datasets in Redshift Serverless, Aurora MySQL, DynamoDB, and Timestream.
* Write and optimize performant SQL queries, stored procedures, and database schemas using MySQL.
* Monitor, manage, and optimize alerting systems including Sentry and Slack integrations to proactively address infrastructure and database health.
* Create, manage, and improve infrastructure\-as\-code (IaC) scripts and Terraform templates.
* Work closely with Data Team to follow and mature best data practices including integration pipeline strategy.
* Collaborate with Product and Engineering Teams to identify, plan, and implement system. improvements, addressing technical debt and enhancing overall data stack efficiency.
* Participate actively in managing and coordinating production deployments and production support.
* Conduct thorough code reviews, support and guide Engineering Teams with backend best practices, and maintain comprehensive documentation.
**Qualifications**
* Bachelor’s degree in Computer Science, Information Systems, Data Science, or a related field.
* 2–4 years of experience in a data engineering role or similar environment.
* Hands\-on experience building ETL/ELT jobs with AWS services such as Glue, Lambda, and Step Functions.
* Experience with orchestration tools like Airflow.
* Strong proficiency in Python and SQL.
* Experience working with Redshift Serverless, Aurora MySQL, Timestream, DynamoDB, or similar databases.
* Comfortable designing and managing S3\-based data lakes with structured zone patterns and datalakes.
* Experience implementing infrastructure\-as\-code using Terraform.
* Solid understanding of data modeling principles and performance optimization.
* Detail\-oriented with a focus on quality, reliability, and maintainability.
* Excellent problem\-solving abilities, organizational skills, and ability to manage multiple priorities effectively.
* Strong communication skills, both written and verbal, facilitating collaboration across diverse technical teams.
* Proven experience designing and implementing backend solutions in complex, scalable cloud environments.
* A proactive learner, eager to explore new technologies and methodologies.
* Comfortable in dynamic, collaborative environments, able to work independently and in teams.
 Nice to Have
* Knowledge of big data ingestion and scalable data ingestion processes
* Experience working on data ingestion/storage in a start\-up environment
**What We Offer**
 AssetWatch is a remote\-first company that puts people at the center of everything we do. We want our team members to thrive \- that’s why we offer a range of benefits and perks designed to support your well\-being, growth, and work\-life balance.
* Competitive compensation package including stock options
* Flexible work schedule
* Comprehensive benefits including retirement plan match
* Opportunity to make a real impact every day
* Work with a dynamic and growing team
* Unlimited PTO
 We have a distributed team that works remotely across locations in the United States and Ontario, Canada. Collaboration within core working hours is required.</t>
        </is>
      </c>
    </row>
    <row r="127">
      <c r="A127" t="inlineStr">
        <is>
          <t>li-4360026240</t>
        </is>
      </c>
      <c r="B127" t="inlineStr">
        <is>
          <t>Data Engineer</t>
        </is>
      </c>
      <c r="C127" t="inlineStr">
        <is>
          <t>IntraEdge</t>
        </is>
      </c>
      <c r="D127" t="inlineStr">
        <is>
          <t>linkedin</t>
        </is>
      </c>
      <c r="E127">
        <f>HYPERLINK("https://www.linkedin.com/jobs/view/4360026240", "https://www.linkedin.com/jobs/view/4360026240")</f>
        <v/>
      </c>
      <c r="F127" t="inlineStr"/>
      <c r="G127" t="inlineStr"/>
      <c r="H127" t="inlineStr"/>
      <c r="I127" t="inlineStr">
        <is>
          <t>IntraEdge has an immediate Full\-Time opportunity in downtown Phoenix for a Data Engineer.
**MUST BE LOCAL TO PHOENIX AND WILLING TO WORK ONSITE DOWNTOWN**
**OUR CLIENT CANNOT SPONSOR \- US CITIZEN OR GREEN CARD ONLY**
 We’re looking for a skilled
 **Data Engineer** 
 to join our team in the transportation sector. In this role, you’ll work with modern cloud technologies to build and maintain data pipelines that support analytics, reporting, and operational insights. You’ll be part of a collaborative team focused on delivering reliable, scalable data solutions that help drive smarter decision\-making across the organization.
 This is a great opportunity for someone with solid experience in backend data systems who enjoys solving real\-world problems and working with evolving data platforms. This is a
 **hybrid position located at our office in downtown Phoenix.** 
**Key Responsibilities** 
* Design, develop, and maintain cloud\-native data pipelines leveraging Databricks, Microsoft Azure Data Factory, and Microsoft Fabric to support robust data integration and analytics solutions.
* Implement incremental and real\-time data ingestion strategies using medallion architecture for data lake storage.
* Write and optimize complex SQL queries to transform, integrate, and analyze data across enterprise systems.
* Support and troubleshoot legacy data platforms built on SSIS and SQL Server, ensuring high availability and performance of critical data processes
* Develop features with a focus on scalability, maintainability, and testability.
* Troubleshoot and resolve data integration and quality issues, ensuring reliable data delivery.
* Participate in proof\-of\-concept projects, providing technical analysis and recommendations.
**Requirements** 
**Required** 
* 5\+ years of experience designing and building data solutions.
* Strong proficiency in SQL and Python for data analytics and transformation.
* Experience with ETL pipeline development and automation.
* Solid understanding of Data Lake architecture and design principles.
* Excellent collaboration skills and the ability to adapt in a dynamic environment.
**Preferred** 
* Experience with Azure Cloud services and cloud\-based ETL tools.
* Familiarity with data visualization tools such as Power BI or Tableau.
* Understanding of event\-driven architectures, including queues, batch processing, and pub/sub models.
* Exposure to NoSQL databases like MongoDB or Cassandra.
**Bonus Points For** 
* Experience in Data Science or Machine Learning, particularly in model deployment or feature engineering.</t>
        </is>
      </c>
    </row>
    <row r="128">
      <c r="A128" t="inlineStr">
        <is>
          <t>li-4360084469</t>
        </is>
      </c>
      <c r="B128" t="inlineStr">
        <is>
          <t>Python Data Engineer</t>
        </is>
      </c>
      <c r="C128" t="inlineStr">
        <is>
          <t>iMerit Technology</t>
        </is>
      </c>
      <c r="D128" t="inlineStr">
        <is>
          <t>linkedin</t>
        </is>
      </c>
      <c r="E128">
        <f>HYPERLINK("https://www.linkedin.com/jobs/view/4360084469", "https://www.linkedin.com/jobs/view/4360084469")</f>
        <v/>
      </c>
      <c r="F128" t="inlineStr"/>
      <c r="G128" t="inlineStr"/>
      <c r="H128" t="inlineStr"/>
      <c r="I128" t="inlineStr">
        <is>
          <t>**iMerit** 
 is a leading AI data solutions company providing high\-quality data across computer vision, natural language processing and content services that power machine learning and artificial intelligence applications for large enterprises. iMerit’s customers are able to focus on the algorithms that drive the AI systems embedded in their products and operations, while the iMerit team of trained specialists handles all data enrichment work required to support and refine such systems.
 As a
 **Customer Engineer** 
 , you will provide technical support, troubleshoot data\-related challenges, and ensure smooth project execution. This role requires the ability to work independently, proactively resolve issues, and collaborate with remote teams. While remote work is available, an office option is also provided.
**Key Responsibilities:** 
* Serve as a
 **technical point of contact** 
 for internal and external customers, assisting with integration, troubleshooting, and issue resolution.
* **Collaborate with global teams** 
 to ensure the successful execution of AI data projects.
* **Write, debug, and optimize Python scripts** 
 to support data processing workflows.
* **Work with large datasets and annotation tools** 
 to facilitate AI and machine learning projects.
* **Document technical processes** 
 , solutions, and customer feedback to improve workflows.
* **Assist in testing and validating AI model outputs** 
 to maintain data quality.
**Must\- have Skills and Qualifications:** 
* **2–3 years of hands\-on experience** 
 in a technical, customer\-facing, data engineering, or support engineering role
* **Proficiency in Python** 
 for data processing, automation, or scripting.
* **Self\-motivated** 
 and capable of working independently with minimal supervision.
* **Strong problem\-solving and analytical skills.**
* **Excellent communication skills in English (written and spoken).**
* **Flexibility to work adjusted hours** 
 when necessary to support teams based in India.
* **Comfortable working in a fast\-paced, evolving environment.**
* **Bonus Points For:**
* Experience with
 **Linux** 
 and
 **cloud platforms (AWS, GCP, etc).**
* Familiarity with
 **AI/ML concepts** 
 and
 **data annotation tools** 
 .
* Previous remote experience.
**What iMerit Offers** 
* **Real\-world Impact:** 
 Work on cutting\-edge AI projects with tangible contributions.
* **Mentorship \&amp; Growth:** 
 Learn directly from experienced teammates and industry experts.
* **Hands\-on Experience:** 
 Gain practical exposure to AI data workflows and customer\-facing technical roles.
* **Remote Work Flexibility:** 
 Enjoy the flexibility of a fully remote role, with office options available.
* **Competitive Pay**
 If you are a
 **self\-driven problem solver with Python skills and a passion for AI** 
 , we’d love to hear from you!</t>
        </is>
      </c>
    </row>
    <row r="129">
      <c r="A129" t="inlineStr">
        <is>
          <t>li-4363772807</t>
        </is>
      </c>
      <c r="B129" t="inlineStr">
        <is>
          <t>AI Native, Data Engineer</t>
        </is>
      </c>
      <c r="C129" t="inlineStr">
        <is>
          <t>ConsumerAffairs</t>
        </is>
      </c>
      <c r="D129" t="inlineStr">
        <is>
          <t>linkedin</t>
        </is>
      </c>
      <c r="E129">
        <f>HYPERLINK("https://www.linkedin.com/jobs/view/4363772807", "https://www.linkedin.com/jobs/view/4363772807")</f>
        <v/>
      </c>
      <c r="F129" t="inlineStr"/>
      <c r="G129" t="inlineStr"/>
      <c r="H129" t="inlineStr"/>
      <c r="I129" t="inlineStr">
        <is>
          <t>The Data Engineer is responsible for monitoring, expanding, and optimizing our data and data pipeline architecture, as well as optimizing data flow and collection for cross functional teams. The ideal candidate is an experienced data pipeline builder and data wrangler who enjoys optimizing data systems as well as building them from the ground up.
 The Data Engineer supports our solution architects, data analysts, and data scientists on data initiatives and will ensure optimal data delivery architecture is consistent throughout ongoing projects. They must be self\-directed and comfortable supporting the data needs of multiple teams, systems and products.
 Candidates should have education and/or experience in data modeling, requirements analysis, and best practices in analytics. Experience with BI applications is a definite plus.
* Develop, test, and maintain data pipelines to support data integration and processing.
* Assist in the design and implementation of data models and data warehousing solutions.
* Collaborate with data scientists and analysts to understand data requirements and ensure data is accessible and reliable.
* Monitor data pipelines and systems, troubleshooting issues as they arise.
* Work with senior data engineers to optimize data processes and infrastructure.
* Ensure data quality and integrity through regular audits and validations.
* Contribute to the documentation of data processes and best practices
**Requirements**
 Education/Licensure/Certification:
* BSc/BA in Computer Science, Engineering or relevant field
 Experience:
* 2\-4 years of experience in data engineering or a related field.
* 2\-4 years' experience in Data Integration and Integration
* 2\- 4  years' experience in Data Warehousing, notably Cloud Data
* Proficiency in SQL and Python
* Familiarity with cloud platforms (AWS, GCP) and data warehousing solutions.
* Understanding of ETL processes and data integration techniques.
 Knowledge, skills and abilities:
* Fluent in English
* Nice to have: experience with ETL tools like Stitch, Fivetran, and Snowfire
* Must be highly curious, driven, and disciplined
* Understanding of data models, data warehouses, and data mining
* Familiarity with BI technologies
* Knowledge of SQL is required
* Familiarity with cloud analytics is beneficial (AWS, Snowflake)
* Proven abilities to take initiative and be innovative
* Analytical mind with a problem\-solving aptitude
* Stands up for decisions and takes responsibility for results
* Shares both good and bad outcomes transparently
* Obsessed with ensuring an exceptional customer experience\- for both internal and external customers.
* Stands up for decisions, takes responsibility for results, and shares both good and bad outcomes transparently.
* Demonstrates a relentless focus on results with a commitment to deliver;
* Takes decisive action, and confidently changes course if unsuccessful.
* Displays a growth mindset to continually improve; encourages everyone around them to be tenacious and never settle.
* Constantly seeks feedback to improve; Focuses on solving issues through teamwork, and collaboration
* Acts with urgency; delivers top results in hours and days instead of weeks and months.
* Relentless in their pursuit of success and possessing the willpower to embrace challenges as opportunities
**Benefits**
**Why You'll Love Working Here**
 At ConsumerAffairs, your voice matters. We foster a collaborative environment where you're encouraged to take initiative, experiment boldly, and grow professionally. We're committed to work\-life harmony, career development, and celebrating wins together.
* Health Care Plan (Medical, Dental \&amp; Vision)
* Retirement Plan (401k)
* Life Insurance (Basic, Voluntary \&amp; AD\&amp;D)
* Paid Time Off (Vacation, Sick \&amp; Public Holidays)
* Family Leave (Maternity, Paternity)
* Short Term \&amp; Long Term Disability
* Training \&amp; Development</t>
        </is>
      </c>
    </row>
    <row r="130">
      <c r="A130" t="inlineStr">
        <is>
          <t>li-4353558221</t>
        </is>
      </c>
      <c r="B130" t="inlineStr">
        <is>
          <t>Data Engineer</t>
        </is>
      </c>
      <c r="C130" t="inlineStr">
        <is>
          <t>Royal Electric Company</t>
        </is>
      </c>
      <c r="D130" t="inlineStr">
        <is>
          <t>linkedin</t>
        </is>
      </c>
      <c r="E130">
        <f>HYPERLINK("https://www.linkedin.com/jobs/view/4353558221", "https://www.linkedin.com/jobs/view/4353558221")</f>
        <v/>
      </c>
      <c r="F130">
        <f>HYPERLINK("https://www.resume-library.com/feed/click/551/234211545?dpj=yes&amp;urlHash=nmqD", "https://www.resume-library.com/feed/click/551/234211545?dpj=yes&amp;urlHash=nmqD")</f>
        <v/>
      </c>
      <c r="G130" t="inlineStr">
        <is>
          <t>Dallas, TX</t>
        </is>
      </c>
      <c r="H130" t="inlineStr"/>
      <c r="I130" t="inlineStr">
        <is>
          <t>Join Team Royal!
 Why Royal? At Royal Electric Company we provide expert electrical design, construction, and service with builders, contractors and facility owners who value relationships, trust, expertise, and a commitment to each other towards achieving exceptional results. We believe in transforming the culture of construction, creating a space where everyone feels they belong. We are proud to support initiatives like "Breaking Barriers," showcasing the incredible contributions of women in our industry. Breaking Barriers: Women At Work Episode 1
 We are able to sustain this through our linking values of expertise, collaboration, integrity, passion, and loyalty. These values support our core purpose; to build great relationships, one project at a time!
 We believe in taking care of our team. From comprehensive wellness programs to continuous learning opportunities, we invest in your growth and well\-being.
 One Royal Culture Short Story
 We have a current opening for a Data Engineer for our Sacramento Office or Dallas Office.
 We’re looking for a strategic and technically savvy Data Engineer to lead the charge in building scalable, user\-friendly reporting solutions that drive smarter decision\-making. You’ll help define how we govern, visualize, and grow our reporting ecosystem—anchored in our centralized Data Lake platform.
 If you’re passionate about making data useful, actionable, and beautiful—this is your opportunity to shine
 Success in the position is achieved through the following duties \&amp; responsibilities:
* Build \&amp; Optimize Dashboards:
+ Create high\-impact Power BI reports using standardized themes and layouts
+ Design executive\-level visuals that are intuitive and decision\-ready
* 
* Establish Governance:
+ Launch a report intake process that promotes transparency and speed
+ Define request SLAs and triage workflows in collaboration with business teams
* 
* Modernize Our Report Ecosystem:
+ Audit existing reports and partner with stakeholders to refresh or retire legacy assets
+ Document usage insights and prioritize high\-value dashboard updates
* 
* Advance Data Integration:
+ Collaborate on sourcing high\-value external datasets (e.g. Excel files) and enable their incorporation into our centralized Data Lake
+ Evaluate and adapt off\-the\-shelf Power BI reports for internal use
* Set the Visual Bar:
+ Deliver design standards and reusable templates that champion accessibility and brand alignment
+ Share wireframes, JSON theme files, and layout guides across teams
* Drive Adoption:
+ Host workshops to train users on connecting Power BI to the Data Lake
+ Provide starter PBIX files and support materials to promote self\-service analytics
**Who You Are**
* Strive to be great \- You're eager to build and master your skills by seeking out \- applying \- training and new experiences. You're willing to work smart, take initiative, and take on challenges with a tenacious and resourceful attitude.
* Fun \&amp; Friendly \- You like people, have a sense of humor, and enjoy what you do.
* Analytical and Solutions\-oriented \- You're skilled at identifying challenges and opportunities, developing practical solutions, and ensuring projects stay on track to meet their goals.
* Critical Thinker \- You're willing to be innovative, challenge yourself, and try new things.
* Relationship Builder \- You work to build trust and relationships at all levels, cultivating collaboration, shared success, and mutual respect.
* Influencer \- You're an inspiration to others, capable of guiding actions, decisions, and strategies. You recognize other people's underlying needs and motivations and can navigate individual and group perspectives.
**Requirements**
 Qualifications:
* 3\+ years in data analytics with strong Power BI proficiency
* Experience building report governance processes
* Familiarity with Data Lake architecture or SQL\-based data platforms
* Excellent communication and stakeholder management skills
* Passion for intuitive design and data visualization
**Salary Range**
* Sacramento, CA: $103,000/year \- $133,000/year
* Dallas, TX: $93,000/year \- $119,000/year
* Please note that at this time, Royal Electric is unable to provide visa sponsorship or participate in any employment\-based immigration or work authorization programs. Candidates must have current authorization to work in the United States without the need for present or future sponsorship.
 Royal is proud to be an equal opportunity workplace. Individuals seeking employment at Royal are considered without regards to age, ancestry, color, race, gender (including pregnancy, childbirth, or related medical conditions), gender identity or expression, sexual orientation, genetic information, marital status, medical condition, mental or physical disability, national origin, protected family care or medical leave status, religion, military or veteran status, or any other characteristic protected by federal, state, or local laws.
 We utilize E\-Verify to confirm work authorization with both the Social Security Administration and the Department of Homeland Security. E\-Verify Link: (url removed)
 We promote a drug free workplace.
**Benefits**
* Health Care Plan (3 types of Medical plans, Discounted Dental \&amp; Orthodontist services for adults \&amp; children, Premium Vision Plan)
* Retirement Plan (Traditional 401k, Roth 401k).
* $50k Life Insurance (Basic, Voluntary, \&amp; AD\&amp;D)
* Paid Time Off (Vacation, Sick Leave, and 8 Paid Holidays)
* Family Leave FMLA (Maternity \&amp; Paternity)
* Short Term \&amp; Long\-Term Disability
* Pet Insurance
* Flex Spending Accounts: Healthcare, Dependent care (Daycare children \&amp; elderly – work related), \&amp; Transit
* Pharmacy discounts
* Kisx Card (Surgery \&amp; Imaging Program)
* Opportunity for tuition reimbursement
 Wellness Resources
* Free telehealth
* Health Joy App
* Free peer coach support \- (mental health, stress management, substance use, and suicidal ideation)
* CancerCARE 1:1 Consulting and support with expert medical team
* Employee Assistance Support
* Hearing Aid discount plan
* Laser VisionCare discount plan
 Learning \&amp; Development
* Safety training: Getting Everyone Home Safely
* Professional \&amp; Leadership Development Training
* Skill Development Training
* Mentorship Program
* On\-The\-Job \&amp; Classroom Training
 Employee Referral Program: We value referrals from our employees! If you know someone who would be a great fit for this role, please refer them through our company’s referral program. Successful referrals can earn you an incentive!</t>
        </is>
      </c>
    </row>
    <row r="131">
      <c r="A131" t="inlineStr">
        <is>
          <t>li-4360047876</t>
        </is>
      </c>
      <c r="B131" t="inlineStr">
        <is>
          <t>Data Engineer II</t>
        </is>
      </c>
      <c r="C131" t="inlineStr">
        <is>
          <t>Versant Media</t>
        </is>
      </c>
      <c r="D131" t="inlineStr">
        <is>
          <t>linkedin</t>
        </is>
      </c>
      <c r="E131">
        <f>HYPERLINK("https://www.linkedin.com/jobs/view/4360047876", "https://www.linkedin.com/jobs/view/4360047876")</f>
        <v/>
      </c>
      <c r="F131" t="inlineStr"/>
      <c r="G131" t="inlineStr">
        <is>
          <t>Englewood Cliffs, NJ</t>
        </is>
      </c>
      <c r="H131" t="inlineStr"/>
      <c r="I131"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As a Data Engineer II, you will be working on our data systems and services with other data engineers to deliver projects and systems critical to Fandango's business. We expect our data engineers to be versatile, display leadership qualities and be enthusiastic about taking on new problems across our businesses as we continue to build great things for fellow movie fans.
**Responsibilities**
* Contribute to and help team in design, build, testing, scaling, and maintaining data pipelines from a variety of source systems and streams (Internal, third party, cloud based, etc.), according to business and technical requirements.
* Continually work on improving the codebase and have active participation and oversight in all aspects of the team, including agile ceremonies.
* Collaborate with engineers and product managers to understand data needs. Participate in Agile ceremonies (standups, retros, sprint planning, etc.)
* Troubleshoot and fix production issues as they occur.
**Qualifications**
* Bachelor's degree in Computer Science, Computer Engineering, or related technical field, or equivalent practical experience.
* 5\+ years of applied experience in Data Engineering, including but not limited to: building Data Pipelines, Orchestration, Data Modeling \&amp; Data Lake.
* Programming skills in one or more of the following: Python, Java, Scala, plus SQL and experience in writing reusable/efficient code to automate analysis and data processes.
* Experience in Data Warehousing (Relational and dimensional data modeling).
* Strong working experience with a variety of data sources such as APIs, real\-time feeds, structured and semi\-structured file formats.
* Experience with processing large datasets and building code using Glue, Apache Airflow / Amazon MWAA, SQL, Python, and pySpark. Experience of near Real Time \&amp; Batch Data Pipeline development.
* Experience with AWS data management (S3, Redshift, DynamoDB) and related tools (Athena, EMR, Glue, Lambda).
* Experience working in an agile/scrum environment.
 Desired Characteristics
* Familiar with software build, release, deployment and monitoring tools and practices.
* Experience with Talend, Informatica, or other off\-the\-shelf ETL tools.
* Experience working with Terraform.
* Strong Test\-Driven Development background, with understanding of levels of testing required to continuously deliver value to production.
* Team\-oriented and collaborative approach with a demonstrated aptitude, enthusiasm, and willingness to learn new methods, tools, practices, and skills.
* Ability to work effectively across functions, disciplines, and levels
 Fully Remote: This position has been designated as fully remote, meaning that the position is expected to contribute from a non\-Versant worksite, most commonly an employee’s residence.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132">
      <c r="A132" t="inlineStr">
        <is>
          <t>li-4353538161</t>
        </is>
      </c>
      <c r="B132" t="inlineStr">
        <is>
          <t>Data Engineer</t>
        </is>
      </c>
      <c r="C132" t="inlineStr">
        <is>
          <t>Royal Electric Company</t>
        </is>
      </c>
      <c r="D132" t="inlineStr">
        <is>
          <t>linkedin</t>
        </is>
      </c>
      <c r="E132">
        <f>HYPERLINK("https://www.linkedin.com/jobs/view/4353538161", "https://www.linkedin.com/jobs/view/4353538161")</f>
        <v/>
      </c>
      <c r="F132" t="inlineStr"/>
      <c r="G132" t="inlineStr">
        <is>
          <t>Sacramento, CA</t>
        </is>
      </c>
      <c r="H132" t="inlineStr"/>
      <c r="I132" t="inlineStr">
        <is>
          <t>Join Team Royal!
 Why Royal? At Royal Electric Company we provide expert electrical design, construction, and service with builders, contractors and facility owners who value relationships, trust, expertise, and a commitment to each other towards achieving exceptional results. We believe in transforming the culture of construction, creating a space where everyone feels they belong. We are proud to support initiatives like "Breaking Barriers," showcasing the incredible contributions of women in our industry. Breaking Barriers: Women At Work Episode 1
 We are able to sustain this through our linking values of expertise, collaboration, integrity, passion, and loyalty. These values support our core purpose; to build great relationships, one project at a time!
 We believe in taking care of our team. From comprehensive wellness programs to continuous learning opportunities, we invest in your growth and well\-being.
 One Royal Culture Short Story
 We have a current opening for a Data Engineer for our Sacramento Office or Dallas Office.
 We’re looking for a strategic and technically savvy Data Engineer to lead the charge in building scalable, user\-friendly reporting solutions that drive smarter decision\-making. You’ll help define how we govern, visualize, and grow our reporting ecosystem—anchored in our centralized Data Lake platform.
 If you’re passionate about making data useful, actionable, and beautiful—this is your opportunity to shine
 Success in the position is achieved through the following duties \&amp; responsibilities:
* Build \&amp; Optimize Dashboards:
+ Create high\-impact Power BI reports using standardized themes and layouts
+ Design executive\-level visuals that are intuitive and decision\-ready
* 
* Establish Governance:
+ Launch a report intake process that promotes transparency and speed
+ Define request SLAs and triage workflows in collaboration with business teams
* 
* Modernize Our Report Ecosystem:
+ Audit existing reports and partner with stakeholders to refresh or retire legacy assets
+ Document usage insights and prioritize high\-value dashboard updates
* 
* Advance Data Integration:
+ Collaborate on sourcing high\-value external datasets (e.g. Excel files) and enable their incorporation into our centralized Data Lake
+ Evaluate and adapt off\-the\-shelf Power BI reports for internal use
* Set the Visual Bar:
+ Deliver design standards and reusable templates that champion accessibility and brand alignment
+ Share wireframes, JSON theme files, and layout guides across teams
* Drive Adoption:
+ Host workshops to train users on connecting Power BI to the Data Lake
+ Provide starter PBIX files and support materials to promote self\-service analytics
**Who You Are**
* Strive to be great \- You're eager to build and master your skills by seeking out \- applying \- training and new experiences. You're willing to work smart, take initiative, and take on challenges with a tenacious and resourceful attitude.
* Fun \&amp; Friendly \- You like people, have a sense of humor, and enjoy what you do.
* Analytical and Solutions\-oriented \- You're skilled at identifying challenges and opportunities, developing practical solutions, and ensuring projects stay on track to meet their goals.
* Critical Thinker \- You're willing to be innovative, challenge yourself, and try new things.
* Relationship Builder \- You work to build trust and relationships at all levels, cultivating collaboration, shared success, and mutual respect.
* Influencer \- You're an inspiration to others, capable of guiding actions, decisions, and strategies. You recognize other people's underlying needs and motivations and can navigate individual and group perspectives.
**Requirements**
 Qualifications:
* 3\+ years in data analytics with strong Power BI proficiency
* Experience building report governance processes
* Familiarity with Data Lake architecture or SQL\-based data platforms
* Excellent communication and stakeholder management skills
* Passion for intuitive design and data visualization
**Salary Range**
* Sacramento, CA: $103,000/year \- $133,000/year
* Dallas, TX: $93,000/year \- $119,000/year
* Please note that at this time, Royal Electric is unable to provide visa sponsorship or participate in any employment\-based immigration or work authorization programs. Candidates must have current authorization to work in the United States without the need for present or future sponsorship.
 Royal is proud to be an equal opportunity workplace. Individuals seeking employment at Royal are considered without regards to age, ancestry, color, race, gender (including pregnancy, childbirth, or related medical conditions), gender identity or expression, sexual orientation, genetic information, marital status, medical condition, mental or physical disability, national origin, protected family care or medical leave status, religion, military or veteran status, or any other characteristic protected by federal, state, or local laws.
 We utilize E\-Verify to confirm work authorization with both the Social Security Administration and the Department of Homeland Security. E\-Verify Link: (url removed)
 We promote a drug free workplace.
**Benefits**
* Health Care Plan (3 types of Medical plans, Discounted Dental \&amp; Orthodontist services for adults \&amp; children, Premium Vision Plan)
* Retirement Plan (Traditional 401k, Roth 401k).
* $50k Life Insurance (Basic, Voluntary, \&amp; AD\&amp;D)
* Paid Time Off (Vacation, Sick Leave, and 8 Paid Holidays)
* Family Leave FMLA (Maternity \&amp; Paternity)
* Short Term \&amp; Long\-Term Disability
* Pet Insurance
* Flex Spending Accounts: Healthcare, Dependent care (Daycare children \&amp; elderly – work related), \&amp; Transit
* Pharmacy discounts
* Kisx Card (Surgery \&amp; Imaging Program)
* Opportunity for tuition reimbursement
 Wellness Resources
* Free telehealth
* Health Joy App
* Free peer coach support \- (mental health, stress management, substance use, and suicidal ideation)
* CancerCARE 1:1 Consulting and support with expert medical team
* Employee Assistance Support
* Hearing Aid discount plan
* Laser VisionCare discount plan
 Learning \&amp; Development
* Safety training: Getting Everyone Home Safely
* Professional \&amp; Leadership Development Training
* Skill Development Training
* Mentorship Program
* On\-The\-Job \&amp; Classroom Training
 Employee Referral Program: We value referrals from our employees! If you know someone who would be a great fit for this role, please refer them through our company’s referral program. Successful referrals can earn you an incentive!</t>
        </is>
      </c>
    </row>
    <row r="133">
      <c r="A133" t="inlineStr">
        <is>
          <t>li-4360007671</t>
        </is>
      </c>
      <c r="B133" t="inlineStr">
        <is>
          <t>Data Engineer</t>
        </is>
      </c>
      <c r="C133" t="inlineStr">
        <is>
          <t>KACE Company</t>
        </is>
      </c>
      <c r="D133" t="inlineStr">
        <is>
          <t>linkedin</t>
        </is>
      </c>
      <c r="E133">
        <f>HYPERLINK("https://www.linkedin.com/jobs/view/4360007671", "https://www.linkedin.com/jobs/view/4360007671")</f>
        <v/>
      </c>
      <c r="F133" t="inlineStr"/>
      <c r="G133" t="inlineStr"/>
      <c r="H133" t="inlineStr"/>
      <c r="I133" t="inlineStr">
        <is>
          <t>Title: Data Engineer
 Location: Remote
 Security Clearance: Public Trust Clearance
 Schedule: Due to the nature of law enforcement work and operation, position may require occasional support outside of core working hours, as well as intermittent weekend support, mission dependent
 Travel: Minimal
**About KACE**
 When you make the decision to join KACE, you are choosing to work alongside talented professionals that have one thing in common; the passion to make a difference! KACE employees bring their diverse talents and experiences to work on critical projects that help shape the nation’s safety, security, and quality of life. The desire to have a career that is purposeful and forward thinking is woven into every KACE employee…it’s The KACE Way. KACE employees are; purpose driven, forward focused, open\-minded, trustworthy, and invested. The KACE Way is our commitment to our employees, to our customers, and to our communities. Join KACE and make a difference!
**Job Summary**
 The Data Engineer plays a critical role in managing and processing data to support our organization's analytical and operational needs. This position involves working with data pipelines, databases, and architectures to ensure data quality and accessibility.
**Essential Functions And Responsibilities**
* Analyze raw data from various sources
* Create and maintain data pipelines to/from external applications and services
* Develop and maintain datasets, schemas and models
* Improve data quality and efficiency
* Document data flows and mappings
* Collaborate with data analysts, scientists and other stakeholders
* Duties are performed via a government approved computer system. Employees are required to possess strong computer skills in MS Word and Excel.
* Perform related duties as assigned, within your scope of practice – management reserves the right to revise these duties as necessary
* Develop internal/external reports for information that is coming from ORR
* Assist with buildout of data dictionary through SharePoint
* Analyze data sets to ensure alignment to overall organizational focus
* Advise on updated reporting to capture data through mapping and format it in a useable format that can be easily interpreted by other departments
* Bring innovation and creativity to legacy technologies and programs to drive/shift changes
**Minimum Qualifications \&amp; Skills**
* Bachelor’s degree in computer science, engineering or related field
* Preferred programming languages include SQL, Python, R, Tableau, and PowerBI
* Experience working with Microsoft Power Apps \&amp; Power Automate
* Experience in data engineering, development or analysis
* Knowledge of data structures, algorithms and programming languages
* Proficiency in database systems, tools and frameworks
* Data visualization, communication and presentation skills
* Must possess strong computer skills in MS Office, including Excel, Word, Teams
* Ability to type 45 wpm
**Clearance**
 Applicants selected may be subject to a government background investigation and may be required to meet the following conditions of employment.
**Security Requirements/Background Investigation Requirements**
* Must be a U.S Citizen or Legal Permanent Resident.
* Favorable credit check for all cleared positions
* Successfully passing a background investigation including drug screening.
* Residency requirement \- 3 consecutive years in the last 5 years.
**Physical Requirements/Working Conditions**
* Standing/Walking/Mobility: Must have mobility to attend meetings with other managers and employees.
* Climbing/Stooping/Kneeling: 10% of the time.
* Lifting/Pulling/Pushing: 10%
* Fingering/Grasping/Feeling: Must be able to write, type, and use a telephone system 100% of the time.
* Sitting: Sitting for prolonged and extended periods of time.
*This job description reflects management’s assignment of essential functions; it does not prescribe or restrict the tasks that may be assigned. Management may revise duties as necessary without updating this job description.*
 For more information about the company please visit our website at www.kacecompany.com
 KACE is an Equal Opportunity Employer and does not discriminate against any employee or applicant for employment because of race, color, sex, age, national origin, religion, sexual orientation, gender identity, status as a veteran, disability or any other federal, state or local protected class.
 KACE complies with federal and state disability laws and makes reasonable accommodations for applicants and employees with disabilities.
 If you require reasonable accommodation in completing this application, interviewing, completing any pre\-employment testing, or otherwise participating in the employee selection process, please direct your inquiries to recruiting@kacecompany.com.</t>
        </is>
      </c>
    </row>
    <row r="134">
      <c r="A134" t="inlineStr">
        <is>
          <t>li-4363793084</t>
        </is>
      </c>
      <c r="B134" t="inlineStr">
        <is>
          <t>Data Engineer – PySpark &amp; Python IRC286472</t>
        </is>
      </c>
      <c r="C134" t="inlineStr">
        <is>
          <t>GlobalLogic</t>
        </is>
      </c>
      <c r="D134" t="inlineStr">
        <is>
          <t>linkedin</t>
        </is>
      </c>
      <c r="E134">
        <f>HYPERLINK("https://www.linkedin.com/jobs/view/4363793084", "https://www.linkedin.com/jobs/view/4363793084")</f>
        <v/>
      </c>
      <c r="F134">
        <f>HYPERLINK("https://www.globallogic.com/careers/data-engineer-pyspark-python-irc286472/?utm_source=LinkedIn&amp;utm_medium=jobboard&amp;utm_campaign=career&amp;urlHash=6u3y", "https://www.globallogic.com/careers/data-engineer-pyspark-python-irc286472/?utm_source=LinkedIn&amp;utm_medium=jobboard&amp;utm_campaign=career&amp;urlHash=6u3y")</f>
        <v/>
      </c>
      <c r="G134" t="inlineStr">
        <is>
          <t>Charlotte, NC</t>
        </is>
      </c>
      <c r="H134" t="inlineStr"/>
      <c r="I134" t="inlineStr">
        <is>
          <t>**Description**
 “GlobalLogic estimates the starting pay range for this role to be performed in Charlotte, NC to be $95K to $100K and reflects base salary only and does not include additional performance\-linked variable compensation, benefits etc that may be applicable for the role. This pay range is provided as a good faith estimate and the amount offered may be higher or lower. GlobalLogic takes many factors into consideration in making an offer, including candidate qualifications, work experience, operational needs, travel and onsite requirements, internal peer equity, prevailing wage, responsibilities, and other market and business considerations.
**Requirements**
* Strong hands\-on experience with PySpark and Python, especially in designing and implementing scalable data transformations.
* Solid understanding of Object\-Oriented Programming (OOP) principles and design patterns.
* Proficient in SQL, with the ability to write complex queries and optimise performance.
* Strong problem\-solving skills and the ability to troubleshoot complex data issues independently.
* Excellent communication and collaboration skills.
 Job responsibilities
* Design, develop, and optimise large\-scale data pipelines using PySpark and Python.
* Implement and adhere to best practices in object\-oriented programming to build reusable, maintainable code.
* Write advanced SQL queries for data extraction, transformation, and loading (ETL).
* Collaborate closely with data scientists, analysts, and stakeholders to gather requirements and translate them into technical solutions.
* Troubleshoot data\-related issues and resolve them in a timely and accurate manner.
* Leverage AWS cloud services (e.g., S3, EMR, Lambda, Glue) to build and manage cloud\-native data workflows (preferred).
* Participate in code reviews, data quality checks, and performance tuning of data jobs.
 What we offer
**Culture of caring.** 
 At GlobalLogic, we prioritize a culture of caring. Across every region and department, at every level, we consistently put people first. From day one, you’ll experience an inclusive culture of acceptance and belonging, where you’ll have the chance to build meaningful connections with collaborative teammates, supportive managers, and compassionate leaders.
**Learning and development.** 
 We are committed to your continuous learning and development. You’ll learn and grow daily in an environment with many opportunities to try new things, sharpen your skills, and advance your career at GlobalLogic. With our Career Navigator tool as just one example, GlobalLogic offers a rich array of programs, training curricula, and hands\-on opportunities to grow personally and professionally.
**Interesting \&amp; meaningful work.** 
 GlobalLogic is known for engineering impact for and with clients around the world. As part of our team, you’ll have the chance to work on projects that matter. Each is a unique opportunity to engage your curiosity and creative problem\-solving skills as you help clients reimagine what’s possible and bring new solutions to market. In the process, you’ll have the privilege of working on some of the most cutting\-edge and impactful solutions shaping the world today.
**Balance and flexibility.** 
 We believe in the importance of balance and flexibility. With many functional career areas, roles, and work arrangements, you can explore ways of achieving the perfect balance between your work and life. Your life extends beyond the office, and we always do our best to help you integrate and balance the best of work and life, having fun along the way!
**High\-trust organization.** 
 We are a high\-trust organization where integrity is key. By joining GlobalLogic, you’re placing your trust in a safe, reliable, and ethical global company. Integrity and trust are a cornerstone of our value proposition to our employees and clients. You will find truthfulness, candor, and integrity in everything we do.
**About GlobalLogic**
 GlobalLogic, a Hitachi Group Company, is a trusted digital engineering partner to the world’s largest and most forward\-thinking companies. Since 2000, we’ve been at the forefront of the digital revolution – helping create some of the most innovative and widely used digital products and experiences. Today we continue to collaborate with clients in transforming businesses and redefining industries through intelligent products, platforms, and services.</t>
        </is>
      </c>
    </row>
    <row r="135">
      <c r="A135" t="inlineStr">
        <is>
          <t>li-4363764364</t>
        </is>
      </c>
      <c r="B135" t="inlineStr">
        <is>
          <t>BI Engineer</t>
        </is>
      </c>
      <c r="C135" t="inlineStr">
        <is>
          <t>Overhaul</t>
        </is>
      </c>
      <c r="D135" t="inlineStr">
        <is>
          <t>linkedin</t>
        </is>
      </c>
      <c r="E135">
        <f>HYPERLINK("https://www.linkedin.com/jobs/view/4363764364", "https://www.linkedin.com/jobs/view/4363764364")</f>
        <v/>
      </c>
      <c r="F135">
        <f>HYPERLINK("https://workforcenow.adp.com/mascsr/default/mdf/recruitment/recruitment.html?cid=0607f7e2-b2c8-4bd9-9db0-502820edc413&amp;ccId=19000101_000001&amp;lang=en_US&amp;jobId=578752&amp;source=LI&amp;urlHash=PsGC", "https://workforcenow.adp.com/mascsr/default/mdf/recruitment/recruitment.html?cid=0607f7e2-b2c8-4bd9-9db0-502820edc413&amp;ccId=19000101_000001&amp;lang=en_US&amp;jobId=578752&amp;source=LI&amp;urlHash=PsGC")</f>
        <v/>
      </c>
      <c r="G135" t="inlineStr">
        <is>
          <t>Austin, TX</t>
        </is>
      </c>
      <c r="H135" t="inlineStr"/>
      <c r="I135" t="inlineStr">
        <is>
          <t>**Who We Are**
 Overhaul is a rapidly growing software company specializing in in\-transit supply chain visibility and risk management solutions for global enterprise organizations. Our cutting\-edge technology empowers organizations to gain real\-time insights into their supply chain operations, mitigate risks, and optimize their logistics processes.
**Job Summary**
 We are seeking a BI Engineer to take ownership of end\-to\-end Business Intelligence solutions involving a high level of customer engagement. This BI Engineer will have a strong drive for continuous processes improvement. This role will help to scope, build, deploy and maintain a variety of BI solutions that will enable performance tracking, operational management, and ad hoc analyses for both our internal and external stakeholders.
**Primary Responsibilities**
* Ongoing support and maintenance of existing Power BI dashboards, ad hoc analyses and data extracts
* Collate data from various source systems and databases, cleanse, transform and prepare data for Power BI reporting and ad hoc analysis
* Build dashboards and ad hoc reports to synthesize and aggregate data across multiple sources for internal and external stakeholders
* Interpret data, and analyze results using statistical techniques
* Creation of clear written and visual artifacts to drive decision making
* Reinforce a high level of governance alignment with general client's guidelines across all data deliverability
* Ensure safety and accuracy of information across all data solutions delivered by the team
* Prepare and maintain BI reporting and analysis documentations
* Work closely with the other areas of the Business (such as IT and Data \&amp; Analytics) on design and implementation to ensure business requirements are being met accurately and in a scalable matter and communicated to the business at large
****Qualifications****
* Extensive experience with reporting using Power BI and similar tool sets
* Design and develop database objects, tables, stored procedures, views and triggers
* Independently analyze, solve, and correct issues in real time, providing problem resolution end\-to\-end
* Design and develop ETL processes that will transform a variety of raw data, flat files, xl spreadsheets into SQL Databases
* In\-depth knowledge of standard concepts, practices and procedures related to database management
* Proven analytical problem solving and debugging skills
* Experience in troubleshooting and resolving database integrity issues, performance issues, blocking and deadlocking issues etc.
* Design and develop enterprise and departmental business intelligence and data warehousing solutions
* Performs ad\-hoc analysis using SQL query language within the database systems using a process\-oriented approach
* Understands the concept of Data marts and Data lakes and experience with migrating legacy systems to data marts/lake
**What we can offer:**
* Competitive starting base salary
* Progressive advancement opportunity and career mobility
* Top employee health and well\- being benefits
* Rotating company ‘Perks at work’ program
* Employee Assistance Program
* Care giver/adoption/family leave
* Flexible Time Off Policy
* Flexible working
* Free parking
**Our culture**
 We are guided by our core values of Diversity and Synergy, Creativity, Problem Solving, Authenticity and Receptivity, Trust, Encouragement, Teaching and Learning, Wellness and Integrity. These values help us recruit aligned talent to join our rapidly expanding team around the globe. It is important to us that each and every Overhauler is not only eager to challenge themselves and knows how to get work done, but is also an awesome addition to our company culture.</t>
        </is>
      </c>
    </row>
    <row r="136">
      <c r="A136" t="inlineStr">
        <is>
          <t>li-4363753337</t>
        </is>
      </c>
      <c r="B136" t="inlineStr">
        <is>
          <t>BI Data Engineer II</t>
        </is>
      </c>
      <c r="C136" t="inlineStr">
        <is>
          <t>The Boston Beer Company</t>
        </is>
      </c>
      <c r="D136" t="inlineStr">
        <is>
          <t>linkedin</t>
        </is>
      </c>
      <c r="E136">
        <f>HYPERLINK("https://www.linkedin.com/jobs/view/4363753337", "https://www.linkedin.com/jobs/view/4363753337")</f>
        <v/>
      </c>
      <c r="F136">
        <f>HYPERLINK("https://hcrb.fa.us2.oraclecloud.com/hcmUI/CandidateExperience/en/job/16419/?utm_medium=jobshare&amp;urlHash=-r2W", "https://hcrb.fa.us2.oraclecloud.com/hcmUI/CandidateExperience/en/job/16419/?utm_medium=jobshare&amp;urlHash=-r2W")</f>
        <v/>
      </c>
      <c r="G136" t="inlineStr">
        <is>
          <t>Boston, MA</t>
        </is>
      </c>
      <c r="H136" t="inlineStr"/>
      <c r="I136" t="inlineStr">
        <is>
          <t>**Job Description**
 We are currently hiring a Full\-Time
 **BI Data Engineer II** 
*hybrid\** 
 in Boston, MA.
 Join our Boston\-based Data and Analytics (DnA) team and play a key role in building and evolving our Enterprise Data Platform. This position offers the opportunity to work across a wide range of data engineering initiatives, delivering high\-impact analytics solutions that directly support business decision\-making and strengthen our data ecosystem. As a multi\-faceted role, you’ll collaborate closely with stakeholders while owning the full data engineering lifecycle—from requirements gathering and solution design through development, testing, deployment, and ongoing support. You’ll work hands\-on with modern technologies including the Databricks Lakehouse platform and our On\-Premise SQL data warehouse to build scalable, reliable data pipelines, analytical data models, and contribute to platform and architecture work.
 We are moving toward domain\-oriented team, and this position will be primarily assigned to one or more business areas (to be determined), giving you the opportunity to understand specific business needs while contributing to enterprise\-wide solutions.
 This role is ideal for someone eager to grow their expertise in Databricks, Spark, Delta Lake, and cloud integrations, while contributing to enterprise\-level data quality, governance, platform improvements, and production\-ready solutions in a collaborative, fast\-paced environment.
* A Hybrid position at Boston Beer requires that our coworkers reside within commuting distance to be onsite 3 days/week.
**What You'll Brew:**
* Serve as a Databricks\-first data engineer, designing, building, and supporting scalable Lakehouse data pipelines (ETL/ELT) using Spark and Delta Lake.
* Develop and maintain Databricks notebooks, workflows, and jobs, with secondary support for On\-Premise SQL Server integrations.
* Build analytics\-ready data models in Databricks, supporting limited dimensional and reporting models on SQL Server as needed.
* Drive data ingestion, migration, and integration between Databricks and On\-Premise systems as part of platform modernization.
* Collaborate with analysts, data scientists, business stakeholders, and all teams under the Data Enterprise organization (including Data Operation and MDM) to translate requirements into scalable, maintainable solutions
* Optimize Spark jobs and Databricks workflows for performance, reliability, and cost efficiency.
* Implement enterprise data quality checks, security best practices, and governance standards across Databricks and SQL environments.
* Support production pipelines with CI/CD and automated deployment for reliable, repeatable releases.
**What Ingredients You'll Bring:**
***Minimum Qualifications:***
* Bachelor's Degree in Computer Science, or a closely related field, or the equivalent
* Databricks and Spark: 2–5 years of hands‑on experience with Databricks notebooks, Spark transformations, and Delta Lake for scalable
* Programming \&amp; SQL: Strong Python, Scala, and SQL skills for building and maintaining data pipelines.
* CI/CD \&amp; Automation: Exposure to automated deployment pipelines using tools such as Azure DevOps and Databricks Asset Bundles (DABs) for reliable, production\-ready workflows.
* Data Quality \&amp; Governance: Understanding of enterprise data quality checks, security practices, and governance frameworks.
* Collaboration \&amp; Problem\-Solving: Ability to work effectively with analysts, stakeholders, and cross\-functional teams to troubleshoot and optimize pipelines.
***Preferred Qualifications***
**:**
* Data Modeling: Familiarity with dimensional modeling and Power BI for analytics\-ready datasets.
* ETL/ELT \&amp; SQL Server: Experience designing, developing, and supporting relational database pipelines and SSIS workflows.
* AI \&amp; Analytics: Experience or familiarity with AI, machine learning, or analytics frameworks is a plus.
* Domain \&amp; Systems Knowledge: Knowledge of CPG, Supply Chain processes, Salesforce, or SAP is a plus.
* Collaboration \&amp; Project Tools: Experience with Jira and Confluence for project tracking, documentation, and team collaboration
* Scripting: PowerShell experience is a plus.
**Level** 
 : 7
 At the Boston Beer Company and in accordance with pay transparency laws, we are open about our salary ranges. For this role, the salary range is between $97,000 and $163,000\. However, it’s important to note that where the person hired starts in this range is dependent on their related experience, skillset and location. Additionally, this position qualifies for a discretionary annual bonus based on company and individual performance, and certain sales roles might include a car allowance.
**Some Perks** 
 :
 Our people are our most important “ingredient.” We hire the best talent; and we reward, develop, and retain them too.
 In addition to generous healthcare on day one, stock purchase plan, 401k and more, Full Time Boston Beer Coworkers have the following perks available\*:
* Tuition reimbursement
* Fertility/adoption support
* Free financial coaching
* Health \&amp; wellness program and discounts
* Professional development \&amp; training
* Free beer!
* Talk to your recruiter about eligibility
*Qualified applicants with arrest or conviction records will be considered for employment in accordance with the Fair Chance Ordinance and the CA Fair Chance Act.*
*Boston Beer Corporation is an equal opportunity employer and is committed to a diverse workforce. In order to help ensure reasonable accommodation for individuals protected by Section 503 of the Rehabilitation Act of 1973, the Vietnam Veteran’s Readjustment Act of 1974, and Title I of the Americans with Disabilities Act of 1990, applicants who wish to request accommodation in the job application process can contact jobs@bostonbeer.com for assistance.*</t>
        </is>
      </c>
    </row>
    <row r="137">
      <c r="A137" t="inlineStr">
        <is>
          <t>li-4353596499</t>
        </is>
      </c>
      <c r="B137" t="inlineStr">
        <is>
          <t>Sr. Data Engineer III (6347)</t>
        </is>
      </c>
      <c r="C137" t="inlineStr">
        <is>
          <t>MetroStar</t>
        </is>
      </c>
      <c r="D137" t="inlineStr">
        <is>
          <t>linkedin</t>
        </is>
      </c>
      <c r="E137">
        <f>HYPERLINK("https://www.linkedin.com/jobs/view/4353596499", "https://www.linkedin.com/jobs/view/4353596499")</f>
        <v/>
      </c>
      <c r="F137" t="inlineStr"/>
      <c r="G137" t="inlineStr">
        <is>
          <t>Tysons Corner, VA</t>
        </is>
      </c>
      <c r="H137" t="inlineStr"/>
      <c r="I137" t="inlineStr">
        <is>
          <t>As
 **Sr. Data Engineer III** 
 , you’ll work with a cross\-functional team to help design and ingest data from different Object Management Systems that support mission operations for our classified customer.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Work with AI team members to operationalize data pipelines and ML tasks.
* Provide day\-to\-day support of deploying Python\-native ML pipelines and perform data engineering tasks to enable AI/ML capabilities.
* Present results to a diverse audience in presentation or report form.
* Support architectural leadership, technical support, and advisement services to ensure identity management system technologies are integrated and meeting the appropriate security requirements.
* Support leadership who engage with senior level executives at a public facing Federal agency and provide subject matter expertise in security architecture and other key domain areas.
**What you’ll need to succeed:** 
* Minimum 10 years experience
* Bachelor's Degree in Computer Science, Information Technology Management or Engineering, or other comparable degree or experience
* Active TS/SCI required with CI poly preferred
* 8\+ years of experience in Data/ML engineering
* Expert Experience with ETL, data labeling, and data preparation
* 8\+ years experience with at least 2 of the following technologies: Cloudera, DataBricks, Snowflake, NiFi, Python, SQL, Kafka
* Expert experience designing, developing, and deploying data solutions in classified AWS cloud environments up to IL6\+
* Expert experience designing, implementing, and maintaining data architecture and services to be used for AI/ML. Additionally, operationalizing and maintaining AI/ML models in production.
* Strong communication skills, ability to communicate technical concepts in both layman and technical terms to technical and non\-technical stakeholders
* Ability to perform data analytics on program related or system related activities. \-This will include assessing performance and manual processes implementing methods/algorithms to automate/optimize
 SALARY RANGE: $170,000 \- $220,000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138">
      <c r="A138" t="inlineStr">
        <is>
          <t>li-4363854840</t>
        </is>
      </c>
      <c r="B138" t="inlineStr">
        <is>
          <t>Senior Data Engineer</t>
        </is>
      </c>
      <c r="C138" t="inlineStr">
        <is>
          <t>Mayo Clinic</t>
        </is>
      </c>
      <c r="D138" t="inlineStr">
        <is>
          <t>linkedin</t>
        </is>
      </c>
      <c r="E138">
        <f>HYPERLINK("https://www.linkedin.com/jobs/view/4363854840", "https://www.linkedin.com/jobs/view/4363854840")</f>
        <v/>
      </c>
      <c r="F138" t="inlineStr"/>
      <c r="G138" t="inlineStr">
        <is>
          <t>Rochester, MN</t>
        </is>
      </c>
      <c r="H138" t="inlineStr"/>
      <c r="I138" t="inlineStr">
        <is>
          <t>City Rochester
 State MN
 Remote YES
 Department Information Technology
**Why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We are seeking a talented Senior Data Engineer to join our Advanced Data Lake (ADL) team. This is an infrastructure\-heavy, hybrid cloud role with Google Cloud Platform (GCP) as a core requirement. You will build and operate enterprise data Lakehouse platforms that support large\-scale analytics and digital transformation.
 Your responsibilities will include architecting and maintaining automated data pipelines for ingesting, transforming, and integrating complex datasets. You will use DataStream for real\-time data movement and Dataflow for processing at scale. Composer/Airflow will be leveraged for seamless scheduling, monitoring, and automation of pipeline operations. Infrastructure provisioning and workflow management will be handled with Terraform and Dataform to ensure reproducibility and adherence to best practices. All code and pipeline assets will be managed through git repositories, with CI/CD automation and streamlined releases enabled by Azure DevOps (ADO). Changes will be governed by ServiceNow processes to ensure traceability, auditability, and operational compliance.
 Core duties involve working with cross\-functional teams to translate business needs into pipeline specifications, building and optimizing data models for advanced analytics, and maintaining data quality and security throughout all processes. You will automate workflow monitoring and proactively resolve data issues, applying strong technical and problem\-solving skills.
 The ideal candidate will have proficiency in Python and SQL, with significant experience in Google Cloud Platform (especially Dataflow and DataStream), Terraform, Dataform, and orchestration with Composer/Airflow. Experience managing code in git repositories, working with Azure DevOps workflows, and following ServiceNow change management processes is required. Strong communication skills and the ability to manage multiple priorities in a remote, team\-oriented environment are also necessary.
 Develops and deploys data pipelines, integrations and transformations to support analytics and machine learning applications and solutions as part of an assigned product team using various open\-source programming languages and vended software to meet the desired design functionality for products and programs. The position requires maintaining an understanding of the organization's current solutions, coding languages, tools, and regularly requires the application of independent judgment. May provide consultative services to departments/divisions and leadership committees. Demonstrated experience in designing, building, and installing data systems and how they are applied to the Department of Data \&amp; Analytics technology framework is required. Candidate will partner with product owners and Analytics and Machine Learning delivery teams to identify and retrieve data, conduct exploratory analysis, pipeline and transform data to help identify and visualize trends, build and validate analytical models, and translate qualitative and quantitative assessments into actionable insights.
 This is a full time remote position within the United States. Mayo Clinic will not sponsor or transfer visas for this position including F1 OPT STEM\&gt;
**Qualifications**
 A Bachelor's degree in a relevant field such as engineering, mathematics, computer science, information technology, health science, or other analytical/quantitative field and a minimum of five years of professional or research experience in data visualization, data engineering, analytical modeling techniques; OR an Associate’s degree in a relevant field such as engineering, mathematics, computer science, information technology, health science, or other analytical/quantitative field and a minimum of seven years of professional or research experience in data visualization, data engineering, analytical modeling techniques. In\-depth business or practice knowledge will also be considered.
 Incumbent must have the ability to manage a varied workload of projects with multiple priorities and stay current on healthcare trends and enterprise changes. Interpersonal skills, time management skills, and demonstrated experience working on cross functional teams are required. Requires strong analytical skills and the ability to identify and recommend solutions and a commitment to customer service. The position requires excellent verbal and written communication skills, attention to detail, and a high capacity for learning and problem resolution.
 Advanced experience in SQL is required. Strong Experience in scripting languages such as Python, JavaScript, PHP, C\+\+ or Java \&amp; API integration is required. Experience in hybrid data processing methods (batch and streaming) such as Apache Spark, Hive, Pig, Kafka is required. Experience with big data, statistics, and machine learning is required. The ability to navigate linux and windows operating systems is required. Knowledge of workflow scheduling (Apache Airflow Google Composer), Infrastructure as code (Kubernetes, Docker) CI/CD (Jenkins, Github Actions) is preferred. Experience in DataOps/DevOps and agile methodologies is preferred. Experience with hybrid data virtualization such as Denodo is preferred. Working knowledge of Tableau, Power BI, SAS, ThoughtSpot, DASH, d3, React, Snowflake, SSIS, and Google Big Query is preferred.
 Google Cloud Platform (GCP) certification is preferred.
 Preferred qualifications include hybrid or multi\-cloud experience, familiarity with enterprise data governance, metadata, and lineage tools, and experience working in large, regulated environments. A GCP Professional Data Engineer certification is required.
**Exemption Status**
 Exempt
**Compensation Detail**
 $138,257\.60 \- $200,512\.00 / year
**Benefits Eligible**
 Yes
**Schedule**
 Full Time
**Hours/Pay Period**
 80
**Schedule Details**
 Monday \- Friday, 8:00 a.m. \- 5:00 p.m. May be required to provide 24/7 on\-call support.
**Weekend Schedule**
 May be required to provide 24/7 on\-call support.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 Mayo Clinic participates in E\-Verify and may provide the Social Security Administration and, if necessary, the Department of Homeland Security with information from each new employee's Form I\-9 to confirm work authorization.
**Recruiter**
 Ted Keefe</t>
        </is>
      </c>
    </row>
    <row r="139">
      <c r="A139" t="inlineStr">
        <is>
          <t>li-4359276337</t>
        </is>
      </c>
      <c r="B139" t="inlineStr">
        <is>
          <t>Senior Data Engineer, Growth (Remote)</t>
        </is>
      </c>
      <c r="C139" t="inlineStr">
        <is>
          <t>ezCater</t>
        </is>
      </c>
      <c r="D139" t="inlineStr">
        <is>
          <t>linkedin</t>
        </is>
      </c>
      <c r="E139">
        <f>HYPERLINK("https://www.linkedin.com/jobs/view/4359276337", "https://www.linkedin.com/jobs/view/4359276337")</f>
        <v/>
      </c>
      <c r="F139" t="inlineStr"/>
      <c r="G139" t="inlineStr"/>
      <c r="H139" t="inlineStr"/>
      <c r="I139" t="inlineStr">
        <is>
          <t>ezCater is the leading food for work technology company in the US, connecting anyone who needs food for their workplace to over 100,000 restaurants nationwide. For workplaces, ezCater provides flexible and scalable solutions for everything from recurring employee meals to one\-off meetings, all backed by 24/7 customer service with real humans. ezCater also enables companies to manage their food spend in a single, customizable platform. For restaurant partners, ezCater helps them grow their business by bringing them more orders and new high\-value customers. We're backed by top investors including Insight, Iconiq, Lightspeed, GIC, SoftBank, and Quadrille.
 Are you passionate about data? How about leveraging data to drive meaningful impact across a fast growing two\-sided marketplace? Have opinions on how to best enable data scientists across a billion\-dollar company to do elastic workforce planning or real\-time customer lifetime value prediction? Then we should definitely talk!
 The Data Technology team at ezCater is growing! As we look towards the second half of 2025 and beyond, data is a key strategic component across the company \- from advanced, real\-time machine learning to business intelligence and data governance. Data is our differentiator and how we will drive real, meaningful impact to the $100\+billion Catering industry.
 We are hiring a Senior Data Engineer to join our expanding team in solving complex data and platform challenges to accelerate our growing business. The ideal candidate lives and breathes data while driving systems and architecture best practices. They care about driving business impact through producing solid and efficient infrastructure alongside accurate and performant data. You will have the opportunity to work directly with executive stakeholders as we embark on a massive\-scale data modeling effort across the organization, so flexibility and the ability to translate business requests to implementation are key.
**What You’ll Do**
* Write and ship a lot of code.
* Work directly with analysts and stakeholders to refine requirements, nail down logic, and debug and qualify produced data sets to ensure they meet the underlying business needs.
* Drive architectural decisions and thoughtfully balance trade\-offs in system design.
* Lead cross\-functional data initiatives.
* Champion high standards in data quality, security, and discoverability.
* Translate complex technical challenges into clear solutions.
* Design and develop high\-performance data pipelines. Adhering to SDLC, including CI/CD and best practices.
* Identify and drive opportunities to optimize and/or scale existing parts of our stack.
* Utilize tooling and automation to improve developer efficiency.
* Monitor data systems to ensure quality and availability while seeking to drive down costs.
* Contribute to the team processes and community.
* Mentor other Data Engineers.
* Be part of our innovation and transformation story.
**What You Have**
* Strong experience with data warehousing, data lakes, ELT process, and enterprise data platforms such as Snowflake (preferred), Redshift \&amp; BigQuery.
* Experience with building performant data pipelines across disparate systems.
* Experience with cloud platforms such as AWS (preferred), GCP \&amp; Azure.
* Mastery in SQL and experience in Python.
* Ability to work independently and collaboratively.
* Willingness and ability to be part of an on\-call rotation, occasionally working non\-business hours to address critical system alerts and maintain service uptime.
* An open mind and willingness to be flexible. We have a large and complex business, and believe in driving real value out of every project we do.
* Our stack is Snowflake, dbt, Fivetran, Airflow, AWS, Sagemaker, MLFlow, Kubernetes \+ Docker, Monte Carlo, Hightouch and Python for custom ETL and data science integrations. Experience with the above is a nice\-to\-have, and a desire to learn is a must.
* Experience with marketing data is preferred, but not required.
* A sharp mind, a soft heart and a large funny bone.
*The national total target* 
*cash compensation range for this position, including base salary and bonus target, is $158,000–$190,000 annually.\**
* Please note: Final offer amounts are determined by multiple factors, including prior experience, expertise and region \&amp; may vary from the amount above. This range does not represent additional compensation benefits (such as equity, 401K or medical, dental or vision insurance).
***Please have fun with the Cover Letter portion of the application!** 
 It does not need to follow “traditional” cover letter guidelines \- we would love for you to write 150\-500 words explaining why you are interested in ezCater and the role, and highlighting anything else you think we should know!*
 ezCater does not sponsor applicants for work visas or legal permanent residence.
**What You’ll Get From Us**
 You’ll get a terrifically compelling experience in an innovative, high performing environment. You’ll get to work with engaged and passionate colleagues on challenging and impactful projects. You will have opportunities to grow in your career, and work in a place that values work/life harmony.
 Oh, and you’ll get all this: Market competitive salary, stock options that you’ll help make worth a lot, 12 paid holidays, flexible PTO, 401K with ezCater match, health/dental/FSA, long\-term disability insurance, mental health and family planning resources, remote\-hybrid work from our awesome Boston office OR your home OR a mixture of both home and office, a tremendous amount of responsibility and autonomy, wicked awesome co\-workers, Relish (and many more goodies) when you’re in our office, and knowing that you helped transform the food for work space.
 ezCater is an equal opportunity employer. We embrace humans of every background, appearance, race, religion, color, national origin, gender, gender identity, sexual orientation, age, marital status, veteran status, and disability status. At the same time, we do not employ jerks, even brilliant ones. Following a conditional offer of employment, ezCater may require a background check.
 For information on how ezCater collects and uses job applicants' personal information, please visit our Job Applicant Privacy Policy.
 \#BI\-Remote</t>
        </is>
      </c>
    </row>
    <row r="140">
      <c r="A140" t="inlineStr">
        <is>
          <t>li-4360005964</t>
        </is>
      </c>
      <c r="B140" t="inlineStr">
        <is>
          <t>Analytics Engineer</t>
        </is>
      </c>
      <c r="C140" t="inlineStr">
        <is>
          <t>RemoteHunter</t>
        </is>
      </c>
      <c r="D140" t="inlineStr">
        <is>
          <t>linkedin</t>
        </is>
      </c>
      <c r="E140">
        <f>HYPERLINK("https://www.linkedin.com/jobs/view/4360005964", "https://www.linkedin.com/jobs/view/4360005964")</f>
        <v/>
      </c>
      <c r="F140" t="inlineStr"/>
      <c r="G140" t="inlineStr"/>
      <c r="H140" t="inlineStr"/>
      <c r="I140"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41">
      <c r="A141" t="inlineStr">
        <is>
          <t>li-4359198048</t>
        </is>
      </c>
      <c r="B141" t="inlineStr">
        <is>
          <t>Data Engineer, Manufacturing Accounting</t>
        </is>
      </c>
      <c r="C141" t="inlineStr">
        <is>
          <t>Tesla</t>
        </is>
      </c>
      <c r="D141" t="inlineStr">
        <is>
          <t>linkedin</t>
        </is>
      </c>
      <c r="E141">
        <f>HYPERLINK("https://www.linkedin.com/jobs/view/4359198048", "https://www.linkedin.com/jobs/view/4359198048")</f>
        <v/>
      </c>
      <c r="F141">
        <f>HYPERLINK("https://www.tesla.com/careers/search/job/248988?source=LinkedIn&amp;urlHash=BKPK", "https://www.tesla.com/careers/search/job/248988?source=LinkedIn&amp;urlHash=BKPK")</f>
        <v/>
      </c>
      <c r="G141" t="inlineStr">
        <is>
          <t>Austin, TX</t>
        </is>
      </c>
      <c r="H141" t="inlineStr"/>
      <c r="I141" t="inlineStr">
        <is>
          <t>**What To Expect**
 We are seeking a highly skilled and detail\-oriented Manufacturing Accounting Data Engineer to join our team at Tesla. In this role, you will leverage your expertise in data engineering, cost accounting and manufacturing systems to build robust data pipelines and infrastructure. You will perform advanced manufacturing variance analytics, monitor and analyze costs, and provide actionable insights to drive efficiency, profitability, and process improvements in our high\-volume manufacturing operations. This position enables cross\-functional teams to make critical business and operational decisions by transforming large datasets into meaningful KPIs, visualizations, and dashboards.
**What You'll Do**
- Build and maintain data pipelines, databases, and infrastructure using SQL, Python, and Tableau/PowerBI to automate analyses and support manufacturing accounting operations while acquiring data from various data sources
- Ensure compliance with internal policies, accounting standards, and regulations by supporting audits with documentation and analysis of manufacturing costs
- Conduct in\-depth analysis of manufacturing data across production lines, perform variance analyses to identify deviations, cost\-saving opportunities, process improvements, cost trends, fluctuation drivers, and corrective actions with cross\-functional teams
- Collaborate with Controls, Process, Manufacturing Engineers, Finance, Operations, and other stakeholders to develop data collection for work order, inventory, and scrap to gather actionable insights for business decisions
- Implement automated cost control measures, evaluate cost\-saving initiatives, and propose strategies to enhance manufacturing efficiency and reduce expenses
**What You'll Bring**
- Bachelor's Degree in Data Engineering, or a related field, or equivalent experience
- CPA license, MBA, or relevant certifications preferred but not required
- 2\+ years of experience in data engineering, cost accounting, or a similar role within manufacturing environments, including working with large datasets and Manufacturing Execution Systems
- Strong technical skills in SQL for data extraction and manipulation, Python for automation, Tableau (or similar) for visualizations, advanced MS Excel, and ERP systems
- Deep understanding of manufacturing processes, cost accounting principles, financial analysis, cost modeling, and variance analysis
- Excellent analytical skills, attention to detail, problem\-solving abilities, and the capacity to interpret complex data for actionable decisions
- Ability to thrive in a fast\-paced, evolving environment, with strong communication, collaboration, and decision\-making skills
**Benefits**
**Compensation and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 Tesla</t>
        </is>
      </c>
    </row>
    <row r="142">
      <c r="A142" t="inlineStr">
        <is>
          <t>li-4364044518</t>
        </is>
      </c>
      <c r="B142" t="inlineStr">
        <is>
          <t>Data Engineer Lead</t>
        </is>
      </c>
      <c r="C142" t="inlineStr">
        <is>
          <t>University of Michigan</t>
        </is>
      </c>
      <c r="D142" t="inlineStr">
        <is>
          <t>linkedin</t>
        </is>
      </c>
      <c r="E142">
        <f>HYPERLINK("https://www.linkedin.com/jobs/view/4364044518", "https://www.linkedin.com/jobs/view/4364044518")</f>
        <v/>
      </c>
      <c r="F142">
        <f>HYPERLINK("https://careers.umich.edu/job_detail/273032/data-engineer-lead&amp;urlHash=BAAh", "https://careers.umich.edu/job_detail/273032/data-engineer-lead&amp;urlHash=BAAh")</f>
        <v/>
      </c>
      <c r="G142" t="inlineStr">
        <is>
          <t>Ann Arbor, MI</t>
        </is>
      </c>
      <c r="H142" t="inlineStr"/>
      <c r="I142" t="inlineStr">
        <is>
          <t>How to Apply
 A cover letter and resume are required submissions for the hiring team to understand your experience. In your cover letter, in 1 page or less, please explain how this role aligns with your career aspirations and skills. Submit both the cover letter and the resume as a single file.
 A competitive salary above the posted range is available based on the selected candidate's qualifications, experience, and education.
**Job Summary**
 The University of Michigan's
 **Data Science Practice** 
 team is seeking a
 **Data Engineering Lead** 
 to help lead our data engineering and architecture teams. As stewards of the University's enterprise data assets, our team is reimagining the future of our data infrastructure to support advanced analytics, data science, Artificial Intelligence, and institutional decision\-making. This role will work directly with Information and Technology Services (ITS) partners and Campus partners to enable a flexible data ecosystem that meets today's users' needs and scales for our future growth. This position will directly lead our data engineers and architects and report to the Associate Director of the Data Science Practice team.
 What You'll Do
 You are motivated, innovative, and creative, and you see opportunities for improvement in both technologies and processes. You have a background in data and can see the big picture. You are a leader and a team player.
 Who We Are
 We are moving to a new cloud\-based, scalable, and secure data ecosystem. We manage our enterprise data warehouse and have a group of data engineers and data architects who will be working in a new environment, implementing new processes and technologies, and migrating data from a legacy system.
 Why Work at Michigan?
* Be part of a collaborative, forward\-thinking team with a mission to modernize data infrastructure in service of education, research, and institutional excellence.
* Access to professional development opportunities, conferences, and cutting\-edge tools.
* Competitive salary and benefits, including generous time off and tuition support.
 Responsibilities\*
* Mentor and collaborate with data engineers and architects, and other high\-performing team members.
* Design, implement, and optimize data pipelines that support the university's modernization strategy.
* Contribute to the design of our future cloud\-native data architecture and the selection and implementation of our new toolset.
* Collaborate with data scientists, analysts, and stakeholders to deliver high\-quality, well\-documented data products.
* Develop scalable ETL/ELT processes that integrate data from enterprise systems (e.g., PeopleSoft, Salesforce, Blackbaud).
* Establish and promote best practices for data modeling, engineering, and governance in a modern data platform environment.
* Support agile delivery and CI/CD practices to improve efficiency and quality across the data lifecycle.
 Required Qualifications\*
* Bachelor's degree in a related field and/or equivalent combination of education, certification, and experience.
* 5\+ years of professional experience in data engineering, software development, or a related discipline.
* Strong proficiency in SQL and experience with both relational and non\-relational database systems.
* Experience developing in Python and/or Scala, particularly for data pipeline creation and automation.
* Hands\-on experience with cloud environments (AWS, Azure, or GCP) and associated data services.
* Experience with big data frameworks such as Apache Spark or Databricks.
* Knowledge of workflow orchestration tools (e.g., Apache Airflow, Prefect, or similar).
* Familiarity with modern CI/CD and infrastructure\-as\-code practices (e.g., Terraform, GitHub Actions).
* Strong understanding of data architecture, integration, and governance principles.
* Excellent communication skills and ability to collaborate in a team\-oriented environment.
 Desired Qualifications\*
* Master's degree in a relevant field (e.g., Data Science, Computer Science, Engineering).
* Experience supporting data and analytics workflows (BI, data science, machine learning, etc).
* Familiarity with modern data stack tools and concepts (platforms such as Snowflake, Databricks, Big Query, Redshift; ETL tools such as dbt and spark)
* Understanding of data privacy and compliance frameworks (e.g., FERPA, HIPAA, GDPR).
* Experience modernizing legacy data systems or migrating to cloud\-native architectures.
* Knowledge of ML Ops, feature engineering, or model deployment tools.
* Experience mentoring team members or leading technical projects.
* Background in higher education or research environments is a plus.
 You may not check every box, or your experience may look a little different from what we've outlined, but if you think you can bring value to our team, we encourage you to apply!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Application Deadline
 Job openings are posted for a minimum of seven calendar days. The review and selection process may begin as early as the eighth day after posting. This opening may be removed from posting boards and filled anytime after the minimum posting period has ended.
 U\-M EEO Statement
 The University of Michigan is an equal employment opportunity employer.</t>
        </is>
      </c>
    </row>
    <row r="143">
      <c r="A143" t="inlineStr">
        <is>
          <t>li-4360783280</t>
        </is>
      </c>
      <c r="B143" t="inlineStr">
        <is>
          <t>Cloud Data Engineer</t>
        </is>
      </c>
      <c r="C143" t="inlineStr">
        <is>
          <t>Net2Source (N2S)</t>
        </is>
      </c>
      <c r="D143" t="inlineStr">
        <is>
          <t>linkedin</t>
        </is>
      </c>
      <c r="E143">
        <f>HYPERLINK("https://www.linkedin.com/jobs/view/4360783280", "https://www.linkedin.com/jobs/view/4360783280")</f>
        <v/>
      </c>
      <c r="F143" t="inlineStr"/>
      <c r="G143" t="inlineStr">
        <is>
          <t>Dallas, TX</t>
        </is>
      </c>
      <c r="H143" t="inlineStr"/>
      <c r="I143" t="inlineStr">
        <is>
          <t>**Title\- Data Platform Engineer: Cloud Ops \+ Data Ops experience** 
**Location: Dallas, TX (Remote\+ Travel is an option for Non\-local candidates)** 
**Hire Type: Full time** 
 As a
 **Data Platform Engineer** 
 , you will lead the design, development, and optimization of our large\-scale, cloud\-native data platform. You will architect and build robust ETL/ELT pipelines using PySpark and Databricks, leveraging Delta Lake, Unity Catalog, and Delta Live Tables. You will own DevOps automation through GitHub Actions and ensure fast, reliable deployments of Databricks assets. You will also manage the AWS infrastructure supporting the platform—focusing on secure, scalable, and high\-performing environments. This role requires deep expertise in distributed data processing, Databricks engineering, CI/CD automation, and cloud infrastructure.
**Key Areas of Ownership:** 
* Build and maintain high\-scale ETL/ELT pipelines across diverse data sources
* Implement and optimize Databricks workflows using PySpark, Python, DLT, and Unity Catalog
* Configure and manage AWS environments including VPCs, IAM, S3, and secure connectivity
* Establish CI/CD pipelines using GitHub Actions for automated deployment of Databricks notebooks, jobs, and pipelines
* Drive data quality via automated testing frameworks (unit, integration, performance)
* Optimize cluster performance and cost efficiency
* Lead best practices in Medallion Architecture, ACID data principles, and high\-performance SQL
* Create clear technical documentation, architecture diagrams, and design specifications
**What you’ll bring** 
**Required Qualifications** 
* **8\+ years** 
 of experience building scalable Data Engineering platforms and production\-grade pipelines
* **3\+ years of hands\-on Databricks development** 
 , including expertise in:
* Delta Lake (ACID, time travel, optimization)
* Unity Catalog (security, governance, metadata)
* Delta Live Tables (DLT)
* Workspaces, Repos, Jobs, and Databricks SQL
* **3\+ years of AWS experience** 
 , including:
* VPC, Subnets, Endpoints, Routing
* IAM roles, policies, cross\-account access
* S3\-based data lake implementation
* **Expert programming skills in Python** 
 (4\+ years)
* **Deep hands\-on experience with PySpark** 
 and advanced SQL
* **Proven CI/CD experience** 
 using GitHub Actions or similar tools
* Strong understanding of ETL/ELT, Data Lake, Data Warehouse, and distributed computing concepts
* Agile (Scrum) experience and Git proficiency
**Preferred Qualifications** 
* Experience with AWS data services such as Glue, Athena, Redshift, RDS, DynamoDB
* Knowledge of real\-time streaming (Kafka, Spark Structured Streaming)
* Experience building ML feature pipelines
* Background in performance tuning and capacity planning for large Spark clusters</t>
        </is>
      </c>
    </row>
    <row r="144">
      <c r="A144" t="inlineStr">
        <is>
          <t>li-4363843009</t>
        </is>
      </c>
      <c r="B144" t="inlineStr">
        <is>
          <t>Data Engineer</t>
        </is>
      </c>
      <c r="C144" t="inlineStr">
        <is>
          <t>Harnham</t>
        </is>
      </c>
      <c r="D144" t="inlineStr">
        <is>
          <t>linkedin</t>
        </is>
      </c>
      <c r="E144">
        <f>HYPERLINK("https://www.linkedin.com/jobs/view/4363843009", "https://www.linkedin.com/jobs/view/4363843009")</f>
        <v/>
      </c>
      <c r="F144" t="inlineStr"/>
      <c r="G144" t="inlineStr"/>
      <c r="H144" t="inlineStr"/>
      <c r="I144" t="inlineStr">
        <is>
          <t>**LEAD DATA ENGINEER** 
**$180,000 \- $200,000 BASE SALARY \+ EQUITY \+ BENEFITS** 
**FULLY REMOTE (US ONLY)** 
**COMPANY OVERVIEW** 
 A fast\-growing technology company building a modern data platform for mid\-sized manufacturing and services businesses. The platform gives finance leaders clear visibility into revenue, costs, and operational performance by unifying complex financial and transactional data into a single, intelligent system.
**THE ROLE** 
 This is a hands\-on Lead Data Engineer role owning data engineering end\-to\-end. You will build and scale the core data pipelines that power the company’s platform, ensuring data is accurate, reliable, and production\-ready. The role is well\-suited for someone who enjoys building from scratch and taking accountability for data quality and scalability.
**ROLE RESPONSIBILITIES** 
* Own data engineering across the platform, from ingestion through transformation and delivery
* Design, build, and maintain scalable data pipelines using Python, Spark, SQL, and modern cloud tools
* Ensure high standards of data quality, testing, and QA, continuously improving reliability
* Partner with product and engineering teams to support analytics, reporting, and customer\-facing use cases
* Optimize pipelines for performance, scalability, and maintainability
* Own projects end\-to\-end, from design and implementation through long\-term support
* Help shape data architecture and best practices as the engineering organization grows
**SKILLS \&amp; EXPERIENCE** 
* 5–7 years of hands\-on data engineering experience building and owning production pipelines end\-to\-end
* Strong Python and SQL skills; Spark and Databricks experience a plus
* Deep understanding of data quality, testing, and operational excellence
* Experience in fast\-paced startups or growth\-stage companies, comfortable taking ownership
* Familiarity with modern cloud data platforms and distributed processing tools
**BENEFITS** 
* **$180,000 \- $200,000 base salary \+ equity**
* Fully remote role within the United States
* High\-impact position with significant ownership and autonomy
* Opportunity to help build and define the data engineering function from the ground up
* Well\-funded company with strong growth trajectory</t>
        </is>
      </c>
    </row>
    <row r="145">
      <c r="A145" t="inlineStr">
        <is>
          <t>li-4359257268</t>
        </is>
      </c>
      <c r="B145" t="inlineStr">
        <is>
          <t>Data/Analytics Engineer</t>
        </is>
      </c>
      <c r="C145" t="inlineStr">
        <is>
          <t>Braintrust</t>
        </is>
      </c>
      <c r="D145" t="inlineStr">
        <is>
          <t>linkedin</t>
        </is>
      </c>
      <c r="E145">
        <f>HYPERLINK("https://www.linkedin.com/jobs/view/4359257268", "https://www.linkedin.com/jobs/view/4359257268")</f>
        <v/>
      </c>
      <c r="F145">
        <f>HYPERLINK("https://jobs.ashbyhq.com/Braintrust/ac8b3b7d-22eb-4688-8042-bcf006eeafc5/application?utm_source=dMzLN60BjG&amp;src=Linkedin&amp;urlHash=RxQb", "https://jobs.ashbyhq.com/Braintrust/ac8b3b7d-22eb-4688-8042-bcf006eeafc5/application?utm_source=dMzLN60BjG&amp;src=Linkedin&amp;urlHash=RxQb")</f>
        <v/>
      </c>
      <c r="G145" t="inlineStr">
        <is>
          <t>San Francisco, CA</t>
        </is>
      </c>
      <c r="H145" t="inlineStr"/>
      <c r="I145" t="inlineStr">
        <is>
          <t>**About The Company**
 Braintrust is the AI observability platform. By connecting evals and observability in one workflow, Braintrust gives builders the visibility to understand how AI behaves in production and the tools to improve it.
 Teams at Notion, Stripe, Zapier, Vercel, and Ramp use Braintrust to compare models, test prompts, and catch regressions — turning production data into better AI with every release.
**About The Role**
 We're looking for a highly resourceful and hands\-on data person to own our data infrastructure and data pipeline. This person will have deep technical expertise in data engineering and the agency to tackle challenges across the entire data stack. If you thrive on solving problems, learning new technologies, and getting things done without waiting for permission, this role is for you.
 What you'll do
* Build and maintain robust data pipelines that power our analytics and business operations
* Own our Snowflake and dbt infrastructure—manage data warehouse architecture, optimize performance, and maintain clean, well\-documented models
* Set up and troubleshoot data connectors across various sources and systems
* Deliver quick analytics and dashboards to answer business questions
* Unblock yourself and others through collaboration, communication, or getting hands dirty with code
* Experiment with new tools and technologies, even if you haven't used them before
 What we're looking for
* Strong proof that you can do data engineering very well—we care about what you've built, not just years of experience
* Deep understanding of Snowflake, dbt management and various data connectors
* Not afraid to tackle data connector setup, quick analytics, dashboards, and other tasks across the data stack
* Extremely high agency—you identify problems, propose solutions, and execute without waiting to be told what to do
* Able to unblock yourself through communication and collaboration with others or by getting hands dirty
* Not afraid to try new things, even if it's something you've never done before
* Comfortable with ambiguity and figuring things out as you go
 Benefits include
* Medical, dental, and vision insurance
* Daily lunch, snacks, and beverages
* Flexible time off
* Competitive salary and equity
* AI Stipend
 Equal opportunity
 Braintrust is an equal opportunity employer. All applicants will be considered for employment without attention to race, color, religion, sex, sexual orientation, gender identity, national origin, veteran or disability status.</t>
        </is>
      </c>
    </row>
    <row r="146">
      <c r="A146" t="inlineStr">
        <is>
          <t>li-4359227883</t>
        </is>
      </c>
      <c r="B146" t="inlineStr">
        <is>
          <t>Data Engineer</t>
        </is>
      </c>
      <c r="C146" t="inlineStr">
        <is>
          <t>Booz Allen Hamilton</t>
        </is>
      </c>
      <c r="D146" t="inlineStr">
        <is>
          <t>linkedin</t>
        </is>
      </c>
      <c r="E146">
        <f>HYPERLINK("https://www.linkedin.com/jobs/view/4359227883", "https://www.linkedin.com/jobs/view/4359227883")</f>
        <v/>
      </c>
      <c r="F146" t="inlineStr"/>
      <c r="G146" t="inlineStr">
        <is>
          <t>Washington, DC</t>
        </is>
      </c>
      <c r="H146" t="inlineStr"/>
      <c r="I146" t="inlineStr">
        <is>
          <t>**Job Number: R0232358**
 Data Engineer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professional like you to help our clients find answers in their data to impact important missions—from fraud detection to cancer research to national intelligence.
 As a Data Engineer at Booz Allen, you’ll use your expertise to help build advanced technology solutions and lead data engineering activities on some of the most mission\-driven projects in the industry. You’ll guide data engineering activities by overseeing the development and deployment of pipelines and platforms that organize and make disparate data meaningful.
 Here, you’ll mentor a multi\-disciplinary team of analysts, data engineers, developers, and data consumers in a fast\-paced, agile environment. You’ll use your expertise in analytical exploration and data examination while you oversee the assessment, design, building, and maintenance of scalable platforms for your clients.
 Work with us to use data for good.
 Join us. The world can’t wait.
**You Have:**
* 2\+ years of experience in data engineering, including architecture and modeling
* 2\+ years of experience designing data pipelines with Python for retrieving, parsing, and processing structured and unstructured data
* 2\+ years of experience developing scalable ETL or ELT workflows for reporting and analytics
* Experience with a cloud platform such as AWS, Microsoft Azure, or Google Cloud
* Experience with distributed data or computing tools, including Spark, Databricks, Hadoop, Hive, AWS EMR, or Kafka
* Experience with Operational Data Stores (ODS) in database administration, including tuning, indexing, and access controls
* Experience with AWS Glue and AWS EMR
* Knowledge of medallion architecture for structuring data lakes
* Ability to obtain and maintain a Public Trust or Suitability/Fitness determination based on client requirements
* Bachelor’s degree
**Nice If You Have:** 
* 2\+ years of experience with UNIX or Linux, including basic commands and Shell scripting
* 2\+ years of experience with Agile engineering practices
* 2\+ years of experience with NoSQL implementation, including MongoDB or Cassandra
* 2\+ years of experience with data warehousing, including AWS Redshift, MySQL, MSSQL, Oracle, PostgreSQL, or Snowflake
* Experience with modernizing financial systems
* Experience supporting a multi\-cloud environment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47">
      <c r="A147" t="inlineStr">
        <is>
          <t>li-4360103784</t>
        </is>
      </c>
      <c r="B147" t="inlineStr">
        <is>
          <t>Data Engineer Manager</t>
        </is>
      </c>
      <c r="C147" t="inlineStr">
        <is>
          <t>The University of Texas at Austin</t>
        </is>
      </c>
      <c r="D147" t="inlineStr">
        <is>
          <t>linkedin</t>
        </is>
      </c>
      <c r="E147">
        <f>HYPERLINK("https://www.linkedin.com/jobs/view/4360103784", "https://www.linkedin.com/jobs/view/4360103784")</f>
        <v/>
      </c>
      <c r="F147">
        <f>HYPERLINK("https://utaustin.wd1.myworkdayjobs.com/UTstaff/job/AUSTIN-TX/Data-Engineer-Manager_R_00042630/apply?source=LinkedIn&amp;urlHash=r8g1", "https://utaustin.wd1.myworkdayjobs.com/UTstaff/job/AUSTIN-TX/Data-Engineer-Manager_R_00042630/apply?source=LinkedIn&amp;urlHash=r8g1")</f>
        <v/>
      </c>
      <c r="G147" t="inlineStr">
        <is>
          <t>Austin, TX</t>
        </is>
      </c>
      <c r="H147" t="inlineStr"/>
      <c r="I147" t="inlineStr">
        <is>
          <t>**Job Posting Title:**
 Data Engineer Manager
- 
**Hiring Department:**
 Dell Medical School
- 
**Position Open To:**
 All Applicants
- 
**Weekly Scheduled Hours:**
 40
- 
**FLSA Status:**
 Exempt
- 
**Earliest Start Date:**
 Immediately
- 
**Position Duration:**
 Expected to Continue
- 
**Location:**
 AUSTIN, TX
- 
**Job Details:**
 Purpose
 The Data Engineer Manager leads a team of data engineers responsible for designing, building, and maintaining scalable data infrastructure and pipelines that support clinical, operational, and financial analytics across the healthcare system. This role collaborates closely with data scientists, software engineers, business intelligence analysts, and clinical informatics teams to ensure data is accessible, accurate, and secure. Reporting to the Director of Data Systems and Analytics, the position plays a critical role in enabling data\-driven decision\-making and innovation in a complex healthcare environment.
**Responsibilities**
 Data Architecture \&amp; Pipeline Management
* Designs and oversees scalable data pipelines for structured and unstructured data across clinical, operational, and financial systems.
* Manages ETL/ELT processes using tools such as Apache Spark, Kafka, Airflow, and other modern orchestration platforms.
* Ensures data integrity, availability, and performance across cloud and on\-premise platforms.
* Implements and maintains data lake and warehouse solutions (e.g., Snowflake, BigQuery, Redshift).
* Collaborates with infrastructure and application teams to optimize data flow and storage.
 Team Leadership \&amp; Development
* Recruits, mentors, and manages a team of data engineers, fostering a high\-performance and inclusive team culture.
* Conducts performance evaluations, sets development goals, and supports career progression.
* Promotes collaboration, innovation, and continuous learning through team meetings, code reviews, and knowledge\-sharing sessions.
* Aligns team goals with organizational priorities and strategic initiatives.
* Ensures adherence to engineering best practices and coding standards.
 Stakeholder Collaboration \&amp; Requirements Gathering
* Works closely with clinical, operational, and financial stakeholders to define data needs and translate business requirements into technical specifications.
* Facilitates cross\-functional communication between IT, analytics, clinical informatics, and business intelligence teams.
* Leads discovery sessions and data mapping exercises to ensure alignment between data engineering deliverables and business objectives.
* Supports the development of dashboards, reports, and predictive models by enabling access to clean, well\-structured data.
 Data Governance \&amp; Compliance
* Ensures adherence to HIPAA, HITECH, and internal data governance policies, including data privacy and security protocols.
* Implements data security measures, access controls, and encryption standards across all data platforms.
* Supports audit readiness and regulatory reporting by maintaining accurate metadata and lineage documentation.
* Collaborates with data governance and compliance teams to establish and enforce data quality standards.
 Strategic Planning \&amp; Innovation
* Contributes to the development and execution of the enterprise data strategy and roadmap.
* Evaluates emerging technologies and recommends adoption to improve scalability, performance, and cost\-efficiency.
* Aligns data engineering initiatives with strategic goals of the healthcare system, including population health, value\-based care, and operational excellence.
* Participates in long\-term planning for data infrastructure modernization and cloud migration.
 Budget \&amp; Resource Management
* Manages the data engineering team’s operational budget, including software licenses, cloud services, training, and professional development.
* Tracks resource utilization and optimizes operational efficiency through capacity planning and workload balancing.
* Supports vendor selection, contract negotiations, and license renewals for data platforms and tools.
* Provides input into capital planning and technology investment decisions.
 Marginal or Periodic Functions:
* Participates in enterprise\-wide data governance committees.
* Presents at internal and external conferences or forums.
* Assists in grant writing or research data infrastructure proposals.
* Conducts periodic system performance audits.
* Adheres to internal controls and reporting structure.
* Performs related duties as required.
**Knowledge/Skills/Abilities**
 Manages Complexity
* Breaks down ambiguous problems into manageable components.
* Uses multiple data sources to inform decisions.
* Designs scalable solutions for evolving data needs.
 Tech Savvy
* Evaluates and integrates new tools (e.g., cloud platforms).
* Encourages experimentation and innovation.
* Maintains fluency in modern data engineering stacks.
 Collaborates
* Facilitates cross\-functional meetings.
* Resolves conflicts constructively.
* Shares credit and fosters team cohesion.
 Plans and Aligns
* Develops clear project plans and milestones.
* Communicates expectations effectively.
* Adjusts plans based on feedback and performance.
 Ensures Accountability
* Tracks progress and outcomes.
* Provides timely feedback.
* Establishes clear roles and responsibilities.
 Strategic Mindset
* Anticipates future data needs.
* Aligns technical decisions with business strategy.
* Identifies long\-term opportunities for data innovation.
**Required Qualifications**
 Bachelor’s degree in Computer Science, Information Systems, or related field. 10 years of experience in data engineering or data architecture including designing data architectures, developing data pipelines, implementing data quality, and performance monitoring. 2 years of experience in a technical leadership or team lead role with a track record of delivering complex data projects and mentoring junior engineers in a fast\-paced department. Experience in healthcare data systems (e.g., EHR, claims, HL7, FHIR).
 *Relevant education and experience may be substituted as appropriate.*
**Preferred Qualifications**
 Master’s degree in Data Science, Engineering, or Healthcare Informatics. 7\+ years of progressive experience in data engineering. Experience with cloud platforms (e.g., GCP, AWS, Azure).
 Salary Range
 $135,000\+ depending on qualifications
 Working Conditions
 Standard office conditions.
 Required Materials
* Resume/CV
* 3 work references with their contact information; at least one reference should be from a supervisor
*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**Retirement Plan Eligibility:**
 The retirement plan for this position is Teacher Retirement System of Texas (TRS), subject to the position being at least 20 hours per week and at least 135 days in length.
**Background Checks:**
 A criminal history background check will be required for finalist(s) under consideration for this position.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university’s company ID number for purposes of E\-Verify is 854197\. For more information about E\-Verify, please see the following:
* E\-Verify Poster (English and Spanish) \[PDF]
* Right to Work Poster (English) \[PDF]
*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most recent report here or obtain a copy at University Compliance Services, 1616 Guadalupe Street, UTA 2\.206, Austin, Texas 78701\.</t>
        </is>
      </c>
    </row>
    <row r="148">
      <c r="A148" t="inlineStr">
        <is>
          <t>li-4359217555</t>
        </is>
      </c>
      <c r="B148" t="inlineStr">
        <is>
          <t>Data/Analytics Engineer</t>
        </is>
      </c>
      <c r="C148" t="inlineStr">
        <is>
          <t>Braintrust</t>
        </is>
      </c>
      <c r="D148" t="inlineStr">
        <is>
          <t>linkedin</t>
        </is>
      </c>
      <c r="E148">
        <f>HYPERLINK("https://www.linkedin.com/jobs/view/4359217555", "https://www.linkedin.com/jobs/view/4359217555")</f>
        <v/>
      </c>
      <c r="F148" t="inlineStr"/>
      <c r="G148" t="inlineStr">
        <is>
          <t>Seattle, WA</t>
        </is>
      </c>
      <c r="H148" t="inlineStr"/>
      <c r="I148" t="inlineStr">
        <is>
          <t>**About The Company**
 Braintrust is the AI observability platform. By connecting evals and observability in one workflow, Braintrust gives builders the visibility to understand how AI behaves in production and the tools to improve it.
 Teams at Notion, Stripe, Zapier, Vercel, and Ramp use Braintrust to compare models, test prompts, and catch regressions — turning production data into better AI with every release.
**About The Role**
 We're looking for a highly resourceful and hands\-on data person to own our data infrastructure and data pipeline. This person will have deep technical expertise in data engineering and the agency to tackle challenges across the entire data stack. If you thrive on solving problems, learning new technologies, and getting things done without waiting for permission, this role is for you.
 What you'll do
* Build and maintain robust data pipelines that power our analytics and business operations
* Own our Snowflake and dbt infrastructure—manage data warehouse architecture, optimize performance, and maintain clean, well\-documented models
* Set up and troubleshoot data connectors across various sources and systems
* Deliver quick analytics and dashboards to answer business questions
* Unblock yourself and others through collaboration, communication, or getting hands dirty with code
* Experiment with new tools and technologies, even if you haven't used them before
 What we're looking for
* Strong proof that you can do data engineering very well—we care about what you've built, not just years of experience
* Deep understanding of Snowflake, dbt management and various data connectors
* Not afraid to tackle data connector setup, quick analytics, dashboards, and other tasks across the data stack
* Extremely high agency—you identify problems, propose solutions, and execute without waiting to be told what to do
* Able to unblock yourself through communication and collaboration with others or by getting hands dirty
* Not afraid to try new things, even if it's something you've never done before
* Comfortable with ambiguity and figuring things out as you go
 Benefits include
* Medical, dental, and vision insurance
* Daily lunch, snacks, and beverages
* Flexible time off
* Competitive salary and equity
* AI Stipend
 Equal opportunity
 Braintrust is an equal opportunity employer. All applicants will be considered for employment without attention to race, color, religion, sex, sexual orientation, gender identity, national origin, veteran or disability status.</t>
        </is>
      </c>
    </row>
    <row r="149">
      <c r="A149" t="inlineStr">
        <is>
          <t>li-4359277310</t>
        </is>
      </c>
      <c r="B149" t="inlineStr">
        <is>
          <t>Data/Analytics Engineer</t>
        </is>
      </c>
      <c r="C149" t="inlineStr">
        <is>
          <t>Braintrust</t>
        </is>
      </c>
      <c r="D149" t="inlineStr">
        <is>
          <t>linkedin</t>
        </is>
      </c>
      <c r="E149">
        <f>HYPERLINK("https://www.linkedin.com/jobs/view/4359277310", "https://www.linkedin.com/jobs/view/4359277310")</f>
        <v/>
      </c>
      <c r="F149">
        <f>HYPERLINK("https://jobs.ashbyhq.com/Braintrust/ac8b3b7d-22eb-4688-8042-bcf006eeafc5/application?utm_source=dMzLN60BjG&amp;src=Linkedin&amp;urlHash=RxQb", "https://jobs.ashbyhq.com/Braintrust/ac8b3b7d-22eb-4688-8042-bcf006eeafc5/application?utm_source=dMzLN60BjG&amp;src=Linkedin&amp;urlHash=RxQb")</f>
        <v/>
      </c>
      <c r="G149" t="inlineStr"/>
      <c r="H149" t="inlineStr"/>
      <c r="I149" t="inlineStr">
        <is>
          <t>**About The Company**
 Braintrust is the AI observability platform. By connecting evals and observability in one workflow, Braintrust gives builders the visibility to understand how AI behaves in production and the tools to improve it.
 Teams at Notion, Stripe, Zapier, Vercel, and Ramp use Braintrust to compare models, test prompts, and catch regressions — turning production data into better AI with every release.
**About The Role**
 We're looking for a highly resourceful and hands\-on data person to own our data infrastructure and data pipeline. This person will have deep technical expertise in data engineering and the agency to tackle challenges across the entire data stack. If you thrive on solving problems, learning new technologies, and getting things done without waiting for permission, this role is for you.
 What you'll do
* Build and maintain robust data pipelines that power our analytics and business operations
* Own our Snowflake and dbt infrastructure—manage data warehouse architecture, optimize performance, and maintain clean, well\-documented models
* Set up and troubleshoot data connectors across various sources and systems
* Deliver quick analytics and dashboards to answer business questions
* Unblock yourself and others through collaboration, communication, or getting hands dirty with code
* Experiment with new tools and technologies, even if you haven't used them before
 What we're looking for
* Strong proof that you can do data engineering very well—we care about what you've built, not just years of experience
* Deep understanding of Snowflake, dbt management and various data connectors
* Not afraid to tackle data connector setup, quick analytics, dashboards, and other tasks across the data stack
* Extremely high agency—you identify problems, propose solutions, and execute without waiting to be told what to do
* Able to unblock yourself through communication and collaboration with others or by getting hands dirty
* Not afraid to try new things, even if it's something you've never done before
* Comfortable with ambiguity and figuring things out as you go
 Benefits include
* Medical, dental, and vision insurance
* Daily lunch, snacks, and beverages
* Flexible time off
* Competitive salary and equity
* AI Stipend
 Equal opportunity
 Braintrust is an equal opportunity employer. All applicants will be considered for employment without attention to race, color, religion, sex, sexual orientation, gender identity, national origin, veteran or disability status.</t>
        </is>
      </c>
    </row>
    <row r="150">
      <c r="A150" t="inlineStr">
        <is>
          <t>li-4363844140</t>
        </is>
      </c>
      <c r="B150" t="inlineStr">
        <is>
          <t>Azure Data Engineer</t>
        </is>
      </c>
      <c r="C150" t="inlineStr">
        <is>
          <t>Jobs via Dice</t>
        </is>
      </c>
      <c r="D150" t="inlineStr">
        <is>
          <t>linkedin</t>
        </is>
      </c>
      <c r="E150">
        <f>HYPERLINK("https://www.linkedin.com/jobs/view/4363844140", "https://www.linkedin.com/jobs/view/4363844140")</f>
        <v/>
      </c>
      <c r="F150">
        <f>HYPERLINK("https://click.appcast.io/t/MK7zochhTXb_HrSXkqwUh8syrVY8W_E_rniDme0wvOc=&amp;urlHash=gzEf", "https://click.appcast.io/t/MK7zochhTXb_HrSXkqwUh8syrVY8W_E_rniDme0wvOc=&amp;urlHash=gzEf")</f>
        <v/>
      </c>
      <c r="G150" t="inlineStr"/>
      <c r="H150" t="inlineStr"/>
      <c r="I150" t="inlineStr">
        <is>
          <t>Dice is the leading career destination for tech experts at every stage of their careers. Our client, MS INFO TECH LLC, is seeking the following. Apply via Dice today!
 Dear Consultants,
 Please find the requirements below \&amp; help me with suitable profiles.
 Location: Remote
 Duration: Long Term
 Requirement:
 Azure Databricks
 Pyspark
 SQL
 ADF</t>
        </is>
      </c>
    </row>
    <row r="151">
      <c r="A151" t="inlineStr">
        <is>
          <t>li-4364034310</t>
        </is>
      </c>
      <c r="B151" t="inlineStr">
        <is>
          <t>Data Engineer</t>
        </is>
      </c>
      <c r="C151" t="inlineStr">
        <is>
          <t>Jobs via Dice</t>
        </is>
      </c>
      <c r="D151" t="inlineStr">
        <is>
          <t>linkedin</t>
        </is>
      </c>
      <c r="E151">
        <f>HYPERLINK("https://www.linkedin.com/jobs/view/4364034310", "https://www.linkedin.com/jobs/view/4364034310")</f>
        <v/>
      </c>
      <c r="F151" t="inlineStr"/>
      <c r="G151" t="inlineStr">
        <is>
          <t>Houston, TX</t>
        </is>
      </c>
      <c r="H151" t="inlineStr"/>
      <c r="I151" t="inlineStr">
        <is>
          <t>Dice is the leading career destination for tech experts at every stage of their careers. Our client, Kanshe Infotech, is seeking the following. Apply via Dice today!
**Job Title:** 
 Data Engineer
**Location: Houston, TX
**Duration:** 
 Long Term**
**Requirements:**
* 5\+ years of experience in data engineering
* Strong SQL \&amp; NoSQL experience: Oracle, SQL Server, PostgreSQL, DB2, ElasticSearch, MongoDB
* Advanced Python development skills
* Experience implementing business logic using SQL procedures and NoSQL utilities
* Hands\-on experience with FastAPI microservices
* Exposure to LLM models, coding agents, and testing agents</t>
        </is>
      </c>
    </row>
    <row r="152">
      <c r="A152" t="inlineStr">
        <is>
          <t>li-4364034324</t>
        </is>
      </c>
      <c r="B152" t="inlineStr">
        <is>
          <t>Databricks Data Engineer (Full time )</t>
        </is>
      </c>
      <c r="C152" t="inlineStr">
        <is>
          <t>Jobs via Dice</t>
        </is>
      </c>
      <c r="D152" t="inlineStr">
        <is>
          <t>linkedin</t>
        </is>
      </c>
      <c r="E152">
        <f>HYPERLINK("https://www.linkedin.com/jobs/view/4364034324", "https://www.linkedin.com/jobs/view/4364034324")</f>
        <v/>
      </c>
      <c r="F152">
        <f>HYPERLINK("https://click.appcast.io/t/b6EZ0zd8Zg4EXvsq-PI-q61i22eeFPtS3X9gEKHJ1Yo=&amp;urlHash=LJuE", "https://click.appcast.io/t/b6EZ0zd8Zg4EXvsq-PI-q61i22eeFPtS3X9gEKHJ1Yo=&amp;urlHash=LJuE")</f>
        <v/>
      </c>
      <c r="G152" t="inlineStr">
        <is>
          <t>Tewksbury, NJ</t>
        </is>
      </c>
      <c r="H152" t="inlineStr"/>
      <c r="I152" t="inlineStr">
        <is>
          <t>Dice is the leading career destination for tech experts at every stage of their careers. Our client, ProCorp Systems Inc., is seeking the following. Apply via Dice today!
**Databricks Data Engineer**
**No sponsorship provided**
**Responsibilities:**
* Assist with leading the team's transition to the Databricks platform and utilize the newer features of Delta Live Tables, Workflows etc.
* Design and develop data pipelines that extract data from Oracle, load it into the data lake, transform it into the desired format, and load it into Databricks data lakehouse.
* Optimize data pipelines and data processing workflows for performance, scalability, and efficiency.
* Implement data quality checks and validations within data pipelines to ensure the accuracy, consistency, and completeness of data.
* Help create and maintain documentation for data mappings, data definitions, architecture and data flow diagrams.
* Build proof\-of\-concepts to determine viability of possible new processes and technologies.
* Deploy and manage code in non\-prod and prod environments.
* Investigate and troubleshoot data related issues and fix or provide solutions to fix defects.
* Identify and resolve performance bottlenecks, which could include suggesting ways to optimize and performance tune databases and queries to enhance query performance.
**Requirements:**
* Bachelor's Degree in Computer Science, Data Science, Software Engineering, Information Systems, or related quantitative field.
* 4\+ years of experience working as a Data Engineer, ETL Engineer, Data/ETL Architect or similar roles.
* Current/active Databricks Data Engineer/Analyst certification a BIG plus.
* 3\+ years working with Databricks with knowledge and expertise of data structures, data storage and change data capture gained from prior production implementations of data pipelines, optimizations, and best practices.
* Solid continuous experience in Python.
* 3\+ years of experience in Kimball dimensional modeling (star\-schema comprising of facts, type1 and type2 dimensions, aggregates, etc.) with solid understanding of ELT/ETL.
* 3\+ years of solid experience writing SQL and PL/SQL code.
* 2\+ years of experience with Airflow.
* 3\+ years of experience working with relational databases (Oracle preferred).
* 2\+ years of experience working with NoSQL databases: MongoDB, Cosmos DB, DocumentDB or similar.
* 2\+ years of cloud experience (Azure preferred).
* Experience with CI/CD utilizing git/Azure DevOps.
* Experience with storage formats including Parquet/Arrow/Avro.</t>
        </is>
      </c>
    </row>
    <row r="153">
      <c r="A153" t="inlineStr">
        <is>
          <t>li-4359267390</t>
        </is>
      </c>
      <c r="B153" t="inlineStr">
        <is>
          <t>Talent Acquisition Analytics Engineer</t>
        </is>
      </c>
      <c r="C153" t="inlineStr">
        <is>
          <t>Aurora Health Care</t>
        </is>
      </c>
      <c r="D153" t="inlineStr">
        <is>
          <t>linkedin</t>
        </is>
      </c>
      <c r="E153">
        <f>HYPERLINK("https://www.linkedin.com/jobs/view/4359267390", "https://www.linkedin.com/jobs/view/4359267390")</f>
        <v/>
      </c>
      <c r="F153">
        <f>HYPERLINK("https://AdvocateAuroraHealth.contacthr.com/150675365?source=LinkedIn&amp;urlHash=vdIS", "https://AdvocateAuroraHealth.contacthr.com/150675365?source=LinkedIn&amp;urlHash=vdIS")</f>
        <v/>
      </c>
      <c r="G153" t="inlineStr">
        <is>
          <t>Allenton, WI</t>
        </is>
      </c>
      <c r="H153" t="inlineStr"/>
      <c r="I153" t="inlineStr">
        <is>
          <t>**About The Team**
 The
 **Talent Insights \&amp; Competitor Intelligence** 
 team is a newly established function within Advocate’s Talent Acquisition organization. Our mission is to deliver actionable analytics, market trends, and competitor insights that empower strategic hiring decisions—helping Advocate attract, engage, and retain top talent.
**About The Role**
 We are seeking an
 **Analytics Engineer** 
 to design, develop, and maintain scalable data solutions that power talent reporting and analytics. This role is critical in transforming raw data into clean, analytics\-ready models that enable self\-service dashboards, scorecards, and insights for business leaders.
 The ideal candidate is highly analytical, detail\-oriented, and passionate about building robust data pipelines and models that drive decision\-making.
**Key Responsibilities**
* Design, develop, and maintain data transformations that convert raw data into analytics\-ready tables for dashboards, scorecards, and self\-service tools.
* Build and optimize data models to support complex business requirements and scalable analytics solutions.
* Collaborate with technology teams to integrate data from multiple sources and ensure seamless data flow.
* Partner with consultants, analysts, and business stakeholders to understand data needs and serve as the data lead for projects.
* Implement automation and quality checks to ensure data integrity and reliability.
* Continuously improve processes and recommend best practices for data engineering and analytics.
**Minimum Qualifications**
* Education: Bachelor’s degree in Computer Science, Information Technology, Data Engineering, or a related field (or equivalent experience).
* Experience: 3–5 years of experience in data warehousing, modeling, and analytics, including hands\-on experience with scalable ELT solutions.
* Skills:
+ Strong proficiency in SQL and data modeling.
+ Experience with BI tools such as Tableau or Power BI.
+ Ability to work collaboratively and communicate effectively with technical and non\-technical stakeholders.
**Preferred Qualifications**
* Programming experience in Python, Java, or R.
* Familiarity with cloud data platforms (e.g., Snowflake, AWS, GCP).
* Strong analytical and problem\-solving skills with the ability to translate data into actionable insights.
* Excellent communication and stakeholder management skills.
**Why Join Us?**
* Be part of a new, innovative team shaping the future of talent analytics at Advocate.
* Work on high\-impact projects that influence strategic hiring decisions.
* Collaborate with cross\-functional teams in a dynamic and growth\-oriented environment.</t>
        </is>
      </c>
    </row>
    <row r="154">
      <c r="A154" t="inlineStr">
        <is>
          <t>li-4363894185</t>
        </is>
      </c>
      <c r="B154" t="inlineStr">
        <is>
          <t>Data Engineer</t>
        </is>
      </c>
      <c r="C154" t="inlineStr">
        <is>
          <t>Jobs via Dice</t>
        </is>
      </c>
      <c r="D154" t="inlineStr">
        <is>
          <t>linkedin</t>
        </is>
      </c>
      <c r="E154">
        <f>HYPERLINK("https://www.linkedin.com/jobs/view/4363894185", "https://www.linkedin.com/jobs/view/4363894185")</f>
        <v/>
      </c>
      <c r="F154" t="inlineStr"/>
      <c r="G154" t="inlineStr">
        <is>
          <t>Columbia, MD</t>
        </is>
      </c>
      <c r="H154" t="inlineStr"/>
      <c r="I154" t="inlineStr">
        <is>
          <t>Dice is the leading career destination for tech experts at every stage of their careers. Our client, Pro Talent Crafter, is seeking the following. Apply via Dice today!
**Essential Job Responsibilities**
* Work with big data systems and complex structured and unstructured data sets.
* Support government data acquisition, analysis, and sharing efforts.
* Focus on software infrastructure for big data scaled ingestion, including understanding and ingesting new data sources, modifying existing data sources, implementing testing, establishing monitoring, and troubleshooting.
* Lead the department in achieving strategic goals, ensuring data integrity, and fostering a collaborative and innovative work environment.
**Minimum Qualifications**
* Security Clearance\-Current active TS/SCI eligible
* At least 14 years of experience in one of the following: Software development/engineering, data engineering, database engineering, etc. (\+4 additional years relevant experience can substitute for a BS degree)
* Experience with Unit and Integration testing.
* Fluency with data extraction, custom translation development, and loading including data prep and labeling to enable data analytics.
* Familiarity with various log formats such as JSON, XML, and others.
* Experience with data flow, management, and storage solutions (i.e. Kafka, NiFi, and AWS S3 and SQS solutions)
* Ability to decompose technical problems and troubleshoot both system and dataflow issues.
* Must be certified DoD IAT II or higher
* Willingness to do a programming challenge during the interview process.
* Experience with Zoom/Teams/Meet style team meetings
**Languages:**
* Java: Experience with Java, including unit and integration testing.
* Python: Experience with Python is desired.
* SQL: Familiarity with SQL schemas and statements.
**Tools and Technologies:**
* Data Flow Solutions: Experience with Kafka, NiFi, AWS S3, and SQS.
* Version Control and Build Tools: Proficiency with Maven and GitLab.
* Data Formats: Familiarity with JSON, XML, SQL, and compressed file formats.
* Configuration Files: Experience using YAML files for data model and schema configuration.
* Apache NiFi: Significant experience with NiFi administration and building/troubleshooting data flows.
* AWS S3: bucket administration.
* IDE: VSCode, Intellij / Pycharm, or other suitable
**Technical Expertise** 
**:**
* ETL creation and processing expertise.
* Experience with code debugging concepts
* Expertise in data modeling design, troubleshooting, and analysis from ingest to visualization.
* Conducted data model reviews covering data meaning, needs, storage, creation, ingest, and processing.
* Developed custom logic for data modification from various sources.
* Database and Software Admin \&amp; Troubleshooting: Experience with databases, ODBC drivers
* Linux OS (BASH), and basic server administration.
* Expert in data model analysis and troubleshooting issues.
* Analyzed and solved complex technical problems.
**Desired Skills:**
* Prior experience in cyber/network security operations.
* Familiarity with Agile environments.
* Good communication skills.
* Developed documentation and training in areas of expertise.
* Amazon S3, SQS/SNS Admin experience
* Apache Airflow Workloads via UI or CLI a plus
* Experience with Mage AI a plus
* Kubernetes, Docker</t>
        </is>
      </c>
    </row>
    <row r="155">
      <c r="A155" t="inlineStr">
        <is>
          <t>li-4359246230</t>
        </is>
      </c>
      <c r="B155" t="inlineStr">
        <is>
          <t>Senior Security Analytics Engineer, Global E-Commerce Security Platform</t>
        </is>
      </c>
      <c r="C155" t="inlineStr">
        <is>
          <t>TikTok</t>
        </is>
      </c>
      <c r="D155" t="inlineStr">
        <is>
          <t>linkedin</t>
        </is>
      </c>
      <c r="E155">
        <f>HYPERLINK("https://www.linkedin.com/jobs/view/4359246230", "https://www.linkedin.com/jobs/view/4359246230")</f>
        <v/>
      </c>
      <c r="F155" t="inlineStr"/>
      <c r="G155" t="inlineStr">
        <is>
          <t>Seattle, WA</t>
        </is>
      </c>
      <c r="H155" t="inlineStr"/>
      <c r="I155" t="inlineStr">
        <is>
          <t>**Responsibilities**
 About the team:
 Global E\-commerce is a content E\-commerce business with international short video product as the carrier. It is committed to becoming the first choice for users to discover and purchase good products with affordable prices. Global E\-commerce business team hopes to provide users with more tailored and efficient consumption experience, enabling merchants to receive reliable platform services in different scenarios such as live E\-commerce, short video content E\-commerce, so as to make more affordable and high\-quality products sell easily and a better life within reach.
 The Security Platform team is responsible for safeguarding the platform's security and creating a safe, trustworthy shopping and business environment for Global E\-commerce: allowing consumers to shop with confidence, sellers to operate with peace of mind, and influencers to focus on the enjoyment of bringing goods.
 In order to enhance collaboration and cross\-functional partnerships, among other things, at this time, our organization follows a work schedule that requires employees to work in the office 5 days a week, or as directed by their manager/department. We regularly review our work model, and the specific requirements may change at any time.
 Responsibilities:
 \- Responsible for relevant security incident investigation, data analysis, risk labeling, model building, and developing data\-driven security solutions to detect security threats and breaches, with the ability to implement and execute the solutions.
 \- Monitor and analyze emerging cyber threats and risks related to user accounts takeover, network traffic crawling, data leakage prevention, suspicious user behavior, etc.
 \- Responsible for emergency response to security incidents, and identify the root causes of issues and provide security solutions to mitigate the impact of cyber attacks within specific SLAs.
 \- Collaborate deeply with various business teams, product teams, and more technical and functional teams to design and deliver technical solutions addressing complex business security challenges.
 \- Perform real\-time data analysis and trending of security log data from various systems, apply advanced data analytics, statistical learning, and data mining techniques to strengthen security capabilities.
**Qualifications**
 Minimum Qualifications:
 \- Bachelor's degree or above in Computer Science, Information Security, Data Science, Business Analytics, or a related discipline.
 \- 2\+ years of experience in data analytics, with proficiency in SQL, Python, and relevant analytical tools/languages, be able to detect cyber threats and risks by data\-driven approaches.
 \- Excellent capabilities to investigate, identify, analyze hidden issues from real business risks and security incidents, and provide technical solutions addressing business risk challenges.
 \- Strong business judgment and ability to work independently in a fast\-paced, ambiguous environment, strong cross\-team communication skills to achieve results.
 Preferred Qualifications:
 \- Experienced in security risk mitigation, such as account security, data security, traffic security, or content safety strategy development.
 \- Experienced in E\-commerce and retail related business fields.
 \- Strong communication skills to bridge business and technical teams, with the ability to drive projects efficiently from risk detection through solution implementation; Proven resilience and stability.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$177688 \- $341734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56">
      <c r="A156" t="inlineStr">
        <is>
          <t>li-4359237883</t>
        </is>
      </c>
      <c r="B156" t="inlineStr">
        <is>
          <t>Data Platform Engineer</t>
        </is>
      </c>
      <c r="C156" t="inlineStr">
        <is>
          <t>Aurora</t>
        </is>
      </c>
      <c r="D156" t="inlineStr">
        <is>
          <t>linkedin</t>
        </is>
      </c>
      <c r="E156">
        <f>HYPERLINK("https://www.linkedin.com/jobs/view/4359237883", "https://www.linkedin.com/jobs/view/4359237883")</f>
        <v/>
      </c>
      <c r="F156" t="inlineStr"/>
      <c r="G156" t="inlineStr">
        <is>
          <t>Pittsburgh, PA</t>
        </is>
      </c>
      <c r="H156" t="inlineStr"/>
      <c r="I156"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hires talented people with diverse backgrounds who are ready to help build a transportation ecosystem that will make our roads safer, get crucial goods where they need to go, and make mobility more efficient and accessible for all.
 We’re searching for a software engineer to join Aurora’s Data Platform. The Data Platform Team is responsible for offloading, ingesting and scaling data through various pipelines, including autonomy sensor data, vehicle logs, sims, models, and training sets, along with their life cycle management. The ideal candidate will design and implement systems that efficiently work for both physical offloaders and cloud, and also be an effective liaison between onboard system to cloud system.
**In this role, you will**
* Contribute to the development of internal products and following best practices to simplify data retention.
* Work on tasks to improve the log data availability, discoverability and end to end lifecycle.
* Design efficient AV Log storage patterns that balance performance and affordability. Help drive the system efficiency by improving data hygiene across Aurora to deliver cost efficiency.
* Support software engineers across different teams and proactively working together with stakeholders on tasks to satisfy company OKR.
**Required Qualifications**
* BS/MS or PhD in Computer Science or a related field
* Minimum 1 year related experience
* Required programming skills: GoLang/Python
* General knowledge of backend software systems networking, load balancing, API gateways, system security, gRPC services.
* AWS infrastructure experience, including S3 and DynamoDB in a production commercial system
* Knowledge of database design, database management and database scalability.
**Desirable Qualifications**
* Proficiencies with coding in C\+\+
* Proficiencies with Linux system
* Experience with large scale distributed systems or microservice architectures
* Experience with DynamoDB / AWS Glue Catalog / AWS Athena
* A passion for writing robust, intuitive, high\-performance code, and being pragmatic about it
* Ability to navigate and work efficiently in large codebase
* Strong software development background demonstrated by industry experience in building platforms that serve AV development and commercialization.
 The base salary range for this position is $105,000 \- $157,000 per Year.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\#Entry\-Level
**Working at Aurora**
 At Aurora, we bring together extraordinarily talented and experienced people united by the strength of our values. We operate with integrity, set outrageous goals, and build a culture where we win together — all without any jerks.
 We believe in\-person work increases collaboration, empathy and our ability to lead effectively. As a result, we operate in a hybrid work environment where Aurorans are in office at least 3 days per week.
 Our Careers page provides insight into what it is like to work at Aurora, and you can find all the latest updates in our Newsroom.
**Our commitment to safety**
 At the core of everything we do is our commitment to safety. Building best\-in\-class self\-driving technology will take time, and we believe that each employee at Aurora has a role in contributing to safety, every step of the way. Aurora expects commitment to our safety policies from every employee, and seeks candidates who take an active responsibility, can contribute to building an atmosphere of trust, and invest in the organization’s long\-term success by prioritizing working safely, no matter what.
**Our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2026-01-17T03:07:55Z</dcterms:created>
  <dcterms:modified xsi:type="dcterms:W3CDTF">2026-01-17T03:07:55Z</dcterms:modified>
</cp:coreProperties>
</file>