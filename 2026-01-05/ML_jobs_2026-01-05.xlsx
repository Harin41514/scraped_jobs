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in-93a3d2a567d41ec2</t>
        </is>
      </c>
      <c r="B2" t="inlineStr">
        <is>
          <t>AI Engineer (+PHP back-end experience)</t>
        </is>
      </c>
      <c r="C2" t="inlineStr">
        <is>
          <t>Webxloo</t>
        </is>
      </c>
      <c r="D2" t="inlineStr">
        <is>
          <t>indeed</t>
        </is>
      </c>
      <c r="E2" t="inlineStr"/>
      <c r="F2" t="inlineStr"/>
      <c r="G2" t="inlineStr">
        <is>
          <t>Tampa, FL, US</t>
        </is>
      </c>
      <c r="H2" s="2" t="n">
        <v>46026</v>
      </c>
      <c r="I2" t="inlineStr">
        <is>
          <t>Posted 2026\-01\-05
We are looking for a **skilled AI Engineer** with experience in **PHP** back\-end development who can design and automate workflows to enhance our IT products. We require someone fluent in English, highly analytical, and experienced in building AI\-based automation tools.
**You will be responsible for:**
* Designing and implementing AI solutions to automate internal and external workflows
* Creating intelligent automation using, machine learning, and low\-code/no\-code tools like n8n, Zapier, or Power Automate
* Integrating AI features into platforms and enterprise systems
* Collaborating with cross\-functional teams including software engineers and product managers
* Continuously improving performance of automation systems and ensuring accuracy, security, and scalability
**Key Responsibilities:**
* Design, implement, and maintain AI\-driven automation workflows to optimize internal and external processes.
* Build intelligent automation using machine learning, LLMs, and low\-code/no\-code tools such as n8n, Zapier, or Power Automate.
* Integrate AI features into enterprise platforms and software products.
* Develop and maintain backend modules using PHP frameworks such as YII2, Laravel, or Symfony.
* Work with databases including MySQL/MariaDB, MongoDB, Redis, and ensure efficient data management.
* Implement clean, maintainable code following OOP principles, SOLID, DRY, KISS, YAGNI, and PSR standards.
* Collaborate with front\-end developers, QA, design, and support teams to deliver high\-quality features.
* Monitor, debug, and enhance existing codebases to ensure system reliability, performance, and security.
**Required Skills \&amp; Qualifications:**
* 1\+ year of experience in AI development, workflow automation, or backend PHP development.
* Solid experience with PHP frameworks (YII2, Laravel, Symfony) and OOP principles.
* Proficiency with MySQL/MariaDB, MongoDB, and caching/message queue systems (Redis, RabbitMQ).
* Experience with RESTful APIs, XML, DOM, CURL, and Regex.
* Familiarity with AI/ML tools, LLMs, and enterprise automation platforms.
* Strong analytical skills and attention to detail.
* English proficiency (intermediate or higher) for technical documentation and collaboration.
* University degree in Computer Science, Engineering, or a related field.
**Preferred/Advantageous Experience:**
* Experience with cloud platforms, Docker, Kubernetes, or serverless architectures.
* Experience in automotive, healthcare, or digital commerce industries.
* Knowledge of frontend frameworks (React, Vue.js) is a plus.
**What we offer:**
* A role within a company with a strong track record of innovation and success
* Diverse AI and automation projects that offer broad learning opportunities
* Room for career growth, skill expansion, and leadership development
* A collaborative international environment with a focus on cutting edge technologies
**Technical Requirements:**
* A computer or laptop with at least 16GB RAM
* High\-speed internet (minimum 20 Mbps download \&amp; upload)
* A headset with a microphone
* A webcam to support regular video calls
If you are a motivated self\-starter with a passion for AI and workflow automation, apply today and join Webxloo\`s mission to drive innovation and efficiency across industries through intelligent technology solutions.
### **Job Features**
**Job Category** AI, HOT Vacancies  
**Career Level** Mid Career (2\+ years of experience)
**Desired Education** Diploma
**Skills/keywords**-</t>
        </is>
      </c>
    </row>
    <row r="3">
      <c r="A3" t="inlineStr">
        <is>
          <t>in-2dae15a878eb8aaf</t>
        </is>
      </c>
      <c r="B3" t="inlineStr">
        <is>
          <t>Sr. Applied Scientist, AGI Foundations</t>
        </is>
      </c>
      <c r="C3" t="inlineStr">
        <is>
          <t>Amazon.com</t>
        </is>
      </c>
      <c r="D3" t="inlineStr">
        <is>
          <t>indeed</t>
        </is>
      </c>
      <c r="E3" t="inlineStr"/>
      <c r="F3" t="inlineStr"/>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in-d3d848d700b16200</t>
        </is>
      </c>
      <c r="B4" t="inlineStr">
        <is>
          <t>Sr. Applied Scientist, AGI Foundations</t>
        </is>
      </c>
      <c r="C4" t="inlineStr">
        <is>
          <t>Amazon.com</t>
        </is>
      </c>
      <c r="D4" t="inlineStr">
        <is>
          <t>indeed</t>
        </is>
      </c>
      <c r="E4" t="inlineStr"/>
      <c r="F4" t="inlineStr"/>
      <c r="G4" t="inlineStr">
        <is>
          <t>Boston, MA,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in-c6d5f9ac19769554</t>
        </is>
      </c>
      <c r="B5" t="inlineStr">
        <is>
          <t>Sr. Applied Scientist, AGI Foundations</t>
        </is>
      </c>
      <c r="C5" t="inlineStr">
        <is>
          <t>Amazon.com</t>
        </is>
      </c>
      <c r="D5" t="inlineStr">
        <is>
          <t>indeed</t>
        </is>
      </c>
      <c r="E5" t="inlineStr"/>
      <c r="F5" t="inlineStr"/>
      <c r="G5" t="inlineStr">
        <is>
          <t>Bellevue, WA,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in-4510eb255e2ff008</t>
        </is>
      </c>
      <c r="B6" t="inlineStr">
        <is>
          <t>Applied Scientist II, Prime Video - Personalization and Discovery Science, Personalization and Discovery Science</t>
        </is>
      </c>
      <c r="C6" t="inlineStr">
        <is>
          <t>Amazon.com</t>
        </is>
      </c>
      <c r="D6" t="inlineStr">
        <is>
          <t>indeed</t>
        </is>
      </c>
      <c r="E6" t="inlineStr"/>
      <c r="F6" t="inlineStr"/>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in-96ea60a73a4a31c0</t>
        </is>
      </c>
      <c r="B7" t="inlineStr">
        <is>
          <t>Applied Scientist II, Prime Video - Personalization and Discovery Science, Personalization and Discovery Science</t>
        </is>
      </c>
      <c r="C7" t="inlineStr">
        <is>
          <t>Amazon.com</t>
        </is>
      </c>
      <c r="D7" t="inlineStr">
        <is>
          <t>indeed</t>
        </is>
      </c>
      <c r="E7" t="inlineStr"/>
      <c r="F7" t="inlineStr"/>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in-e07dca64c839bc2c</t>
        </is>
      </c>
      <c r="B8" t="inlineStr">
        <is>
          <t>Applied Scientist II, Prime Video - Personalization and Discovery Science, Personalization and Discovery Science</t>
        </is>
      </c>
      <c r="C8" t="inlineStr">
        <is>
          <t>Amazon.com</t>
        </is>
      </c>
      <c r="D8" t="inlineStr">
        <is>
          <t>indeed</t>
        </is>
      </c>
      <c r="E8" t="inlineStr"/>
      <c r="F8" t="inlineStr"/>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in-dcf91332fb202df9</t>
        </is>
      </c>
      <c r="B9" t="inlineStr">
        <is>
          <t>Applied Scientist II, Prime Video - Personalization and Discovery Science</t>
        </is>
      </c>
      <c r="C9" t="inlineStr">
        <is>
          <t>Amazon.com</t>
        </is>
      </c>
      <c r="D9" t="inlineStr">
        <is>
          <t>indeed</t>
        </is>
      </c>
      <c r="E9" t="inlineStr"/>
      <c r="F9" t="inlineStr"/>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in-0fe5e83f82343a8a</t>
        </is>
      </c>
      <c r="B10" t="inlineStr">
        <is>
          <t>Applied Scientist II, Prime Video - Personalization and Discovery Science</t>
        </is>
      </c>
      <c r="C10" t="inlineStr">
        <is>
          <t>Amazon.com</t>
        </is>
      </c>
      <c r="D10" t="inlineStr">
        <is>
          <t>indeed</t>
        </is>
      </c>
      <c r="E10" t="inlineStr"/>
      <c r="F10" t="inlineStr"/>
      <c r="G10" t="inlineStr">
        <is>
          <t>Seattle, WA,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in-49574b7b75f22168</t>
        </is>
      </c>
      <c r="B11" t="inlineStr">
        <is>
          <t>Applied Scientist II, Prime Video - Personalization and Discovery Science</t>
        </is>
      </c>
      <c r="C11" t="inlineStr">
        <is>
          <t>Amazon.com</t>
        </is>
      </c>
      <c r="D11" t="inlineStr">
        <is>
          <t>indeed</t>
        </is>
      </c>
      <c r="E11" t="inlineStr"/>
      <c r="F11" t="inlineStr"/>
      <c r="G11" t="inlineStr">
        <is>
          <t>New York, NY,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in-dc8e54103838f186</t>
        </is>
      </c>
      <c r="B12" t="inlineStr">
        <is>
          <t>Sr. Applied Scientist, Prime Video - Personalization and Discovery Science</t>
        </is>
      </c>
      <c r="C12" t="inlineStr">
        <is>
          <t>Amazon.com</t>
        </is>
      </c>
      <c r="D12" t="inlineStr">
        <is>
          <t>indeed</t>
        </is>
      </c>
      <c r="E12" t="inlineStr"/>
      <c r="F12" t="inlineStr"/>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in-77b5c72d63b80556</t>
        </is>
      </c>
      <c r="B13" t="inlineStr">
        <is>
          <t>Sr. Applied Scientist, Prime Video - Personalization and Discovery Science</t>
        </is>
      </c>
      <c r="C13" t="inlineStr">
        <is>
          <t>Amazon.com</t>
        </is>
      </c>
      <c r="D13" t="inlineStr">
        <is>
          <t>indeed</t>
        </is>
      </c>
      <c r="E13" t="inlineStr"/>
      <c r="F13" t="inlineStr"/>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in-e9c9ff848b9b57dd</t>
        </is>
      </c>
      <c r="B14" t="inlineStr">
        <is>
          <t>Sr. Applied Scientist, Prime Video - Personalization and Discovery Science</t>
        </is>
      </c>
      <c r="C14" t="inlineStr">
        <is>
          <t>Amazon.com</t>
        </is>
      </c>
      <c r="D14" t="inlineStr">
        <is>
          <t>indeed</t>
        </is>
      </c>
      <c r="E14" t="inlineStr"/>
      <c r="F14" t="inlineStr"/>
      <c r="G14" t="inlineStr">
        <is>
          <t>Sunnyvale, CA,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in-a7de1b7898d5894e</t>
        </is>
      </c>
      <c r="B15" t="inlineStr">
        <is>
          <t>Senior Applied Scientist, Artificial General Intelligence</t>
        </is>
      </c>
      <c r="C15" t="inlineStr">
        <is>
          <t>Amazon.com</t>
        </is>
      </c>
      <c r="D15" t="inlineStr">
        <is>
          <t>indeed</t>
        </is>
      </c>
      <c r="E15" t="inlineStr"/>
      <c r="F15" t="inlineStr"/>
      <c r="G15" t="inlineStr">
        <is>
          <t>Cambridge, MA,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in-bcbf9da01759c534</t>
        </is>
      </c>
      <c r="B16" t="inlineStr">
        <is>
          <t>Senior Applied Scientist, Artificial General Intelligence</t>
        </is>
      </c>
      <c r="C16" t="inlineStr">
        <is>
          <t>Amazon.com</t>
        </is>
      </c>
      <c r="D16" t="inlineStr">
        <is>
          <t>indeed</t>
        </is>
      </c>
      <c r="E16" t="inlineStr"/>
      <c r="F16" t="inlineStr"/>
      <c r="G16" t="inlineStr">
        <is>
          <t>New York, NY,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in-a4b1466806a6c3e2</t>
        </is>
      </c>
      <c r="B17" t="inlineStr">
        <is>
          <t>Senior Applied Scientist, Artificial General Intelligence</t>
        </is>
      </c>
      <c r="C17" t="inlineStr">
        <is>
          <t>Amazon.com</t>
        </is>
      </c>
      <c r="D17" t="inlineStr">
        <is>
          <t>indeed</t>
        </is>
      </c>
      <c r="E17" t="inlineStr"/>
      <c r="F17" t="inlineStr"/>
      <c r="G17" t="inlineStr">
        <is>
          <t>Bellevue, WA,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in-9f65cfa989f39da9</t>
        </is>
      </c>
      <c r="B18" t="inlineStr">
        <is>
          <t>Senior Applied Scientist, Artificial General Intelligence</t>
        </is>
      </c>
      <c r="C18" t="inlineStr">
        <is>
          <t>Amazon.com</t>
        </is>
      </c>
      <c r="D18" t="inlineStr">
        <is>
          <t>indeed</t>
        </is>
      </c>
      <c r="E18" t="inlineStr"/>
      <c r="F18" t="inlineStr"/>
      <c r="G18" t="inlineStr">
        <is>
          <t>Sunnyvale, CA,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in-c7087e6cc8173e8a</t>
        </is>
      </c>
      <c r="B19" t="inlineStr">
        <is>
          <t>Sr. Applied Scientist, Prime Video - Personalization and Discovery Science</t>
        </is>
      </c>
      <c r="C19" t="inlineStr">
        <is>
          <t>Amazon.com</t>
        </is>
      </c>
      <c r="D19" t="inlineStr">
        <is>
          <t>indeed</t>
        </is>
      </c>
      <c r="E19" t="inlineStr"/>
      <c r="F19" t="inlineStr"/>
      <c r="G19" t="inlineStr">
        <is>
          <t>Seattle, WA,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in-0daa955061b49919</t>
        </is>
      </c>
      <c r="B20" t="inlineStr">
        <is>
          <t>Sr. Applied Scientist, Prime Video - Personalization and Discovery Science</t>
        </is>
      </c>
      <c r="C20" t="inlineStr">
        <is>
          <t>Amazon.com</t>
        </is>
      </c>
      <c r="D20" t="inlineStr">
        <is>
          <t>indeed</t>
        </is>
      </c>
      <c r="E20" t="inlineStr"/>
      <c r="F20" t="inlineStr"/>
      <c r="G20" t="inlineStr">
        <is>
          <t>New York, NY,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in-34f53126256b7c3d</t>
        </is>
      </c>
      <c r="B21" t="inlineStr">
        <is>
          <t>Sr. Applied Scientist, Prime Video - Personalization and Discovery Science</t>
        </is>
      </c>
      <c r="C21" t="inlineStr">
        <is>
          <t>Amazon.com</t>
        </is>
      </c>
      <c r="D21" t="inlineStr">
        <is>
          <t>indeed</t>
        </is>
      </c>
      <c r="E21" t="inlineStr"/>
      <c r="F21" t="inlineStr"/>
      <c r="G21" t="inlineStr">
        <is>
          <t>Sunnyvale, CA,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in-1a0abb4c94c5e80e</t>
        </is>
      </c>
      <c r="B22" t="inlineStr">
        <is>
          <t>Sr. Applied Scientist, Recommendations and Search</t>
        </is>
      </c>
      <c r="C22" t="inlineStr">
        <is>
          <t>Amazon.com</t>
        </is>
      </c>
      <c r="D22" t="inlineStr">
        <is>
          <t>indeed</t>
        </is>
      </c>
      <c r="E22" t="inlineStr"/>
      <c r="F22" t="inlineStr"/>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in-71cd2fbe12249545</t>
        </is>
      </c>
      <c r="B23" t="inlineStr">
        <is>
          <t>Sr. Applied Scientist, Recommendations and Search</t>
        </is>
      </c>
      <c r="C23" t="inlineStr">
        <is>
          <t>Amazon.com</t>
        </is>
      </c>
      <c r="D23" t="inlineStr">
        <is>
          <t>indeed</t>
        </is>
      </c>
      <c r="E23" t="inlineStr"/>
      <c r="F23" t="inlineStr"/>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in-b0f51deca383133c</t>
        </is>
      </c>
      <c r="B24" t="inlineStr">
        <is>
          <t>Sr. Applied Scientist, Recommendations and Search</t>
        </is>
      </c>
      <c r="C24" t="inlineStr">
        <is>
          <t>Amazon.com</t>
        </is>
      </c>
      <c r="D24" t="inlineStr">
        <is>
          <t>indeed</t>
        </is>
      </c>
      <c r="E24" t="inlineStr"/>
      <c r="F24" t="inlineStr"/>
      <c r="G24" t="inlineStr">
        <is>
          <t>New York, NY,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in-83b01064ebe9f67b</t>
        </is>
      </c>
      <c r="B25" t="inlineStr">
        <is>
          <t>Applied Scientist II, Prime Video - Personalization and Discovery Science, Personalization and Discovery Science</t>
        </is>
      </c>
      <c r="C25" t="inlineStr">
        <is>
          <t>Amazon.com</t>
        </is>
      </c>
      <c r="D25" t="inlineStr">
        <is>
          <t>indeed</t>
        </is>
      </c>
      <c r="E25" t="inlineStr"/>
      <c r="F25" t="inlineStr"/>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in-762440bc8e4a2562</t>
        </is>
      </c>
      <c r="B26" t="inlineStr">
        <is>
          <t>Sr. Applied Scientist, Prime Video - Personalization and Discovery Science</t>
        </is>
      </c>
      <c r="C26" t="inlineStr">
        <is>
          <t>Amazon.com</t>
        </is>
      </c>
      <c r="D26" t="inlineStr">
        <is>
          <t>indeed</t>
        </is>
      </c>
      <c r="E26" t="inlineStr"/>
      <c r="F26" t="inlineStr"/>
      <c r="G26" t="inlineStr">
        <is>
          <t>Seattle, WA,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in-e4e7a9b828262f02</t>
        </is>
      </c>
      <c r="B27" t="inlineStr">
        <is>
          <t>Applied Scientist II, Prime Video - Personalization and Discovery Science, Personalization and Discovery Science</t>
        </is>
      </c>
      <c r="C27" t="inlineStr">
        <is>
          <t>Amazon.com</t>
        </is>
      </c>
      <c r="D27" t="inlineStr">
        <is>
          <t>indeed</t>
        </is>
      </c>
      <c r="E27" t="inlineStr"/>
      <c r="F27" t="inlineStr"/>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in-4b8002cb8065e795</t>
        </is>
      </c>
      <c r="B28" t="inlineStr">
        <is>
          <t>Sr. Applied Scientist, Prime Video - Personalization and Discovery Science</t>
        </is>
      </c>
      <c r="C28" t="inlineStr">
        <is>
          <t>Amazon.com</t>
        </is>
      </c>
      <c r="D28" t="inlineStr">
        <is>
          <t>indeed</t>
        </is>
      </c>
      <c r="E28" t="inlineStr"/>
      <c r="F28" t="inlineStr"/>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in-ebb4c84c9f23b1b3</t>
        </is>
      </c>
      <c r="B29" t="inlineStr">
        <is>
          <t>Applied Scientist II, Prime Video - Personalization and Discovery Science, Personalization and Discovery Science</t>
        </is>
      </c>
      <c r="C29" t="inlineStr">
        <is>
          <t>Amazon.com</t>
        </is>
      </c>
      <c r="D29" t="inlineStr">
        <is>
          <t>indeed</t>
        </is>
      </c>
      <c r="E29" t="inlineStr"/>
      <c r="F29" t="inlineStr"/>
      <c r="G29" t="inlineStr">
        <is>
          <t>New York, NY,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in-82ad88c139473dc8</t>
        </is>
      </c>
      <c r="B30" t="inlineStr">
        <is>
          <t>Sr. Applied Scientist, Prime Video - Personalization and Discovery Science</t>
        </is>
      </c>
      <c r="C30" t="inlineStr">
        <is>
          <t>Amazon.com</t>
        </is>
      </c>
      <c r="D30" t="inlineStr">
        <is>
          <t>indeed</t>
        </is>
      </c>
      <c r="E30" t="inlineStr"/>
      <c r="F30" t="inlineStr"/>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in-ee89a448621699c6</t>
        </is>
      </c>
      <c r="B31" t="inlineStr">
        <is>
          <t>Applied Scientist II, Prime Video - Personalization and Discovery Science</t>
        </is>
      </c>
      <c r="C31" t="inlineStr">
        <is>
          <t>Amazon.com</t>
        </is>
      </c>
      <c r="D31" t="inlineStr">
        <is>
          <t>indeed</t>
        </is>
      </c>
      <c r="E31" t="inlineStr"/>
      <c r="F31" t="inlineStr"/>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in-89dfac889213e493</t>
        </is>
      </c>
      <c r="B32" t="inlineStr">
        <is>
          <t>Sr. Applied Scientist, Prime Video - Personalization and Discovery Science</t>
        </is>
      </c>
      <c r="C32" t="inlineStr">
        <is>
          <t>Amazon.com</t>
        </is>
      </c>
      <c r="D32" t="inlineStr">
        <is>
          <t>indeed</t>
        </is>
      </c>
      <c r="E32" t="inlineStr"/>
      <c r="F32" t="inlineStr"/>
      <c r="G32" t="inlineStr">
        <is>
          <t>New York, NY,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in-c8dcf56251c62d4d</t>
        </is>
      </c>
      <c r="B33" t="inlineStr">
        <is>
          <t>Applied Scientist II, Prime Video - Personalization and Discovery Science</t>
        </is>
      </c>
      <c r="C33" t="inlineStr">
        <is>
          <t>Amazon.com</t>
        </is>
      </c>
      <c r="D33" t="inlineStr">
        <is>
          <t>indeed</t>
        </is>
      </c>
      <c r="E33" t="inlineStr"/>
      <c r="F33" t="inlineStr"/>
      <c r="G33" t="inlineStr">
        <is>
          <t>Sunnyvale, CA,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in-32e82f50ac9590a8</t>
        </is>
      </c>
      <c r="B34" t="inlineStr">
        <is>
          <t>Sr. Applied Scientist, Prime Video - Personalization and Discovery Science</t>
        </is>
      </c>
      <c r="C34" t="inlineStr">
        <is>
          <t>Amazon.com</t>
        </is>
      </c>
      <c r="D34" t="inlineStr">
        <is>
          <t>indeed</t>
        </is>
      </c>
      <c r="E34" t="inlineStr"/>
      <c r="F34" t="inlineStr"/>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in-f5fc350648223bd9</t>
        </is>
      </c>
      <c r="B35" t="inlineStr">
        <is>
          <t>Sr. Applied Scientist, Prime Video - Personalization and Discovery Science</t>
        </is>
      </c>
      <c r="C35" t="inlineStr">
        <is>
          <t>Amazon.com</t>
        </is>
      </c>
      <c r="D35" t="inlineStr">
        <is>
          <t>indeed</t>
        </is>
      </c>
      <c r="E35" t="inlineStr"/>
      <c r="F35" t="inlineStr"/>
      <c r="G35" t="inlineStr">
        <is>
          <t>Sunnyvale, CA,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in-54c2957633d4b6f8</t>
        </is>
      </c>
      <c r="B36" t="inlineStr">
        <is>
          <t>Applied Scientist II, Prime Video - Personalization and Discovery Science</t>
        </is>
      </c>
      <c r="C36" t="inlineStr">
        <is>
          <t>Amazon.com</t>
        </is>
      </c>
      <c r="D36" t="inlineStr">
        <is>
          <t>indeed</t>
        </is>
      </c>
      <c r="E36" t="inlineStr"/>
      <c r="F36" t="inlineStr"/>
      <c r="G36" t="inlineStr">
        <is>
          <t>Seattle, WA,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in-6cde63c95043ea76</t>
        </is>
      </c>
      <c r="B37" t="inlineStr">
        <is>
          <t>Sr. Applied Scientist, Prime Video - Personalization and Discovery Science</t>
        </is>
      </c>
      <c r="C37" t="inlineStr">
        <is>
          <t>Amazon.com</t>
        </is>
      </c>
      <c r="D37" t="inlineStr">
        <is>
          <t>indeed</t>
        </is>
      </c>
      <c r="E37" t="inlineStr"/>
      <c r="F37" t="inlineStr"/>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in-8565145cdccd86d9</t>
        </is>
      </c>
      <c r="B38" t="inlineStr">
        <is>
          <t>Applied Scientist II, Prime Video - Personalization and Discovery Science</t>
        </is>
      </c>
      <c r="C38" t="inlineStr">
        <is>
          <t>Amazon.com</t>
        </is>
      </c>
      <c r="D38" t="inlineStr">
        <is>
          <t>indeed</t>
        </is>
      </c>
      <c r="E38" t="inlineStr"/>
      <c r="F38" t="inlineStr"/>
      <c r="G38" t="inlineStr">
        <is>
          <t>Sunnyvale, CA,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in-67c3778b4178d3a9</t>
        </is>
      </c>
      <c r="B39" t="inlineStr">
        <is>
          <t>Applied Scientist II, Prime Video - Personalization and Discovery Science</t>
        </is>
      </c>
      <c r="C39" t="inlineStr">
        <is>
          <t>Amazon.com</t>
        </is>
      </c>
      <c r="D39" t="inlineStr">
        <is>
          <t>indeed</t>
        </is>
      </c>
      <c r="E39" t="inlineStr"/>
      <c r="F39" t="inlineStr"/>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in-b6620df0f917e61a</t>
        </is>
      </c>
      <c r="B40" t="inlineStr">
        <is>
          <t>Sr. Applied Scientist, Prime Video - Personalization and Discovery Science</t>
        </is>
      </c>
      <c r="C40" t="inlineStr">
        <is>
          <t>Amazon.com</t>
        </is>
      </c>
      <c r="D40" t="inlineStr">
        <is>
          <t>indeed</t>
        </is>
      </c>
      <c r="E40" t="inlineStr"/>
      <c r="F40" t="inlineStr"/>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in-764818df2c80d5f9</t>
        </is>
      </c>
      <c r="B41" t="inlineStr">
        <is>
          <t>Applied Scientist II, Prime Video - Personalization and Discovery Science</t>
        </is>
      </c>
      <c r="C41" t="inlineStr">
        <is>
          <t>Amazon.com</t>
        </is>
      </c>
      <c r="D41" t="inlineStr">
        <is>
          <t>indeed</t>
        </is>
      </c>
      <c r="E41" t="inlineStr"/>
      <c r="F41" t="inlineStr"/>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in-0bdfe2afd424b5a3</t>
        </is>
      </c>
      <c r="B42" t="inlineStr">
        <is>
          <t>Sr. Applied Scientist, Prime Video - Personalization and Discovery Science</t>
        </is>
      </c>
      <c r="C42" t="inlineStr">
        <is>
          <t>Amazon.com</t>
        </is>
      </c>
      <c r="D42" t="inlineStr">
        <is>
          <t>indeed</t>
        </is>
      </c>
      <c r="E42" t="inlineStr"/>
      <c r="F42" t="inlineStr"/>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in-64e89da87ee6c1d7</t>
        </is>
      </c>
      <c r="B43" t="inlineStr">
        <is>
          <t>Applied Scientist II, Prime Video Personalization and Discovery Science</t>
        </is>
      </c>
      <c r="C43" t="inlineStr">
        <is>
          <t>Amazon.com</t>
        </is>
      </c>
      <c r="D43" t="inlineStr">
        <is>
          <t>indeed</t>
        </is>
      </c>
      <c r="E43" t="inlineStr"/>
      <c r="F43" t="inlineStr"/>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in-14a16ca0b0c71cb3</t>
        </is>
      </c>
      <c r="B44" t="inlineStr">
        <is>
          <t>Applied Scientist II, Prime Video Personalization and Discovery Science</t>
        </is>
      </c>
      <c r="C44" t="inlineStr">
        <is>
          <t>Amazon.com</t>
        </is>
      </c>
      <c r="D44" t="inlineStr">
        <is>
          <t>indeed</t>
        </is>
      </c>
      <c r="E44" t="inlineStr"/>
      <c r="F44" t="inlineStr"/>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in-4c97b034a6bf79b3</t>
        </is>
      </c>
      <c r="B45" t="inlineStr">
        <is>
          <t>Applied Scientist II, Prime Video Personalization and Discovery Science</t>
        </is>
      </c>
      <c r="C45" t="inlineStr">
        <is>
          <t>Amazon.com</t>
        </is>
      </c>
      <c r="D45" t="inlineStr">
        <is>
          <t>indeed</t>
        </is>
      </c>
      <c r="E45" t="inlineStr"/>
      <c r="F45" t="inlineStr"/>
      <c r="G45" t="inlineStr">
        <is>
          <t>Seattle, WA,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in-5dcec3f9ee59e282</t>
        </is>
      </c>
      <c r="B46" t="inlineStr">
        <is>
          <t>Applied Scientist, Prime Video - Personalization and Discovery Science</t>
        </is>
      </c>
      <c r="C46" t="inlineStr">
        <is>
          <t>Amazon.com</t>
        </is>
      </c>
      <c r="D46" t="inlineStr">
        <is>
          <t>indeed</t>
        </is>
      </c>
      <c r="E46" t="inlineStr"/>
      <c r="F46" t="inlineStr"/>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in-ac6a5b7e0bad1c17</t>
        </is>
      </c>
      <c r="B47" t="inlineStr">
        <is>
          <t>Applied Scientist, Prime Video - Personalization and Discovery Science</t>
        </is>
      </c>
      <c r="C47" t="inlineStr">
        <is>
          <t>Amazon.com</t>
        </is>
      </c>
      <c r="D47" t="inlineStr">
        <is>
          <t>indeed</t>
        </is>
      </c>
      <c r="E47" t="inlineStr"/>
      <c r="F47" t="inlineStr"/>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in-7661fedd30921cfc</t>
        </is>
      </c>
      <c r="B48" t="inlineStr">
        <is>
          <t>Applied Scientist, Prime Video - Personalization and Discovery Science</t>
        </is>
      </c>
      <c r="C48" t="inlineStr">
        <is>
          <t>Amazon.com</t>
        </is>
      </c>
      <c r="D48" t="inlineStr">
        <is>
          <t>indeed</t>
        </is>
      </c>
      <c r="E48" t="inlineStr"/>
      <c r="F48" t="inlineStr"/>
      <c r="G48" t="inlineStr">
        <is>
          <t>Seattle, WA,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in-8d46bf667a71daa9</t>
        </is>
      </c>
      <c r="B49" t="inlineStr">
        <is>
          <t>Sr. Applied Scientist, Prime Video - Personalization and Discovery Science</t>
        </is>
      </c>
      <c r="C49" t="inlineStr">
        <is>
          <t>Amazon.com</t>
        </is>
      </c>
      <c r="D49" t="inlineStr">
        <is>
          <t>indeed</t>
        </is>
      </c>
      <c r="E49" t="inlineStr"/>
      <c r="F49" t="inlineStr"/>
      <c r="G49" t="inlineStr">
        <is>
          <t>Sunnyvale, CA,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in-0130b4413f2cec21</t>
        </is>
      </c>
      <c r="B50" t="inlineStr">
        <is>
          <t>Sr. Applied Scientist, Prime Video - Personalization and Discovery Science</t>
        </is>
      </c>
      <c r="C50" t="inlineStr">
        <is>
          <t>Amazon.com</t>
        </is>
      </c>
      <c r="D50" t="inlineStr">
        <is>
          <t>indeed</t>
        </is>
      </c>
      <c r="E50" t="inlineStr"/>
      <c r="F50" t="inlineStr"/>
      <c r="G50" t="inlineStr">
        <is>
          <t>Seattle, WA,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in-6158850121823680</t>
        </is>
      </c>
      <c r="B51" t="inlineStr">
        <is>
          <t>Senior Applied Scientist, AGI, AGI</t>
        </is>
      </c>
      <c r="C51" t="inlineStr">
        <is>
          <t>Amazon.com</t>
        </is>
      </c>
      <c r="D51" t="inlineStr">
        <is>
          <t>indeed</t>
        </is>
      </c>
      <c r="E51" t="inlineStr"/>
      <c r="F51" t="inlineStr"/>
      <c r="G51" t="inlineStr">
        <is>
          <t>Sunnyvale, CA,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in-ae11fcbd44bd2e56</t>
        </is>
      </c>
      <c r="B52" t="inlineStr">
        <is>
          <t>Senior Applied Scientist, AGI, AGI</t>
        </is>
      </c>
      <c r="C52" t="inlineStr">
        <is>
          <t>Amazon.com</t>
        </is>
      </c>
      <c r="D52" t="inlineStr">
        <is>
          <t>indeed</t>
        </is>
      </c>
      <c r="E52" t="inlineStr"/>
      <c r="F52" t="inlineStr"/>
      <c r="G52" t="inlineStr">
        <is>
          <t>Boston, MA,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in-cd6ed2f05c336fd1</t>
        </is>
      </c>
      <c r="B53" t="inlineStr">
        <is>
          <t>Applied Scientist, Skill Builder, AWS Training and Certifications</t>
        </is>
      </c>
      <c r="C53" t="inlineStr">
        <is>
          <t>Amazon Web Services</t>
        </is>
      </c>
      <c r="D53" t="inlineStr">
        <is>
          <t>indeed</t>
        </is>
      </c>
      <c r="E53" t="inlineStr"/>
      <c r="F53" t="inlineStr"/>
      <c r="G53" t="inlineStr">
        <is>
          <t>Seattle,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in-4c4f5e9f71724f96</t>
        </is>
      </c>
      <c r="B54" t="inlineStr">
        <is>
          <t>Applied Scientist, Skill Builder, AWS Training and Certifications</t>
        </is>
      </c>
      <c r="C54" t="inlineStr">
        <is>
          <t>Amazon Web Services</t>
        </is>
      </c>
      <c r="D54" t="inlineStr">
        <is>
          <t>indeed</t>
        </is>
      </c>
      <c r="E54" t="inlineStr"/>
      <c r="F54" t="inlineStr"/>
      <c r="G54" t="inlineStr">
        <is>
          <t>Bellevue,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in-51c5e51e2c50c2ab</t>
        </is>
      </c>
      <c r="B55" t="inlineStr">
        <is>
          <t>Applied Scientist, Skill Builder, AWS Training and Certifications</t>
        </is>
      </c>
      <c r="C55" t="inlineStr">
        <is>
          <t>Amazon Web Services</t>
        </is>
      </c>
      <c r="D55" t="inlineStr">
        <is>
          <t>indeed</t>
        </is>
      </c>
      <c r="E55" t="inlineStr"/>
      <c r="F55" t="inlineStr"/>
      <c r="G55" t="inlineStr">
        <is>
          <t>Arlington, VA,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in-c9869e178628c250</t>
        </is>
      </c>
      <c r="B56" t="inlineStr">
        <is>
          <t>Senior AI/ML Engineer</t>
        </is>
      </c>
      <c r="C56" t="inlineStr">
        <is>
          <t>Fidelity Investments</t>
        </is>
      </c>
      <c r="D56" t="inlineStr">
        <is>
          <t>indeed</t>
        </is>
      </c>
      <c r="E56" t="inlineStr"/>
      <c r="F56" t="inlineStr"/>
      <c r="G56" t="inlineStr">
        <is>
          <t>Westlake, TX, US</t>
        </is>
      </c>
      <c r="H56" s="2" t="n">
        <v>46026</v>
      </c>
      <c r="I56" t="inlineStr">
        <is>
          <t>### **Job Description:**
### **Sr. Machine Learning Ops Engineer**
As a Sr Machine Learning Ops Engineer within the Enterprise Data Science Platform team, you will create frameworks to support large\-scale ML infrastructure and pipelines, including tools for the containerization and deployment of ML models. Collaborating with Data Scientists, you will develop advanced analytics and machine learning platforms to enable the prediction and optimization of models. You will extend existing ML platforms for scaling model training and deployment, and partner with various business and engineering teams to drive the adoption and integration of model outputs. This role is essential in leveraging Data Science to deliver exceptional customer experiences in financial services.
### **The Team**
The enterprise data science platform (part of the Fidelity Data Architecture team in the Enterprise Technology BU) is focused on delivering AI/ML solutions for the organization. As part of this team, you will be responsible for building advanced cloud and software solutions in collaboration with Data Scientists to support packaging, deployment, and scaling of AI/ML Models in production.
**The Expertise You Have**
* Has bachelor’s or master’s Degree in a technology related field (e.g. Computer Science, Engineering, etc.).
* Proven experience in building cloud\-native applications using a range of AWS services, including but not limited to SageMaker AI, Bedrock, S3, CloudFormation (CFT), SNS, SQS, Lambda, AWS Batch, Step Functions, EventBridge, and CloudWatch. Familiarity with both Azure Cognitive Services, particularly for deploying OpenAI models, and Google Compute Vertex is beneficial.
* Strong experience with CI/CD tools, particularly Jenkins, for automating and streamlining the software development pipeline. Proficient in using version control systems like Git for effective code management and collaboration. Hands\-on experience with containerization technologies such as Docker for building and deploying applications. Expertise in infrastructure as code (IaC) services, including AWS CloudFormation and tools like Terraform or OpenTofu, for managing and provisioning cloud resources
* Extensive experience working with machine learning models with respect to deployment, inference, tuning, and measurement required.
* Strong knowledge of developing highly scalable distributed systems using Open\-source technologies.
* 5\+ years of proven experience in developing and implementing Python\-based cloud applications and/or machine learning solutions.
* 1\+ years of experience in developing ML infrastructure and MLOps in the Cloud using AWS Sagemaker.
* Proficiency in Python software development with strong experience in its ML ecosystem (numpy, pandas, sklearn, tensorflow, etc.), along with solid skills in Linux scripting. Ability to design and implement software using both object\-oriented and functional programming paradigms. Basic knowledge of Java and Groovy is a plus.
* Strong knowledge of developing highly scalable distributed systems using Open\-source technologies.
* Solid experience in Agile methodologies (Kanban and SCRUM).
**The Skills You Bring**
* Designing \&amp; developing a feature generation \&amp; store framework that promotes sharing of data/features among different ML models.
* You have strong technical design and analysis skills.
* You the ability to deal with ambiguity and work in fast paced environment.
* Your experience supporting critical applications.
* You are familiar with applied data science methods, feature engineering and machine learning algorithms.
* Your Data wrangling experience with structured, semi\-structure and unstructured data.
* Your experience building ML infrastructure, with a strong focus on software engineering.
* You have excellent communication skills, both through written and verbal channels.
* You have excellent collaboration skills to work with multiple teams in the organization.
* Your ability to understand and adapt to changing business priorities and technology advancements in a Data Science and Big data ecosystem.
**The Value You Deliver**
* Designing \&amp; developing a feature generation \&amp; store framework that promotes sharing of data/features among different ML models.
* Partner with Data Scientists and to help use the foundational platform upon which models can be built and trained.
* Operationalize ML Models at scale (e.g. Serve predictions on tens of millions of customers).
* Exploring new technology trends and leveraging them to simplify our data and ML ecosystem.
* Designing \&amp; developing a feature generation \&amp; store framework that promotes sharing of data/features among different ML models.
* Build tools to help detect shifts in data/features used by ML models to help identify issues in advance of deteriorating prediction quality, monitoring the uncertainty of model outputs, automating prediction explanation for model diagnostics.
* Driving Innovation and implementing solutions with future thinking.
* Guiding teams to improve development agility and productivity.
* Resolving technical roadblocks and mitigating potential risks.
* Delivering system automation by setting up continuous integration/continuous delivery pipelines.
The base salary range for this position is $97,000\-185,000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 **Certifications:**
### **Category:**
Information Technology</t>
        </is>
      </c>
    </row>
    <row r="57">
      <c r="A57" t="inlineStr">
        <is>
          <t>in-2432e58578be5032</t>
        </is>
      </c>
      <c r="B57" t="inlineStr">
        <is>
          <t>Ops AI Engineer (Level 2)</t>
        </is>
      </c>
      <c r="C57" t="inlineStr">
        <is>
          <t>Lockheed Martin</t>
        </is>
      </c>
      <c r="D57" t="inlineStr">
        <is>
          <t>indeed</t>
        </is>
      </c>
      <c r="E57" t="inlineStr"/>
      <c r="F57" t="inlineStr"/>
      <c r="G57" t="inlineStr">
        <is>
          <t>Fort Worth, TX, US</t>
        </is>
      </c>
      <c r="H57" s="2" t="n">
        <v>45991</v>
      </c>
      <c r="I57" t="inlineStr">
        <is>
          <t>**Job ID:** 711765BR
**Date posted:** Dec. 01, 2025  
**Description:**Ops AI Engineer (Level 2\)  
The Operations Systems and Modeling AI team at Lockheed Martin Aerospace is seeking a data scientist analyst who will play a key role in developing, deploying, and maintaining AI\-based solutions tailored for production operations. This position focuses on applying advanced artificial intelligence techniques to solve complex operational challenges, delivering impactful results that enhance efficiency and drive productivity. This position will be responsible for overseeing development and deployment of AI solutions, big data analysis, and front\-end development for AI and results based applications.  
**What You Will Be Doing**  
In this role you will assist in the development and testing of AI applications that support production‑operations use cases, collaborating with senior engineers to apply sound software‑development practices that promote code quality and scalability. Participate in gathering and documenting requirements from production teams, translating key operational challenges into functional specifications. Contribute to front‑end development efforts, building intuitive user interfaces that enable end\-users to interact with AI‑driven tools effectively. Perform data extraction, cleaning, and exploratory analysis on large‑volume production datasets to support model training and performance monitoring. Help deploy AI solutions in pilot environments, provide basic user training, and gather feedback to drive incremental improvements. Support change‑management activities by communicating updates to end‑users and ensuring that the tools remain maintainable, adaptable, and aligned with future operation needs.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**Basic Qualifications:**  
* Bachelor's degree in Computer Science, Information Technology, Engineering, AI/ML or related field
* Proficiency in Python and foundational machine learning concepts, with the ability to independently develop, train, and evaluate models
* Experience in developing, training, and deploying deep learning models using machine learning frameworks like TensorFlow and PyTorch.
* Experience in software development, with a focus on front\-end engineering
**Desired Skills:**  
* Familiarity with Large Language Models (LLMs) and/or Generative AI (GenAI)
* Familiarity with GenAI Coding Assistants
* Experience with agentic AI frameworks
* Experience in API Development \&amp; Integration
* Experience with cloud\-based platforms and containerization (e.g., Docker, Kubernetes)
* Experience with and maintaining CI/CD pipelines
* Understanding of agile development methodologies and version control systems (e.g., Git)
* Experience interfacing with database architectures such as PostgreSQL or MySQL
* Experience with aircraft manufacturing processes
* Strong organization and communication skills
* Master's degree in Computer Science, Information Technology, Engineering, AI/ML or related field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Artificial Intelligence  
**Type:** Full\-Time  
**Shift:** First</t>
        </is>
      </c>
    </row>
    <row r="58">
      <c r="A58" t="inlineStr">
        <is>
          <t>in-35b12c57382e65a8</t>
        </is>
      </c>
      <c r="B58" t="inlineStr">
        <is>
          <t>Principal Applied Scientist, AGI Foundations, AGI Foundations</t>
        </is>
      </c>
      <c r="C58" t="inlineStr">
        <is>
          <t>Amazon.com</t>
        </is>
      </c>
      <c r="D58" t="inlineStr">
        <is>
          <t>indeed</t>
        </is>
      </c>
      <c r="E58" t="inlineStr"/>
      <c r="F58" t="inlineStr"/>
      <c r="G58" t="inlineStr">
        <is>
          <t>Boston, MA,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in-489096fba6f5594d</t>
        </is>
      </c>
      <c r="B59" t="inlineStr">
        <is>
          <t>Principal Applied Scientist, AGI Foundations, AGI Foundations</t>
        </is>
      </c>
      <c r="C59" t="inlineStr">
        <is>
          <t>Amazon.com</t>
        </is>
      </c>
      <c r="D59" t="inlineStr">
        <is>
          <t>indeed</t>
        </is>
      </c>
      <c r="E59" t="inlineStr"/>
      <c r="F59" t="inlineStr"/>
      <c r="G59" t="inlineStr">
        <is>
          <t>Bellevue, WA,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in-93fe22a283ba6b75</t>
        </is>
      </c>
      <c r="B60" t="inlineStr">
        <is>
          <t>Principal Applied Scientist, AGI Foundations, AGI Foundations</t>
        </is>
      </c>
      <c r="C60" t="inlineStr">
        <is>
          <t>Amazon.com</t>
        </is>
      </c>
      <c r="D60" t="inlineStr">
        <is>
          <t>indeed</t>
        </is>
      </c>
      <c r="E60" t="inlineStr"/>
      <c r="F60" t="inlineStr"/>
      <c r="G60" t="inlineStr">
        <is>
          <t>New York, NY,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in-9036afcb4133b16e</t>
        </is>
      </c>
      <c r="B61" t="inlineStr">
        <is>
          <t>Principal Applied Scientist, AGI Foundations, AGI Foundations</t>
        </is>
      </c>
      <c r="C61" t="inlineStr">
        <is>
          <t>Amazon.com</t>
        </is>
      </c>
      <c r="D61" t="inlineStr">
        <is>
          <t>indeed</t>
        </is>
      </c>
      <c r="E61" t="inlineStr"/>
      <c r="F61" t="inlineStr"/>
      <c r="G61" t="inlineStr">
        <is>
          <t>Sunnyvale, CA,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in-3235dd14a53227d3</t>
        </is>
      </c>
      <c r="B62" t="inlineStr">
        <is>
          <t>Principal Applied Scientist, Artificial General Intelligence</t>
        </is>
      </c>
      <c r="C62" t="inlineStr">
        <is>
          <t>Amazon.com</t>
        </is>
      </c>
      <c r="D62" t="inlineStr">
        <is>
          <t>indeed</t>
        </is>
      </c>
      <c r="E62" t="inlineStr"/>
      <c r="F62" t="inlineStr"/>
      <c r="G62" t="inlineStr">
        <is>
          <t>San Francisco, CA, US</t>
        </is>
      </c>
      <c r="H62" s="2" t="n">
        <v>45978</v>
      </c>
      <c r="I6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in-29fa54a79efea6ca</t>
        </is>
      </c>
      <c r="B63" t="inlineStr">
        <is>
          <t>Principal Applied Scientist, Artificial General Intelligence</t>
        </is>
      </c>
      <c r="C63" t="inlineStr">
        <is>
          <t>Amazon.com</t>
        </is>
      </c>
      <c r="D63" t="inlineStr">
        <is>
          <t>indeed</t>
        </is>
      </c>
      <c r="E63" t="inlineStr"/>
      <c r="F63" t="inlineStr"/>
      <c r="G63" t="inlineStr">
        <is>
          <t>Seattle, WA, US</t>
        </is>
      </c>
      <c r="H63" s="2" t="n">
        <v>45978</v>
      </c>
      <c r="I6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in-7a465da19726397c</t>
        </is>
      </c>
      <c r="B64" t="inlineStr">
        <is>
          <t>Principal Applied Scientist, Artificial General Intelligence</t>
        </is>
      </c>
      <c r="C64" t="inlineStr">
        <is>
          <t>Amazon.com</t>
        </is>
      </c>
      <c r="D64" t="inlineStr">
        <is>
          <t>indeed</t>
        </is>
      </c>
      <c r="E64" t="inlineStr"/>
      <c r="F64" t="inlineStr"/>
      <c r="G64" t="inlineStr">
        <is>
          <t>Bellevue, WA, US</t>
        </is>
      </c>
      <c r="H64" s="2" t="n">
        <v>45978</v>
      </c>
      <c r="I6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in-572aa6d1b39c498b</t>
        </is>
      </c>
      <c r="B65" t="inlineStr">
        <is>
          <t>Applied Scientist, Artificial General Intelligence</t>
        </is>
      </c>
      <c r="C65" t="inlineStr">
        <is>
          <t>Amazon.com</t>
        </is>
      </c>
      <c r="D65" t="inlineStr">
        <is>
          <t>indeed</t>
        </is>
      </c>
      <c r="E65" t="inlineStr"/>
      <c r="F65" t="inlineStr"/>
      <c r="G65" t="inlineStr">
        <is>
          <t>Seattle, WA,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in-15c57ae0f36d0fcc</t>
        </is>
      </c>
      <c r="B66" t="inlineStr">
        <is>
          <t>Applied Scientist, Artificial General Intelligence</t>
        </is>
      </c>
      <c r="C66" t="inlineStr">
        <is>
          <t>Amazon.com</t>
        </is>
      </c>
      <c r="D66" t="inlineStr">
        <is>
          <t>indeed</t>
        </is>
      </c>
      <c r="E66" t="inlineStr"/>
      <c r="F66" t="inlineStr"/>
      <c r="G66" t="inlineStr">
        <is>
          <t>Sunnyvale, CA,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in-55e9c94a3480a8fb</t>
        </is>
      </c>
      <c r="B67" t="inlineStr">
        <is>
          <t>Applied Scientist, Artificial General Intelligence</t>
        </is>
      </c>
      <c r="C67" t="inlineStr">
        <is>
          <t>Amazon.com</t>
        </is>
      </c>
      <c r="D67" t="inlineStr">
        <is>
          <t>indeed</t>
        </is>
      </c>
      <c r="E67" t="inlineStr"/>
      <c r="F67" t="inlineStr"/>
      <c r="G67" t="inlineStr">
        <is>
          <t>Boston, MA, US</t>
        </is>
      </c>
      <c r="H67" s="2" t="n">
        <v>45974</v>
      </c>
      <c r="I6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in-2b0741c593b60f15</t>
        </is>
      </c>
      <c r="B68" t="inlineStr">
        <is>
          <t>Applied Scientist, Sponsored Products and Brands</t>
        </is>
      </c>
      <c r="C68" t="inlineStr">
        <is>
          <t>Amazon.com</t>
        </is>
      </c>
      <c r="D68" t="inlineStr">
        <is>
          <t>indeed</t>
        </is>
      </c>
      <c r="E68" t="inlineStr"/>
      <c r="F68" t="inlineStr"/>
      <c r="G68" t="inlineStr">
        <is>
          <t>New York, NY, US</t>
        </is>
      </c>
      <c r="H68" s="2" t="n">
        <v>45965</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in-6dc6c83858d37c1f</t>
        </is>
      </c>
      <c r="B69" t="inlineStr">
        <is>
          <t>Applied Scientist, Sponsored Products and Brands</t>
        </is>
      </c>
      <c r="C69" t="inlineStr">
        <is>
          <t>Amazon.com</t>
        </is>
      </c>
      <c r="D69" t="inlineStr">
        <is>
          <t>indeed</t>
        </is>
      </c>
      <c r="E69" t="inlineStr"/>
      <c r="F69" t="inlineStr"/>
      <c r="G69" t="inlineStr">
        <is>
          <t>Seattle, WA, US</t>
        </is>
      </c>
      <c r="H69" s="2" t="n">
        <v>45965</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in-af24e9afcfb80025</t>
        </is>
      </c>
      <c r="B70" t="inlineStr">
        <is>
          <t>Sr. Applied Scientist , AMX Science</t>
        </is>
      </c>
      <c r="C70" t="inlineStr">
        <is>
          <t>Amazon.com</t>
        </is>
      </c>
      <c r="D70" t="inlineStr">
        <is>
          <t>indeed</t>
        </is>
      </c>
      <c r="E70" t="inlineStr"/>
      <c r="F70" t="inlineStr"/>
      <c r="G70" t="inlineStr">
        <is>
          <t>Seattle, WA, US</t>
        </is>
      </c>
      <c r="H70" s="2" t="n">
        <v>45958</v>
      </c>
      <c r="I7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in-71d9e27ebf0d79d4</t>
        </is>
      </c>
      <c r="B71" t="inlineStr">
        <is>
          <t>Sr. Applied Scientist , AMX Science</t>
        </is>
      </c>
      <c r="C71" t="inlineStr">
        <is>
          <t>Amazon.com</t>
        </is>
      </c>
      <c r="D71" t="inlineStr">
        <is>
          <t>indeed</t>
        </is>
      </c>
      <c r="E71" t="inlineStr"/>
      <c r="F71" t="inlineStr"/>
      <c r="G71" t="inlineStr">
        <is>
          <t>New York, NY, US</t>
        </is>
      </c>
      <c r="H71" s="2" t="n">
        <v>45958</v>
      </c>
      <c r="I7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in-5da9fcc529086b79</t>
        </is>
      </c>
      <c r="B72" t="inlineStr">
        <is>
          <t>Applied Scientist, Prime Video - Content Understanding, Localization &amp; Enrichment Team</t>
        </is>
      </c>
      <c r="C72" t="inlineStr">
        <is>
          <t>Amazon.com</t>
        </is>
      </c>
      <c r="D72" t="inlineStr">
        <is>
          <t>indeed</t>
        </is>
      </c>
      <c r="E72" t="inlineStr"/>
      <c r="F72" t="inlineStr"/>
      <c r="G72" t="inlineStr">
        <is>
          <t>San Francisco, CA, US</t>
        </is>
      </c>
      <c r="H72" s="2" t="n">
        <v>45943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in-6a32a8602cd3cb7b</t>
        </is>
      </c>
      <c r="B73" t="inlineStr">
        <is>
          <t>Applied Scientist, Prime Video - Content Understanding, Localization &amp; Enrichment Team</t>
        </is>
      </c>
      <c r="C73" t="inlineStr">
        <is>
          <t>Amazon.com</t>
        </is>
      </c>
      <c r="D73" t="inlineStr">
        <is>
          <t>indeed</t>
        </is>
      </c>
      <c r="E73" t="inlineStr"/>
      <c r="F73" t="inlineStr"/>
      <c r="G73" t="inlineStr">
        <is>
          <t>Seattle, WA, US</t>
        </is>
      </c>
      <c r="H73" s="2" t="n">
        <v>45943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in-4e1112f575d9a673</t>
        </is>
      </c>
      <c r="B74" t="inlineStr">
        <is>
          <t>Principal Applied Scientist, Advertiser Growth, Amazon Sponsored Products &amp; Brands</t>
        </is>
      </c>
      <c r="C74" t="inlineStr">
        <is>
          <t>Amazon.com</t>
        </is>
      </c>
      <c r="D74" t="inlineStr">
        <is>
          <t>indeed</t>
        </is>
      </c>
      <c r="E74" t="inlineStr"/>
      <c r="F74" t="inlineStr"/>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in-830d91ccf71b2a09</t>
        </is>
      </c>
      <c r="B75" t="inlineStr">
        <is>
          <t>Principal Applied Scientist, Advertiser Growth, Amazon Sponsored Products &amp; Brands</t>
        </is>
      </c>
      <c r="C75" t="inlineStr">
        <is>
          <t>Amazon.com</t>
        </is>
      </c>
      <c r="D75" t="inlineStr">
        <is>
          <t>indeed</t>
        </is>
      </c>
      <c r="E75" t="inlineStr"/>
      <c r="F75" t="inlineStr"/>
      <c r="G75" t="inlineStr">
        <is>
          <t>New York, NY,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in-cb8413babb6d500e</t>
        </is>
      </c>
      <c r="B76" t="inlineStr">
        <is>
          <t>Principal Applied Scientist, Advertiser Growth, Amazon Sponsored Products &amp; Brands</t>
        </is>
      </c>
      <c r="C76" t="inlineStr">
        <is>
          <t>Amazon.com</t>
        </is>
      </c>
      <c r="D76" t="inlineStr">
        <is>
          <t>indeed</t>
        </is>
      </c>
      <c r="E76" t="inlineStr"/>
      <c r="F76" t="inlineStr"/>
      <c r="G76" t="inlineStr">
        <is>
          <t>Seattle, WA,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in-e0aa7550bed97f81</t>
        </is>
      </c>
      <c r="B77" t="inlineStr">
        <is>
          <t>Applied Scientist, Artificial General Intelligence</t>
        </is>
      </c>
      <c r="C77" t="inlineStr">
        <is>
          <t>Amazon.com</t>
        </is>
      </c>
      <c r="D77" t="inlineStr">
        <is>
          <t>indeed</t>
        </is>
      </c>
      <c r="E77" t="inlineStr"/>
      <c r="F77" t="inlineStr"/>
      <c r="G77" t="inlineStr">
        <is>
          <t>Sunnyvale, CA,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in-75c912606b68c73e</t>
        </is>
      </c>
      <c r="B78" t="inlineStr">
        <is>
          <t>Applied Scientist, Artificial General Intelligence</t>
        </is>
      </c>
      <c r="C78" t="inlineStr">
        <is>
          <t>Amazon.com</t>
        </is>
      </c>
      <c r="D78" t="inlineStr">
        <is>
          <t>indeed</t>
        </is>
      </c>
      <c r="E78" t="inlineStr"/>
      <c r="F78" t="inlineStr"/>
      <c r="G78" t="inlineStr">
        <is>
          <t>New York, NY,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in-92936d0f3633be08</t>
        </is>
      </c>
      <c r="B79" t="inlineStr">
        <is>
          <t>Applied Scientist, Artificial General Intelligence</t>
        </is>
      </c>
      <c r="C79" t="inlineStr">
        <is>
          <t>Amazon.com</t>
        </is>
      </c>
      <c r="D79" t="inlineStr">
        <is>
          <t>indeed</t>
        </is>
      </c>
      <c r="E79" t="inlineStr"/>
      <c r="F79" t="inlineStr"/>
      <c r="G79" t="inlineStr">
        <is>
          <t>Seattle, WA, US</t>
        </is>
      </c>
      <c r="H79" s="2" t="n">
        <v>45937</v>
      </c>
      <c r="I7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in-8e977b4b7579a770</t>
        </is>
      </c>
      <c r="B80" t="inlineStr">
        <is>
          <t>Applied Scientist, Artificial General Intelligence</t>
        </is>
      </c>
      <c r="C80" t="inlineStr">
        <is>
          <t>Amazon.com</t>
        </is>
      </c>
      <c r="D80" t="inlineStr">
        <is>
          <t>indeed</t>
        </is>
      </c>
      <c r="E80" t="inlineStr"/>
      <c r="F80" t="inlineStr"/>
      <c r="G80" t="inlineStr">
        <is>
          <t>Bellevue, WA, US</t>
        </is>
      </c>
      <c r="H80" s="2" t="n">
        <v>45937</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in-a1ef1eee04a281d1</t>
        </is>
      </c>
      <c r="B81" t="inlineStr">
        <is>
          <t>Principal Applied Scientist, AGI Foundations</t>
        </is>
      </c>
      <c r="C81" t="inlineStr">
        <is>
          <t>Amazon.com</t>
        </is>
      </c>
      <c r="D81" t="inlineStr">
        <is>
          <t>indeed</t>
        </is>
      </c>
      <c r="E81" t="inlineStr"/>
      <c r="F81" t="inlineStr"/>
      <c r="G81" t="inlineStr">
        <is>
          <t>Bellevue, WA, US</t>
        </is>
      </c>
      <c r="H81" s="2" t="n">
        <v>45929</v>
      </c>
      <c r="I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in-e1cdad14d6571f51</t>
        </is>
      </c>
      <c r="B82" t="inlineStr">
        <is>
          <t>Principal Applied Scientist, AGI Foundations</t>
        </is>
      </c>
      <c r="C82" t="inlineStr">
        <is>
          <t>Amazon.com</t>
        </is>
      </c>
      <c r="D82" t="inlineStr">
        <is>
          <t>indeed</t>
        </is>
      </c>
      <c r="E82" t="inlineStr"/>
      <c r="F82" t="inlineStr"/>
      <c r="G82" t="inlineStr">
        <is>
          <t>Sunnyvale, CA, US</t>
        </is>
      </c>
      <c r="H82" s="2" t="n">
        <v>45929</v>
      </c>
      <c r="I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in-5b4a71fd115f9ead</t>
        </is>
      </c>
      <c r="B83" t="inlineStr">
        <is>
          <t>Principal Applied Scientist, Artificial General Intelligence</t>
        </is>
      </c>
      <c r="C83" t="inlineStr">
        <is>
          <t>Amazon.com</t>
        </is>
      </c>
      <c r="D83" t="inlineStr">
        <is>
          <t>indeed</t>
        </is>
      </c>
      <c r="E83" t="inlineStr"/>
      <c r="F83" t="inlineStr"/>
      <c r="G83" t="inlineStr">
        <is>
          <t>Sunnyvale, CA, US</t>
        </is>
      </c>
      <c r="H83" s="2" t="n">
        <v>45923</v>
      </c>
      <c r="I8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in-bbd7cbb7d797d46d</t>
        </is>
      </c>
      <c r="B84" t="inlineStr">
        <is>
          <t>Principal Applied Scientist, Artificial General Intelligence</t>
        </is>
      </c>
      <c r="C84" t="inlineStr">
        <is>
          <t>Amazon.com</t>
        </is>
      </c>
      <c r="D84" t="inlineStr">
        <is>
          <t>indeed</t>
        </is>
      </c>
      <c r="E84" t="inlineStr"/>
      <c r="F84" t="inlineStr"/>
      <c r="G84" t="inlineStr">
        <is>
          <t>New York, NY, US</t>
        </is>
      </c>
      <c r="H84" s="2" t="n">
        <v>45923</v>
      </c>
      <c r="I8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in-5bdd332ac78e8451</t>
        </is>
      </c>
      <c r="B85" t="inlineStr">
        <is>
          <t>Principal Applied Scientist, Artificial General Intelligence</t>
        </is>
      </c>
      <c r="C85" t="inlineStr">
        <is>
          <t>Amazon.com</t>
        </is>
      </c>
      <c r="D85" t="inlineStr">
        <is>
          <t>indeed</t>
        </is>
      </c>
      <c r="E85" t="inlineStr"/>
      <c r="F85" t="inlineStr"/>
      <c r="G85" t="inlineStr">
        <is>
          <t>Bellevue, WA, US</t>
        </is>
      </c>
      <c r="H85" s="2" t="n">
        <v>45923</v>
      </c>
      <c r="I8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in-52863d55c61035c3</t>
        </is>
      </c>
      <c r="B86" t="inlineStr">
        <is>
          <t>Principal Applied Scientist, Artificial General Intelligence</t>
        </is>
      </c>
      <c r="C86" t="inlineStr">
        <is>
          <t>Amazon.com</t>
        </is>
      </c>
      <c r="D86" t="inlineStr">
        <is>
          <t>indeed</t>
        </is>
      </c>
      <c r="E86" t="inlineStr"/>
      <c r="F86" t="inlineStr"/>
      <c r="G86" t="inlineStr">
        <is>
          <t>Boston, MA, US</t>
        </is>
      </c>
      <c r="H86" s="2" t="n">
        <v>45923</v>
      </c>
      <c r="I8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in-1e28336a1f325ff0</t>
        </is>
      </c>
      <c r="B87" t="inlineStr">
        <is>
          <t>Senior Applied Scientist, Artificial General Intelligence</t>
        </is>
      </c>
      <c r="C87" t="inlineStr">
        <is>
          <t>Amazon.com</t>
        </is>
      </c>
      <c r="D87" t="inlineStr">
        <is>
          <t>indeed</t>
        </is>
      </c>
      <c r="E87" t="inlineStr"/>
      <c r="F87" t="inlineStr"/>
      <c r="G87" t="inlineStr">
        <is>
          <t>Boston, MA, US</t>
        </is>
      </c>
      <c r="H87" s="2" t="n">
        <v>45922</v>
      </c>
      <c r="I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in-0e019c8b102c21e2</t>
        </is>
      </c>
      <c r="B88" t="inlineStr">
        <is>
          <t>Senior Applied Scientist, Artificial General Intelligence</t>
        </is>
      </c>
      <c r="C88" t="inlineStr">
        <is>
          <t>Amazon.com</t>
        </is>
      </c>
      <c r="D88" t="inlineStr">
        <is>
          <t>indeed</t>
        </is>
      </c>
      <c r="E88" t="inlineStr"/>
      <c r="F88" t="inlineStr"/>
      <c r="G88" t="inlineStr">
        <is>
          <t>Seattle, WA, US</t>
        </is>
      </c>
      <c r="H88" s="2" t="n">
        <v>45922</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in-3a1cc0f76b0e2403</t>
        </is>
      </c>
      <c r="B89" t="inlineStr">
        <is>
          <t>Senior Applied Scientist, Artificial General Intelligence</t>
        </is>
      </c>
      <c r="C89" t="inlineStr">
        <is>
          <t>Amazon.com</t>
        </is>
      </c>
      <c r="D89" t="inlineStr">
        <is>
          <t>indeed</t>
        </is>
      </c>
      <c r="E89" t="inlineStr"/>
      <c r="F89" t="inlineStr"/>
      <c r="G89" t="inlineStr">
        <is>
          <t>Sunnyvale, CA, US</t>
        </is>
      </c>
      <c r="H89" s="2" t="n">
        <v>45922</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in-c203f35948a37a3e</t>
        </is>
      </c>
      <c r="B90" t="inlineStr">
        <is>
          <t>Applied Scientist, Artificial General Intelligence</t>
        </is>
      </c>
      <c r="C90" t="inlineStr">
        <is>
          <t>Amazon.com</t>
        </is>
      </c>
      <c r="D90" t="inlineStr">
        <is>
          <t>indeed</t>
        </is>
      </c>
      <c r="E90" t="inlineStr"/>
      <c r="F90" t="inlineStr"/>
      <c r="G90" t="inlineStr">
        <is>
          <t>Boston, MA, US</t>
        </is>
      </c>
      <c r="H90" s="2" t="n">
        <v>45921</v>
      </c>
      <c r="I9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in-436969159f3d03ec</t>
        </is>
      </c>
      <c r="B91" t="inlineStr">
        <is>
          <t>Applied Scientist, Artificial General Intelligence</t>
        </is>
      </c>
      <c r="C91" t="inlineStr">
        <is>
          <t>Amazon.com</t>
        </is>
      </c>
      <c r="D91" t="inlineStr">
        <is>
          <t>indeed</t>
        </is>
      </c>
      <c r="E91" t="inlineStr"/>
      <c r="F91" t="inlineStr"/>
      <c r="G91" t="inlineStr">
        <is>
          <t>Bellevue, WA, US</t>
        </is>
      </c>
      <c r="H91" s="2" t="n">
        <v>45921</v>
      </c>
      <c r="I9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in-b237f945ee6e3041</t>
        </is>
      </c>
      <c r="B92" t="inlineStr">
        <is>
          <t>Applied Scientist, Artificial General Intelligence</t>
        </is>
      </c>
      <c r="C92" t="inlineStr">
        <is>
          <t>Amazon.com</t>
        </is>
      </c>
      <c r="D92" t="inlineStr">
        <is>
          <t>indeed</t>
        </is>
      </c>
      <c r="E92" t="inlineStr"/>
      <c r="F92" t="inlineStr"/>
      <c r="G92" t="inlineStr">
        <is>
          <t>Seattle, WA, US</t>
        </is>
      </c>
      <c r="H92" s="2" t="n">
        <v>45921</v>
      </c>
      <c r="I9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in-877b37c2f93f5584</t>
        </is>
      </c>
      <c r="B93" t="inlineStr">
        <is>
          <t>Applied Scientist, Artificial General Intelligence</t>
        </is>
      </c>
      <c r="C93" t="inlineStr">
        <is>
          <t>Amazon.com</t>
        </is>
      </c>
      <c r="D93" t="inlineStr">
        <is>
          <t>indeed</t>
        </is>
      </c>
      <c r="E93" t="inlineStr"/>
      <c r="F93" t="inlineStr"/>
      <c r="G93" t="inlineStr">
        <is>
          <t>New York, NY, US</t>
        </is>
      </c>
      <c r="H93" s="2" t="n">
        <v>45921</v>
      </c>
      <c r="I9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in-b7a483a21f8ee4e4</t>
        </is>
      </c>
      <c r="B94" t="inlineStr">
        <is>
          <t>Senior Applied Scientist, Model Customization, Generative AI Innovation Center</t>
        </is>
      </c>
      <c r="C94" t="inlineStr">
        <is>
          <t>Amazon Web Services</t>
        </is>
      </c>
      <c r="D94" t="inlineStr">
        <is>
          <t>indeed</t>
        </is>
      </c>
      <c r="E94" t="inlineStr"/>
      <c r="F94" t="inlineStr"/>
      <c r="G94" t="inlineStr">
        <is>
          <t>Arlington, VA, US</t>
        </is>
      </c>
      <c r="H94" s="2" t="n">
        <v>45908</v>
      </c>
      <c r="I9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in-b17b5ac3c3b0e9a7</t>
        </is>
      </c>
      <c r="B95" t="inlineStr">
        <is>
          <t>Senior Applied Scientist, Model Customization, Generative AI Innovation Center</t>
        </is>
      </c>
      <c r="C95" t="inlineStr">
        <is>
          <t>Amazon Web Services</t>
        </is>
      </c>
      <c r="D95" t="inlineStr">
        <is>
          <t>indeed</t>
        </is>
      </c>
      <c r="E95" t="inlineStr"/>
      <c r="F95" t="inlineStr"/>
      <c r="G95" t="inlineStr">
        <is>
          <t>New York, NY, US</t>
        </is>
      </c>
      <c r="H95" s="2" t="n">
        <v>45908</v>
      </c>
      <c r="I9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in-4f1afa12e1cded64</t>
        </is>
      </c>
      <c r="B96" t="inlineStr">
        <is>
          <t>Senior Applied Scientist, Model Customization, Generative AI Innovation Center</t>
        </is>
      </c>
      <c r="C96" t="inlineStr">
        <is>
          <t>Amazon Web Services</t>
        </is>
      </c>
      <c r="D96" t="inlineStr">
        <is>
          <t>indeed</t>
        </is>
      </c>
      <c r="E96" t="inlineStr"/>
      <c r="F96" t="inlineStr"/>
      <c r="G96" t="inlineStr">
        <is>
          <t>Seattle, WA, US</t>
        </is>
      </c>
      <c r="H96" s="2" t="n">
        <v>45908</v>
      </c>
      <c r="I9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in-3f710f25b378bc03</t>
        </is>
      </c>
      <c r="B97" t="inlineStr">
        <is>
          <t>Senior Applied Scientist, Model Customization, Generative AI Innovation Center</t>
        </is>
      </c>
      <c r="C97" t="inlineStr">
        <is>
          <t>Amazon Web Services</t>
        </is>
      </c>
      <c r="D97" t="inlineStr">
        <is>
          <t>indeed</t>
        </is>
      </c>
      <c r="E97" t="inlineStr"/>
      <c r="F97" t="inlineStr"/>
      <c r="G97" t="inlineStr">
        <is>
          <t>Bellevue, WA, US</t>
        </is>
      </c>
      <c r="H97" s="2" t="n">
        <v>45908</v>
      </c>
      <c r="I9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in-95813a80bfd83cc3</t>
        </is>
      </c>
      <c r="B98" t="inlineStr">
        <is>
          <t>Senior Applied Scientist, Artificial General Intelligence</t>
        </is>
      </c>
      <c r="C98" t="inlineStr">
        <is>
          <t>Amazon.com</t>
        </is>
      </c>
      <c r="D98" t="inlineStr">
        <is>
          <t>indeed</t>
        </is>
      </c>
      <c r="E98" t="inlineStr"/>
      <c r="F98" t="inlineStr"/>
      <c r="G98" t="inlineStr">
        <is>
          <t>Sunnyvale, CA, US</t>
        </is>
      </c>
      <c r="H98" s="2" t="n">
        <v>45907</v>
      </c>
      <c r="I9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in-517468d9321cc727</t>
        </is>
      </c>
      <c r="B99" t="inlineStr">
        <is>
          <t>Senior Applied Scientist, Artificial General Intelligence</t>
        </is>
      </c>
      <c r="C99" t="inlineStr">
        <is>
          <t>Amazon.com</t>
        </is>
      </c>
      <c r="D99" t="inlineStr">
        <is>
          <t>indeed</t>
        </is>
      </c>
      <c r="E99" t="inlineStr"/>
      <c r="F99" t="inlineStr"/>
      <c r="G99" t="inlineStr">
        <is>
          <t>Bellevue, WA, US</t>
        </is>
      </c>
      <c r="H99" s="2" t="n">
        <v>45907</v>
      </c>
      <c r="I9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in-3f834bee95c0a5b6</t>
        </is>
      </c>
      <c r="B100" t="inlineStr">
        <is>
          <t>Senior Applied Scientist, Artificial General Intelligence</t>
        </is>
      </c>
      <c r="C100" t="inlineStr">
        <is>
          <t>Amazon.com</t>
        </is>
      </c>
      <c r="D100" t="inlineStr">
        <is>
          <t>indeed</t>
        </is>
      </c>
      <c r="E100" t="inlineStr"/>
      <c r="F100" t="inlineStr"/>
      <c r="G100" t="inlineStr">
        <is>
          <t>Seattle, WA, US</t>
        </is>
      </c>
      <c r="H100" s="2" t="n">
        <v>45907</v>
      </c>
      <c r="I10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in-7b9f7ed7b069a2ed</t>
        </is>
      </c>
      <c r="B101" t="inlineStr">
        <is>
          <t>Senior Applied Scientist, Artificial General Intelligence</t>
        </is>
      </c>
      <c r="C101" t="inlineStr">
        <is>
          <t>Amazon.com</t>
        </is>
      </c>
      <c r="D101" t="inlineStr">
        <is>
          <t>indeed</t>
        </is>
      </c>
      <c r="E101" t="inlineStr"/>
      <c r="F101" t="inlineStr"/>
      <c r="G101" t="inlineStr">
        <is>
          <t>New York, NY, US</t>
        </is>
      </c>
      <c r="H101" s="2" t="n">
        <v>45907</v>
      </c>
      <c r="I10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in-3096cfcdc8029c84</t>
        </is>
      </c>
      <c r="B102" t="inlineStr">
        <is>
          <t>Principal Applied Scientist, AGI Foundations, AGI Foundations</t>
        </is>
      </c>
      <c r="C102" t="inlineStr">
        <is>
          <t>Amazon.com</t>
        </is>
      </c>
      <c r="D102" t="inlineStr">
        <is>
          <t>indeed</t>
        </is>
      </c>
      <c r="E102" t="inlineStr"/>
      <c r="F102" t="inlineStr"/>
      <c r="G102" t="inlineStr">
        <is>
          <t>Bellevue, WA, US</t>
        </is>
      </c>
      <c r="H102" s="2" t="n">
        <v>45856</v>
      </c>
      <c r="I1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in-c2b345fa8662c7a7</t>
        </is>
      </c>
      <c r="B103" t="inlineStr">
        <is>
          <t>Principal Applied Scientist, AGI Foundations, AGI Foundations</t>
        </is>
      </c>
      <c r="C103" t="inlineStr">
        <is>
          <t>Amazon.com</t>
        </is>
      </c>
      <c r="D103" t="inlineStr">
        <is>
          <t>indeed</t>
        </is>
      </c>
      <c r="E103" t="inlineStr"/>
      <c r="F103" t="inlineStr"/>
      <c r="G103" t="inlineStr">
        <is>
          <t>Boston, MA, US</t>
        </is>
      </c>
      <c r="H103" s="2" t="n">
        <v>45856</v>
      </c>
      <c r="I1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in-af9dc5d5a82be3dc</t>
        </is>
      </c>
      <c r="B104" t="inlineStr">
        <is>
          <t>Principal Applied Scientist, AGI Foundations, AGI Foundations</t>
        </is>
      </c>
      <c r="C104" t="inlineStr">
        <is>
          <t>Amazon.com</t>
        </is>
      </c>
      <c r="D104" t="inlineStr">
        <is>
          <t>indeed</t>
        </is>
      </c>
      <c r="E104" t="inlineStr"/>
      <c r="F104" t="inlineStr"/>
      <c r="G104" t="inlineStr">
        <is>
          <t>Sunnyvale, CA, US</t>
        </is>
      </c>
      <c r="H104" s="2" t="n">
        <v>45856</v>
      </c>
      <c r="I10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in-75c2055bb48704e5</t>
        </is>
      </c>
      <c r="B105" t="inlineStr">
        <is>
          <t>Principal Applied Scientist, AGI Foundations, AGI Foundations</t>
        </is>
      </c>
      <c r="C105" t="inlineStr">
        <is>
          <t>Amazon.com</t>
        </is>
      </c>
      <c r="D105" t="inlineStr">
        <is>
          <t>indeed</t>
        </is>
      </c>
      <c r="E105" t="inlineStr"/>
      <c r="F105" t="inlineStr"/>
      <c r="G105" t="inlineStr">
        <is>
          <t>New York, NY, US</t>
        </is>
      </c>
      <c r="H105" s="2" t="n">
        <v>45856</v>
      </c>
      <c r="I10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in-ad1e3dc88fe53174</t>
        </is>
      </c>
      <c r="B106" t="inlineStr">
        <is>
          <t>Sr. Applied Scientist, Amazon Advertising</t>
        </is>
      </c>
      <c r="C106" t="inlineStr">
        <is>
          <t>Amazon.com</t>
        </is>
      </c>
      <c r="D106" t="inlineStr">
        <is>
          <t>indeed</t>
        </is>
      </c>
      <c r="E106" t="inlineStr"/>
      <c r="F106" t="inlineStr"/>
      <c r="G106" t="inlineStr">
        <is>
          <t>Simi Valley, CA,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in-a690c9b9478dd075</t>
        </is>
      </c>
      <c r="B107" t="inlineStr">
        <is>
          <t>Sr. Applied Scientist, Amazon Advertising</t>
        </is>
      </c>
      <c r="C107" t="inlineStr">
        <is>
          <t>Amazon.com</t>
        </is>
      </c>
      <c r="D107" t="inlineStr">
        <is>
          <t>indeed</t>
        </is>
      </c>
      <c r="E107" t="inlineStr"/>
      <c r="F107" t="inlineStr"/>
      <c r="G107" t="inlineStr">
        <is>
          <t>Austin, TX,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in-4ccff07288a6935a</t>
        </is>
      </c>
      <c r="B108" t="inlineStr">
        <is>
          <t>Sr. Applied Scientist, Amazon Advertising</t>
        </is>
      </c>
      <c r="C108" t="inlineStr">
        <is>
          <t>Amazon.com</t>
        </is>
      </c>
      <c r="D108" t="inlineStr">
        <is>
          <t>indeed</t>
        </is>
      </c>
      <c r="E108" t="inlineStr"/>
      <c r="F108" t="inlineStr"/>
      <c r="G108" t="inlineStr">
        <is>
          <t>Arlington, VA,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in-4870f2f3637a83a2</t>
        </is>
      </c>
      <c r="B109" t="inlineStr">
        <is>
          <t>Sr. Applied Scientist, Amazon Advertising</t>
        </is>
      </c>
      <c r="C109" t="inlineStr">
        <is>
          <t>Amazon.com</t>
        </is>
      </c>
      <c r="D109" t="inlineStr">
        <is>
          <t>indeed</t>
        </is>
      </c>
      <c r="E109" t="inlineStr"/>
      <c r="F109" t="inlineStr"/>
      <c r="G109" t="inlineStr">
        <is>
          <t>Los Angeles,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in-eeb9b3d85e5d01c5</t>
        </is>
      </c>
      <c r="B110" t="inlineStr">
        <is>
          <t>Sr. Applied Scientist, Amazon Advertising</t>
        </is>
      </c>
      <c r="C110" t="inlineStr">
        <is>
          <t>Amazon.com</t>
        </is>
      </c>
      <c r="D110" t="inlineStr">
        <is>
          <t>indeed</t>
        </is>
      </c>
      <c r="E110" t="inlineStr"/>
      <c r="F110" t="inlineStr"/>
      <c r="G110" t="inlineStr">
        <is>
          <t>New York, NY,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in-fcd5a3387bb96e54</t>
        </is>
      </c>
      <c r="B111" t="inlineStr">
        <is>
          <t>Sr. Applied Scientist, Amazon Advertising</t>
        </is>
      </c>
      <c r="C111" t="inlineStr">
        <is>
          <t>Amazon.com</t>
        </is>
      </c>
      <c r="D111" t="inlineStr">
        <is>
          <t>indeed</t>
        </is>
      </c>
      <c r="E111" t="inlineStr"/>
      <c r="F111" t="inlineStr"/>
      <c r="G111" t="inlineStr">
        <is>
          <t>Palo Alto,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in-e544941e4d5b9fa9</t>
        </is>
      </c>
      <c r="B112" t="inlineStr">
        <is>
          <t>Sr. Applied Scientist, Amazon Advertising</t>
        </is>
      </c>
      <c r="C112" t="inlineStr">
        <is>
          <t>Amazon.com</t>
        </is>
      </c>
      <c r="D112" t="inlineStr">
        <is>
          <t>indeed</t>
        </is>
      </c>
      <c r="E112" t="inlineStr"/>
      <c r="F112" t="inlineStr"/>
      <c r="G112" t="inlineStr">
        <is>
          <t>Seattle, WA,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in-50b99067bfe32c53</t>
        </is>
      </c>
      <c r="B113" t="inlineStr">
        <is>
          <t>Sr. Applied Scientist, Amazon Advertising</t>
        </is>
      </c>
      <c r="C113" t="inlineStr">
        <is>
          <t>Amazon.com</t>
        </is>
      </c>
      <c r="D113" t="inlineStr">
        <is>
          <t>indeed</t>
        </is>
      </c>
      <c r="E113" t="inlineStr"/>
      <c r="F113" t="inlineStr"/>
      <c r="G113" t="inlineStr">
        <is>
          <t>West Hollywood,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in-864fd68ccd2228fe</t>
        </is>
      </c>
      <c r="B114" t="inlineStr">
        <is>
          <t>Senior Applied Scientist, Artificial General Intelligence</t>
        </is>
      </c>
      <c r="C114" t="inlineStr">
        <is>
          <t>Amazon.com</t>
        </is>
      </c>
      <c r="D114" t="inlineStr">
        <is>
          <t>indeed</t>
        </is>
      </c>
      <c r="E114" t="inlineStr"/>
      <c r="F114" t="inlineStr"/>
      <c r="G114" t="inlineStr">
        <is>
          <t>Boston, MA, US</t>
        </is>
      </c>
      <c r="H114" s="2" t="n">
        <v>45846</v>
      </c>
      <c r="I11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in-4c61767912e1ea22</t>
        </is>
      </c>
      <c r="B115" t="inlineStr">
        <is>
          <t>Senior Applied Scientist, Artificial General Intelligence</t>
        </is>
      </c>
      <c r="C115" t="inlineStr">
        <is>
          <t>Amazon.com</t>
        </is>
      </c>
      <c r="D115" t="inlineStr">
        <is>
          <t>indeed</t>
        </is>
      </c>
      <c r="E115" t="inlineStr"/>
      <c r="F115" t="inlineStr"/>
      <c r="G115" t="inlineStr">
        <is>
          <t>Sunnyvale, CA, US</t>
        </is>
      </c>
      <c r="H115" s="2" t="n">
        <v>45846</v>
      </c>
      <c r="I11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in-a7a872705944d4e4</t>
        </is>
      </c>
      <c r="B116" t="inlineStr">
        <is>
          <t>Senior Applied Scientist, Artificial General Intelligence</t>
        </is>
      </c>
      <c r="C116" t="inlineStr">
        <is>
          <t>Amazon.com</t>
        </is>
      </c>
      <c r="D116" t="inlineStr">
        <is>
          <t>indeed</t>
        </is>
      </c>
      <c r="E116" t="inlineStr"/>
      <c r="F116" t="inlineStr"/>
      <c r="G116" t="inlineStr">
        <is>
          <t>Seattle, WA, US</t>
        </is>
      </c>
      <c r="H116" s="2" t="n">
        <v>45846</v>
      </c>
      <c r="I11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in-809fe341439b7180</t>
        </is>
      </c>
      <c r="B117" t="inlineStr">
        <is>
          <t>Machine Learning Engineer, Amazon General Intelligence (AGI)</t>
        </is>
      </c>
      <c r="C117" t="inlineStr">
        <is>
          <t>Amazon.com</t>
        </is>
      </c>
      <c r="D117" t="inlineStr">
        <is>
          <t>indeed</t>
        </is>
      </c>
      <c r="E117" t="inlineStr"/>
      <c r="F117" t="inlineStr"/>
      <c r="G117" t="inlineStr">
        <is>
          <t>Bellevue, WA, US</t>
        </is>
      </c>
      <c r="H117" s="2" t="n">
        <v>45813</v>
      </c>
      <c r="I11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in-503fee2dc200443e</t>
        </is>
      </c>
      <c r="B118" t="inlineStr">
        <is>
          <t>Machine Learning Engineer, Amazon General Intelligence (AGI)</t>
        </is>
      </c>
      <c r="C118" t="inlineStr">
        <is>
          <t>Amazon.com</t>
        </is>
      </c>
      <c r="D118" t="inlineStr">
        <is>
          <t>indeed</t>
        </is>
      </c>
      <c r="E118" t="inlineStr"/>
      <c r="F118" t="inlineStr"/>
      <c r="G118" t="inlineStr">
        <is>
          <t>Seattle, WA, US</t>
        </is>
      </c>
      <c r="H118" s="2" t="n">
        <v>45813</v>
      </c>
      <c r="I11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in-cea645f9ff6be319</t>
        </is>
      </c>
      <c r="B119" t="inlineStr">
        <is>
          <t>Principal Applied Scientist, FAR (Frontier AI &amp; Robotics)</t>
        </is>
      </c>
      <c r="C119" t="inlineStr">
        <is>
          <t>Amazon.com</t>
        </is>
      </c>
      <c r="D119" t="inlineStr">
        <is>
          <t>indeed</t>
        </is>
      </c>
      <c r="E119" t="inlineStr"/>
      <c r="F119" t="inlineStr"/>
      <c r="G119" t="inlineStr">
        <is>
          <t>San Francisco, CA, US</t>
        </is>
      </c>
      <c r="H119" s="2" t="n">
        <v>45740</v>
      </c>
      <c r="I11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in-8e8af19077b53b57</t>
        </is>
      </c>
      <c r="B120" t="inlineStr">
        <is>
          <t>Principal Applied Scientist, FAR (Frontier AI &amp; Robotics)</t>
        </is>
      </c>
      <c r="C120" t="inlineStr">
        <is>
          <t>Amazon.com</t>
        </is>
      </c>
      <c r="D120" t="inlineStr">
        <is>
          <t>indeed</t>
        </is>
      </c>
      <c r="E120" t="inlineStr"/>
      <c r="F120" t="inlineStr"/>
      <c r="G120" t="inlineStr">
        <is>
          <t>Seattle, WA, US</t>
        </is>
      </c>
      <c r="H120" s="2" t="n">
        <v>45740</v>
      </c>
      <c r="I1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in-41bf6062fc51b773</t>
        </is>
      </c>
      <c r="B121" t="inlineStr">
        <is>
          <t>Senior AI Engineer</t>
        </is>
      </c>
      <c r="C121" t="inlineStr">
        <is>
          <t>Cogent People Inc</t>
        </is>
      </c>
      <c r="D121" t="inlineStr">
        <is>
          <t>indeed</t>
        </is>
      </c>
      <c r="E121" t="inlineStr"/>
      <c r="F121" t="inlineStr"/>
      <c r="G121" t="inlineStr">
        <is>
          <t>Columbia, MD, US</t>
        </is>
      </c>
      <c r="H121" s="2" t="n">
        <v>46026</v>
      </c>
      <c r="I121" t="inlineStr">
        <is>
          <t>Description:
**Location:** Hybrid
**Residency Requirement:** Candidates must have lived continuously in the United States for at least 3 full years within the last 5 years, without any breaks in residency and be authorized to work in the U.S. for any employer (U.S. Citizen, Permanent Resident (Green Card holder), Employment Authorization Document (EAD))
**Work Authorization Sponsorship (H1B Visa):** This position is not eligible for work authorization sponsorship
**Clearance:** Public Trust Clearance (or ability to obtain)
**Job Overview:**
Cogent People is seeking a **Senior AI Engineer (AI/ML, AWS, Healthcare)** to design and implement advanced artificial intelligence solutions in support of a large\-scale federal healthcare modernization initiative. This role offers the opportunity to work on mission\-critical systems that apply AI technologies to drive meaningful improvements across the healthcare ecosystem.
The ideal candidate is a hands\-on software engineer with experience building enterprise\-scale, cloud\-based solutions using Python, Java, and modern AI frameworks. Success in this role requires strong technical expertise, a collaborative mindset, and the ability to thrive in a fast\-paced, mission\-driven environment.
Requirements:
**Responsibilities**
* Design and develop AI\-powered analytics and automation solutions supporting large\-scale healthcare initiatives.
* Evaluate emerging technologies and recommend innovative approaches to enhance system functionality and performance.
* Collaborate closely with senior engineers, architects, and business stakeholders to deliver integrated, high\-quality solutions.
* Debug, optimize, and test applications to ensure scalability, reliability, and performance.
* Contribute to DevSecOps practices, leveraging best\-in\-class AWS tools and services.
* Create and maintain technical documentation and actively participate in code reviews to uphold engineering standards.
* Present AI solutions and technical concepts to both technical and non\-technical audiences.
* Stay current with advancements in AI, cloud technologies, and modern software engineering practices.
**Required Qualifications**
* Bachelor’s degree in Computer Science, Information Systems, or a related field
* 5\+ years of professional software development experience
* 2\+ years of hands\-on AI solution development, including:
 Implementation of AI capabilities such as RAG, MCP, and Agentic AI
 Knowledge of machine learning concepts, techniques, and frameworks (e.g., TensorFlow, PyTorch, Keras)  
 Experience using data libraries such as NumPy and Pandas, and building AI/ML data pipelines  
 Experience designing and implementing batch and streaming data pipelines feeding AI/ML systems
* Proven experience developing large\-scale applications using Java (Spring Boot, Spring Batch) and Python (Flask)
* 3\+ years of experience with AWS services, including Lambda and Bedrock
* Proficiency with relational and NoSQL databases and understanding of data warehousing concepts
* Strong knowledge of Linux systems and shell scripting
* Excellent communication, collaboration, and problem\-solving skills
* Self\-motivated professional with strong initiative and attention to detail
**Preferred Qualifications**
* Familiarity with Databricks, Snowflake, or similar platforms
* Experience working within agile development environments
* AWS certification
* Experience supporting regulated industries, such as federal government or healthcare
**Why Cogent People**
At Cogent People, we foster a collaborative, growth\-driven environment where innovation thrives. You’ll be part of a team working on mission\-critical technology solutions that make a real impact. We offer competitive salaries, career development opportunities, and the chance to contribute to meaningful projects that shape the future.
As a Certified Great Place to Work, we prioritize employee satisfaction and provide a supportive, inclusive culture where every team member is valued and empowered to succeed.
**Benefits:**
**Health, Dental, and Vision Insurance:** Comprehensive coverage.
**401(k) Plan:** Matching contributions.
**Life Insurance \&amp; Disability Coverage:** Company\-paid life, short\-term, and long\-term disability insurance.
**Paid Time Off:** 3 weeks of PTO annually, plus 10 holidays.
**EEO Employer:** Cogent People is an equal opportunity employer. All qualified applicants will receive consideration for employment without regard to race, religion, color, national origin, gender, gender identity, sexual orientation, age, disability status, or any other status protected by law.</t>
        </is>
      </c>
    </row>
    <row r="122">
      <c r="A122" t="inlineStr">
        <is>
          <t>in-914aaca14e9de79b</t>
        </is>
      </c>
      <c r="B122" t="inlineStr">
        <is>
          <t>Machine Learning Engineer, Model Customization, Generative AI Innovation Center</t>
        </is>
      </c>
      <c r="C122" t="inlineStr">
        <is>
          <t>Amazon Web Services</t>
        </is>
      </c>
      <c r="D122" t="inlineStr">
        <is>
          <t>indeed</t>
        </is>
      </c>
      <c r="E122" t="inlineStr"/>
      <c r="F122" t="inlineStr"/>
      <c r="G122" t="inlineStr">
        <is>
          <t>Seattle, WA, US</t>
        </is>
      </c>
      <c r="H122" s="2" t="n">
        <v>46008</v>
      </c>
      <c r="I12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in-0ffcb91f7aea7da1</t>
        </is>
      </c>
      <c r="B123" t="inlineStr">
        <is>
          <t>Machine Learning Engineer, Model Customization, Generative AI Innovation Center</t>
        </is>
      </c>
      <c r="C123" t="inlineStr">
        <is>
          <t>Amazon Web Services</t>
        </is>
      </c>
      <c r="D123" t="inlineStr">
        <is>
          <t>indeed</t>
        </is>
      </c>
      <c r="E123" t="inlineStr"/>
      <c r="F123" t="inlineStr"/>
      <c r="G123" t="inlineStr">
        <is>
          <t>Mountain View, CA, US</t>
        </is>
      </c>
      <c r="H123" s="2" t="n">
        <v>46008</v>
      </c>
      <c r="I12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in-288b4fac800f5940</t>
        </is>
      </c>
      <c r="B124" t="inlineStr">
        <is>
          <t>Sr. Machine Learning Engineer, AGIF | Finetuning</t>
        </is>
      </c>
      <c r="C124" t="inlineStr">
        <is>
          <t>Amazon.com</t>
        </is>
      </c>
      <c r="D124" t="inlineStr">
        <is>
          <t>indeed</t>
        </is>
      </c>
      <c r="E124" t="inlineStr"/>
      <c r="F124" t="inlineStr"/>
      <c r="G124" t="inlineStr">
        <is>
          <t>Sunnyvale, CA, US</t>
        </is>
      </c>
      <c r="H124" s="2" t="n">
        <v>45984</v>
      </c>
      <c r="I12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in-f790c2e9dacff5a2</t>
        </is>
      </c>
      <c r="B125" t="inlineStr">
        <is>
          <t>Sr. Machine Learning Engineer, AGIF | Finetuning</t>
        </is>
      </c>
      <c r="C125" t="inlineStr">
        <is>
          <t>Amazon.com</t>
        </is>
      </c>
      <c r="D125" t="inlineStr">
        <is>
          <t>indeed</t>
        </is>
      </c>
      <c r="E125" t="inlineStr"/>
      <c r="F125" t="inlineStr"/>
      <c r="G125" t="inlineStr">
        <is>
          <t>Bellevue, WA, US</t>
        </is>
      </c>
      <c r="H125" s="2" t="n">
        <v>45984</v>
      </c>
      <c r="I12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in-e796526ba256819f</t>
        </is>
      </c>
      <c r="B126" t="inlineStr">
        <is>
          <t>Sr. Machine Learning Engineer, AGIF | Finetuning</t>
        </is>
      </c>
      <c r="C126" t="inlineStr">
        <is>
          <t>Amazon.com</t>
        </is>
      </c>
      <c r="D126" t="inlineStr">
        <is>
          <t>indeed</t>
        </is>
      </c>
      <c r="E126" t="inlineStr"/>
      <c r="F126" t="inlineStr"/>
      <c r="G126" t="inlineStr">
        <is>
          <t>New York, NY, US</t>
        </is>
      </c>
      <c r="H126" s="2" t="n">
        <v>45984</v>
      </c>
      <c r="I12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in-18651e53ba5ff8f4</t>
        </is>
      </c>
      <c r="B127" t="inlineStr">
        <is>
          <t>AI Machine Learning Engineer, Senior / Orlando, FL</t>
        </is>
      </c>
      <c r="C127" t="inlineStr">
        <is>
          <t>Lockheed Martin</t>
        </is>
      </c>
      <c r="D127" t="inlineStr">
        <is>
          <t>indeed</t>
        </is>
      </c>
      <c r="E127" t="inlineStr"/>
      <c r="F127" t="inlineStr"/>
      <c r="G127" t="inlineStr">
        <is>
          <t>Orlando, FL, US</t>
        </is>
      </c>
      <c r="H127" s="2" t="n">
        <v>45971</v>
      </c>
      <c r="I127" t="inlineStr">
        <is>
          <t>**Job ID:** 710297BR
**Date posted:** Nov. 11, 2025  
**Description:**  
You will be a Analytics / Machine Learning Engineer in our Software Engineering organization.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**What You Will Be Doing**  
As a Analytics / Machine Learning Engineer, your responsibilities will include:
* Leverage advanced analytics, web development, data engineering, and machine learning to drive data\-driven decision\-making across MFC engineering and production
* Apply advanced statistical techniques, machine learning algorithms, and data visualization methods to identify trends, patterns, and correlations in data from engineering development and production sources
* Develop, implement, and advocate for AI\-powered solutions
Key responsibilities will include:  
* Collaborate with researchers and engineers to identify opportunities for AI/ML applications and develop proof\-of\-concepts
* Establish rigorous standards for ML Ops strategies for various programs and applications
* Maintain AI/ML systems, including data pipelines, model training, optimization, and deployment
* Stay current with the latest advancements in AI/ML, including new algorithms, techniques, and tools
* Collaborate with external partners, including academia and industry, to advance ML Ops research and applications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Orlando, Florida. We offer flexible work schedules to comprehensive benefits investing in your future and security, Learn more about Lockheed Martin's comprehensive benefits package here.  
**Further Information About This Opportunity:**  
This position is in Orlando. Discover more about our Orlando, Florida location.  
MUST BE A U.S. CITIZEN \- This position is located at a facility that requires special access. The selected candidate must be able to obtain a secret clearance.  
**Basic Qualifications:**  
* Master's or Ph.D. degree in Computer Science, Electrical Engineering, or a related field
* 3\+ years of experience in AI/ML research and deployment, with a strong background in ML Ops
* Proficiency in programming languages such as Python and C\+\+
* Experience with AI/ML frameworks and libraries, including TensorFlow, PyTorch, and scikit\-learn
* Software development skills, with experience in version control systems
* Ability to obtain an interim secret security clearance prior to start and therefore must be US Citizen.
**Desired Skills:**  
* Experience with ML pipeline packages such as Flyte, Kubeflow pipelines, and MLFlow
* Strong communication and collaboration skills, with the ability to work effectively in a team environment
* Experience with data storage libraries such as Feathr and LakeFS
* Familiarity with containerization using Docker and Kubernetes
* Strong understanding of statistical modeling and machine learning techniques.
* Experience with agile development methodologies and version control systems
* Experience in deployment of AI and statistical algorithm systems on high performance compute infrastructure
* Experience with AI/ML ethics, fairness, and transparency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Software Engineering  
**Type:** Full\-Time  
**Shift:** First</t>
        </is>
      </c>
    </row>
    <row r="128">
      <c r="A128" t="inlineStr">
        <is>
          <t>in-d03fcb6d4c84e51e</t>
        </is>
      </c>
      <c r="B128" t="inlineStr">
        <is>
          <t>Lead AI/ML Engineer, Recommendation Systems</t>
        </is>
      </c>
      <c r="C128" t="inlineStr">
        <is>
          <t>Amazon.com</t>
        </is>
      </c>
      <c r="D128" t="inlineStr">
        <is>
          <t>indeed</t>
        </is>
      </c>
      <c r="E128" t="inlineStr"/>
      <c r="F128" t="inlineStr"/>
      <c r="G128" t="inlineStr">
        <is>
          <t>Seattle, WA, US</t>
        </is>
      </c>
      <c r="H128" s="2" t="n">
        <v>45892</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in-31fcc2cd56b9e1af</t>
        </is>
      </c>
      <c r="B129" t="inlineStr">
        <is>
          <t>Lead AI/ML Engineer, Recommendation Systems</t>
        </is>
      </c>
      <c r="C129" t="inlineStr">
        <is>
          <t>Amazon.com</t>
        </is>
      </c>
      <c r="D129" t="inlineStr">
        <is>
          <t>indeed</t>
        </is>
      </c>
      <c r="E129" t="inlineStr"/>
      <c r="F129" t="inlineStr"/>
      <c r="G129" t="inlineStr">
        <is>
          <t>New York, NY, US</t>
        </is>
      </c>
      <c r="H129" s="2" t="n">
        <v>45892</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in-880eccbf1a718c2b</t>
        </is>
      </c>
      <c r="B130" t="inlineStr">
        <is>
          <t>Machine Learning Engineer - Personalization</t>
        </is>
      </c>
      <c r="C130" t="inlineStr">
        <is>
          <t>Amazon.com</t>
        </is>
      </c>
      <c r="D130" t="inlineStr">
        <is>
          <t>indeed</t>
        </is>
      </c>
      <c r="E130" t="inlineStr"/>
      <c r="F130" t="inlineStr"/>
      <c r="G130" t="inlineStr">
        <is>
          <t>Seattle, WA, US</t>
        </is>
      </c>
      <c r="H130" s="2" t="n">
        <v>45892</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in-71c1f5a352c8999a</t>
        </is>
      </c>
      <c r="B131" t="inlineStr">
        <is>
          <t>Machine Learning Engineer - Personalization</t>
        </is>
      </c>
      <c r="C131" t="inlineStr">
        <is>
          <t>Amazon.com</t>
        </is>
      </c>
      <c r="D131" t="inlineStr">
        <is>
          <t>indeed</t>
        </is>
      </c>
      <c r="E131" t="inlineStr"/>
      <c r="F131" t="inlineStr"/>
      <c r="G131" t="inlineStr">
        <is>
          <t>Sunnyvale, CA, US</t>
        </is>
      </c>
      <c r="H131" s="2" t="n">
        <v>45892</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in-5dbe059a6d57976d</t>
        </is>
      </c>
      <c r="B132" t="inlineStr">
        <is>
          <t>Machine Learning Engineer - Personalization</t>
        </is>
      </c>
      <c r="C132" t="inlineStr">
        <is>
          <t>Amazon.com</t>
        </is>
      </c>
      <c r="D132" t="inlineStr">
        <is>
          <t>indeed</t>
        </is>
      </c>
      <c r="E132" t="inlineStr"/>
      <c r="F132" t="inlineStr"/>
      <c r="G132" t="inlineStr">
        <is>
          <t>New York, NY,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in-205f51c745510b6b</t>
        </is>
      </c>
      <c r="B133" t="inlineStr">
        <is>
          <t>Lead AI/ML Engineer, Recommendation Systems</t>
        </is>
      </c>
      <c r="C133" t="inlineStr">
        <is>
          <t>Amazon.com</t>
        </is>
      </c>
      <c r="D133" t="inlineStr">
        <is>
          <t>indeed</t>
        </is>
      </c>
      <c r="E133" t="inlineStr"/>
      <c r="F133" t="inlineStr"/>
      <c r="G133" t="inlineStr">
        <is>
          <t>Sunnyvale, CA,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in-eecd2e959b41a2ee</t>
        </is>
      </c>
      <c r="B134" t="inlineStr">
        <is>
          <t>Senior Delivery Consultant - Senior Machine Learning Engineer, AWS Professional Services, AWS Professional Services</t>
        </is>
      </c>
      <c r="C134" t="inlineStr">
        <is>
          <t>Amazon Web Services</t>
        </is>
      </c>
      <c r="D134" t="inlineStr">
        <is>
          <t>indeed</t>
        </is>
      </c>
      <c r="E134" t="inlineStr"/>
      <c r="F134" t="inlineStr"/>
      <c r="G134" t="inlineStr">
        <is>
          <t>Herndon, VA, US</t>
        </is>
      </c>
      <c r="H134" s="2" t="n">
        <v>45825</v>
      </c>
      <c r="I13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in-eb9aff1de84c1b9c</t>
        </is>
      </c>
      <c r="B135" t="inlineStr">
        <is>
          <t>Senior Delivery Consultant - Senior Machine Learning Engineer, AWS Professional Services, AWS Professional Services</t>
        </is>
      </c>
      <c r="C135" t="inlineStr">
        <is>
          <t>Amazon Web Services</t>
        </is>
      </c>
      <c r="D135" t="inlineStr">
        <is>
          <t>indeed</t>
        </is>
      </c>
      <c r="E135" t="inlineStr"/>
      <c r="F135" t="inlineStr"/>
      <c r="G135" t="inlineStr">
        <is>
          <t>Atlanta, GA, US</t>
        </is>
      </c>
      <c r="H135" s="2" t="n">
        <v>45825</v>
      </c>
      <c r="I13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in-79965a3d11106546</t>
        </is>
      </c>
      <c r="B136" t="inlineStr">
        <is>
          <t>Senior Delivery Consultant - Senior Machine Learning Engineer, AWS Professional Services, AWS Professional Services</t>
        </is>
      </c>
      <c r="C136" t="inlineStr">
        <is>
          <t>Amazon Web Services</t>
        </is>
      </c>
      <c r="D136" t="inlineStr">
        <is>
          <t>indeed</t>
        </is>
      </c>
      <c r="E136" t="inlineStr"/>
      <c r="F136" t="inlineStr"/>
      <c r="G136" t="inlineStr">
        <is>
          <t>Austin, TX, US</t>
        </is>
      </c>
      <c r="H136" s="2" t="n">
        <v>45825</v>
      </c>
      <c r="I1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in-8431bfe8157d2eb3</t>
        </is>
      </c>
      <c r="B137" t="inlineStr">
        <is>
          <t>Senior Delivery Consultant - Senior Machine Learning Engineer, AWS Professional Services, AWS Professional Services</t>
        </is>
      </c>
      <c r="C137" t="inlineStr">
        <is>
          <t>Amazon Web Services</t>
        </is>
      </c>
      <c r="D137" t="inlineStr">
        <is>
          <t>indeed</t>
        </is>
      </c>
      <c r="E137" t="inlineStr"/>
      <c r="F137" t="inlineStr"/>
      <c r="G137" t="inlineStr">
        <is>
          <t>Seattle, WA,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in-ebd33eebc5ca6f4e</t>
        </is>
      </c>
      <c r="B138" t="inlineStr">
        <is>
          <t>Senior Delivery Consultant - Senior Machine Learning Engineer, AWS Professional Services, AWS Professional Services</t>
        </is>
      </c>
      <c r="C138" t="inlineStr">
        <is>
          <t>Amazon Web Services</t>
        </is>
      </c>
      <c r="D138" t="inlineStr">
        <is>
          <t>indeed</t>
        </is>
      </c>
      <c r="E138" t="inlineStr"/>
      <c r="F138" t="inlineStr"/>
      <c r="G138" t="inlineStr">
        <is>
          <t>Arlington, VA,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in-b6f8ed3c6d2edeb2</t>
        </is>
      </c>
      <c r="B139" t="inlineStr">
        <is>
          <t>Senior Delivery Consultant - Senior Machine Learning Engineer, AWS Professional Services, AWS Professional Services</t>
        </is>
      </c>
      <c r="C139" t="inlineStr">
        <is>
          <t>Amazon Web Services</t>
        </is>
      </c>
      <c r="D139" t="inlineStr">
        <is>
          <t>indeed</t>
        </is>
      </c>
      <c r="E139" t="inlineStr"/>
      <c r="F139" t="inlineStr"/>
      <c r="G139" t="inlineStr">
        <is>
          <t>Chicago, IL,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in-0141097edf3b714e</t>
        </is>
      </c>
      <c r="B140" t="inlineStr">
        <is>
          <t>Senior Delivery Consultant - Senior Machine Learning Engineer, AWS Professional Services, AWS Professional Services</t>
        </is>
      </c>
      <c r="C140" t="inlineStr">
        <is>
          <t>Amazon Web Services</t>
        </is>
      </c>
      <c r="D140" t="inlineStr">
        <is>
          <t>indeed</t>
        </is>
      </c>
      <c r="E140" t="inlineStr"/>
      <c r="F140" t="inlineStr"/>
      <c r="G140" t="inlineStr">
        <is>
          <t>New York, NY,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in-aecbd335e65297c9</t>
        </is>
      </c>
      <c r="B141" t="inlineStr">
        <is>
          <t>Senior Delivery Consultant - Senior Machine Learning Engineer, AWS Professional Services, AWS Professional Services</t>
        </is>
      </c>
      <c r="C141" t="inlineStr">
        <is>
          <t>Amazon Web Services</t>
        </is>
      </c>
      <c r="D141" t="inlineStr">
        <is>
          <t>indeed</t>
        </is>
      </c>
      <c r="E141" t="inlineStr"/>
      <c r="F141" t="inlineStr"/>
      <c r="G141" t="inlineStr">
        <is>
          <t>Dallas, TX,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in-0cbe37eadbe6088e</t>
        </is>
      </c>
      <c r="B142" t="inlineStr">
        <is>
          <t>Senior Delivery Consultant - Senior Machine Learning Engineer, AWS Professional Services, AWS Professional Services</t>
        </is>
      </c>
      <c r="C142" t="inlineStr">
        <is>
          <t>Amazon Web Services</t>
        </is>
      </c>
      <c r="D142" t="inlineStr">
        <is>
          <t>indeed</t>
        </is>
      </c>
      <c r="E142" t="inlineStr"/>
      <c r="F142" t="inlineStr"/>
      <c r="G142" t="inlineStr">
        <is>
          <t>Boston, MA,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in-0c874e2429e1575a</t>
        </is>
      </c>
      <c r="B143" t="inlineStr">
        <is>
          <t>Sr. Machine Learning Engineer, Amazon General Intelligence (AGI)</t>
        </is>
      </c>
      <c r="C143" t="inlineStr">
        <is>
          <t>Amazon.com</t>
        </is>
      </c>
      <c r="D143" t="inlineStr">
        <is>
          <t>indeed</t>
        </is>
      </c>
      <c r="E143" t="inlineStr"/>
      <c r="F143" t="inlineStr"/>
      <c r="G143" t="inlineStr">
        <is>
          <t>Bellevue, WA, US</t>
        </is>
      </c>
      <c r="H143" s="2" t="n">
        <v>45813</v>
      </c>
      <c r="I14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in-f76bf12f765c9393</t>
        </is>
      </c>
      <c r="B144" t="inlineStr">
        <is>
          <t>Sr. Machine Learning Engineer, Amazon General Intelligence (AGI)</t>
        </is>
      </c>
      <c r="C144" t="inlineStr">
        <is>
          <t>Amazon.com</t>
        </is>
      </c>
      <c r="D144" t="inlineStr">
        <is>
          <t>indeed</t>
        </is>
      </c>
      <c r="E144" t="inlineStr"/>
      <c r="F144" t="inlineStr"/>
      <c r="G144" t="inlineStr">
        <is>
          <t>Seattle, WA, US</t>
        </is>
      </c>
      <c r="H144" s="2" t="n">
        <v>45813</v>
      </c>
      <c r="I14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in-0d693d5ddce77180</t>
        </is>
      </c>
      <c r="B145" t="inlineStr">
        <is>
          <t>Applied Scientist, Personalization, DTx Science</t>
        </is>
      </c>
      <c r="C145" t="inlineStr">
        <is>
          <t>Amazon.com</t>
        </is>
      </c>
      <c r="D145" t="inlineStr">
        <is>
          <t>indeed</t>
        </is>
      </c>
      <c r="E145" t="inlineStr"/>
      <c r="F145" t="inlineStr"/>
      <c r="G145" t="inlineStr">
        <is>
          <t>New York, NY, US</t>
        </is>
      </c>
      <c r="H145" s="2" t="n">
        <v>45979</v>
      </c>
      <c r="I14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in-726de0502f7837fd</t>
        </is>
      </c>
      <c r="B146" t="inlineStr">
        <is>
          <t>Applied Scientist, Personalization, DTx Science</t>
        </is>
      </c>
      <c r="C146" t="inlineStr">
        <is>
          <t>Amazon.com</t>
        </is>
      </c>
      <c r="D146" t="inlineStr">
        <is>
          <t>indeed</t>
        </is>
      </c>
      <c r="E146" t="inlineStr"/>
      <c r="F146" t="inlineStr"/>
      <c r="G146" t="inlineStr">
        <is>
          <t>Seattle, WA, US</t>
        </is>
      </c>
      <c r="H146" s="2" t="n">
        <v>45979</v>
      </c>
      <c r="I1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in-02c19c7671e91ebb</t>
        </is>
      </c>
      <c r="B147" t="inlineStr">
        <is>
          <t>Applied Scientist, Sponsored Products</t>
        </is>
      </c>
      <c r="C147" t="inlineStr">
        <is>
          <t>Amazon.com</t>
        </is>
      </c>
      <c r="D147" t="inlineStr">
        <is>
          <t>indeed</t>
        </is>
      </c>
      <c r="E147" t="inlineStr"/>
      <c r="F147" t="inlineStr"/>
      <c r="G147" t="inlineStr">
        <is>
          <t>Seattle, WA, US</t>
        </is>
      </c>
      <c r="H147" s="2" t="n">
        <v>45971</v>
      </c>
      <c r="I14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in-1193304aef10fae3</t>
        </is>
      </c>
      <c r="B148" t="inlineStr">
        <is>
          <t>Sr. Applied Scientist, Sales AI</t>
        </is>
      </c>
      <c r="C148" t="inlineStr">
        <is>
          <t>Amazon.com</t>
        </is>
      </c>
      <c r="D148" t="inlineStr">
        <is>
          <t>indeed</t>
        </is>
      </c>
      <c r="E148" t="inlineStr"/>
      <c r="F148" t="inlineStr"/>
      <c r="G148" t="inlineStr">
        <is>
          <t>New York, NY, US</t>
        </is>
      </c>
      <c r="H148" s="2" t="n">
        <v>45830</v>
      </c>
      <c r="I14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in-df9b98d59612f14e</t>
        </is>
      </c>
      <c r="B149" t="inlineStr">
        <is>
          <t>Sr. Applied Scientist, Sales AI</t>
        </is>
      </c>
      <c r="C149" t="inlineStr">
        <is>
          <t>Amazon.com</t>
        </is>
      </c>
      <c r="D149" t="inlineStr">
        <is>
          <t>indeed</t>
        </is>
      </c>
      <c r="E149" t="inlineStr"/>
      <c r="F149" t="inlineStr"/>
      <c r="G149" t="inlineStr">
        <is>
          <t>Sunnyvale, CA, US</t>
        </is>
      </c>
      <c r="H149" s="2" t="n">
        <v>45830</v>
      </c>
      <c r="I14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in-ac86a51607126cf7</t>
        </is>
      </c>
      <c r="B150" t="inlineStr">
        <is>
          <t>Sr. Applied Scientist, Sales AI</t>
        </is>
      </c>
      <c r="C150" t="inlineStr">
        <is>
          <t>Amazon.com</t>
        </is>
      </c>
      <c r="D150" t="inlineStr">
        <is>
          <t>indeed</t>
        </is>
      </c>
      <c r="E150" t="inlineStr"/>
      <c r="F150" t="inlineStr"/>
      <c r="G150" t="inlineStr">
        <is>
          <t>Seattle, WA, US</t>
        </is>
      </c>
      <c r="H150" s="2"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in-606229070e6be6ab</t>
        </is>
      </c>
      <c r="B151" t="inlineStr">
        <is>
          <t>Staff/Senior AI/ML Engineer - (Dublin, CA)</t>
        </is>
      </c>
      <c r="C151" t="inlineStr">
        <is>
          <t>Articul8</t>
        </is>
      </c>
      <c r="D151" t="inlineStr">
        <is>
          <t>indeed</t>
        </is>
      </c>
      <c r="E151" t="inlineStr"/>
      <c r="F151" t="inlineStr"/>
      <c r="G151" t="inlineStr">
        <is>
          <t>Dublin, CA, US</t>
        </is>
      </c>
      <c r="H151" s="2" t="n">
        <v>46026</v>
      </c>
      <c r="I151" t="inlineStr">
        <is>
          <t>**About Articul8 AI**
At Articul8, we build enterprise\-grade Generative AI solutions that help global organizations unlock new value from their data. Our platform is trusted by some of the world's most innovative companies, and we partner closely with customers to design, deploy, and scale AI solutions that deliver measurable impact.
As a fast\-moving **startup**, we move with urgency and focus. Every team member has real ownership, and the work you do here directly shapes our platform and our customers’ success. If you thrive in an environment where innovation happens daily and impact is visible, Articul8 is the place to do the best work of your career.
**Role Overview**
We are seeking a **Senior** or **Staff AI/ML Engineer** to design, develop, and deploy AI\-driven solutions that solve real\-world problems at scale. You will develop machine learning models, algorithms, fine\-tune large language models (LLMs), and implement other AI functionalities while optimizing performance for production environments.
You will work directly with our customers to understand their requirements and collaborate closely with **our Customer Success team** to translate those needs into actionable tasks to implement the solution into our platform. You will also work cross\-functionally with Product, Engineering, and Applied Research teams to create and deploy the most effective solutions at scale.
This role requires deep expertise in model architectures, AI/ML frameworks, cloud platforms, and software engineering best practices. For the Staff position, you must possess T\-shaped skills to develop end\-to\-end solutions. This includes selecting and developing appropriate AI models down to the layer architecture, designing modularized training and inference methods, architecting Agentic workflows, and implementing production\-level code with thorough testing. Experience mentoring junior Data Scientists and/or AI/ML Engineers is highly desired.
**Key Responsibilities**
* Design, develop, and deploy AI/ML models ranging from traditional ML regression algorithms to transformer\-based architectures.
* Train, fine\-tune, and optimize deep learning and LLM\-based solutions.
* Engage with customers to understand their needs and transform them into actionable tasks for developing new functionalities within the Articul8 platform.
* Collaborate with researchers, software engineers, and product teams to integrate new AI capabilities into our applications.
* Implement and evaluate state\-of\-the\-art automated testing and metrics to improve model accuracy and efficiency.
* Optimize models for both cloud and on\-premises environments to ensure low latency and high availability.
* Develop APIs and micro\-services to serve AI models in production.
* Stay current with the latest AI models, research, and best practices.
* Ensure ethical AI practices, data privacy, and security compliance.
**Our Culture Matters**
At Articul8, culture isn’t just words — it’s how we show up for each other and our customers:
* **Practice humility** – Listen first, respect all voices, and recognize that great solutions are built together.
* **Bias for outcomes** – Focus on impact, not just effort; deliver meaningful results that matter to our customers.
* **Care deeply** – Invest in relationships, act with empathy, and put customer and teammate success at the center.
* **Dare to do the impossible \&amp; embrace scarcity** – Push boundaries with creativity and resourcefulness, even when constraints are real.
* **Build a better world** – Use our technology and platform to create solutions that benefit not just enterprises, but society at large.
**Required Qualifications**
* **Master's** or **PhD** in Computer Science, AI, Machine Learning, or equivalent engineering field.
* **8\+ years** of experience in AI/ML modeling development and deployment for the Senior role, **10\+ years** for the **Staff** role.
* Expert\-level programming skills in **Python** and ML frameworks like **PyTorch**.
* Experience with **LLMs**, NLP, computer vision, or reinforcement learning.
* Experience with ML modeling for multi\-dimensional, large time\-series datasets.
* Strong proficiency in containerization technologies including Docker and Kubernetes.
* Proficiency in data preprocessing and model evaluation techniques, as well as MLOps tools like MLflow and Kubeflow.
* 3\+ years of experience with distributed computing frameworks (Spark, Ray, Dask).
* Experience deploying AI models on major cloud providers (**AWS, GCP, or Azure**).
* Excellent communication and teamwork skills.
**Preferred Qualifications**
* Experience as a technical lead, guiding junior engineers and data scientists throughout product lifecycles, from proof of concept to model deployment.
* Experience in **multi\-cloud AI deployments**.
* Experience working on **AI SaaS platforms**.
**Professional Attributes:**
* Problem Solving: Ability to break down complex problems into manageable components, devise creative solutions, and refine ideas based on feedback and evidence.
* Collaboration and Communication: Skill in working cross\-functionally—communicating clearly, offering constructive feedback, delegating responsibilities, and respecting diverse perspectives.
* Project Management and Prioritization: Demonstrated ability to juggle multiple projects, meet deadlines, and efficiently balance short\-term objectives with long\-term goals.
* Critical Thinking: Capacity to evaluate assumptions, question methodologies, challenge personal biases, and maintain healthy skepticism when interpreting results.
* Curiosity and Continuous Learning: Drive to stay informed about advances in related fields and actively seek opportunities to expand knowledge.
* Emotional Intelligence and Intellectual Humility: Demonstration of empathy, resilience, adaptability, and self\-awareness. Willingness to recognize limitations, embrace uncertainty, acknowledge mistakes, and value others' contributions.
**What We Offer**
Joining Articul8 means stepping into a **startup environment** where every contribution matters and outcomes move the company forward. It’s an “all in” culture — not about long hours, but about **shared commitment, ownership, and impact.**
* A culture of **curiosity and innovation**, where your ideas shape enterprise AI adoption.
* Opportunities for **continuous learning and growth**, including mentoring, knowledge sharing, and thought leadership.
* The chance to work with **leading global enterprises** on cutting\-edge Generative AI projects.
* A collaborative team that values **diversity, inclusion, and creativity**, supporting both personal and professional development.
* Equity and ownership opportunities in a category\-defining company.
* The opportunity to directly influence **reference architectures, product roadmap, and the future of enterprise AI adoption.**
If you're ready to join a team that’s moving fast, thinking big, and shaping the future of Generative AI in the enterprise, we’d love to hear from you.</t>
        </is>
      </c>
    </row>
    <row r="152">
      <c r="A152" t="inlineStr">
        <is>
          <t>in-7a9dacec10112e80</t>
        </is>
      </c>
      <c r="B152" t="inlineStr">
        <is>
          <t>Sr. Applied Scientist, AGI Foundations</t>
        </is>
      </c>
      <c r="C152" t="inlineStr">
        <is>
          <t>Amazon.com</t>
        </is>
      </c>
      <c r="D152" t="inlineStr">
        <is>
          <t>indeed</t>
        </is>
      </c>
      <c r="E152">
        <f>HYPERLINK("https://www.indeed.com/viewjob?jk=7a9dacec10112e80", "https://www.indeed.com/viewjob?jk=7a9dacec10112e80")</f>
        <v/>
      </c>
      <c r="F152">
        <f>HYPERLINK("https://www.amazon.jobs/jobs/3128807/sr-applied-scientist-agi-foundations?cmpid=DA_INAD200785B", "https://www.amazon.jobs/jobs/3128807/sr-applied-scientist-agi-foundations?cmpid=DA_INAD200785B")</f>
        <v/>
      </c>
      <c r="G152" t="inlineStr">
        <is>
          <t>Boston, MA, US</t>
        </is>
      </c>
      <c r="H152" s="3" t="n">
        <v>45978</v>
      </c>
      <c r="I15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in-8a64c4ba0cd6e344</t>
        </is>
      </c>
      <c r="B153" t="inlineStr">
        <is>
          <t>Sr. Applied Scientist, AGI Foundations</t>
        </is>
      </c>
      <c r="C153" t="inlineStr">
        <is>
          <t>Amazon.com</t>
        </is>
      </c>
      <c r="D153" t="inlineStr">
        <is>
          <t>indeed</t>
        </is>
      </c>
      <c r="E153">
        <f>HYPERLINK("https://www.indeed.com/viewjob?jk=8a64c4ba0cd6e344", "https://www.indeed.com/viewjob?jk=8a64c4ba0cd6e344")</f>
        <v/>
      </c>
      <c r="F153">
        <f>HYPERLINK("https://www.amazon.jobs/jobs/3123268/sr-applied-scientist-agi-foundations?cmpid=DA_INAD200785B", "https://www.amazon.jobs/jobs/3123268/sr-applied-scientist-agi-foundations?cmpid=DA_INAD200785B")</f>
        <v/>
      </c>
      <c r="G153" t="inlineStr">
        <is>
          <t>Boston, MA, US</t>
        </is>
      </c>
      <c r="H153" s="3" t="n">
        <v>45963</v>
      </c>
      <c r="I15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in-98123fa3d0afb708</t>
        </is>
      </c>
      <c r="B154" t="inlineStr">
        <is>
          <t>Sr. Applied Scientist, AGI Foundations</t>
        </is>
      </c>
      <c r="C154" t="inlineStr">
        <is>
          <t>Amazon.com</t>
        </is>
      </c>
      <c r="D154" t="inlineStr">
        <is>
          <t>indeed</t>
        </is>
      </c>
      <c r="E154">
        <f>HYPERLINK("https://www.indeed.com/viewjob?jk=98123fa3d0afb708", "https://www.indeed.com/viewjob?jk=98123fa3d0afb708")</f>
        <v/>
      </c>
      <c r="F154">
        <f>HYPERLINK("https://www.amazon.jobs/jobs/3123268/sr-applied-scientist-agi-foundations?cmpid=DA_INAD200785B", "https://www.amazon.jobs/jobs/3123268/sr-applied-scientist-agi-foundations?cmpid=DA_INAD200785B")</f>
        <v/>
      </c>
      <c r="G154" t="inlineStr">
        <is>
          <t>Bellevue, WA, US</t>
        </is>
      </c>
      <c r="H154" s="3" t="n">
        <v>45963</v>
      </c>
      <c r="I1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in-391f2a9a09966b39</t>
        </is>
      </c>
      <c r="B155" t="inlineStr">
        <is>
          <t>Sr. Applied Scientist, AGI Foundations</t>
        </is>
      </c>
      <c r="C155" t="inlineStr">
        <is>
          <t>Amazon.com</t>
        </is>
      </c>
      <c r="D155" t="inlineStr">
        <is>
          <t>indeed</t>
        </is>
      </c>
      <c r="E155">
        <f>HYPERLINK("https://www.indeed.com/viewjob?jk=391f2a9a09966b39", "https://www.indeed.com/viewjob?jk=391f2a9a09966b39")</f>
        <v/>
      </c>
      <c r="F155">
        <f>HYPERLINK("https://www.amazon.jobs/jobs/3123268/sr-applied-scientist-agi-foundations?cmpid=DA_INAD200785B", "https://www.amazon.jobs/jobs/3123268/sr-applied-scientist-agi-foundations?cmpid=DA_INAD200785B")</f>
        <v/>
      </c>
      <c r="G155" t="inlineStr">
        <is>
          <t>New York, NY, US</t>
        </is>
      </c>
      <c r="H155" s="3" t="n">
        <v>45963</v>
      </c>
      <c r="I1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in-2b950bce54dc0a9a</t>
        </is>
      </c>
      <c r="B156" t="inlineStr">
        <is>
          <t>Applied Scientist II, Prime Video - Personalization and Discovery Science, Personalization and Discovery Science</t>
        </is>
      </c>
      <c r="C156" t="inlineStr">
        <is>
          <t>Amazon.com</t>
        </is>
      </c>
      <c r="D156" t="inlineStr">
        <is>
          <t>indeed</t>
        </is>
      </c>
      <c r="E156">
        <f>HYPERLINK("https://www.indeed.com/viewjob?jk=2b950bce54dc0a9a", "https://www.indeed.com/viewjob?jk=2b950bce54dc0a9a")</f>
        <v/>
      </c>
      <c r="F15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6" t="inlineStr">
        <is>
          <t>Sunnyvale, CA, US</t>
        </is>
      </c>
      <c r="H156" s="3" t="n">
        <v>45930</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in-c525142a01db7643</t>
        </is>
      </c>
      <c r="B157" t="inlineStr">
        <is>
          <t>Applied Scientist II, Prime Video - Personalization and Discovery Science, Personalization and Discovery Science</t>
        </is>
      </c>
      <c r="C157" t="inlineStr">
        <is>
          <t>Amazon.com</t>
        </is>
      </c>
      <c r="D157" t="inlineStr">
        <is>
          <t>indeed</t>
        </is>
      </c>
      <c r="E157">
        <f>HYPERLINK("https://www.indeed.com/viewjob?jk=c525142a01db7643", "https://www.indeed.com/viewjob?jk=c525142a01db7643")</f>
        <v/>
      </c>
      <c r="F15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7" t="inlineStr">
        <is>
          <t>New York, NY, US</t>
        </is>
      </c>
      <c r="H157" s="3"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in-676292258ad3a9d7</t>
        </is>
      </c>
      <c r="B158" t="inlineStr">
        <is>
          <t>Applied Scientist II, Prime Video - Personalization and Discovery Science, Personalization and Discovery Science</t>
        </is>
      </c>
      <c r="C158" t="inlineStr">
        <is>
          <t>Amazon.com</t>
        </is>
      </c>
      <c r="D158" t="inlineStr">
        <is>
          <t>indeed</t>
        </is>
      </c>
      <c r="E158">
        <f>HYPERLINK("https://www.indeed.com/viewjob?jk=676292258ad3a9d7", "https://www.indeed.com/viewjob?jk=676292258ad3a9d7")</f>
        <v/>
      </c>
      <c r="F15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8" t="inlineStr">
        <is>
          <t>Seattle, WA, US</t>
        </is>
      </c>
      <c r="H158" s="3"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in-1773bbd213a0220b</t>
        </is>
      </c>
      <c r="B159" t="inlineStr">
        <is>
          <t>Applied Scientist II, Prime Video - Personalization and Discovery Science</t>
        </is>
      </c>
      <c r="C159" t="inlineStr">
        <is>
          <t>Amazon.com</t>
        </is>
      </c>
      <c r="D159" t="inlineStr">
        <is>
          <t>indeed</t>
        </is>
      </c>
      <c r="E159">
        <f>HYPERLINK("https://www.indeed.com/viewjob?jk=1773bbd213a0220b", "https://www.indeed.com/viewjob?jk=1773bbd213a0220b")</f>
        <v/>
      </c>
      <c r="F159">
        <f>HYPERLINK("https://www.amazon.jobs/jobs/3086060/applied-scientist-ii-prime-video--personalization-and-discovery-science?cmpid=DA_INAD200785B", "https://www.amazon.jobs/jobs/3086060/applied-scientist-ii-prime-video--personalization-and-discovery-science?cmpid=DA_INAD200785B")</f>
        <v/>
      </c>
      <c r="G159" t="inlineStr">
        <is>
          <t>Sunnyvale, CA, US</t>
        </is>
      </c>
      <c r="H159" s="3" t="n">
        <v>45915</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in-69b0c9af3eacfb1d</t>
        </is>
      </c>
      <c r="B160" t="inlineStr">
        <is>
          <t>Applied Scientist II, Prime Video - Personalization and Discovery Science</t>
        </is>
      </c>
      <c r="C160" t="inlineStr">
        <is>
          <t>Amazon.com</t>
        </is>
      </c>
      <c r="D160" t="inlineStr">
        <is>
          <t>indeed</t>
        </is>
      </c>
      <c r="E160">
        <f>HYPERLINK("https://www.indeed.com/viewjob?jk=69b0c9af3eacfb1d", "https://www.indeed.com/viewjob?jk=69b0c9af3eacfb1d")</f>
        <v/>
      </c>
      <c r="F160">
        <f>HYPERLINK("https://www.amazon.jobs/jobs/3086060/applied-scientist-ii-prime-video--personalization-and-discovery-science?cmpid=DA_INAD200785B", "https://www.amazon.jobs/jobs/3086060/applied-scientist-ii-prime-video--personalization-and-discovery-science?cmpid=DA_INAD200785B")</f>
        <v/>
      </c>
      <c r="G160" t="inlineStr">
        <is>
          <t>Seattle, WA, US</t>
        </is>
      </c>
      <c r="H160" s="3" t="n">
        <v>45915</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in-a5d8ac82b9004773</t>
        </is>
      </c>
      <c r="B161" t="inlineStr">
        <is>
          <t>Applied Scientist II, Prime Video - Personalization and Discovery Science</t>
        </is>
      </c>
      <c r="C161" t="inlineStr">
        <is>
          <t>Amazon.com</t>
        </is>
      </c>
      <c r="D161" t="inlineStr">
        <is>
          <t>indeed</t>
        </is>
      </c>
      <c r="E161">
        <f>HYPERLINK("https://www.indeed.com/viewjob?jk=a5d8ac82b9004773", "https://www.indeed.com/viewjob?jk=a5d8ac82b9004773")</f>
        <v/>
      </c>
      <c r="F161">
        <f>HYPERLINK("https://www.amazon.jobs/jobs/3086060/applied-scientist-ii-prime-video--personalization-and-discovery-science?cmpid=DA_INAD200785B", "https://www.amazon.jobs/jobs/3086060/applied-scientist-ii-prime-video--personalization-and-discovery-science?cmpid=DA_INAD200785B")</f>
        <v/>
      </c>
      <c r="G161" t="inlineStr">
        <is>
          <t>New York, NY, US</t>
        </is>
      </c>
      <c r="H161" s="3"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in-2f93ae581e9e7035</t>
        </is>
      </c>
      <c r="B162" t="inlineStr">
        <is>
          <t>Sr. Applied Scientist, Prime Video - Personalization and Discovery Science</t>
        </is>
      </c>
      <c r="C162" t="inlineStr">
        <is>
          <t>Amazon.com</t>
        </is>
      </c>
      <c r="D162" t="inlineStr">
        <is>
          <t>indeed</t>
        </is>
      </c>
      <c r="E162">
        <f>HYPERLINK("https://www.indeed.com/viewjob?jk=2f93ae581e9e7035", "https://www.indeed.com/viewjob?jk=2f93ae581e9e7035")</f>
        <v/>
      </c>
      <c r="F162">
        <f>HYPERLINK("https://www.amazon.jobs/jobs/3083564/sr-applied-scientist-prime-video--personalization-and-discovery-science?cmpid=DA_INAD200785B", "https://www.amazon.jobs/jobs/3083564/sr-applied-scientist-prime-video--personalization-and-discovery-science?cmpid=DA_INAD200785B")</f>
        <v/>
      </c>
      <c r="G162" t="inlineStr">
        <is>
          <t>New York, NY, US</t>
        </is>
      </c>
      <c r="H162" s="3" t="n">
        <v>45914</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in-8b9cb2ae961f2275</t>
        </is>
      </c>
      <c r="B163" t="inlineStr">
        <is>
          <t>Sr. Applied Scientist, Prime Video - Personalization and Discovery Science</t>
        </is>
      </c>
      <c r="C163" t="inlineStr">
        <is>
          <t>Amazon.com</t>
        </is>
      </c>
      <c r="D163" t="inlineStr">
        <is>
          <t>indeed</t>
        </is>
      </c>
      <c r="E163">
        <f>HYPERLINK("https://www.indeed.com/viewjob?jk=8b9cb2ae961f2275", "https://www.indeed.com/viewjob?jk=8b9cb2ae961f2275")</f>
        <v/>
      </c>
      <c r="F163">
        <f>HYPERLINK("https://www.amazon.jobs/jobs/3083564/sr-applied-scientist-prime-video--personalization-and-discovery-science?cmpid=DA_INAD200785B", "https://www.amazon.jobs/jobs/3083564/sr-applied-scientist-prime-video--personalization-and-discovery-science?cmpid=DA_INAD200785B")</f>
        <v/>
      </c>
      <c r="G163" t="inlineStr">
        <is>
          <t>Sunnyvale, CA, US</t>
        </is>
      </c>
      <c r="H163" s="3" t="n">
        <v>45914</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in-c1f21c2d47b2920f</t>
        </is>
      </c>
      <c r="B164" t="inlineStr">
        <is>
          <t>Sr. Applied Scientist, Prime Video - Personalization and Discovery Science</t>
        </is>
      </c>
      <c r="C164" t="inlineStr">
        <is>
          <t>Amazon.com</t>
        </is>
      </c>
      <c r="D164" t="inlineStr">
        <is>
          <t>indeed</t>
        </is>
      </c>
      <c r="E164">
        <f>HYPERLINK("https://www.indeed.com/viewjob?jk=c1f21c2d47b2920f", "https://www.indeed.com/viewjob?jk=c1f21c2d47b2920f")</f>
        <v/>
      </c>
      <c r="F164">
        <f>HYPERLINK("https://www.amazon.jobs/jobs/3083564/sr-applied-scientist-prime-video--personalization-and-discovery-science?cmpid=DA_INAD200785B", "https://www.amazon.jobs/jobs/3083564/sr-applied-scientist-prime-video--personalization-and-discovery-science?cmpid=DA_INAD200785B")</f>
        <v/>
      </c>
      <c r="G164" t="inlineStr">
        <is>
          <t>Seattle, WA, US</t>
        </is>
      </c>
      <c r="H164" s="3"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in-9a7d65aa0c1a6bd7</t>
        </is>
      </c>
      <c r="B165" t="inlineStr">
        <is>
          <t>Senior Applied Scientist, Artificial General Intelligence</t>
        </is>
      </c>
      <c r="C165" t="inlineStr">
        <is>
          <t>Amazon.com</t>
        </is>
      </c>
      <c r="D165" t="inlineStr">
        <is>
          <t>indeed</t>
        </is>
      </c>
      <c r="E165">
        <f>HYPERLINK("https://www.indeed.com/viewjob?jk=9a7d65aa0c1a6bd7", "https://www.indeed.com/viewjob?jk=9a7d65aa0c1a6bd7")</f>
        <v/>
      </c>
      <c r="F165">
        <f>HYPERLINK("https://www.amazon.jobs/jobs/3078137/senior-applied-scientist-artificial-general-intelligence?cmpid=DA_INAD200785B", "https://www.amazon.jobs/jobs/3078137/senior-applied-scientist-artificial-general-intelligence?cmpid=DA_INAD200785B")</f>
        <v/>
      </c>
      <c r="G165" t="inlineStr">
        <is>
          <t>Sunnyvale, CA, US</t>
        </is>
      </c>
      <c r="H165" s="3" t="n">
        <v>45907</v>
      </c>
      <c r="I16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in-9b8d2a01edb1d23c</t>
        </is>
      </c>
      <c r="B166" t="inlineStr">
        <is>
          <t>Senior Applied Scientist, Artificial General Intelligence</t>
        </is>
      </c>
      <c r="C166" t="inlineStr">
        <is>
          <t>Amazon.com</t>
        </is>
      </c>
      <c r="D166" t="inlineStr">
        <is>
          <t>indeed</t>
        </is>
      </c>
      <c r="E166">
        <f>HYPERLINK("https://www.indeed.com/viewjob?jk=9b8d2a01edb1d23c", "https://www.indeed.com/viewjob?jk=9b8d2a01edb1d23c")</f>
        <v/>
      </c>
      <c r="F166">
        <f>HYPERLINK("https://www.amazon.jobs/jobs/3078137/senior-applied-scientist-artificial-general-intelligence?cmpid=DA_INAD200785B", "https://www.amazon.jobs/jobs/3078137/senior-applied-scientist-artificial-general-intelligence?cmpid=DA_INAD200785B")</f>
        <v/>
      </c>
      <c r="G166" t="inlineStr">
        <is>
          <t>Cambridge, MA, US</t>
        </is>
      </c>
      <c r="H166" s="3" t="n">
        <v>45907</v>
      </c>
      <c r="I16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in-d0135e3b4276a3dc</t>
        </is>
      </c>
      <c r="B167" t="inlineStr">
        <is>
          <t>Senior Applied Scientist, Artificial General Intelligence</t>
        </is>
      </c>
      <c r="C167" t="inlineStr">
        <is>
          <t>Amazon.com</t>
        </is>
      </c>
      <c r="D167" t="inlineStr">
        <is>
          <t>indeed</t>
        </is>
      </c>
      <c r="E167">
        <f>HYPERLINK("https://www.indeed.com/viewjob?jk=d0135e3b4276a3dc", "https://www.indeed.com/viewjob?jk=d0135e3b4276a3dc")</f>
        <v/>
      </c>
      <c r="F167">
        <f>HYPERLINK("https://www.amazon.jobs/jobs/3078137/senior-applied-scientist-artificial-general-intelligence?cmpid=DA_INAD200785B", "https://www.amazon.jobs/jobs/3078137/senior-applied-scientist-artificial-general-intelligence?cmpid=DA_INAD200785B")</f>
        <v/>
      </c>
      <c r="G167" t="inlineStr">
        <is>
          <t>Bellevue, WA, US</t>
        </is>
      </c>
      <c r="H167" s="3" t="n">
        <v>45907</v>
      </c>
      <c r="I1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in-03dd55dce6865154</t>
        </is>
      </c>
      <c r="B168" t="inlineStr">
        <is>
          <t>Senior Applied Scientist, Artificial General Intelligence</t>
        </is>
      </c>
      <c r="C168" t="inlineStr">
        <is>
          <t>Amazon.com</t>
        </is>
      </c>
      <c r="D168" t="inlineStr">
        <is>
          <t>indeed</t>
        </is>
      </c>
      <c r="E168">
        <f>HYPERLINK("https://www.indeed.com/viewjob?jk=03dd55dce6865154", "https://www.indeed.com/viewjob?jk=03dd55dce6865154")</f>
        <v/>
      </c>
      <c r="F168">
        <f>HYPERLINK("https://www.amazon.jobs/jobs/3078137/senior-applied-scientist-artificial-general-intelligence?cmpid=DA_INAD200785B", "https://www.amazon.jobs/jobs/3078137/senior-applied-scientist-artificial-general-intelligence?cmpid=DA_INAD200785B")</f>
        <v/>
      </c>
      <c r="G168" t="inlineStr">
        <is>
          <t>New York, NY, US</t>
        </is>
      </c>
      <c r="H168" s="3"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in-77c80b8b5b3806da</t>
        </is>
      </c>
      <c r="B169" t="inlineStr">
        <is>
          <t>Sr. Applied Scientist, Prime Video - Personalization and Discovery Science</t>
        </is>
      </c>
      <c r="C169" t="inlineStr">
        <is>
          <t>Amazon.com</t>
        </is>
      </c>
      <c r="D169" t="inlineStr">
        <is>
          <t>indeed</t>
        </is>
      </c>
      <c r="E169">
        <f>HYPERLINK("https://www.indeed.com/viewjob?jk=77c80b8b5b3806da", "https://www.indeed.com/viewjob?jk=77c80b8b5b3806da")</f>
        <v/>
      </c>
      <c r="F169">
        <f>HYPERLINK("https://www.amazon.jobs/jobs/3084479/sr-applied-scientist-prime-video--personalization-and-discovery-science?cmpid=DA_INAD200785B", "https://www.amazon.jobs/jobs/3084479/sr-applied-scientist-prime-video--personalization-and-discovery-science?cmpid=DA_INAD200785B")</f>
        <v/>
      </c>
      <c r="G169" t="inlineStr">
        <is>
          <t>New York, NY, US</t>
        </is>
      </c>
      <c r="H169" s="3" t="n">
        <v>45896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in-7694287d321f0936</t>
        </is>
      </c>
      <c r="B170" t="inlineStr">
        <is>
          <t>Sr. Applied Scientist, Prime Video - Personalization and Discovery Science</t>
        </is>
      </c>
      <c r="C170" t="inlineStr">
        <is>
          <t>Amazon.com</t>
        </is>
      </c>
      <c r="D170" t="inlineStr">
        <is>
          <t>indeed</t>
        </is>
      </c>
      <c r="E170">
        <f>HYPERLINK("https://www.indeed.com/viewjob?jk=7694287d321f0936", "https://www.indeed.com/viewjob?jk=7694287d321f0936")</f>
        <v/>
      </c>
      <c r="F170">
        <f>HYPERLINK("https://www.amazon.jobs/jobs/3084479/sr-applied-scientist-prime-video--personalization-and-discovery-science?cmpid=DA_INAD200785B", "https://www.amazon.jobs/jobs/3084479/sr-applied-scientist-prime-video--personalization-and-discovery-science?cmpid=DA_INAD200785B")</f>
        <v/>
      </c>
      <c r="G170" t="inlineStr">
        <is>
          <t>Sunnyvale, CA, US</t>
        </is>
      </c>
      <c r="H170" s="3" t="n">
        <v>45896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in-020ed09b8ad7dbfd</t>
        </is>
      </c>
      <c r="B171" t="inlineStr">
        <is>
          <t>Sr. Applied Scientist, Prime Video - Personalization and Discovery Science</t>
        </is>
      </c>
      <c r="C171" t="inlineStr">
        <is>
          <t>Amazon.com</t>
        </is>
      </c>
      <c r="D171" t="inlineStr">
        <is>
          <t>indeed</t>
        </is>
      </c>
      <c r="E171">
        <f>HYPERLINK("https://www.indeed.com/viewjob?jk=020ed09b8ad7dbfd", "https://www.indeed.com/viewjob?jk=020ed09b8ad7dbfd")</f>
        <v/>
      </c>
      <c r="F171">
        <f>HYPERLINK("https://www.amazon.jobs/jobs/3084479/sr-applied-scientist-prime-video--personalization-and-discovery-science?cmpid=DA_INAD200785B", "https://www.amazon.jobs/jobs/3084479/sr-applied-scientist-prime-video--personalization-and-discovery-science?cmpid=DA_INAD200785B")</f>
        <v/>
      </c>
      <c r="G171" t="inlineStr">
        <is>
          <t>Seattle, WA, US</t>
        </is>
      </c>
      <c r="H171" s="3"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in-fed2e3896ae91a74</t>
        </is>
      </c>
      <c r="B172" t="inlineStr">
        <is>
          <t>Sr. Applied Scientist, Recommendations and Search</t>
        </is>
      </c>
      <c r="C172" t="inlineStr">
        <is>
          <t>Amazon.com</t>
        </is>
      </c>
      <c r="D172" t="inlineStr">
        <is>
          <t>indeed</t>
        </is>
      </c>
      <c r="E172">
        <f>HYPERLINK("https://www.indeed.com/viewjob?jk=fed2e3896ae91a74", "https://www.indeed.com/viewjob?jk=fed2e3896ae91a74")</f>
        <v/>
      </c>
      <c r="F172">
        <f>HYPERLINK("https://www.amazon.jobs/jobs/3062562/sr-applied-scientist-recommendations-and-search?cmpid=DA_INAD200785B", "https://www.amazon.jobs/jobs/3062562/sr-applied-scientist-recommendations-and-search?cmpid=DA_INAD200785B")</f>
        <v/>
      </c>
      <c r="G172" t="inlineStr">
        <is>
          <t>Sunnyvale, CA, US</t>
        </is>
      </c>
      <c r="H172" s="3" t="n">
        <v>45888</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in-bb1c56a54a81caea</t>
        </is>
      </c>
      <c r="B173" t="inlineStr">
        <is>
          <t>Sr. Applied Scientist, Recommendations and Search</t>
        </is>
      </c>
      <c r="C173" t="inlineStr">
        <is>
          <t>Amazon.com</t>
        </is>
      </c>
      <c r="D173" t="inlineStr">
        <is>
          <t>indeed</t>
        </is>
      </c>
      <c r="E173">
        <f>HYPERLINK("https://www.indeed.com/viewjob?jk=bb1c56a54a81caea", "https://www.indeed.com/viewjob?jk=bb1c56a54a81caea")</f>
        <v/>
      </c>
      <c r="F173">
        <f>HYPERLINK("https://www.amazon.jobs/jobs/3062562/sr-applied-scientist-recommendations-and-search?cmpid=DA_INAD200785B", "https://www.amazon.jobs/jobs/3062562/sr-applied-scientist-recommendations-and-search?cmpid=DA_INAD200785B")</f>
        <v/>
      </c>
      <c r="G173" t="inlineStr">
        <is>
          <t>Seattle, WA, US</t>
        </is>
      </c>
      <c r="H173" s="3" t="n">
        <v>45888</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in-9ad3688779349497</t>
        </is>
      </c>
      <c r="B174" t="inlineStr">
        <is>
          <t>Sr. Applied Scientist, Recommendations and Search</t>
        </is>
      </c>
      <c r="C174" t="inlineStr">
        <is>
          <t>Amazon.com</t>
        </is>
      </c>
      <c r="D174" t="inlineStr">
        <is>
          <t>indeed</t>
        </is>
      </c>
      <c r="E174">
        <f>HYPERLINK("https://www.indeed.com/viewjob?jk=9ad3688779349497", "https://www.indeed.com/viewjob?jk=9ad3688779349497")</f>
        <v/>
      </c>
      <c r="F174">
        <f>HYPERLINK("https://www.amazon.jobs/jobs/3062562/sr-applied-scientist-recommendations-and-search?cmpid=DA_INAD200785B", "https://www.amazon.jobs/jobs/3062562/sr-applied-scientist-recommendations-and-search?cmpid=DA_INAD200785B")</f>
        <v/>
      </c>
      <c r="G174" t="inlineStr">
        <is>
          <t>New York, NY, US</t>
        </is>
      </c>
      <c r="H174" s="3" t="n">
        <v>45888</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in-93622354345edb60</t>
        </is>
      </c>
      <c r="B175" t="inlineStr">
        <is>
          <t>Applied Scientist II, Prime Video - Personalization and Discovery Science, Personalization and Discovery Science</t>
        </is>
      </c>
      <c r="C175" t="inlineStr">
        <is>
          <t>Amazon.com</t>
        </is>
      </c>
      <c r="D175" t="inlineStr">
        <is>
          <t>indeed</t>
        </is>
      </c>
      <c r="E175">
        <f>HYPERLINK("https://www.indeed.com/viewjob?jk=93622354345edb60", "https://www.indeed.com/viewjob?jk=93622354345edb60")</f>
        <v/>
      </c>
      <c r="F175">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5" t="inlineStr">
        <is>
          <t>New York, NY, US</t>
        </is>
      </c>
      <c r="H175" s="3" t="n">
        <v>45886</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in-1119558a2a5f25c4</t>
        </is>
      </c>
      <c r="B176" t="inlineStr">
        <is>
          <t>Applied Scientist II, Prime Video - Personalization and Discovery Science, Personalization and Discovery Science</t>
        </is>
      </c>
      <c r="C176" t="inlineStr">
        <is>
          <t>Amazon.com</t>
        </is>
      </c>
      <c r="D176" t="inlineStr">
        <is>
          <t>indeed</t>
        </is>
      </c>
      <c r="E176">
        <f>HYPERLINK("https://www.indeed.com/viewjob?jk=1119558a2a5f25c4", "https://www.indeed.com/viewjob?jk=1119558a2a5f25c4")</f>
        <v/>
      </c>
      <c r="F176">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6" t="inlineStr">
        <is>
          <t>Seattle, WA, US</t>
        </is>
      </c>
      <c r="H176" s="3" t="n">
        <v>45886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in-a9303af58ba5c280</t>
        </is>
      </c>
      <c r="B177" t="inlineStr">
        <is>
          <t>Sr. Applied Scientist, Prime Video - Personalization and Discovery Science</t>
        </is>
      </c>
      <c r="C177" t="inlineStr">
        <is>
          <t>Amazon.com</t>
        </is>
      </c>
      <c r="D177" t="inlineStr">
        <is>
          <t>indeed</t>
        </is>
      </c>
      <c r="E177">
        <f>HYPERLINK("https://www.indeed.com/viewjob?jk=a9303af58ba5c280", "https://www.indeed.com/viewjob?jk=a9303af58ba5c280")</f>
        <v/>
      </c>
      <c r="F177">
        <f>HYPERLINK("https://www.amazon.jobs/jobs/3061266/sr-applied-scientist-prime-video--personalization-and-discovery-science?cmpid=DA_INAD200785B", "https://www.amazon.jobs/jobs/3061266/sr-applied-scientist-prime-video--personalization-and-discovery-science?cmpid=DA_INAD200785B")</f>
        <v/>
      </c>
      <c r="G177" t="inlineStr">
        <is>
          <t>New York, NY, US</t>
        </is>
      </c>
      <c r="H177" s="3" t="n">
        <v>45886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in-5ed36e9c1b48e57e</t>
        </is>
      </c>
      <c r="B178" t="inlineStr">
        <is>
          <t>Applied Scientist II, Prime Video - Personalization and Discovery Science, Personalization and Discovery Science</t>
        </is>
      </c>
      <c r="C178" t="inlineStr">
        <is>
          <t>Amazon.com</t>
        </is>
      </c>
      <c r="D178" t="inlineStr">
        <is>
          <t>indeed</t>
        </is>
      </c>
      <c r="E178">
        <f>HYPERLINK("https://www.indeed.com/viewjob?jk=5ed36e9c1b48e57e", "https://www.indeed.com/viewjob?jk=5ed36e9c1b48e57e")</f>
        <v/>
      </c>
      <c r="F17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8" t="inlineStr">
        <is>
          <t>Sunnyvale, CA, US</t>
        </is>
      </c>
      <c r="H178" s="3"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in-75902046517a6764</t>
        </is>
      </c>
      <c r="B179" t="inlineStr">
        <is>
          <t>Sr. Applied Scientist, Prime Video - Personalization and Discovery Science</t>
        </is>
      </c>
      <c r="C179" t="inlineStr">
        <is>
          <t>Amazon.com</t>
        </is>
      </c>
      <c r="D179" t="inlineStr">
        <is>
          <t>indeed</t>
        </is>
      </c>
      <c r="E179">
        <f>HYPERLINK("https://www.indeed.com/viewjob?jk=75902046517a6764", "https://www.indeed.com/viewjob?jk=75902046517a6764")</f>
        <v/>
      </c>
      <c r="F179">
        <f>HYPERLINK("https://www.amazon.jobs/jobs/3061266/sr-applied-scientist-prime-video--personalization-and-discovery-science?cmpid=DA_INAD200785B", "https://www.amazon.jobs/jobs/3061266/sr-applied-scientist-prime-video--personalization-and-discovery-science?cmpid=DA_INAD200785B")</f>
        <v/>
      </c>
      <c r="G179" t="inlineStr">
        <is>
          <t>Seattle, WA, US</t>
        </is>
      </c>
      <c r="H179" s="3"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in-d2a2b2ba159cb63c</t>
        </is>
      </c>
      <c r="B180" t="inlineStr">
        <is>
          <t>Sr. Applied Scientist, Prime Video - Personalization and Discovery Science</t>
        </is>
      </c>
      <c r="C180" t="inlineStr">
        <is>
          <t>Amazon.com</t>
        </is>
      </c>
      <c r="D180" t="inlineStr">
        <is>
          <t>indeed</t>
        </is>
      </c>
      <c r="E180">
        <f>HYPERLINK("https://www.indeed.com/viewjob?jk=d2a2b2ba159cb63c", "https://www.indeed.com/viewjob?jk=d2a2b2ba159cb63c")</f>
        <v/>
      </c>
      <c r="F180">
        <f>HYPERLINK("https://www.amazon.jobs/jobs/3061266/sr-applied-scientist-prime-video--personalization-and-discovery-science?cmpid=DA_INAD200785B", "https://www.amazon.jobs/jobs/3061266/sr-applied-scientist-prime-video--personalization-and-discovery-science?cmpid=DA_INAD200785B")</f>
        <v/>
      </c>
      <c r="G180" t="inlineStr">
        <is>
          <t>Sunnyvale, CA, US</t>
        </is>
      </c>
      <c r="H180" s="3"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in-168ff16c82eae8df</t>
        </is>
      </c>
      <c r="B181" t="inlineStr">
        <is>
          <t>Sr. Applied Scientist, Prime Video - Personalization and Discovery Science</t>
        </is>
      </c>
      <c r="C181" t="inlineStr">
        <is>
          <t>Amazon.com</t>
        </is>
      </c>
      <c r="D181" t="inlineStr">
        <is>
          <t>indeed</t>
        </is>
      </c>
      <c r="E181">
        <f>HYPERLINK("https://www.indeed.com/viewjob?jk=168ff16c82eae8df", "https://www.indeed.com/viewjob?jk=168ff16c82eae8df")</f>
        <v/>
      </c>
      <c r="F181">
        <f>HYPERLINK("https://www.amazon.jobs/jobs/3060419/sr-applied-scientist-prime-video--personalization-and-discovery-science?cmpid=DA_INAD200785B", "https://www.amazon.jobs/jobs/3060419/sr-applied-scientist-prime-video--personalization-and-discovery-science?cmpid=DA_INAD200785B")</f>
        <v/>
      </c>
      <c r="G181" t="inlineStr">
        <is>
          <t>Sunnyvale, CA, US</t>
        </is>
      </c>
      <c r="H181" s="3" t="n">
        <v>45883</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in-133143722de7d406</t>
        </is>
      </c>
      <c r="B182" t="inlineStr">
        <is>
          <t>Applied Scientist II, Prime Video - Personalization and Discovery Science</t>
        </is>
      </c>
      <c r="C182" t="inlineStr">
        <is>
          <t>Amazon.com</t>
        </is>
      </c>
      <c r="D182" t="inlineStr">
        <is>
          <t>indeed</t>
        </is>
      </c>
      <c r="E182">
        <f>HYPERLINK("https://www.indeed.com/viewjob?jk=133143722de7d406", "https://www.indeed.com/viewjob?jk=133143722de7d406")</f>
        <v/>
      </c>
      <c r="F182">
        <f>HYPERLINK("https://www.amazon.jobs/jobs/3060415/applied-scientist-ii-prime-video--personalization-and-discovery-science?cmpid=DA_INAD200785B", "https://www.amazon.jobs/jobs/3060415/applied-scientist-ii-prime-video--personalization-and-discovery-science?cmpid=DA_INAD200785B")</f>
        <v/>
      </c>
      <c r="G182" t="inlineStr">
        <is>
          <t>Seattle, WA, US</t>
        </is>
      </c>
      <c r="H182" s="3" t="n">
        <v>45883</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in-00d7b8f6288f08fa</t>
        </is>
      </c>
      <c r="B183" t="inlineStr">
        <is>
          <t>Sr. Applied Scientist, Prime Video - Personalization and Discovery Science</t>
        </is>
      </c>
      <c r="C183" t="inlineStr">
        <is>
          <t>Amazon.com</t>
        </is>
      </c>
      <c r="D183" t="inlineStr">
        <is>
          <t>indeed</t>
        </is>
      </c>
      <c r="E183">
        <f>HYPERLINK("https://www.indeed.com/viewjob?jk=00d7b8f6288f08fa", "https://www.indeed.com/viewjob?jk=00d7b8f6288f08fa")</f>
        <v/>
      </c>
      <c r="F183">
        <f>HYPERLINK("https://www.amazon.jobs/jobs/3060419/sr-applied-scientist-prime-video--personalization-and-discovery-science?cmpid=DA_INAD200785B", "https://www.amazon.jobs/jobs/3060419/sr-applied-scientist-prime-video--personalization-and-discovery-science?cmpid=DA_INAD200785B")</f>
        <v/>
      </c>
      <c r="G183" t="inlineStr">
        <is>
          <t>New York, NY, US</t>
        </is>
      </c>
      <c r="H183" s="3" t="n">
        <v>45883</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in-964e494960c49c57</t>
        </is>
      </c>
      <c r="B184" t="inlineStr">
        <is>
          <t>Applied Scientist II, Prime Video - Personalization and Discovery Science</t>
        </is>
      </c>
      <c r="C184" t="inlineStr">
        <is>
          <t>Amazon.com</t>
        </is>
      </c>
      <c r="D184" t="inlineStr">
        <is>
          <t>indeed</t>
        </is>
      </c>
      <c r="E184">
        <f>HYPERLINK("https://www.indeed.com/viewjob?jk=964e494960c49c57", "https://www.indeed.com/viewjob?jk=964e494960c49c57")</f>
        <v/>
      </c>
      <c r="F184">
        <f>HYPERLINK("https://www.amazon.jobs/jobs/3060415/applied-scientist-ii-prime-video--personalization-and-discovery-science?cmpid=DA_INAD200785B", "https://www.amazon.jobs/jobs/3060415/applied-scientist-ii-prime-video--personalization-and-discovery-science?cmpid=DA_INAD200785B")</f>
        <v/>
      </c>
      <c r="G184" t="inlineStr">
        <is>
          <t>New York, NY, US</t>
        </is>
      </c>
      <c r="H184" s="3"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in-da94c2897ac064d2</t>
        </is>
      </c>
      <c r="B185" t="inlineStr">
        <is>
          <t>Applied Scientist II, Prime Video - Personalization and Discovery Science</t>
        </is>
      </c>
      <c r="C185" t="inlineStr">
        <is>
          <t>Amazon.com</t>
        </is>
      </c>
      <c r="D185" t="inlineStr">
        <is>
          <t>indeed</t>
        </is>
      </c>
      <c r="E185">
        <f>HYPERLINK("https://www.indeed.com/viewjob?jk=da94c2897ac064d2", "https://www.indeed.com/viewjob?jk=da94c2897ac064d2")</f>
        <v/>
      </c>
      <c r="F185">
        <f>HYPERLINK("https://www.amazon.jobs/jobs/3060415/applied-scientist-ii-prime-video--personalization-and-discovery-science?cmpid=DA_INAD200785B", "https://www.amazon.jobs/jobs/3060415/applied-scientist-ii-prime-video--personalization-and-discovery-science?cmpid=DA_INAD200785B")</f>
        <v/>
      </c>
      <c r="G185" t="inlineStr">
        <is>
          <t>Sunnyvale, CA, US</t>
        </is>
      </c>
      <c r="H185" s="3"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in-6a3b740d6b86ea81</t>
        </is>
      </c>
      <c r="B186" t="inlineStr">
        <is>
          <t>Sr. Applied Scientist, Prime Video - Personalization and Discovery Science</t>
        </is>
      </c>
      <c r="C186" t="inlineStr">
        <is>
          <t>Amazon.com</t>
        </is>
      </c>
      <c r="D186" t="inlineStr">
        <is>
          <t>indeed</t>
        </is>
      </c>
      <c r="E186">
        <f>HYPERLINK("https://www.indeed.com/viewjob?jk=6a3b740d6b86ea81", "https://www.indeed.com/viewjob?jk=6a3b740d6b86ea81")</f>
        <v/>
      </c>
      <c r="F186">
        <f>HYPERLINK("https://www.amazon.jobs/jobs/3060419/sr-applied-scientist-prime-video--personalization-and-discovery-science?cmpid=DA_INAD200785B", "https://www.amazon.jobs/jobs/3060419/sr-applied-scientist-prime-video--personalization-and-discovery-science?cmpid=DA_INAD200785B")</f>
        <v/>
      </c>
      <c r="G186" t="inlineStr">
        <is>
          <t>Seattle, WA, US</t>
        </is>
      </c>
      <c r="H186" s="3"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in-1a0b066ce6cae65a</t>
        </is>
      </c>
      <c r="B187" t="inlineStr">
        <is>
          <t>Applied Scientist II, Prime Video - Personalization and Discovery Science</t>
        </is>
      </c>
      <c r="C187" t="inlineStr">
        <is>
          <t>Amazon.com</t>
        </is>
      </c>
      <c r="D187" t="inlineStr">
        <is>
          <t>indeed</t>
        </is>
      </c>
      <c r="E187">
        <f>HYPERLINK("https://www.indeed.com/viewjob?jk=1a0b066ce6cae65a", "https://www.indeed.com/viewjob?jk=1a0b066ce6cae65a")</f>
        <v/>
      </c>
      <c r="F187">
        <f>HYPERLINK("https://www.amazon.jobs/jobs/3059253/applied-scientist-ii-prime-video--personalization-and-discovery-science?cmpid=DA_INAD200785B", "https://www.amazon.jobs/jobs/3059253/applied-scientist-ii-prime-video--personalization-and-discovery-science?cmpid=DA_INAD200785B")</f>
        <v/>
      </c>
      <c r="G187" t="inlineStr">
        <is>
          <t>New York, NY, US</t>
        </is>
      </c>
      <c r="H187" s="3" t="n">
        <v>45881</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in-77588ae274bb1c37</t>
        </is>
      </c>
      <c r="B188" t="inlineStr">
        <is>
          <t>Sr. Applied Scientist, Prime Video - Personalization and Discovery Science</t>
        </is>
      </c>
      <c r="C188" t="inlineStr">
        <is>
          <t>Amazon.com</t>
        </is>
      </c>
      <c r="D188" t="inlineStr">
        <is>
          <t>indeed</t>
        </is>
      </c>
      <c r="E188">
        <f>HYPERLINK("https://www.indeed.com/viewjob?jk=77588ae274bb1c37", "https://www.indeed.com/viewjob?jk=77588ae274bb1c37")</f>
        <v/>
      </c>
      <c r="F188">
        <f>HYPERLINK("https://www.amazon.jobs/jobs/3059256/sr-applied-scientist-prime-video--personalization-and-discovery-science?cmpid=DA_INAD200785B", "https://www.amazon.jobs/jobs/3059256/sr-applied-scientist-prime-video--personalization-and-discovery-science?cmpid=DA_INAD200785B")</f>
        <v/>
      </c>
      <c r="G188" t="inlineStr">
        <is>
          <t>Sunnyvale, CA, US</t>
        </is>
      </c>
      <c r="H188" s="3" t="n">
        <v>45881</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in-3089b8b46a8aceaa</t>
        </is>
      </c>
      <c r="B189" t="inlineStr">
        <is>
          <t>Sr. Applied Scientist, Prime Video - Personalization and Discovery Science</t>
        </is>
      </c>
      <c r="C189" t="inlineStr">
        <is>
          <t>Amazon.com</t>
        </is>
      </c>
      <c r="D189" t="inlineStr">
        <is>
          <t>indeed</t>
        </is>
      </c>
      <c r="E189">
        <f>HYPERLINK("https://www.indeed.com/viewjob?jk=3089b8b46a8aceaa", "https://www.indeed.com/viewjob?jk=3089b8b46a8aceaa")</f>
        <v/>
      </c>
      <c r="F189">
        <f>HYPERLINK("https://www.amazon.jobs/jobs/3059256/sr-applied-scientist-prime-video--personalization-and-discovery-science?cmpid=DA_INAD200785B", "https://www.amazon.jobs/jobs/3059256/sr-applied-scientist-prime-video--personalization-and-discovery-science?cmpid=DA_INAD200785B")</f>
        <v/>
      </c>
      <c r="G189" t="inlineStr">
        <is>
          <t>New York, NY, US</t>
        </is>
      </c>
      <c r="H189" s="3"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in-41da3c70398d0030</t>
        </is>
      </c>
      <c r="B190" t="inlineStr">
        <is>
          <t>Applied Scientist II, Prime Video - Personalization and Discovery Science</t>
        </is>
      </c>
      <c r="C190" t="inlineStr">
        <is>
          <t>Amazon.com</t>
        </is>
      </c>
      <c r="D190" t="inlineStr">
        <is>
          <t>indeed</t>
        </is>
      </c>
      <c r="E190">
        <f>HYPERLINK("https://www.indeed.com/viewjob?jk=41da3c70398d0030", "https://www.indeed.com/viewjob?jk=41da3c70398d0030")</f>
        <v/>
      </c>
      <c r="F190">
        <f>HYPERLINK("https://www.amazon.jobs/jobs/3059253/applied-scientist-ii-prime-video--personalization-and-discovery-science?cmpid=DA_INAD200785B", "https://www.amazon.jobs/jobs/3059253/applied-scientist-ii-prime-video--personalization-and-discovery-science?cmpid=DA_INAD200785B")</f>
        <v/>
      </c>
      <c r="G190" t="inlineStr">
        <is>
          <t>Seattle, WA, US</t>
        </is>
      </c>
      <c r="H190" s="3"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in-73c6a9525b892c5d</t>
        </is>
      </c>
      <c r="B191" t="inlineStr">
        <is>
          <t>Sr. Applied Scientist, Prime Video - Personalization and Discovery Science</t>
        </is>
      </c>
      <c r="C191" t="inlineStr">
        <is>
          <t>Amazon.com</t>
        </is>
      </c>
      <c r="D191" t="inlineStr">
        <is>
          <t>indeed</t>
        </is>
      </c>
      <c r="E191">
        <f>HYPERLINK("https://www.indeed.com/viewjob?jk=73c6a9525b892c5d", "https://www.indeed.com/viewjob?jk=73c6a9525b892c5d")</f>
        <v/>
      </c>
      <c r="F191">
        <f>HYPERLINK("https://www.amazon.jobs/jobs/3059256/sr-applied-scientist-prime-video--personalization-and-discovery-science?cmpid=DA_INAD200785B", "https://www.amazon.jobs/jobs/3059256/sr-applied-scientist-prime-video--personalization-and-discovery-science?cmpid=DA_INAD200785B")</f>
        <v/>
      </c>
      <c r="G191" t="inlineStr">
        <is>
          <t>Seattle, WA,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in-f2407255f24dac0b</t>
        </is>
      </c>
      <c r="B192" t="inlineStr">
        <is>
          <t>Applied Scientist II, Prime Video - Personalization and Discovery Science</t>
        </is>
      </c>
      <c r="C192" t="inlineStr">
        <is>
          <t>Amazon.com</t>
        </is>
      </c>
      <c r="D192" t="inlineStr">
        <is>
          <t>indeed</t>
        </is>
      </c>
      <c r="E192">
        <f>HYPERLINK("https://www.indeed.com/viewjob?jk=f2407255f24dac0b", "https://www.indeed.com/viewjob?jk=f2407255f24dac0b")</f>
        <v/>
      </c>
      <c r="F192">
        <f>HYPERLINK("https://www.amazon.jobs/jobs/3059253/applied-scientist-ii-prime-video--personalization-and-discovery-science?cmpid=DA_INAD200785B", "https://www.amazon.jobs/jobs/3059253/applied-scientist-ii-prime-video--personalization-and-discovery-science?cmpid=DA_INAD200785B")</f>
        <v/>
      </c>
      <c r="G192" t="inlineStr">
        <is>
          <t>Sunnyvale, CA,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in-50a0d00b858ecf19</t>
        </is>
      </c>
      <c r="B193" t="inlineStr">
        <is>
          <t>Applied Scientist II, Prime Video Personalization and Discovery Science</t>
        </is>
      </c>
      <c r="C193" t="inlineStr">
        <is>
          <t>Amazon.com</t>
        </is>
      </c>
      <c r="D193" t="inlineStr">
        <is>
          <t>indeed</t>
        </is>
      </c>
      <c r="E193">
        <f>HYPERLINK("https://www.indeed.com/viewjob?jk=50a0d00b858ecf19", "https://www.indeed.com/viewjob?jk=50a0d00b858ecf19")</f>
        <v/>
      </c>
      <c r="F193">
        <f>HYPERLINK("https://www.amazon.jobs/jobs/3046662/applied-scientist-ii-prime-video-personalization-and-discovery-science?cmpid=DA_INAD200785B", "https://www.amazon.jobs/jobs/3046662/applied-scientist-ii-prime-video-personalization-and-discovery-science?cmpid=DA_INAD200785B")</f>
        <v/>
      </c>
      <c r="G193" t="inlineStr">
        <is>
          <t>Seattle, WA, US</t>
        </is>
      </c>
      <c r="H193" s="3" t="n">
        <v>45859</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in-471be505d16964ec</t>
        </is>
      </c>
      <c r="B194" t="inlineStr">
        <is>
          <t>Applied Scientist II, Prime Video Personalization and Discovery Science</t>
        </is>
      </c>
      <c r="C194" t="inlineStr">
        <is>
          <t>Amazon.com</t>
        </is>
      </c>
      <c r="D194" t="inlineStr">
        <is>
          <t>indeed</t>
        </is>
      </c>
      <c r="E194">
        <f>HYPERLINK("https://www.indeed.com/viewjob?jk=471be505d16964ec", "https://www.indeed.com/viewjob?jk=471be505d16964ec")</f>
        <v/>
      </c>
      <c r="F194">
        <f>HYPERLINK("https://www.amazon.jobs/jobs/3046662/applied-scientist-ii-prime-video-personalization-and-discovery-science?cmpid=DA_INAD200785B", "https://www.amazon.jobs/jobs/3046662/applied-scientist-ii-prime-video-personalization-and-discovery-science?cmpid=DA_INAD200785B")</f>
        <v/>
      </c>
      <c r="G194" t="inlineStr">
        <is>
          <t>New York, NY, US</t>
        </is>
      </c>
      <c r="H194" s="3" t="n">
        <v>45859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in-3ce85498ee378f61</t>
        </is>
      </c>
      <c r="B195" t="inlineStr">
        <is>
          <t>Applied Scientist II, Prime Video Personalization and Discovery Science</t>
        </is>
      </c>
      <c r="C195" t="inlineStr">
        <is>
          <t>Amazon.com</t>
        </is>
      </c>
      <c r="D195" t="inlineStr">
        <is>
          <t>indeed</t>
        </is>
      </c>
      <c r="E195">
        <f>HYPERLINK("https://www.indeed.com/viewjob?jk=3ce85498ee378f61", "https://www.indeed.com/viewjob?jk=3ce85498ee378f61")</f>
        <v/>
      </c>
      <c r="F195">
        <f>HYPERLINK("https://www.amazon.jobs/jobs/3046662/applied-scientist-ii-prime-video-personalization-and-discovery-science?cmpid=DA_INAD200785B", "https://www.amazon.jobs/jobs/3046662/applied-scientist-ii-prime-video-personalization-and-discovery-science?cmpid=DA_INAD200785B")</f>
        <v/>
      </c>
      <c r="G195" t="inlineStr">
        <is>
          <t>Sunnyvale, CA, US</t>
        </is>
      </c>
      <c r="H195" s="3" t="n">
        <v>45859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in-9f54b6b4b80a9f05</t>
        </is>
      </c>
      <c r="B196" t="inlineStr">
        <is>
          <t>Applied Scientist, Prime Video - Personalization and Discovery Science</t>
        </is>
      </c>
      <c r="C196" t="inlineStr">
        <is>
          <t>Amazon.com</t>
        </is>
      </c>
      <c r="D196" t="inlineStr">
        <is>
          <t>indeed</t>
        </is>
      </c>
      <c r="E196">
        <f>HYPERLINK("https://www.indeed.com/viewjob?jk=9f54b6b4b80a9f05", "https://www.indeed.com/viewjob?jk=9f54b6b4b80a9f05")</f>
        <v/>
      </c>
      <c r="F196">
        <f>HYPERLINK("https://www.amazon.jobs/jobs/3033050/applied-scientist-prime-video--personalization-and-discovery-science?cmpid=DA_INAD200785B", "https://www.amazon.jobs/jobs/3033050/applied-scientist-prime-video--personalization-and-discovery-science?cmpid=DA_INAD200785B")</f>
        <v/>
      </c>
      <c r="G196" t="inlineStr">
        <is>
          <t>New York, NY, US</t>
        </is>
      </c>
      <c r="H196" s="3" t="n">
        <v>45845</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in-e03fa51f795589bd</t>
        </is>
      </c>
      <c r="B197" t="inlineStr">
        <is>
          <t>Applied Scientist, Prime Video - Personalization and Discovery Science</t>
        </is>
      </c>
      <c r="C197" t="inlineStr">
        <is>
          <t>Amazon.com</t>
        </is>
      </c>
      <c r="D197" t="inlineStr">
        <is>
          <t>indeed</t>
        </is>
      </c>
      <c r="E197">
        <f>HYPERLINK("https://www.indeed.com/viewjob?jk=e03fa51f795589bd", "https://www.indeed.com/viewjob?jk=e03fa51f795589bd")</f>
        <v/>
      </c>
      <c r="F197">
        <f>HYPERLINK("https://www.amazon.jobs/jobs/3033050/applied-scientist-prime-video--personalization-and-discovery-science?cmpid=DA_INAD200785B", "https://www.amazon.jobs/jobs/3033050/applied-scientist-prime-video--personalization-and-discovery-science?cmpid=DA_INAD200785B")</f>
        <v/>
      </c>
      <c r="G197" t="inlineStr">
        <is>
          <t>Seattle, WA, US</t>
        </is>
      </c>
      <c r="H197" s="3" t="n">
        <v>45845</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in-969f2e92b9a40fb9</t>
        </is>
      </c>
      <c r="B198" t="inlineStr">
        <is>
          <t>Applied Scientist, Prime Video - Personalization and Discovery Science</t>
        </is>
      </c>
      <c r="C198" t="inlineStr">
        <is>
          <t>Amazon.com</t>
        </is>
      </c>
      <c r="D198" t="inlineStr">
        <is>
          <t>indeed</t>
        </is>
      </c>
      <c r="E198">
        <f>HYPERLINK("https://www.indeed.com/viewjob?jk=969f2e92b9a40fb9", "https://www.indeed.com/viewjob?jk=969f2e92b9a40fb9")</f>
        <v/>
      </c>
      <c r="F198">
        <f>HYPERLINK("https://www.amazon.jobs/jobs/3033050/applied-scientist-prime-video--personalization-and-discovery-science?cmpid=DA_INAD200785B", "https://www.amazon.jobs/jobs/3033050/applied-scientist-prime-video--personalization-and-discovery-science?cmpid=DA_INAD200785B")</f>
        <v/>
      </c>
      <c r="G198" t="inlineStr">
        <is>
          <t>Sunnyvale, CA, US</t>
        </is>
      </c>
      <c r="H198" s="3" t="n">
        <v>45845</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in-19d064a8675ddb33</t>
        </is>
      </c>
      <c r="B199" t="inlineStr">
        <is>
          <t>Sr. Applied Scientist, Prime Video - Personalization and Discovery Science</t>
        </is>
      </c>
      <c r="C199" t="inlineStr">
        <is>
          <t>Amazon.com</t>
        </is>
      </c>
      <c r="D199" t="inlineStr">
        <is>
          <t>indeed</t>
        </is>
      </c>
      <c r="E199">
        <f>HYPERLINK("https://www.indeed.com/viewjob?jk=19d064a8675ddb33", "https://www.indeed.com/viewjob?jk=19d064a8675ddb33")</f>
        <v/>
      </c>
      <c r="F199">
        <f>HYPERLINK("https://www.amazon.jobs/jobs/3011754/sr-applied-scientist-prime-video--personalization-and-discovery-science?cmpid=DA_INAD200785B", "https://www.amazon.jobs/jobs/3011754/sr-applied-scientist-prime-video--personalization-and-discovery-science?cmpid=DA_INAD200785B")</f>
        <v/>
      </c>
      <c r="G199" t="inlineStr">
        <is>
          <t>Sunnyvale, CA, US</t>
        </is>
      </c>
      <c r="H199" s="3" t="n">
        <v>45819</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in-819b94197e9316db</t>
        </is>
      </c>
      <c r="B200" t="inlineStr">
        <is>
          <t>Sr. Applied Scientist, Prime Video - Personalization and Discovery Science</t>
        </is>
      </c>
      <c r="C200" t="inlineStr">
        <is>
          <t>Amazon.com</t>
        </is>
      </c>
      <c r="D200" t="inlineStr">
        <is>
          <t>indeed</t>
        </is>
      </c>
      <c r="E200">
        <f>HYPERLINK("https://www.indeed.com/viewjob?jk=819b94197e9316db", "https://www.indeed.com/viewjob?jk=819b94197e9316db")</f>
        <v/>
      </c>
      <c r="F200">
        <f>HYPERLINK("https://www.amazon.jobs/jobs/3011754/sr-applied-scientist-prime-video--personalization-and-discovery-science?cmpid=DA_INAD200785B", "https://www.amazon.jobs/jobs/3011754/sr-applied-scientist-prime-video--personalization-and-discovery-science?cmpid=DA_INAD200785B")</f>
        <v/>
      </c>
      <c r="G200" t="inlineStr">
        <is>
          <t>Seattle, WA, US</t>
        </is>
      </c>
      <c r="H200" s="3" t="n">
        <v>45819</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in-a920eecf8b32ca18</t>
        </is>
      </c>
      <c r="B201" t="inlineStr">
        <is>
          <t>Senior Applied Scientist, AGI, AGI</t>
        </is>
      </c>
      <c r="C201" t="inlineStr">
        <is>
          <t>Amazon.com</t>
        </is>
      </c>
      <c r="D201" t="inlineStr">
        <is>
          <t>indeed</t>
        </is>
      </c>
      <c r="E201">
        <f>HYPERLINK("https://www.indeed.com/viewjob?jk=a920eecf8b32ca18", "https://www.indeed.com/viewjob?jk=a920eecf8b32ca18")</f>
        <v/>
      </c>
      <c r="F201">
        <f>HYPERLINK("https://www.amazon.jobs/jobs/2987811/senior-applied-scientist-agi-agi?cmpid=DA_INAD200785B", "https://www.amazon.jobs/jobs/2987811/senior-applied-scientist-agi-agi?cmpid=DA_INAD200785B")</f>
        <v/>
      </c>
      <c r="G201" t="inlineStr">
        <is>
          <t>Boston, MA, US</t>
        </is>
      </c>
      <c r="H201" s="3" t="n">
        <v>45796</v>
      </c>
      <c r="I20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in-4639a7fa3ec0b159</t>
        </is>
      </c>
      <c r="B202" t="inlineStr">
        <is>
          <t>Senior Applied Scientist, AGI, AGI</t>
        </is>
      </c>
      <c r="C202" t="inlineStr">
        <is>
          <t>Amazon.com</t>
        </is>
      </c>
      <c r="D202" t="inlineStr">
        <is>
          <t>indeed</t>
        </is>
      </c>
      <c r="E202">
        <f>HYPERLINK("https://www.indeed.com/viewjob?jk=4639a7fa3ec0b159", "https://www.indeed.com/viewjob?jk=4639a7fa3ec0b159")</f>
        <v/>
      </c>
      <c r="F202">
        <f>HYPERLINK("https://www.amazon.jobs/jobs/2987811/senior-applied-scientist-agi-agi?cmpid=DA_INAD200785B", "https://www.amazon.jobs/jobs/2987811/senior-applied-scientist-agi-agi?cmpid=DA_INAD200785B")</f>
        <v/>
      </c>
      <c r="G202" t="inlineStr">
        <is>
          <t>Sunnyvale, CA, US</t>
        </is>
      </c>
      <c r="H202" s="3" t="n">
        <v>45796</v>
      </c>
      <c r="I20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in-faf7f5479215e361</t>
        </is>
      </c>
      <c r="B203" t="inlineStr">
        <is>
          <t>AI Engineer</t>
        </is>
      </c>
      <c r="C203" t="inlineStr">
        <is>
          <t>Fulcrum Collaborations</t>
        </is>
      </c>
      <c r="D203" t="inlineStr">
        <is>
          <t>indeed</t>
        </is>
      </c>
      <c r="E203">
        <f>HYPERLINK("https://www.indeed.com/viewjob?jk=faf7f5479215e361", "https://www.indeed.com/viewjob?jk=faf7f5479215e361")</f>
        <v/>
      </c>
      <c r="F203">
        <f>HYPERLINK("https://ats.rippling.com/mcim/jobs/5c87af2a-4342-4ea6-9ed3-de4d6ab19fe2?jobSite=Indeed", "https://ats.rippling.com/mcim/jobs/5c87af2a-4342-4ea6-9ed3-de4d6ab19fe2?jobSite=Indeed")</f>
        <v/>
      </c>
      <c r="G203" t="inlineStr">
        <is>
          <t>Glen Allen, VA, US</t>
        </is>
      </c>
      <c r="H203" s="3" t="n">
        <v>46027</v>
      </c>
      <c r="I203" t="inlineStr">
        <is>
          <t>**About MCIM**
MCIM – The Data Center Operating System (DCOS) is a platform that simplifies the complexities of managing a data center by bringing all functions and locations under one intuitive dashboard.
MCIM started with a commission from a Fortune 100 financial institution to create a cloud computing solution for managing their global critical facilities. The team developed the MCIM platform based on the lessons learned from that project.
Today, MCIM is utilized by Fortune 100 and 500 companies in over 94 countries worldwide. This world\-class solution is continuously improved through collaboration with users and industry organizations like The Uptime Institute.
 **About MCIM**  
MCIM – The Data Center Operating System (DCOS) is a platform that simplifies the complexities of managing a data center by bringing all functions and locations under one intuitive dashboard.  
MCIM started with a commission from a Fortune 100 financial institution to create a cloud computing solution for managing their global critical facilities. The team developed the MCIM platform based on the lessons learned from that project.  
Today, MCIM is utilized by Fortune 100 and 500 companies in over 94 countries worldwide. This world\-class solution is continuously improved through collaboration with users and industry organizations like The Uptime Institute.We are seeking a hands\-on and inventive AI Engineer to join MCIM Labs—a fast\-moving innovation team reporting directly to the founder. In this role, you won’t be researching models in theory—you’ll be building and shipping functional AI prototypes that demonstrate real business value. You will leverage agentic frameworks like LangChain, CrewAI, and Autogen to rapidly design and deploy multi\-agent systems and LLM\-based tools. This role is full\-stack in nature, blending AI engineering, application logic, and lightweight UI development to move fast from concept to demo. You will collaborate closely with data engineers, product visionaries, and technical stakeholders to push the boundaries of what’s possible with enterprise AI. Your work will directly influence the development of new data\-driven products and revenue\-generating capabilities within MCIM.  
**What You’ll Do:**
* **Rapid AI Prototyping**
* Use generative and agent\-based tools (Cursor, Windsurf, Cline, Replit etc.) to build functional proof\-of\-concepts using real MCIM data.
* **Multi\-Agent Orchestration**
* Build and manage infrastructure for autonomous agents capable of coordinating within MCIM’s enterprise SaaS workflows.
* **Performance \&amp; Integration Tuning**
* Partner with Data Engineering to align models with MCIM’s ontology and ensure system performance, scalability, and reliability.
* **Full\-Stack System Design**
* Connect front\-end interfaces with back\-end AI logic to create end\-to\-end MVPs with real user value.
**Who You Are:**
* A scrappy builder with a track record of hands\-on experimentation using tools like LangChain, Langsmith, Hugging Face, PyTorch, TensorFlow, etc.
* Comfortable working solo or in small teams to move from idea demo quickly.
* Understand how to implement LLMs and agents to solve real problems—not just theorize about them.
* Familiar with modern system architectures, infrastructure as code, prompting strategies, observability and end\-to\-end software delivery.
**What You Bring:**
* Proven experience delivering AI/ML solutions (LLM integrations, agentic workflows, full\-stack prototypes, observability)
* Comfort with tools like LangChain, Autogen, CrewAI, Replit, and Hugging Face
* Programming comfort (Python preferred) and ability to connect AI logic to live data backends with observability
* Experience working with structured and unstructured data; SQL knowledge a plus
* Self\-starter mindset with strong curiosity, communication, and collaboration instincts
**Preferred Qualifications:**
* 5\+ years in software engineering, AI product development, or full\-stack roles
* Proficient with prompt engineering and LLM APIs
* Prior work inside a fast\-paced innovation or R\&amp;D group preferred
* Bachelor’s degree in a technical field is a plus—but hands\-on proof of ability matters most</t>
        </is>
      </c>
    </row>
    <row r="204">
      <c r="A204" t="inlineStr">
        <is>
          <t>in-d5d58b75ea8fa88a</t>
        </is>
      </c>
      <c r="B204" t="inlineStr">
        <is>
          <t>Applied Scientist, Skill Builder, AWS Training and Certifications</t>
        </is>
      </c>
      <c r="C204" t="inlineStr">
        <is>
          <t>Amazon Web Services</t>
        </is>
      </c>
      <c r="D204" t="inlineStr">
        <is>
          <t>indeed</t>
        </is>
      </c>
      <c r="E204">
        <f>HYPERLINK("https://www.indeed.com/viewjob?jk=d5d58b75ea8fa88a", "https://www.indeed.com/viewjob?jk=d5d58b75ea8fa88a")</f>
        <v/>
      </c>
      <c r="F204">
        <f>HYPERLINK("https://www.amazon.jobs/jobs/3140583/applied-scientist-skill-builder-aws-training-and-certifications?cmpid=DA_INAD200785B", "https://www.amazon.jobs/jobs/3140583/applied-scientist-skill-builder-aws-training-and-certifications?cmpid=DA_INAD200785B")</f>
        <v/>
      </c>
      <c r="G204" t="inlineStr">
        <is>
          <t>Bellevue, WA, US</t>
        </is>
      </c>
      <c r="H204" s="3" t="n">
        <v>46000</v>
      </c>
      <c r="I20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in-a8fd7b9a5c2ab49c</t>
        </is>
      </c>
      <c r="B205" t="inlineStr">
        <is>
          <t>Applied Scientist, Skill Builder, AWS Training and Certifications</t>
        </is>
      </c>
      <c r="C205" t="inlineStr">
        <is>
          <t>Amazon Web Services</t>
        </is>
      </c>
      <c r="D205" t="inlineStr">
        <is>
          <t>indeed</t>
        </is>
      </c>
      <c r="E205">
        <f>HYPERLINK("https://www.indeed.com/viewjob?jk=a8fd7b9a5c2ab49c", "https://www.indeed.com/viewjob?jk=a8fd7b9a5c2ab49c")</f>
        <v/>
      </c>
      <c r="F205">
        <f>HYPERLINK("https://www.amazon.jobs/jobs/3140583/applied-scientist-skill-builder-aws-training-and-certifications?cmpid=DA_INAD200785B", "https://www.amazon.jobs/jobs/3140583/applied-scientist-skill-builder-aws-training-and-certifications?cmpid=DA_INAD200785B")</f>
        <v/>
      </c>
      <c r="G205" t="inlineStr">
        <is>
          <t>Arlington, VA, US</t>
        </is>
      </c>
      <c r="H205" s="3" t="n">
        <v>46000</v>
      </c>
      <c r="I20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in-b284d0a1b9678079</t>
        </is>
      </c>
      <c r="B206" t="inlineStr">
        <is>
          <t>Applied Scientist, Skill Builder, AWS Training and Certifications</t>
        </is>
      </c>
      <c r="C206" t="inlineStr">
        <is>
          <t>Amazon Web Services</t>
        </is>
      </c>
      <c r="D206" t="inlineStr">
        <is>
          <t>indeed</t>
        </is>
      </c>
      <c r="E206">
        <f>HYPERLINK("https://www.indeed.com/viewjob?jk=b284d0a1b9678079", "https://www.indeed.com/viewjob?jk=b284d0a1b9678079")</f>
        <v/>
      </c>
      <c r="F206">
        <f>HYPERLINK("https://www.amazon.jobs/jobs/3140583/applied-scientist-skill-builder-aws-training-and-certifications?cmpid=DA_INAD200785B", "https://www.amazon.jobs/jobs/3140583/applied-scientist-skill-builder-aws-training-and-certifications?cmpid=DA_INAD200785B")</f>
        <v/>
      </c>
      <c r="G206" t="inlineStr">
        <is>
          <t>Seattle, WA, US</t>
        </is>
      </c>
      <c r="H206" s="3" t="n">
        <v>46000</v>
      </c>
      <c r="I2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in-9399179871fa236d</t>
        </is>
      </c>
      <c r="B207" t="inlineStr">
        <is>
          <t>Principal Applied Scientist, AGI Foundations, AGI Foundations</t>
        </is>
      </c>
      <c r="C207" t="inlineStr">
        <is>
          <t>Amazon.com</t>
        </is>
      </c>
      <c r="D207" t="inlineStr">
        <is>
          <t>indeed</t>
        </is>
      </c>
      <c r="E207">
        <f>HYPERLINK("https://www.indeed.com/viewjob?jk=9399179871fa236d", "https://www.indeed.com/viewjob?jk=9399179871fa236d")</f>
        <v/>
      </c>
      <c r="F207">
        <f>HYPERLINK("https://www.amazon.jobs/jobs/3127969/principal-applied-scientist-agi-foundations-agi-foundations?cmpid=DA_INAD200785B", "https://www.amazon.jobs/jobs/3127969/principal-applied-scientist-agi-foundations-agi-foundations?cmpid=DA_INAD200785B")</f>
        <v/>
      </c>
      <c r="G207" t="inlineStr">
        <is>
          <t>Bellevue, WA, US</t>
        </is>
      </c>
      <c r="H207" s="3" t="n">
        <v>45978</v>
      </c>
      <c r="I20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in-13351ac28da1938b</t>
        </is>
      </c>
      <c r="B208" t="inlineStr">
        <is>
          <t>Principal Applied Scientist, AGI Foundations, AGI Foundations</t>
        </is>
      </c>
      <c r="C208" t="inlineStr">
        <is>
          <t>Amazon.com</t>
        </is>
      </c>
      <c r="D208" t="inlineStr">
        <is>
          <t>indeed</t>
        </is>
      </c>
      <c r="E208">
        <f>HYPERLINK("https://www.indeed.com/viewjob?jk=13351ac28da1938b", "https://www.indeed.com/viewjob?jk=13351ac28da1938b")</f>
        <v/>
      </c>
      <c r="F208">
        <f>HYPERLINK("https://www.amazon.jobs/jobs/3127969/principal-applied-scientist-agi-foundations-agi-foundations?cmpid=DA_INAD200785B", "https://www.amazon.jobs/jobs/3127969/principal-applied-scientist-agi-foundations-agi-foundations?cmpid=DA_INAD200785B")</f>
        <v/>
      </c>
      <c r="G208" t="inlineStr">
        <is>
          <t>Sunnyvale, CA, US</t>
        </is>
      </c>
      <c r="H208" s="3" t="n">
        <v>45978</v>
      </c>
      <c r="I20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in-113c5f7cea38524c</t>
        </is>
      </c>
      <c r="B209" t="inlineStr">
        <is>
          <t>Principal Applied Scientist, AGI Foundations, AGI Foundations</t>
        </is>
      </c>
      <c r="C209" t="inlineStr">
        <is>
          <t>Amazon.com</t>
        </is>
      </c>
      <c r="D209" t="inlineStr">
        <is>
          <t>indeed</t>
        </is>
      </c>
      <c r="E209">
        <f>HYPERLINK("https://www.indeed.com/viewjob?jk=113c5f7cea38524c", "https://www.indeed.com/viewjob?jk=113c5f7cea38524c")</f>
        <v/>
      </c>
      <c r="F209">
        <f>HYPERLINK("https://www.amazon.jobs/jobs/3127969/principal-applied-scientist-agi-foundations-agi-foundations?cmpid=DA_INAD200785B", "https://www.amazon.jobs/jobs/3127969/principal-applied-scientist-agi-foundations-agi-foundations?cmpid=DA_INAD200785B")</f>
        <v/>
      </c>
      <c r="G209" t="inlineStr">
        <is>
          <t>Boston, MA, US</t>
        </is>
      </c>
      <c r="H209" s="3" t="n">
        <v>45978</v>
      </c>
      <c r="I20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in-3b3626b3fa7e923b</t>
        </is>
      </c>
      <c r="B210" t="inlineStr">
        <is>
          <t>Principal Applied Scientist, AGI Foundations, AGI Foundations</t>
        </is>
      </c>
      <c r="C210" t="inlineStr">
        <is>
          <t>Amazon.com</t>
        </is>
      </c>
      <c r="D210" t="inlineStr">
        <is>
          <t>indeed</t>
        </is>
      </c>
      <c r="E210">
        <f>HYPERLINK("https://www.indeed.com/viewjob?jk=3b3626b3fa7e923b", "https://www.indeed.com/viewjob?jk=3b3626b3fa7e923b")</f>
        <v/>
      </c>
      <c r="F210">
        <f>HYPERLINK("https://www.amazon.jobs/jobs/3127969/principal-applied-scientist-agi-foundations-agi-foundations?cmpid=DA_INAD200785B", "https://www.amazon.jobs/jobs/3127969/principal-applied-scientist-agi-foundations-agi-foundations?cmpid=DA_INAD200785B")</f>
        <v/>
      </c>
      <c r="G210" t="inlineStr">
        <is>
          <t>New York, NY, US</t>
        </is>
      </c>
      <c r="H210" s="3" t="n">
        <v>45978</v>
      </c>
      <c r="I21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in-9ccd79d602e42f12</t>
        </is>
      </c>
      <c r="B211" t="inlineStr">
        <is>
          <t>Principal Applied Scientist, Artificial General Intelligence</t>
        </is>
      </c>
      <c r="C211" t="inlineStr">
        <is>
          <t>Amazon.com</t>
        </is>
      </c>
      <c r="D211" t="inlineStr">
        <is>
          <t>indeed</t>
        </is>
      </c>
      <c r="E211">
        <f>HYPERLINK("https://www.indeed.com/viewjob?jk=9ccd79d602e42f12", "https://www.indeed.com/viewjob?jk=9ccd79d602e42f12")</f>
        <v/>
      </c>
      <c r="F211">
        <f>HYPERLINK("https://www.amazon.jobs/jobs/3128477/principal-applied-scientist--artificial-general-intelligence?cmpid=DA_INAD200785B", "https://www.amazon.jobs/jobs/3128477/principal-applied-scientist--artificial-general-intelligence?cmpid=DA_INAD200785B")</f>
        <v/>
      </c>
      <c r="G211" t="inlineStr">
        <is>
          <t>Sunnyvale, CA, US</t>
        </is>
      </c>
      <c r="H211" s="3" t="n">
        <v>45978</v>
      </c>
      <c r="I21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in-70655134e8372d46</t>
        </is>
      </c>
      <c r="B212" t="inlineStr">
        <is>
          <t>Principal Applied Scientist, Artificial General Intelligence</t>
        </is>
      </c>
      <c r="C212" t="inlineStr">
        <is>
          <t>Amazon.com</t>
        </is>
      </c>
      <c r="D212" t="inlineStr">
        <is>
          <t>indeed</t>
        </is>
      </c>
      <c r="E212">
        <f>HYPERLINK("https://www.indeed.com/viewjob?jk=70655134e8372d46", "https://www.indeed.com/viewjob?jk=70655134e8372d46")</f>
        <v/>
      </c>
      <c r="F212">
        <f>HYPERLINK("https://www.amazon.jobs/jobs/3128477/principal-applied-scientist--artificial-general-intelligence?cmpid=DA_INAD200785B", "https://www.amazon.jobs/jobs/3128477/principal-applied-scientist--artificial-general-intelligence?cmpid=DA_INAD200785B")</f>
        <v/>
      </c>
      <c r="G212" t="inlineStr">
        <is>
          <t>Seattle, WA, US</t>
        </is>
      </c>
      <c r="H212" s="3" t="n">
        <v>45978</v>
      </c>
      <c r="I21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in-3f3c4d74d7ee7e4d</t>
        </is>
      </c>
      <c r="B213" t="inlineStr">
        <is>
          <t>Principal Applied Scientist, Artificial General Intelligence</t>
        </is>
      </c>
      <c r="C213" t="inlineStr">
        <is>
          <t>Amazon.com</t>
        </is>
      </c>
      <c r="D213" t="inlineStr">
        <is>
          <t>indeed</t>
        </is>
      </c>
      <c r="E213">
        <f>HYPERLINK("https://www.indeed.com/viewjob?jk=3f3c4d74d7ee7e4d", "https://www.indeed.com/viewjob?jk=3f3c4d74d7ee7e4d")</f>
        <v/>
      </c>
      <c r="F213">
        <f>HYPERLINK("https://www.amazon.jobs/jobs/3128477/principal-applied-scientist--artificial-general-intelligence?cmpid=DA_INAD200785B", "https://www.amazon.jobs/jobs/3128477/principal-applied-scientist--artificial-general-intelligence?cmpid=DA_INAD200785B")</f>
        <v/>
      </c>
      <c r="G213" t="inlineStr">
        <is>
          <t>San Francisco, CA, US</t>
        </is>
      </c>
      <c r="H213" s="3" t="n">
        <v>45978</v>
      </c>
      <c r="I21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in-9eb2460b022c2057</t>
        </is>
      </c>
      <c r="B214" t="inlineStr">
        <is>
          <t>Principal Applied Scientist, Artificial General Intelligence</t>
        </is>
      </c>
      <c r="C214" t="inlineStr">
        <is>
          <t>Amazon.com</t>
        </is>
      </c>
      <c r="D214" t="inlineStr">
        <is>
          <t>indeed</t>
        </is>
      </c>
      <c r="E214">
        <f>HYPERLINK("https://www.indeed.com/viewjob?jk=9eb2460b022c2057", "https://www.indeed.com/viewjob?jk=9eb2460b022c2057")</f>
        <v/>
      </c>
      <c r="F214">
        <f>HYPERLINK("https://www.amazon.jobs/jobs/3128477/principal-applied-scientist--artificial-general-intelligence?cmpid=DA_INAD200785B", "https://www.amazon.jobs/jobs/3128477/principal-applied-scientist--artificial-general-intelligence?cmpid=DA_INAD200785B")</f>
        <v/>
      </c>
      <c r="G214" t="inlineStr">
        <is>
          <t>Bellevue, WA, US</t>
        </is>
      </c>
      <c r="H214" s="3" t="n">
        <v>45978</v>
      </c>
      <c r="I21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in-6cf1edb5cac1174d</t>
        </is>
      </c>
      <c r="B215" t="inlineStr">
        <is>
          <t>Applied Scientist, Artificial General Intelligence</t>
        </is>
      </c>
      <c r="C215" t="inlineStr">
        <is>
          <t>Amazon.com</t>
        </is>
      </c>
      <c r="D215" t="inlineStr">
        <is>
          <t>indeed</t>
        </is>
      </c>
      <c r="E215">
        <f>HYPERLINK("https://www.indeed.com/viewjob?jk=6cf1edb5cac1174d", "https://www.indeed.com/viewjob?jk=6cf1edb5cac1174d")</f>
        <v/>
      </c>
      <c r="F215">
        <f>HYPERLINK("https://www.amazon.jobs/jobs/3127075/applied-scientist-artificial-general-intelligence?cmpid=DA_INAD200785B", "https://www.amazon.jobs/jobs/3127075/applied-scientist-artificial-general-intelligence?cmpid=DA_INAD200785B")</f>
        <v/>
      </c>
      <c r="G215" t="inlineStr">
        <is>
          <t>Seattle, WA, US</t>
        </is>
      </c>
      <c r="H215" s="3" t="n">
        <v>45974</v>
      </c>
      <c r="I21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in-88b479a96651d436</t>
        </is>
      </c>
      <c r="B216" t="inlineStr">
        <is>
          <t>Applied Scientist, Artificial General Intelligence</t>
        </is>
      </c>
      <c r="C216" t="inlineStr">
        <is>
          <t>Amazon.com</t>
        </is>
      </c>
      <c r="D216" t="inlineStr">
        <is>
          <t>indeed</t>
        </is>
      </c>
      <c r="E216">
        <f>HYPERLINK("https://www.indeed.com/viewjob?jk=88b479a96651d436", "https://www.indeed.com/viewjob?jk=88b479a96651d436")</f>
        <v/>
      </c>
      <c r="F216">
        <f>HYPERLINK("https://www.amazon.jobs/jobs/3127075/applied-scientist-artificial-general-intelligence?cmpid=DA_INAD200785B", "https://www.amazon.jobs/jobs/3127075/applied-scientist-artificial-general-intelligence?cmpid=DA_INAD200785B")</f>
        <v/>
      </c>
      <c r="G216" t="inlineStr">
        <is>
          <t>Sunnyvale, CA, US</t>
        </is>
      </c>
      <c r="H216" s="3" t="n">
        <v>45974</v>
      </c>
      <c r="I21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in-78b67d6061b2f36e</t>
        </is>
      </c>
      <c r="B217" t="inlineStr">
        <is>
          <t>Applied Scientist, Artificial General Intelligence</t>
        </is>
      </c>
      <c r="C217" t="inlineStr">
        <is>
          <t>Amazon.com</t>
        </is>
      </c>
      <c r="D217" t="inlineStr">
        <is>
          <t>indeed</t>
        </is>
      </c>
      <c r="E217">
        <f>HYPERLINK("https://www.indeed.com/viewjob?jk=78b67d6061b2f36e", "https://www.indeed.com/viewjob?jk=78b67d6061b2f36e")</f>
        <v/>
      </c>
      <c r="F217">
        <f>HYPERLINK("https://www.amazon.jobs/jobs/3127075/applied-scientist-artificial-general-intelligence?cmpid=DA_INAD200785B", "https://www.amazon.jobs/jobs/3127075/applied-scientist-artificial-general-intelligence?cmpid=DA_INAD200785B")</f>
        <v/>
      </c>
      <c r="G217" t="inlineStr">
        <is>
          <t>Boston, MA, US</t>
        </is>
      </c>
      <c r="H217" s="3" t="n">
        <v>45974</v>
      </c>
      <c r="I21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in-8f322d9a3370b6d6</t>
        </is>
      </c>
      <c r="B218" t="inlineStr">
        <is>
          <t>Applied Scientist, Sponsored Products and Brands</t>
        </is>
      </c>
      <c r="C218" t="inlineStr">
        <is>
          <t>Amazon.com</t>
        </is>
      </c>
      <c r="D218" t="inlineStr">
        <is>
          <t>indeed</t>
        </is>
      </c>
      <c r="E218">
        <f>HYPERLINK("https://www.indeed.com/viewjob?jk=8f322d9a3370b6d6", "https://www.indeed.com/viewjob?jk=8f322d9a3370b6d6")</f>
        <v/>
      </c>
      <c r="F218">
        <f>HYPERLINK("https://www.amazon.jobs/jobs/3122617/applied-scientist-sponsored-products-and-brands?cmpid=DA_INAD200785B", "https://www.amazon.jobs/jobs/3122617/applied-scientist-sponsored-products-and-brands?cmpid=DA_INAD200785B")</f>
        <v/>
      </c>
      <c r="G218" t="inlineStr">
        <is>
          <t>New York, NY, US</t>
        </is>
      </c>
      <c r="H218" s="3" t="n">
        <v>45965</v>
      </c>
      <c r="I21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in-63a704f5374e8714</t>
        </is>
      </c>
      <c r="B219" t="inlineStr">
        <is>
          <t>Applied Scientist, Sponsored Products and Brands</t>
        </is>
      </c>
      <c r="C219" t="inlineStr">
        <is>
          <t>Amazon.com</t>
        </is>
      </c>
      <c r="D219" t="inlineStr">
        <is>
          <t>indeed</t>
        </is>
      </c>
      <c r="E219">
        <f>HYPERLINK("https://www.indeed.com/viewjob?jk=63a704f5374e8714", "https://www.indeed.com/viewjob?jk=63a704f5374e8714")</f>
        <v/>
      </c>
      <c r="F219">
        <f>HYPERLINK("https://www.amazon.jobs/jobs/3122617/applied-scientist-sponsored-products-and-brands?cmpid=DA_INAD200785B", "https://www.amazon.jobs/jobs/3122617/applied-scientist-sponsored-products-and-brands?cmpid=DA_INAD200785B")</f>
        <v/>
      </c>
      <c r="G219" t="inlineStr">
        <is>
          <t>Seattle, WA, US</t>
        </is>
      </c>
      <c r="H219" s="3" t="n">
        <v>45965</v>
      </c>
      <c r="I21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in-b101105bada6fc7b</t>
        </is>
      </c>
      <c r="B220" t="inlineStr">
        <is>
          <t>Principal Applied Scientist, Amazon AGI</t>
        </is>
      </c>
      <c r="C220" t="inlineStr">
        <is>
          <t>Amazon.com</t>
        </is>
      </c>
      <c r="D220" t="inlineStr">
        <is>
          <t>indeed</t>
        </is>
      </c>
      <c r="E220">
        <f>HYPERLINK("https://www.indeed.com/viewjob?jk=b101105bada6fc7b", "https://www.indeed.com/viewjob?jk=b101105bada6fc7b")</f>
        <v/>
      </c>
      <c r="F220">
        <f>HYPERLINK("https://www.amazon.jobs/jobs/3128808/principal-applied-scientist-amazon-agi?cmpid=DA_INAD200785B", "https://www.amazon.jobs/jobs/3128808/principal-applied-scientist-amazon-agi?cmpid=DA_INAD200785B")</f>
        <v/>
      </c>
      <c r="G220" t="inlineStr">
        <is>
          <t>Boston, MA, US</t>
        </is>
      </c>
      <c r="H220" s="3" t="n">
        <v>45964</v>
      </c>
      <c r="I22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in-451d54e4e0b7b6e2</t>
        </is>
      </c>
      <c r="B221" t="inlineStr">
        <is>
          <t>Sr. Applied Scientist , AMX Science</t>
        </is>
      </c>
      <c r="C221" t="inlineStr">
        <is>
          <t>Amazon.com</t>
        </is>
      </c>
      <c r="D221" t="inlineStr">
        <is>
          <t>indeed</t>
        </is>
      </c>
      <c r="E221">
        <f>HYPERLINK("https://www.indeed.com/viewjob?jk=451d54e4e0b7b6e2", "https://www.indeed.com/viewjob?jk=451d54e4e0b7b6e2")</f>
        <v/>
      </c>
      <c r="F221">
        <f>HYPERLINK("https://www.amazon.jobs/jobs/3122208/sr-applied-scientist--amx-science?cmpid=DA_INAD200785B", "https://www.amazon.jobs/jobs/3122208/sr-applied-scientist--amx-science?cmpid=DA_INAD200785B")</f>
        <v/>
      </c>
      <c r="G221" t="inlineStr">
        <is>
          <t>New York, NY, US</t>
        </is>
      </c>
      <c r="H221" s="3" t="n">
        <v>45958</v>
      </c>
      <c r="I22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in-d725b873202be72e</t>
        </is>
      </c>
      <c r="B222" t="inlineStr">
        <is>
          <t>Sr. Applied Scientist , AMX Science</t>
        </is>
      </c>
      <c r="C222" t="inlineStr">
        <is>
          <t>Amazon.com</t>
        </is>
      </c>
      <c r="D222" t="inlineStr">
        <is>
          <t>indeed</t>
        </is>
      </c>
      <c r="E222">
        <f>HYPERLINK("https://www.indeed.com/viewjob?jk=d725b873202be72e", "https://www.indeed.com/viewjob?jk=d725b873202be72e")</f>
        <v/>
      </c>
      <c r="F222">
        <f>HYPERLINK("https://www.amazon.jobs/jobs/3122208/sr-applied-scientist--amx-science?cmpid=DA_INAD200785B", "https://www.amazon.jobs/jobs/3122208/sr-applied-scientist--amx-science?cmpid=DA_INAD200785B")</f>
        <v/>
      </c>
      <c r="G222" t="inlineStr">
        <is>
          <t>Seattle, WA, US</t>
        </is>
      </c>
      <c r="H222" s="3" t="n">
        <v>45958</v>
      </c>
      <c r="I22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in-e4718e91bf15602a</t>
        </is>
      </c>
      <c r="B223" t="inlineStr">
        <is>
          <t>Applied Scientist, Prime Video - Content Understanding, Localization &amp; Enrichment Team</t>
        </is>
      </c>
      <c r="C223" t="inlineStr">
        <is>
          <t>Amazon.com</t>
        </is>
      </c>
      <c r="D223" t="inlineStr">
        <is>
          <t>indeed</t>
        </is>
      </c>
      <c r="E223">
        <f>HYPERLINK("https://www.indeed.com/viewjob?jk=e4718e91bf15602a", "https://www.indeed.com/viewjob?jk=e4718e91bf15602a")</f>
        <v/>
      </c>
      <c r="F223">
        <f>HYPERLINK("https://www.amazon.jobs/jobs/3111928/applied-scientist-prime-video--content-understanding-localization--enrichment-team?cmpid=DA_INAD200785B", "https://www.amazon.jobs/jobs/3111928/applied-scientist-prime-video--content-understanding-localization--enrichment-team?cmpid=DA_INAD200785B")</f>
        <v/>
      </c>
      <c r="G223" t="inlineStr">
        <is>
          <t>San Francisco, CA, US</t>
        </is>
      </c>
      <c r="H223" s="3" t="n">
        <v>45943</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in-27551ab77c5b52d2</t>
        </is>
      </c>
      <c r="B224" t="inlineStr">
        <is>
          <t>Applied Scientist, Prime Video - Content Understanding, Localization &amp; Enrichment Team</t>
        </is>
      </c>
      <c r="C224" t="inlineStr">
        <is>
          <t>Amazon.com</t>
        </is>
      </c>
      <c r="D224" t="inlineStr">
        <is>
          <t>indeed</t>
        </is>
      </c>
      <c r="E224">
        <f>HYPERLINK("https://www.indeed.com/viewjob?jk=27551ab77c5b52d2", "https://www.indeed.com/viewjob?jk=27551ab77c5b52d2")</f>
        <v/>
      </c>
      <c r="F224">
        <f>HYPERLINK("https://www.amazon.jobs/jobs/3111928/applied-scientist-prime-video--content-understanding-localization--enrichment-team?cmpid=DA_INAD200785B", "https://www.amazon.jobs/jobs/3111928/applied-scientist-prime-video--content-understanding-localization--enrichment-team?cmpid=DA_INAD200785B")</f>
        <v/>
      </c>
      <c r="G224" t="inlineStr">
        <is>
          <t>Seattle, WA, US</t>
        </is>
      </c>
      <c r="H224" s="3" t="n">
        <v>45943</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in-f6e570a7aa272b2c</t>
        </is>
      </c>
      <c r="B225" t="inlineStr">
        <is>
          <t>Principal Applied Scientist, Advertiser Growth, Amazon Sponsored Products &amp; Brands</t>
        </is>
      </c>
      <c r="C225" t="inlineStr">
        <is>
          <t>Amazon.com</t>
        </is>
      </c>
      <c r="D225" t="inlineStr">
        <is>
          <t>indeed</t>
        </is>
      </c>
      <c r="E225">
        <f>HYPERLINK("https://www.indeed.com/viewjob?jk=f6e570a7aa272b2c", "https://www.indeed.com/viewjob?jk=f6e570a7aa272b2c")</f>
        <v/>
      </c>
      <c r="F225">
        <f>HYPERLINK("https://www.amazon.jobs/jobs/3115279/principal-applied-scientist-advertiser-growth-amazon-sponsored-products--brands?cmpid=DA_INAD200785B", "https://www.amazon.jobs/jobs/3115279/principal-applied-scientist-advertiser-growth-amazon-sponsored-products--brands?cmpid=DA_INAD200785B")</f>
        <v/>
      </c>
      <c r="G225" t="inlineStr">
        <is>
          <t>Palo Alto, CA, US</t>
        </is>
      </c>
      <c r="H225" s="3"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in-6a9f0a7a7699ea84</t>
        </is>
      </c>
      <c r="B226" t="inlineStr">
        <is>
          <t>Principal Applied Scientist, Advertiser Growth, Amazon Sponsored Products &amp; Brands</t>
        </is>
      </c>
      <c r="C226" t="inlineStr">
        <is>
          <t>Amazon.com</t>
        </is>
      </c>
      <c r="D226" t="inlineStr">
        <is>
          <t>indeed</t>
        </is>
      </c>
      <c r="E226">
        <f>HYPERLINK("https://www.indeed.com/viewjob?jk=6a9f0a7a7699ea84", "https://www.indeed.com/viewjob?jk=6a9f0a7a7699ea84")</f>
        <v/>
      </c>
      <c r="F226">
        <f>HYPERLINK("https://www.amazon.jobs/jobs/3115279/principal-applied-scientist-advertiser-growth-amazon-sponsored-products--brands?cmpid=DA_INAD200785B", "https://www.amazon.jobs/jobs/3115279/principal-applied-scientist-advertiser-growth-amazon-sponsored-products--brands?cmpid=DA_INAD200785B")</f>
        <v/>
      </c>
      <c r="G226" t="inlineStr">
        <is>
          <t>Seattle, WA, US</t>
        </is>
      </c>
      <c r="H226" s="3" t="n">
        <v>45942</v>
      </c>
      <c r="I2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in-a5688c1acdbb0b4e</t>
        </is>
      </c>
      <c r="B227" t="inlineStr">
        <is>
          <t>Principal Applied Scientist, Advertiser Growth, Amazon Sponsored Products &amp; Brands</t>
        </is>
      </c>
      <c r="C227" t="inlineStr">
        <is>
          <t>Amazon.com</t>
        </is>
      </c>
      <c r="D227" t="inlineStr">
        <is>
          <t>indeed</t>
        </is>
      </c>
      <c r="E227">
        <f>HYPERLINK("https://www.indeed.com/viewjob?jk=a5688c1acdbb0b4e", "https://www.indeed.com/viewjob?jk=a5688c1acdbb0b4e")</f>
        <v/>
      </c>
      <c r="F227">
        <f>HYPERLINK("https://www.amazon.jobs/jobs/3115279/principal-applied-scientist-advertiser-growth-amazon-sponsored-products--brands?cmpid=DA_INAD200785B", "https://www.amazon.jobs/jobs/3115279/principal-applied-scientist-advertiser-growth-amazon-sponsored-products--brands?cmpid=DA_INAD200785B")</f>
        <v/>
      </c>
      <c r="G227" t="inlineStr">
        <is>
          <t>New York, NY, US</t>
        </is>
      </c>
      <c r="H227" s="3" t="n">
        <v>45942</v>
      </c>
      <c r="I22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in-8350c0783222afa3</t>
        </is>
      </c>
      <c r="B228" t="inlineStr">
        <is>
          <t>Applied Scientist, Artificial General Intelligence</t>
        </is>
      </c>
      <c r="C228" t="inlineStr">
        <is>
          <t>Amazon.com</t>
        </is>
      </c>
      <c r="D228" t="inlineStr">
        <is>
          <t>indeed</t>
        </is>
      </c>
      <c r="E228">
        <f>HYPERLINK("https://www.indeed.com/viewjob?jk=8350c0783222afa3", "https://www.indeed.com/viewjob?jk=8350c0783222afa3")</f>
        <v/>
      </c>
      <c r="F228">
        <f>HYPERLINK("https://www.amazon.jobs/jobs/3104517/applied-scientist-artificial-general-intelligence?cmpid=DA_INAD200785B", "https://www.amazon.jobs/jobs/3104517/applied-scientist-artificial-general-intelligence?cmpid=DA_INAD200785B")</f>
        <v/>
      </c>
      <c r="G228" t="inlineStr">
        <is>
          <t>New York, NY, US</t>
        </is>
      </c>
      <c r="H228" s="3" t="n">
        <v>45937</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in-14e1ce6a977b1899</t>
        </is>
      </c>
      <c r="B229" t="inlineStr">
        <is>
          <t>Applied Scientist, Artificial General Intelligence</t>
        </is>
      </c>
      <c r="C229" t="inlineStr">
        <is>
          <t>Amazon.com</t>
        </is>
      </c>
      <c r="D229" t="inlineStr">
        <is>
          <t>indeed</t>
        </is>
      </c>
      <c r="E229">
        <f>HYPERLINK("https://www.indeed.com/viewjob?jk=14e1ce6a977b1899", "https://www.indeed.com/viewjob?jk=14e1ce6a977b1899")</f>
        <v/>
      </c>
      <c r="F229">
        <f>HYPERLINK("https://www.amazon.jobs/jobs/3104517/applied-scientist-artificial-general-intelligence?cmpid=DA_INAD200785B", "https://www.amazon.jobs/jobs/3104517/applied-scientist-artificial-general-intelligence?cmpid=DA_INAD200785B")</f>
        <v/>
      </c>
      <c r="G229" t="inlineStr">
        <is>
          <t>Bellevue, WA, US</t>
        </is>
      </c>
      <c r="H229" s="3" t="n">
        <v>45937</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in-42dcb72eafc57792</t>
        </is>
      </c>
      <c r="B230" t="inlineStr">
        <is>
          <t>Applied Scientist, Artificial General Intelligence</t>
        </is>
      </c>
      <c r="C230" t="inlineStr">
        <is>
          <t>Amazon.com</t>
        </is>
      </c>
      <c r="D230" t="inlineStr">
        <is>
          <t>indeed</t>
        </is>
      </c>
      <c r="E230">
        <f>HYPERLINK("https://www.indeed.com/viewjob?jk=42dcb72eafc57792", "https://www.indeed.com/viewjob?jk=42dcb72eafc57792")</f>
        <v/>
      </c>
      <c r="F230">
        <f>HYPERLINK("https://www.amazon.jobs/jobs/3104517/applied-scientist-artificial-general-intelligence?cmpid=DA_INAD200785B", "https://www.amazon.jobs/jobs/3104517/applied-scientist-artificial-general-intelligence?cmpid=DA_INAD200785B")</f>
        <v/>
      </c>
      <c r="G230" t="inlineStr">
        <is>
          <t>Sunnyvale, CA, US</t>
        </is>
      </c>
      <c r="H230" s="3" t="n">
        <v>45937</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in-066f6078f06143c7</t>
        </is>
      </c>
      <c r="B231" t="inlineStr">
        <is>
          <t>Applied Scientist, Artificial General Intelligence</t>
        </is>
      </c>
      <c r="C231" t="inlineStr">
        <is>
          <t>Amazon.com</t>
        </is>
      </c>
      <c r="D231" t="inlineStr">
        <is>
          <t>indeed</t>
        </is>
      </c>
      <c r="E231">
        <f>HYPERLINK("https://www.indeed.com/viewjob?jk=066f6078f06143c7", "https://www.indeed.com/viewjob?jk=066f6078f06143c7")</f>
        <v/>
      </c>
      <c r="F231">
        <f>HYPERLINK("https://www.amazon.jobs/jobs/3104517/applied-scientist-artificial-general-intelligence?cmpid=DA_INAD200785B", "https://www.amazon.jobs/jobs/3104517/applied-scientist-artificial-general-intelligence?cmpid=DA_INAD200785B")</f>
        <v/>
      </c>
      <c r="G231" t="inlineStr">
        <is>
          <t>Seattle, WA, US</t>
        </is>
      </c>
      <c r="H231" s="3" t="n">
        <v>45937</v>
      </c>
      <c r="I23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in-aa1b34a07db6bdce</t>
        </is>
      </c>
      <c r="B232" t="inlineStr">
        <is>
          <t>Principal Applied Scientist, AGI Foundations</t>
        </is>
      </c>
      <c r="C232" t="inlineStr">
        <is>
          <t>Amazon.com</t>
        </is>
      </c>
      <c r="D232" t="inlineStr">
        <is>
          <t>indeed</t>
        </is>
      </c>
      <c r="E232">
        <f>HYPERLINK("https://www.indeed.com/viewjob?jk=aa1b34a07db6bdce", "https://www.indeed.com/viewjob?jk=aa1b34a07db6bdce")</f>
        <v/>
      </c>
      <c r="F232">
        <f>HYPERLINK("https://www.amazon.jobs/jobs/3098241/principal-applied-scientist-agi-foundations?cmpid=DA_INAD200785B", "https://www.amazon.jobs/jobs/3098241/principal-applied-scientist-agi-foundations?cmpid=DA_INAD200785B")</f>
        <v/>
      </c>
      <c r="G232" t="inlineStr">
        <is>
          <t>Bellevue, WA, US</t>
        </is>
      </c>
      <c r="H232" s="3" t="n">
        <v>45929</v>
      </c>
      <c r="I2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in-563106d572efdd42</t>
        </is>
      </c>
      <c r="B233" t="inlineStr">
        <is>
          <t>Principal Applied Scientist, AGI Foundations</t>
        </is>
      </c>
      <c r="C233" t="inlineStr">
        <is>
          <t>Amazon.com</t>
        </is>
      </c>
      <c r="D233" t="inlineStr">
        <is>
          <t>indeed</t>
        </is>
      </c>
      <c r="E233">
        <f>HYPERLINK("https://www.indeed.com/viewjob?jk=563106d572efdd42", "https://www.indeed.com/viewjob?jk=563106d572efdd42")</f>
        <v/>
      </c>
      <c r="F233">
        <f>HYPERLINK("https://www.amazon.jobs/jobs/3098241/principal-applied-scientist-agi-foundations?cmpid=DA_INAD200785B", "https://www.amazon.jobs/jobs/3098241/principal-applied-scientist-agi-foundations?cmpid=DA_INAD200785B")</f>
        <v/>
      </c>
      <c r="G233" t="inlineStr">
        <is>
          <t>Sunnyvale, CA, US</t>
        </is>
      </c>
      <c r="H233" s="3" t="n">
        <v>45929</v>
      </c>
      <c r="I2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in-13974042cd8df087</t>
        </is>
      </c>
      <c r="B234" t="inlineStr">
        <is>
          <t>Principal Applied Scientist, Artificial General Intelligence</t>
        </is>
      </c>
      <c r="C234" t="inlineStr">
        <is>
          <t>Amazon.com</t>
        </is>
      </c>
      <c r="D234" t="inlineStr">
        <is>
          <t>indeed</t>
        </is>
      </c>
      <c r="E234">
        <f>HYPERLINK("https://www.indeed.com/viewjob?jk=13974042cd8df087", "https://www.indeed.com/viewjob?jk=13974042cd8df087")</f>
        <v/>
      </c>
      <c r="F234">
        <f>HYPERLINK("https://www.amazon.jobs/jobs/3092462/principal-applied-scientist-artificial-general-intelligence?cmpid=DA_INAD200785B", "https://www.amazon.jobs/jobs/3092462/principal-applied-scientist-artificial-general-intelligence?cmpid=DA_INAD200785B")</f>
        <v/>
      </c>
      <c r="G234" t="inlineStr">
        <is>
          <t>New York, NY, US</t>
        </is>
      </c>
      <c r="H234" s="3" t="n">
        <v>45923</v>
      </c>
      <c r="I23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in-683ec40cb308d60f</t>
        </is>
      </c>
      <c r="B235" t="inlineStr">
        <is>
          <t>Principal Applied Scientist, Artificial General Intelligence</t>
        </is>
      </c>
      <c r="C235" t="inlineStr">
        <is>
          <t>Amazon.com</t>
        </is>
      </c>
      <c r="D235" t="inlineStr">
        <is>
          <t>indeed</t>
        </is>
      </c>
      <c r="E235">
        <f>HYPERLINK("https://www.indeed.com/viewjob?jk=683ec40cb308d60f", "https://www.indeed.com/viewjob?jk=683ec40cb308d60f")</f>
        <v/>
      </c>
      <c r="F235">
        <f>HYPERLINK("https://www.amazon.jobs/jobs/3092462/principal-applied-scientist-artificial-general-intelligence?cmpid=DA_INAD200785B", "https://www.amazon.jobs/jobs/3092462/principal-applied-scientist-artificial-general-intelligence?cmpid=DA_INAD200785B")</f>
        <v/>
      </c>
      <c r="G235" t="inlineStr">
        <is>
          <t>Sunnyvale, CA, US</t>
        </is>
      </c>
      <c r="H235" s="3" t="n">
        <v>45923</v>
      </c>
      <c r="I23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in-eb321d7d4537cd89</t>
        </is>
      </c>
      <c r="B236" t="inlineStr">
        <is>
          <t>Principal Applied Scientist, Artificial General Intelligence</t>
        </is>
      </c>
      <c r="C236" t="inlineStr">
        <is>
          <t>Amazon.com</t>
        </is>
      </c>
      <c r="D236" t="inlineStr">
        <is>
          <t>indeed</t>
        </is>
      </c>
      <c r="E236">
        <f>HYPERLINK("https://www.indeed.com/viewjob?jk=eb321d7d4537cd89", "https://www.indeed.com/viewjob?jk=eb321d7d4537cd89")</f>
        <v/>
      </c>
      <c r="F236">
        <f>HYPERLINK("https://www.amazon.jobs/jobs/3092462/principal-applied-scientist-artificial-general-intelligence?cmpid=DA_INAD200785B", "https://www.amazon.jobs/jobs/3092462/principal-applied-scientist-artificial-general-intelligence?cmpid=DA_INAD200785B")</f>
        <v/>
      </c>
      <c r="G236" t="inlineStr">
        <is>
          <t>Boston, MA, US</t>
        </is>
      </c>
      <c r="H236" s="3" t="n">
        <v>45923</v>
      </c>
      <c r="I23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in-a8ef75bb6e873144</t>
        </is>
      </c>
      <c r="B237" t="inlineStr">
        <is>
          <t>Principal Applied Scientist, Artificial General Intelligence</t>
        </is>
      </c>
      <c r="C237" t="inlineStr">
        <is>
          <t>Amazon.com</t>
        </is>
      </c>
      <c r="D237" t="inlineStr">
        <is>
          <t>indeed</t>
        </is>
      </c>
      <c r="E237">
        <f>HYPERLINK("https://www.indeed.com/viewjob?jk=a8ef75bb6e873144", "https://www.indeed.com/viewjob?jk=a8ef75bb6e873144")</f>
        <v/>
      </c>
      <c r="F237">
        <f>HYPERLINK("https://www.amazon.jobs/jobs/3092462/principal-applied-scientist-artificial-general-intelligence?cmpid=DA_INAD200785B", "https://www.amazon.jobs/jobs/3092462/principal-applied-scientist-artificial-general-intelligence?cmpid=DA_INAD200785B")</f>
        <v/>
      </c>
      <c r="G237" t="inlineStr">
        <is>
          <t>Bellevue, WA, US</t>
        </is>
      </c>
      <c r="H237" s="3" t="n">
        <v>45923</v>
      </c>
      <c r="I23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in-760e46a73502e1fb</t>
        </is>
      </c>
      <c r="B238" t="inlineStr">
        <is>
          <t>Senior Applied Scientist, Artificial General Intelligence</t>
        </is>
      </c>
      <c r="C238" t="inlineStr">
        <is>
          <t>Amazon.com</t>
        </is>
      </c>
      <c r="D238" t="inlineStr">
        <is>
          <t>indeed</t>
        </is>
      </c>
      <c r="E238">
        <f>HYPERLINK("https://www.indeed.com/viewjob?jk=760e46a73502e1fb", "https://www.indeed.com/viewjob?jk=760e46a73502e1fb")</f>
        <v/>
      </c>
      <c r="F238">
        <f>HYPERLINK("https://www.amazon.jobs/jobs/3091494/senior-applied-scientist-artificial-general-intelligence?cmpid=DA_INAD200785B", "https://www.amazon.jobs/jobs/3091494/senior-applied-scientist-artificial-general-intelligence?cmpid=DA_INAD200785B")</f>
        <v/>
      </c>
      <c r="G238" t="inlineStr">
        <is>
          <t>Sunnyvale, CA, US</t>
        </is>
      </c>
      <c r="H238" s="3" t="n">
        <v>45922</v>
      </c>
      <c r="I23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in-0a284cb82d41ba86</t>
        </is>
      </c>
      <c r="B239" t="inlineStr">
        <is>
          <t>Senior Applied Scientist, Artificial General Intelligence</t>
        </is>
      </c>
      <c r="C239" t="inlineStr">
        <is>
          <t>Amazon.com</t>
        </is>
      </c>
      <c r="D239" t="inlineStr">
        <is>
          <t>indeed</t>
        </is>
      </c>
      <c r="E239">
        <f>HYPERLINK("https://www.indeed.com/viewjob?jk=0a284cb82d41ba86", "https://www.indeed.com/viewjob?jk=0a284cb82d41ba86")</f>
        <v/>
      </c>
      <c r="F239">
        <f>HYPERLINK("https://www.amazon.jobs/jobs/3091494/senior-applied-scientist-artificial-general-intelligence?cmpid=DA_INAD200785B", "https://www.amazon.jobs/jobs/3091494/senior-applied-scientist-artificial-general-intelligence?cmpid=DA_INAD200785B")</f>
        <v/>
      </c>
      <c r="G239" t="inlineStr">
        <is>
          <t>Boston, MA, US</t>
        </is>
      </c>
      <c r="H239" s="3" t="n">
        <v>45922</v>
      </c>
      <c r="I23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in-b222f7823e334954</t>
        </is>
      </c>
      <c r="B240" t="inlineStr">
        <is>
          <t>Senior Applied Scientist, Artificial General Intelligence</t>
        </is>
      </c>
      <c r="C240" t="inlineStr">
        <is>
          <t>Amazon.com</t>
        </is>
      </c>
      <c r="D240" t="inlineStr">
        <is>
          <t>indeed</t>
        </is>
      </c>
      <c r="E240">
        <f>HYPERLINK("https://www.indeed.com/viewjob?jk=b222f7823e334954", "https://www.indeed.com/viewjob?jk=b222f7823e334954")</f>
        <v/>
      </c>
      <c r="F240">
        <f>HYPERLINK("https://www.amazon.jobs/jobs/3091494/senior-applied-scientist-artificial-general-intelligence?cmpid=DA_INAD200785B", "https://www.amazon.jobs/jobs/3091494/senior-applied-scientist-artificial-general-intelligence?cmpid=DA_INAD200785B")</f>
        <v/>
      </c>
      <c r="G240" t="inlineStr">
        <is>
          <t>Seattle, WA, US</t>
        </is>
      </c>
      <c r="H240" s="3" t="n">
        <v>45922</v>
      </c>
      <c r="I2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in-5ee0c4911bbe8d09</t>
        </is>
      </c>
      <c r="B241" t="inlineStr">
        <is>
          <t>Applied Scientist, Artificial General Intelligence</t>
        </is>
      </c>
      <c r="C241" t="inlineStr">
        <is>
          <t>Amazon.com</t>
        </is>
      </c>
      <c r="D241" t="inlineStr">
        <is>
          <t>indeed</t>
        </is>
      </c>
      <c r="E241">
        <f>HYPERLINK("https://www.indeed.com/viewjob?jk=5ee0c4911bbe8d09", "https://www.indeed.com/viewjob?jk=5ee0c4911bbe8d09")</f>
        <v/>
      </c>
      <c r="F241">
        <f>HYPERLINK("https://www.amazon.jobs/jobs/3090846/applied-scientist-artificial-general-intelligence?cmpid=DA_INAD200785B", "https://www.amazon.jobs/jobs/3090846/applied-scientist-artificial-general-intelligence?cmpid=DA_INAD200785B")</f>
        <v/>
      </c>
      <c r="G241" t="inlineStr">
        <is>
          <t>Seattle, WA, US</t>
        </is>
      </c>
      <c r="H241" s="3" t="n">
        <v>45921</v>
      </c>
      <c r="I24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in-9db0642391a6ddcf</t>
        </is>
      </c>
      <c r="B242" t="inlineStr">
        <is>
          <t>Applied Scientist, Artificial General Intelligence</t>
        </is>
      </c>
      <c r="C242" t="inlineStr">
        <is>
          <t>Amazon.com</t>
        </is>
      </c>
      <c r="D242" t="inlineStr">
        <is>
          <t>indeed</t>
        </is>
      </c>
      <c r="E242">
        <f>HYPERLINK("https://www.indeed.com/viewjob?jk=9db0642391a6ddcf", "https://www.indeed.com/viewjob?jk=9db0642391a6ddcf")</f>
        <v/>
      </c>
      <c r="F242">
        <f>HYPERLINK("https://www.amazon.jobs/jobs/3090846/applied-scientist-artificial-general-intelligence?cmpid=DA_INAD200785B", "https://www.amazon.jobs/jobs/3090846/applied-scientist-artificial-general-intelligence?cmpid=DA_INAD200785B")</f>
        <v/>
      </c>
      <c r="G242" t="inlineStr">
        <is>
          <t>New York, NY, US</t>
        </is>
      </c>
      <c r="H242" s="3" t="n">
        <v>45921</v>
      </c>
      <c r="I24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in-36eaef92d89007fa</t>
        </is>
      </c>
      <c r="B243" t="inlineStr">
        <is>
          <t>Applied Scientist, Artificial General Intelligence</t>
        </is>
      </c>
      <c r="C243" t="inlineStr">
        <is>
          <t>Amazon.com</t>
        </is>
      </c>
      <c r="D243" t="inlineStr">
        <is>
          <t>indeed</t>
        </is>
      </c>
      <c r="E243">
        <f>HYPERLINK("https://www.indeed.com/viewjob?jk=36eaef92d89007fa", "https://www.indeed.com/viewjob?jk=36eaef92d89007fa")</f>
        <v/>
      </c>
      <c r="F243">
        <f>HYPERLINK("https://www.amazon.jobs/jobs/3090846/applied-scientist-artificial-general-intelligence?cmpid=DA_INAD200785B", "https://www.amazon.jobs/jobs/3090846/applied-scientist-artificial-general-intelligence?cmpid=DA_INAD200785B")</f>
        <v/>
      </c>
      <c r="G243" t="inlineStr">
        <is>
          <t>Bellevue, WA, US</t>
        </is>
      </c>
      <c r="H243" s="3" t="n">
        <v>45921</v>
      </c>
      <c r="I24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in-19473dfc2ee40c20</t>
        </is>
      </c>
      <c r="B244" t="inlineStr">
        <is>
          <t>Applied Scientist, Artificial General Intelligence</t>
        </is>
      </c>
      <c r="C244" t="inlineStr">
        <is>
          <t>Amazon.com</t>
        </is>
      </c>
      <c r="D244" t="inlineStr">
        <is>
          <t>indeed</t>
        </is>
      </c>
      <c r="E244">
        <f>HYPERLINK("https://www.indeed.com/viewjob?jk=19473dfc2ee40c20", "https://www.indeed.com/viewjob?jk=19473dfc2ee40c20")</f>
        <v/>
      </c>
      <c r="F244">
        <f>HYPERLINK("https://www.amazon.jobs/jobs/3090846/applied-scientist-artificial-general-intelligence?cmpid=DA_INAD200785B", "https://www.amazon.jobs/jobs/3090846/applied-scientist-artificial-general-intelligence?cmpid=DA_INAD200785B")</f>
        <v/>
      </c>
      <c r="G244" t="inlineStr">
        <is>
          <t>Boston, MA, US</t>
        </is>
      </c>
      <c r="H244" s="3" t="n">
        <v>45921</v>
      </c>
      <c r="I24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in-3e1c5da461ead329</t>
        </is>
      </c>
      <c r="B245" t="inlineStr">
        <is>
          <t>Senior Applied Scientist, Model Customization, Generative AI Innovation Center</t>
        </is>
      </c>
      <c r="C245" t="inlineStr">
        <is>
          <t>Amazon Web Services</t>
        </is>
      </c>
      <c r="D245" t="inlineStr">
        <is>
          <t>indeed</t>
        </is>
      </c>
      <c r="E245">
        <f>HYPERLINK("https://www.indeed.com/viewjob?jk=3e1c5da461ead329", "https://www.indeed.com/viewjob?jk=3e1c5da461ead329")</f>
        <v/>
      </c>
      <c r="F245">
        <f>HYPERLINK("https://www.amazon.jobs/jobs/3088254/senior-applied-scientist-model-customization-generative-ai-innovation-center?cmpid=DA_INAD200785B", "https://www.amazon.jobs/jobs/3088254/senior-applied-scientist-model-customization-generative-ai-innovation-center?cmpid=DA_INAD200785B")</f>
        <v/>
      </c>
      <c r="G245" t="inlineStr">
        <is>
          <t>Seattle, WA, US</t>
        </is>
      </c>
      <c r="H245" s="3" t="n">
        <v>45908</v>
      </c>
      <c r="I24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in-04cd0486da80529a</t>
        </is>
      </c>
      <c r="B246" t="inlineStr">
        <is>
          <t>Senior Applied Scientist, Model Customization, Generative AI Innovation Center</t>
        </is>
      </c>
      <c r="C246" t="inlineStr">
        <is>
          <t>Amazon Web Services</t>
        </is>
      </c>
      <c r="D246" t="inlineStr">
        <is>
          <t>indeed</t>
        </is>
      </c>
      <c r="E246">
        <f>HYPERLINK("https://www.indeed.com/viewjob?jk=04cd0486da80529a", "https://www.indeed.com/viewjob?jk=04cd0486da80529a")</f>
        <v/>
      </c>
      <c r="F246">
        <f>HYPERLINK("https://www.amazon.jobs/jobs/3088254/senior-applied-scientist-model-customization-generative-ai-innovation-center?cmpid=DA_INAD200785B", "https://www.amazon.jobs/jobs/3088254/senior-applied-scientist-model-customization-generative-ai-innovation-center?cmpid=DA_INAD200785B")</f>
        <v/>
      </c>
      <c r="G246" t="inlineStr">
        <is>
          <t>Arlington, VA, US</t>
        </is>
      </c>
      <c r="H246" s="3" t="n">
        <v>45908</v>
      </c>
      <c r="I24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in-3bf0e3a2aa544c07</t>
        </is>
      </c>
      <c r="B247" t="inlineStr">
        <is>
          <t>Senior Applied Scientist, Model Customization, Generative AI Innovation Center</t>
        </is>
      </c>
      <c r="C247" t="inlineStr">
        <is>
          <t>Amazon Web Services</t>
        </is>
      </c>
      <c r="D247" t="inlineStr">
        <is>
          <t>indeed</t>
        </is>
      </c>
      <c r="E247">
        <f>HYPERLINK("https://www.indeed.com/viewjob?jk=3bf0e3a2aa544c07", "https://www.indeed.com/viewjob?jk=3bf0e3a2aa544c07")</f>
        <v/>
      </c>
      <c r="F247">
        <f>HYPERLINK("https://www.amazon.jobs/jobs/3088254/senior-applied-scientist-model-customization-generative-ai-innovation-center?cmpid=DA_INAD200785B", "https://www.amazon.jobs/jobs/3088254/senior-applied-scientist-model-customization-generative-ai-innovation-center?cmpid=DA_INAD200785B")</f>
        <v/>
      </c>
      <c r="G247" t="inlineStr">
        <is>
          <t>Bellevue, WA, US</t>
        </is>
      </c>
      <c r="H247" s="3" t="n">
        <v>45908</v>
      </c>
      <c r="I24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in-44210f866aed91f4</t>
        </is>
      </c>
      <c r="B248" t="inlineStr">
        <is>
          <t>Senior Applied Scientist, Model Customization, Generative AI Innovation Center</t>
        </is>
      </c>
      <c r="C248" t="inlineStr">
        <is>
          <t>Amazon Web Services</t>
        </is>
      </c>
      <c r="D248" t="inlineStr">
        <is>
          <t>indeed</t>
        </is>
      </c>
      <c r="E248">
        <f>HYPERLINK("https://www.indeed.com/viewjob?jk=44210f866aed91f4", "https://www.indeed.com/viewjob?jk=44210f866aed91f4")</f>
        <v/>
      </c>
      <c r="F248">
        <f>HYPERLINK("https://www.amazon.jobs/jobs/3088254/senior-applied-scientist-model-customization-generative-ai-innovation-center?cmpid=DA_INAD200785B", "https://www.amazon.jobs/jobs/3088254/senior-applied-scientist-model-customization-generative-ai-innovation-center?cmpid=DA_INAD200785B")</f>
        <v/>
      </c>
      <c r="G248" t="inlineStr">
        <is>
          <t>New York, NY, US</t>
        </is>
      </c>
      <c r="H248" s="3" t="n">
        <v>45908</v>
      </c>
      <c r="I24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in-c25fadeb5ff049a3</t>
        </is>
      </c>
      <c r="B249" t="inlineStr">
        <is>
          <t>Senior Applied Scientist, Artificial General Intelligence</t>
        </is>
      </c>
      <c r="C249" t="inlineStr">
        <is>
          <t>Amazon.com</t>
        </is>
      </c>
      <c r="D249" t="inlineStr">
        <is>
          <t>indeed</t>
        </is>
      </c>
      <c r="E249">
        <f>HYPERLINK("https://www.indeed.com/viewjob?jk=c25fadeb5ff049a3", "https://www.indeed.com/viewjob?jk=c25fadeb5ff049a3")</f>
        <v/>
      </c>
      <c r="F249">
        <f>HYPERLINK("https://www.amazon.jobs/jobs/3078169/senior-applied-scientist-artificial-general-intelligence?cmpid=DA_INAD200785B", "https://www.amazon.jobs/jobs/3078169/senior-applied-scientist-artificial-general-intelligence?cmpid=DA_INAD200785B")</f>
        <v/>
      </c>
      <c r="G249" t="inlineStr">
        <is>
          <t>New York, NY, US</t>
        </is>
      </c>
      <c r="H249" s="3" t="n">
        <v>45907</v>
      </c>
      <c r="I24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in-0e7d8f0a2406fd12</t>
        </is>
      </c>
      <c r="B250" t="inlineStr">
        <is>
          <t>Senior Applied Scientist, Artificial General Intelligence</t>
        </is>
      </c>
      <c r="C250" t="inlineStr">
        <is>
          <t>Amazon.com</t>
        </is>
      </c>
      <c r="D250" t="inlineStr">
        <is>
          <t>indeed</t>
        </is>
      </c>
      <c r="E250">
        <f>HYPERLINK("https://www.indeed.com/viewjob?jk=0e7d8f0a2406fd12", "https://www.indeed.com/viewjob?jk=0e7d8f0a2406fd12")</f>
        <v/>
      </c>
      <c r="F250">
        <f>HYPERLINK("https://www.amazon.jobs/jobs/3078169/senior-applied-scientist-artificial-general-intelligence?cmpid=DA_INAD200785B", "https://www.amazon.jobs/jobs/3078169/senior-applied-scientist-artificial-general-intelligence?cmpid=DA_INAD200785B")</f>
        <v/>
      </c>
      <c r="G250" t="inlineStr">
        <is>
          <t>Bellevue, WA, US</t>
        </is>
      </c>
      <c r="H250" s="3" t="n">
        <v>45907</v>
      </c>
      <c r="I25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in-a6551b8dd6eb2272</t>
        </is>
      </c>
      <c r="B251" t="inlineStr">
        <is>
          <t>Senior Applied Scientist, Artificial General Intelligence</t>
        </is>
      </c>
      <c r="C251" t="inlineStr">
        <is>
          <t>Amazon.com</t>
        </is>
      </c>
      <c r="D251" t="inlineStr">
        <is>
          <t>indeed</t>
        </is>
      </c>
      <c r="E251">
        <f>HYPERLINK("https://www.indeed.com/viewjob?jk=a6551b8dd6eb2272", "https://www.indeed.com/viewjob?jk=a6551b8dd6eb2272")</f>
        <v/>
      </c>
      <c r="F251">
        <f>HYPERLINK("https://www.amazon.jobs/jobs/3078169/senior-applied-scientist-artificial-general-intelligence?cmpid=DA_INAD200785B", "https://www.amazon.jobs/jobs/3078169/senior-applied-scientist-artificial-general-intelligence?cmpid=DA_INAD200785B")</f>
        <v/>
      </c>
      <c r="G251" t="inlineStr">
        <is>
          <t>Seattle, WA, US</t>
        </is>
      </c>
      <c r="H251" s="3" t="n">
        <v>45907</v>
      </c>
      <c r="I25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in-a003ca0c2b55653b</t>
        </is>
      </c>
      <c r="B252" t="inlineStr">
        <is>
          <t>Senior Applied Scientist, Artificial General Intelligence</t>
        </is>
      </c>
      <c r="C252" t="inlineStr">
        <is>
          <t>Amazon.com</t>
        </is>
      </c>
      <c r="D252" t="inlineStr">
        <is>
          <t>indeed</t>
        </is>
      </c>
      <c r="E252">
        <f>HYPERLINK("https://www.indeed.com/viewjob?jk=a003ca0c2b55653b", "https://www.indeed.com/viewjob?jk=a003ca0c2b55653b")</f>
        <v/>
      </c>
      <c r="F252">
        <f>HYPERLINK("https://www.amazon.jobs/jobs/3078169/senior-applied-scientist-artificial-general-intelligence?cmpid=DA_INAD200785B", "https://www.amazon.jobs/jobs/3078169/senior-applied-scientist-artificial-general-intelligence?cmpid=DA_INAD200785B")</f>
        <v/>
      </c>
      <c r="G252" t="inlineStr">
        <is>
          <t>Sunnyvale, CA, US</t>
        </is>
      </c>
      <c r="H252" s="3" t="n">
        <v>45907</v>
      </c>
      <c r="I25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in-c41c607d4171f2b4</t>
        </is>
      </c>
      <c r="B253" t="inlineStr">
        <is>
          <t>Principal Applied Scientist, AGI Foundations, AGI Foundations</t>
        </is>
      </c>
      <c r="C253" t="inlineStr">
        <is>
          <t>Amazon.com</t>
        </is>
      </c>
      <c r="D253" t="inlineStr">
        <is>
          <t>indeed</t>
        </is>
      </c>
      <c r="E253">
        <f>HYPERLINK("https://www.indeed.com/viewjob?jk=c41c607d4171f2b4", "https://www.indeed.com/viewjob?jk=c41c607d4171f2b4")</f>
        <v/>
      </c>
      <c r="F253">
        <f>HYPERLINK("https://www.amazon.jobs/jobs/3047563/principal-applied-scientist-agi-foundations-agi-foundations?cmpid=DA_INAD200785B", "https://www.amazon.jobs/jobs/3047563/principal-applied-scientist-agi-foundations-agi-foundations?cmpid=DA_INAD200785B")</f>
        <v/>
      </c>
      <c r="G253" t="inlineStr">
        <is>
          <t>Bellevue, WA, US</t>
        </is>
      </c>
      <c r="H253" s="3" t="n">
        <v>45856</v>
      </c>
      <c r="I25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in-82d9ff9e610b8972</t>
        </is>
      </c>
      <c r="B254" t="inlineStr">
        <is>
          <t>Principal Applied Scientist, AGI Foundations, AGI Foundations</t>
        </is>
      </c>
      <c r="C254" t="inlineStr">
        <is>
          <t>Amazon.com</t>
        </is>
      </c>
      <c r="D254" t="inlineStr">
        <is>
          <t>indeed</t>
        </is>
      </c>
      <c r="E254">
        <f>HYPERLINK("https://www.indeed.com/viewjob?jk=82d9ff9e610b8972", "https://www.indeed.com/viewjob?jk=82d9ff9e610b8972")</f>
        <v/>
      </c>
      <c r="F254">
        <f>HYPERLINK("https://www.amazon.jobs/jobs/3047563/principal-applied-scientist-agi-foundations-agi-foundations?cmpid=DA_INAD200785B", "https://www.amazon.jobs/jobs/3047563/principal-applied-scientist-agi-foundations-agi-foundations?cmpid=DA_INAD200785B")</f>
        <v/>
      </c>
      <c r="G254" t="inlineStr">
        <is>
          <t>Boston, MA, US</t>
        </is>
      </c>
      <c r="H254" s="3" t="n">
        <v>45856</v>
      </c>
      <c r="I25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in-d2bb3554e457e262</t>
        </is>
      </c>
      <c r="B255" t="inlineStr">
        <is>
          <t>Principal Applied Scientist, AGI Foundations, AGI Foundations</t>
        </is>
      </c>
      <c r="C255" t="inlineStr">
        <is>
          <t>Amazon.com</t>
        </is>
      </c>
      <c r="D255" t="inlineStr">
        <is>
          <t>indeed</t>
        </is>
      </c>
      <c r="E255">
        <f>HYPERLINK("https://www.indeed.com/viewjob?jk=d2bb3554e457e262", "https://www.indeed.com/viewjob?jk=d2bb3554e457e262")</f>
        <v/>
      </c>
      <c r="F255">
        <f>HYPERLINK("https://www.amazon.jobs/jobs/3047563/principal-applied-scientist-agi-foundations-agi-foundations?cmpid=DA_INAD200785B", "https://www.amazon.jobs/jobs/3047563/principal-applied-scientist-agi-foundations-agi-foundations?cmpid=DA_INAD200785B")</f>
        <v/>
      </c>
      <c r="G255" t="inlineStr">
        <is>
          <t>Sunnyvale, CA, US</t>
        </is>
      </c>
      <c r="H255" s="3" t="n">
        <v>45856</v>
      </c>
      <c r="I25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in-518e3851d3a07745</t>
        </is>
      </c>
      <c r="B256" t="inlineStr">
        <is>
          <t>Principal Applied Scientist, AGI Foundations, AGI Foundations</t>
        </is>
      </c>
      <c r="C256" t="inlineStr">
        <is>
          <t>Amazon.com</t>
        </is>
      </c>
      <c r="D256" t="inlineStr">
        <is>
          <t>indeed</t>
        </is>
      </c>
      <c r="E256">
        <f>HYPERLINK("https://www.indeed.com/viewjob?jk=518e3851d3a07745", "https://www.indeed.com/viewjob?jk=518e3851d3a07745")</f>
        <v/>
      </c>
      <c r="F256">
        <f>HYPERLINK("https://www.amazon.jobs/jobs/3047563/principal-applied-scientist-agi-foundations-agi-foundations?cmpid=DA_INAD200785B", "https://www.amazon.jobs/jobs/3047563/principal-applied-scientist-agi-foundations-agi-foundations?cmpid=DA_INAD200785B")</f>
        <v/>
      </c>
      <c r="G256" t="inlineStr">
        <is>
          <t>New York, NY, US</t>
        </is>
      </c>
      <c r="H256" s="3" t="n">
        <v>45856</v>
      </c>
      <c r="I25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in-a3451f40597a720f</t>
        </is>
      </c>
      <c r="B257" t="inlineStr">
        <is>
          <t>Sr. Applied Scientist, Amazon Advertising</t>
        </is>
      </c>
      <c r="C257" t="inlineStr">
        <is>
          <t>Amazon.com</t>
        </is>
      </c>
      <c r="D257" t="inlineStr">
        <is>
          <t>indeed</t>
        </is>
      </c>
      <c r="E257">
        <f>HYPERLINK("https://www.indeed.com/viewjob?jk=a3451f40597a720f", "https://www.indeed.com/viewjob?jk=a3451f40597a720f")</f>
        <v/>
      </c>
      <c r="F257">
        <f>HYPERLINK("https://www.amazon.jobs/jobs/3035686/sr-applied-scientist-amazon-advertising?cmpid=DA_INAD200785B", "https://www.amazon.jobs/jobs/3035686/sr-applied-scientist-amazon-advertising?cmpid=DA_INAD200785B")</f>
        <v/>
      </c>
      <c r="G257" t="inlineStr">
        <is>
          <t>Seattle, WA, US</t>
        </is>
      </c>
      <c r="H257" s="3" t="n">
        <v>45851</v>
      </c>
      <c r="I2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in-6dd2db32de86c218</t>
        </is>
      </c>
      <c r="B258" t="inlineStr">
        <is>
          <t>Sr. Applied Scientist, Amazon Advertising</t>
        </is>
      </c>
      <c r="C258" t="inlineStr">
        <is>
          <t>Amazon.com</t>
        </is>
      </c>
      <c r="D258" t="inlineStr">
        <is>
          <t>indeed</t>
        </is>
      </c>
      <c r="E258">
        <f>HYPERLINK("https://www.indeed.com/viewjob?jk=6dd2db32de86c218", "https://www.indeed.com/viewjob?jk=6dd2db32de86c218")</f>
        <v/>
      </c>
      <c r="F258">
        <f>HYPERLINK("https://www.amazon.jobs/jobs/3035686/sr-applied-scientist-amazon-advertising?cmpid=DA_INAD200785B", "https://www.amazon.jobs/jobs/3035686/sr-applied-scientist-amazon-advertising?cmpid=DA_INAD200785B")</f>
        <v/>
      </c>
      <c r="G258" t="inlineStr">
        <is>
          <t>Los Angeles, CA, US</t>
        </is>
      </c>
      <c r="H258" s="3" t="n">
        <v>45851</v>
      </c>
      <c r="I2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in-0431223f2ea50173</t>
        </is>
      </c>
      <c r="B259" t="inlineStr">
        <is>
          <t>Sr. Applied Scientist, Amazon Advertising</t>
        </is>
      </c>
      <c r="C259" t="inlineStr">
        <is>
          <t>Amazon.com</t>
        </is>
      </c>
      <c r="D259" t="inlineStr">
        <is>
          <t>indeed</t>
        </is>
      </c>
      <c r="E259">
        <f>HYPERLINK("https://www.indeed.com/viewjob?jk=0431223f2ea50173", "https://www.indeed.com/viewjob?jk=0431223f2ea50173")</f>
        <v/>
      </c>
      <c r="F259">
        <f>HYPERLINK("https://www.amazon.jobs/jobs/3035686/sr-applied-scientist-amazon-advertising?cmpid=DA_INAD200785B", "https://www.amazon.jobs/jobs/3035686/sr-applied-scientist-amazon-advertising?cmpid=DA_INAD200785B")</f>
        <v/>
      </c>
      <c r="G259" t="inlineStr">
        <is>
          <t>Austin, TX, US</t>
        </is>
      </c>
      <c r="H259" s="3" t="n">
        <v>45851</v>
      </c>
      <c r="I2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in-b92531eca7f30436</t>
        </is>
      </c>
      <c r="B260" t="inlineStr">
        <is>
          <t>Sr. Applied Scientist, Amazon Advertising</t>
        </is>
      </c>
      <c r="C260" t="inlineStr">
        <is>
          <t>Amazon.com</t>
        </is>
      </c>
      <c r="D260" t="inlineStr">
        <is>
          <t>indeed</t>
        </is>
      </c>
      <c r="E260">
        <f>HYPERLINK("https://www.indeed.com/viewjob?jk=b92531eca7f30436", "https://www.indeed.com/viewjob?jk=b92531eca7f30436")</f>
        <v/>
      </c>
      <c r="F260">
        <f>HYPERLINK("https://www.amazon.jobs/jobs/3035686/sr-applied-scientist-amazon-advertising?cmpid=DA_INAD200785B", "https://www.amazon.jobs/jobs/3035686/sr-applied-scientist-amazon-advertising?cmpid=DA_INAD200785B")</f>
        <v/>
      </c>
      <c r="G260" t="inlineStr">
        <is>
          <t>New York, NY, US</t>
        </is>
      </c>
      <c r="H260" s="3" t="n">
        <v>45851</v>
      </c>
      <c r="I2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in-160c17f3cd06148c</t>
        </is>
      </c>
      <c r="B261" t="inlineStr">
        <is>
          <t>Sr. Applied Scientist, Amazon Advertising</t>
        </is>
      </c>
      <c r="C261" t="inlineStr">
        <is>
          <t>Amazon.com</t>
        </is>
      </c>
      <c r="D261" t="inlineStr">
        <is>
          <t>indeed</t>
        </is>
      </c>
      <c r="E261">
        <f>HYPERLINK("https://www.indeed.com/viewjob?jk=160c17f3cd06148c", "https://www.indeed.com/viewjob?jk=160c17f3cd06148c")</f>
        <v/>
      </c>
      <c r="F261">
        <f>HYPERLINK("https://www.amazon.jobs/jobs/3035686/sr-applied-scientist-amazon-advertising?cmpid=DA_INAD200785B", "https://www.amazon.jobs/jobs/3035686/sr-applied-scientist-amazon-advertising?cmpid=DA_INAD200785B")</f>
        <v/>
      </c>
      <c r="G261" t="inlineStr">
        <is>
          <t>Simi Valley, CA, US</t>
        </is>
      </c>
      <c r="H261" s="3" t="n">
        <v>45851</v>
      </c>
      <c r="I2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in-729950f21138f902</t>
        </is>
      </c>
      <c r="B262" t="inlineStr">
        <is>
          <t>Sr. Applied Scientist, Amazon Advertising</t>
        </is>
      </c>
      <c r="C262" t="inlineStr">
        <is>
          <t>Amazon.com</t>
        </is>
      </c>
      <c r="D262" t="inlineStr">
        <is>
          <t>indeed</t>
        </is>
      </c>
      <c r="E262">
        <f>HYPERLINK("https://www.indeed.com/viewjob?jk=729950f21138f902", "https://www.indeed.com/viewjob?jk=729950f21138f902")</f>
        <v/>
      </c>
      <c r="F262">
        <f>HYPERLINK("https://www.amazon.jobs/jobs/3035686/sr-applied-scientist-amazon-advertising?cmpid=DA_INAD200785B", "https://www.amazon.jobs/jobs/3035686/sr-applied-scientist-amazon-advertising?cmpid=DA_INAD200785B")</f>
        <v/>
      </c>
      <c r="G262" t="inlineStr">
        <is>
          <t>West Hollywood, CA, US</t>
        </is>
      </c>
      <c r="H262" s="3" t="n">
        <v>45851</v>
      </c>
      <c r="I2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in-ff96f68a145d9609</t>
        </is>
      </c>
      <c r="B263" t="inlineStr">
        <is>
          <t>Sr. Applied Scientist, Amazon Advertising</t>
        </is>
      </c>
      <c r="C263" t="inlineStr">
        <is>
          <t>Amazon.com</t>
        </is>
      </c>
      <c r="D263" t="inlineStr">
        <is>
          <t>indeed</t>
        </is>
      </c>
      <c r="E263">
        <f>HYPERLINK("https://www.indeed.com/viewjob?jk=ff96f68a145d9609", "https://www.indeed.com/viewjob?jk=ff96f68a145d9609")</f>
        <v/>
      </c>
      <c r="F263">
        <f>HYPERLINK("https://www.amazon.jobs/jobs/3035686/sr-applied-scientist-amazon-advertising?cmpid=DA_INAD200785B", "https://www.amazon.jobs/jobs/3035686/sr-applied-scientist-amazon-advertising?cmpid=DA_INAD200785B")</f>
        <v/>
      </c>
      <c r="G263" t="inlineStr">
        <is>
          <t>Arlington, VA, US</t>
        </is>
      </c>
      <c r="H263" s="3"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in-e6d75fddfe5aa2ad</t>
        </is>
      </c>
      <c r="B264" t="inlineStr">
        <is>
          <t>Sr. Applied Scientist, Amazon Advertising</t>
        </is>
      </c>
      <c r="C264" t="inlineStr">
        <is>
          <t>Amazon.com</t>
        </is>
      </c>
      <c r="D264" t="inlineStr">
        <is>
          <t>indeed</t>
        </is>
      </c>
      <c r="E264">
        <f>HYPERLINK("https://www.indeed.com/viewjob?jk=e6d75fddfe5aa2ad", "https://www.indeed.com/viewjob?jk=e6d75fddfe5aa2ad")</f>
        <v/>
      </c>
      <c r="F264">
        <f>HYPERLINK("https://www.amazon.jobs/jobs/3035686/sr-applied-scientist-amazon-advertising?cmpid=DA_INAD200785B", "https://www.amazon.jobs/jobs/3035686/sr-applied-scientist-amazon-advertising?cmpid=DA_INAD200785B")</f>
        <v/>
      </c>
      <c r="G264" t="inlineStr">
        <is>
          <t>Palo Alto, CA, US</t>
        </is>
      </c>
      <c r="H264" s="3"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in-f78a1255339bb710</t>
        </is>
      </c>
      <c r="B265" t="inlineStr">
        <is>
          <t>Senior Applied Scientist, Artificial General Intelligence</t>
        </is>
      </c>
      <c r="C265" t="inlineStr">
        <is>
          <t>Amazon.com</t>
        </is>
      </c>
      <c r="D265" t="inlineStr">
        <is>
          <t>indeed</t>
        </is>
      </c>
      <c r="E265">
        <f>HYPERLINK("https://www.indeed.com/viewjob?jk=f78a1255339bb710", "https://www.indeed.com/viewjob?jk=f78a1255339bb710")</f>
        <v/>
      </c>
      <c r="F265">
        <f>HYPERLINK("https://www.amazon.jobs/jobs/3029958/senior-applied-scientist-artificial-general-intelligence?cmpid=DA_INAD200785B", "https://www.amazon.jobs/jobs/3029958/senior-applied-scientist-artificial-general-intelligence?cmpid=DA_INAD200785B")</f>
        <v/>
      </c>
      <c r="G265" t="inlineStr">
        <is>
          <t>Boston, MA, US</t>
        </is>
      </c>
      <c r="H265" s="3" t="n">
        <v>45846</v>
      </c>
      <c r="I26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in-95afa8eadccdc2db</t>
        </is>
      </c>
      <c r="B266" t="inlineStr">
        <is>
          <t>Senior Applied Scientist, Artificial General Intelligence</t>
        </is>
      </c>
      <c r="C266" t="inlineStr">
        <is>
          <t>Amazon.com</t>
        </is>
      </c>
      <c r="D266" t="inlineStr">
        <is>
          <t>indeed</t>
        </is>
      </c>
      <c r="E266">
        <f>HYPERLINK("https://www.indeed.com/viewjob?jk=95afa8eadccdc2db", "https://www.indeed.com/viewjob?jk=95afa8eadccdc2db")</f>
        <v/>
      </c>
      <c r="F266">
        <f>HYPERLINK("https://www.amazon.jobs/jobs/3029958/senior-applied-scientist-artificial-general-intelligence?cmpid=DA_INAD200785B", "https://www.amazon.jobs/jobs/3029958/senior-applied-scientist-artificial-general-intelligence?cmpid=DA_INAD200785B")</f>
        <v/>
      </c>
      <c r="G266" t="inlineStr">
        <is>
          <t>Seattle, WA, US</t>
        </is>
      </c>
      <c r="H266" s="3" t="n">
        <v>45846</v>
      </c>
      <c r="I26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in-9e481528ed92503c</t>
        </is>
      </c>
      <c r="B267" t="inlineStr">
        <is>
          <t>Senior Applied Scientist, Artificial General Intelligence</t>
        </is>
      </c>
      <c r="C267" t="inlineStr">
        <is>
          <t>Amazon.com</t>
        </is>
      </c>
      <c r="D267" t="inlineStr">
        <is>
          <t>indeed</t>
        </is>
      </c>
      <c r="E267">
        <f>HYPERLINK("https://www.indeed.com/viewjob?jk=9e481528ed92503c", "https://www.indeed.com/viewjob?jk=9e481528ed92503c")</f>
        <v/>
      </c>
      <c r="F267">
        <f>HYPERLINK("https://www.amazon.jobs/jobs/3029958/senior-applied-scientist-artificial-general-intelligence?cmpid=DA_INAD200785B", "https://www.amazon.jobs/jobs/3029958/senior-applied-scientist-artificial-general-intelligence?cmpid=DA_INAD200785B")</f>
        <v/>
      </c>
      <c r="G267" t="inlineStr">
        <is>
          <t>Sunnyvale, CA, US</t>
        </is>
      </c>
      <c r="H267" s="3" t="n">
        <v>45846</v>
      </c>
      <c r="I26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in-4a9cafab6c1d4aaf</t>
        </is>
      </c>
      <c r="B268" t="inlineStr">
        <is>
          <t>Machine Learning Engineer, Amazon General Intelligence (AGI)</t>
        </is>
      </c>
      <c r="C268" t="inlineStr">
        <is>
          <t>Amazon.com</t>
        </is>
      </c>
      <c r="D268" t="inlineStr">
        <is>
          <t>indeed</t>
        </is>
      </c>
      <c r="E268">
        <f>HYPERLINK("https://www.indeed.com/viewjob?jk=4a9cafab6c1d4aaf", "https://www.indeed.com/viewjob?jk=4a9cafab6c1d4aaf")</f>
        <v/>
      </c>
      <c r="F268">
        <f>HYPERLINK("https://www.amazon.jobs/jobs/3003288/machine-learning-engineer-amazon-general-intelligence-agi?cmpid=DA_INAD200785B", "https://www.amazon.jobs/jobs/3003288/machine-learning-engineer-amazon-general-intelligence-agi?cmpid=DA_INAD200785B")</f>
        <v/>
      </c>
      <c r="G268" t="inlineStr">
        <is>
          <t>Bellevue, WA, US</t>
        </is>
      </c>
      <c r="H268" s="3" t="n">
        <v>45813</v>
      </c>
      <c r="I26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in-134f5c1330cc1035</t>
        </is>
      </c>
      <c r="B269" t="inlineStr">
        <is>
          <t>Machine Learning Engineer, Amazon General Intelligence (AGI)</t>
        </is>
      </c>
      <c r="C269" t="inlineStr">
        <is>
          <t>Amazon.com</t>
        </is>
      </c>
      <c r="D269" t="inlineStr">
        <is>
          <t>indeed</t>
        </is>
      </c>
      <c r="E269">
        <f>HYPERLINK("https://www.indeed.com/viewjob?jk=134f5c1330cc1035", "https://www.indeed.com/viewjob?jk=134f5c1330cc1035")</f>
        <v/>
      </c>
      <c r="F269">
        <f>HYPERLINK("https://www.amazon.jobs/jobs/3003288/machine-learning-engineer-amazon-general-intelligence-agi?cmpid=DA_INAD200785B", "https://www.amazon.jobs/jobs/3003288/machine-learning-engineer-amazon-general-intelligence-agi?cmpid=DA_INAD200785B")</f>
        <v/>
      </c>
      <c r="G269" t="inlineStr">
        <is>
          <t>Seattle, WA, US</t>
        </is>
      </c>
      <c r="H269" s="3" t="n">
        <v>45813</v>
      </c>
      <c r="I269"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in-374e1d76426b6b78</t>
        </is>
      </c>
      <c r="B270" t="inlineStr">
        <is>
          <t>Principal Applied Scientist, FAR (Frontier AI &amp; Robotics)</t>
        </is>
      </c>
      <c r="C270" t="inlineStr">
        <is>
          <t>Amazon.com</t>
        </is>
      </c>
      <c r="D270" t="inlineStr">
        <is>
          <t>indeed</t>
        </is>
      </c>
      <c r="E270">
        <f>HYPERLINK("https://www.indeed.com/viewjob?jk=374e1d76426b6b78", "https://www.indeed.com/viewjob?jk=374e1d76426b6b78")</f>
        <v/>
      </c>
      <c r="F270">
        <f>HYPERLINK("https://www.amazon.jobs/jobs/2938625/principal-applied-scientist-far-frontier-ai--robotics?cmpid=DA_INAD200785B", "https://www.amazon.jobs/jobs/2938625/principal-applied-scientist-far-frontier-ai--robotics?cmpid=DA_INAD200785B")</f>
        <v/>
      </c>
      <c r="G270" t="inlineStr">
        <is>
          <t>San Francisco, CA, US</t>
        </is>
      </c>
      <c r="H270" s="3" t="n">
        <v>45740</v>
      </c>
      <c r="I27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in-310c1dbc31d2f228</t>
        </is>
      </c>
      <c r="B271" t="inlineStr">
        <is>
          <t>Principal Applied Scientist, FAR (Frontier AI &amp; Robotics)</t>
        </is>
      </c>
      <c r="C271" t="inlineStr">
        <is>
          <t>Amazon.com</t>
        </is>
      </c>
      <c r="D271" t="inlineStr">
        <is>
          <t>indeed</t>
        </is>
      </c>
      <c r="E271">
        <f>HYPERLINK("https://www.indeed.com/viewjob?jk=310c1dbc31d2f228", "https://www.indeed.com/viewjob?jk=310c1dbc31d2f228")</f>
        <v/>
      </c>
      <c r="F271">
        <f>HYPERLINK("https://www.amazon.jobs/jobs/2938625/principal-applied-scientist-far-frontier-ai--robotics?cmpid=DA_INAD200785B", "https://www.amazon.jobs/jobs/2938625/principal-applied-scientist-far-frontier-ai--robotics?cmpid=DA_INAD200785B")</f>
        <v/>
      </c>
      <c r="G271" t="inlineStr">
        <is>
          <t>Seattle, WA, US</t>
        </is>
      </c>
      <c r="H271" s="3" t="n">
        <v>45740</v>
      </c>
      <c r="I27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in-518265747060c10d</t>
        </is>
      </c>
      <c r="B272" t="inlineStr">
        <is>
          <t>Technical AI / ML Engineer</t>
        </is>
      </c>
      <c r="C272" t="inlineStr">
        <is>
          <t>Aleknagik Technology</t>
        </is>
      </c>
      <c r="D272" t="inlineStr">
        <is>
          <t>indeed</t>
        </is>
      </c>
      <c r="E272">
        <f>HYPERLINK("https://www.indeed.com/viewjob?jk=518265747060c10d", "https://www.indeed.com/viewjob?jk=518265747060c10d")</f>
        <v/>
      </c>
      <c r="F272">
        <f>HYPERLINK("https://aleknagiktechnology.isolvedhire.com/jobs/1678174-355284.html", "https://aleknagiktechnology.isolvedhire.com/jobs/1678174-355284.html")</f>
        <v/>
      </c>
      <c r="G272" t="inlineStr">
        <is>
          <t>Falls Church, VA, US</t>
        </is>
      </c>
      <c r="H272" s="3" t="n">
        <v>46027</v>
      </c>
      <c r="I272" t="inlineStr">
        <is>
          <t>Aleknagik Technology, LLC is searching for a qualified candidate to fill the role of **Technical AI / ML Engineer**. This position supports enterprise\-level data governance initiatives for a federal health organization by designing and operationalizing responsible AI and machine learning capabilities that enhance metadata management, data quality, lineage, classification, and decision support.
The selected candidate must be **within commuting distance of Falls Church, VA**, as this role requires on\-site and hybrid support in alignment with customer requirements.
 **Duties**
The Technical AI / ML Engineer is responsible for designing, implementing, validating, and operationalizing AI/ML solutions that support data governance objectives while ensuring compliance with DoD, DHA, HIPAA, FISMA, RMF, and Zero Trust requirements. Duties include, but are not limited to:
* Design and deploy ML\-assisted techniques to infer business meaning from technical metadata, including schema analysis and pattern recognition.
* Implement natural language processing (NLP) models to generate draft data dictionary entries, business glossary terms, and contextual metadata descriptions.
* Integrate AI\-generated outputs into governed, human\-in\-the\-loop workflows for data steward review and approval.
* Ensure AI\-generated metadata is explainable, auditable, version\-controlled, and traceable.
* Develop machine learning models to detect data quality issues such as anomalies, completeness gaps, schema drift, and degradation.
* Generate and integrate data quality indicators and trust scores aligned with VAULTIS "Trusted" principles.
* Support automated classification and compliance tagging for PII, PHI, CUI, and other sensitive data indicators.
* Align classification outputs with policy enforcement, access control, and audit mechanisms.
* Apply ML techniques to infer data lineage and semantic relationships where native lineage is incomplete.
* Validate inferred lineage and relationships through governance workflows prior to enterprise exposure.
* Design AI/ML workflows that operate in situ within DHA\-approved environments, minimizing unauthorized data movement.
* Integrate AI services into enterprise catalogs, repositories, and federated platforms using APIs and modular architectures.
* Implement Responsible AI practices including transparency, explainability, bias monitoring, and human oversight.
* Document model purpose, training context, limitations, and validation results in accordance with DoD AI guidance.
* Support AI\-enhanced self\-service discovery capabilities such as semantic search and relevance ranking.
* Participate in user acceptance testing (UAT), usability evaluations, and adoption assessments.
* Analyze user feedback, telemetry, and performance metrics to refine models and improve effectiveness.
* Develop technical documentation, operational playbooks, and sustainment guidance.
* Support optional federated governance and AI\-enabled data product lifecycle initiatives when exercised.
**Qualifications**
**Required Experience**
* **47 years of experience** in:
	+ Applied machine learning and natural language processing (NLP)
	+ Data quality assessment, anomaly detection, and trust scoring techniques
	+ Metadata management and enterprise data catalog platforms
	+ Python, SQL, and modern ML frameworks
	+ Responsible AI, model governance, and explainability practices
	+ API integration and scalable deployment patterns
	+ DoD, DHA, or federal security and compliance environments
**Required Education**
* **Bachelor's degree** in a related field, such as:
	+ Engineering
	+ Information Technology
	+ Data Science or Analytics
	+ Mathematics
	+ Physical or Life Sciences</t>
        </is>
      </c>
    </row>
    <row r="273">
      <c r="A273" t="inlineStr">
        <is>
          <t>in-9b622b4b02d9f4db</t>
        </is>
      </c>
      <c r="B273" t="inlineStr">
        <is>
          <t>Senior AI Engineer</t>
        </is>
      </c>
      <c r="C273" t="inlineStr">
        <is>
          <t>Visto360 AI Inc.</t>
        </is>
      </c>
      <c r="D273" t="inlineStr">
        <is>
          <t>indeed</t>
        </is>
      </c>
      <c r="E273">
        <f>HYPERLINK("https://www.indeed.com/viewjob?jk=9b622b4b02d9f4db", "https://www.indeed.com/viewjob?jk=9b622b4b02d9f4db")</f>
        <v/>
      </c>
      <c r="F273">
        <f>HYPERLINK("http://www.indeed.com/job/senior-ai-engineer-9b622b4b02d9f4db", "http://www.indeed.com/job/senior-ai-engineer-9b622b4b02d9f4db")</f>
        <v/>
      </c>
      <c r="G273" t="inlineStr">
        <is>
          <t>Ann Arbor, MI, US</t>
        </is>
      </c>
      <c r="H273" s="3" t="n">
        <v>46027</v>
      </c>
      <c r="I273" t="inlineStr">
        <is>
          <t>Location: Ann Arbor, MI
Employment: Full\-time, in\-person position
Experience: Senior (3\+ years industry experience)
US Citizenship required.
Visto 360 AI is an Ann Arbor technology company that is revolutionizing radar Artificial Intelligence.
As our Senior AI Engineer, you will collaborate with our multidisciplinary team of radar and AI specialists to redefine the boundaries of computer vision technologies. The team is seeking a partner that brings deep technical expertise, forward\-thinking innovation, and a strategic approach to AI development, enabling us to solve real\-world problems with lasting solutions.
Core Technical Requirements
* Proficiency in **Python** for developing, testing, and deploying AI/ML models.
* Strong experience with **PyTorch** or similar deep learning frameworks (e.g., TensorFlow, JAX) for building and training neural networks.
* Hands\-on experience with **computer vision** libraries and tools (e.g., OpenCV, scikit\-image, PIL) for image processing and analysis.
* Knowledge of **deep learning architectures** for detection and classification tasks, such as CNNs, YOLO, Faster R\-CNN, or Vision Transformers.
* Knowledge of **evaluation metrics** for detection and classification tasks (e.g., mAP, precision, recall, F1\-score, IoU).
* Familiarity with handling **imbalanced datasets** and techniques like transfer learning or fine\-tuning pre\-trained models.
* Optional: Experience with **Synthetic Aperture Radar (SAR)** for object detection, including image formation and handling SAR data formats (CPHD, SICD, SIDD).
* Optional: Proficiency in **Gaussian Splatting** for 3D scene reconstruction, with skills in optimizing rendering pipelines and integrating with tools like COLMAP.
* Optional: Experience with **Reasoning Models or LLMs**, including fine\-tuning for multimodal tasks.
* Optional: Expertise in **optimized edge deployment** using quantization, pruning, or frameworks (e.g., ONNX, TensorRT) for real\-time ATR on resource\-constrained devices.
Experience
* Minimum of **3 years of industry experience** in AI/ML software development, preferably in computer vision or related fields.
* Proven track record of implementing **detection and classification models** for imagery (e.g., object detection, image classification, semantic segmentation).
* Experience with **end\-to\-end ML pipelines**, including data collection, model training, evaluation, and deployment.
* Proficiency with version control systems (e.g., Git) and collaborative development workflows.
* Familiarity with deploying models in production environments using tools like Docker or Kubernetes.
Supplementary Criteria
* Strong problem\-solving skills and ability to translate business requirements into technical solutions.
* Effective communication skills to collaborate with cross\-functional teams (e.g., radar scientists, managers).
* Ability to stay updated with advancements in AI/ML and computer vision research.
What We Offer
* Competitive salary with comprehensive benefits package
* Stock option grants available and tailored to candidate expertise
* 401k program in development
* Mission\-driven environment where innovation shapes real\-world problems
Job Type: Full\-time
Pay: $100,000\.00 \- $150,000\.00 per year
Benefits:
* 401(k) matching
* Dental insurance
* Health insurance
* Life insurance
* Vision insurance
Work Location: In person</t>
        </is>
      </c>
    </row>
    <row r="274">
      <c r="A274" t="inlineStr">
        <is>
          <t>in-86bc1d1ae786d433</t>
        </is>
      </c>
      <c r="B274" t="inlineStr">
        <is>
          <t>MLOps Engineer, Machine Learning Engineer (Remote)</t>
        </is>
      </c>
      <c r="C274" t="inlineStr">
        <is>
          <t>Experian</t>
        </is>
      </c>
      <c r="D274" t="inlineStr">
        <is>
          <t>indeed</t>
        </is>
      </c>
      <c r="E274">
        <f>HYPERLINK("https://www.indeed.com/viewjob?jk=86bc1d1ae786d433", "https://www.indeed.com/viewjob?jk=86bc1d1ae786d433")</f>
        <v/>
      </c>
      <c r="F274">
        <f>HYPERLINK("https://jobs.smartrecruiters.com/Experian/744000101709554-mlops-engineer-machine-learning-engineer-remote-", "https://jobs.smartrecruiters.com/Experian/744000101709554-mlops-engineer-machine-learning-engineer-remote-")</f>
        <v/>
      </c>
      <c r="G274" t="inlineStr">
        <is>
          <t>US</t>
        </is>
      </c>
      <c r="H274" s="3" t="n">
        <v>46027</v>
      </c>
      <c r="I274"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We are looking for an experienced **MLOps Engineer** to build and scale machine learning solutions that address critical challenges in the healthcare revenue cycle. You will report to Experian Health and focus on operationalizing ML models, ensuring deployment pipelines, and maintaining scalable, secure, and ML infrastructure on AWS, collaborate with data scientists, software engineers, and product teams to bring ML products from prototype to production, with a emphasis on automation, monitoring, and continuous improvement.
* **You'll have opportunity to:**
	+ Develop scalable MLOps pipelines for model training, validation, deployment, and monitoring using AWS services
	+ Implement infrastructure as code and CI/CD workflows to support rapid experimentation and reliable production releases
	+ Collaborate with data scientists to productionize ML models and ensure reproducibility, versioning, and traceability
	+ Monitor model performance and data drift in production environments, and implement automated retraining and alerting mechanisms
	+ Improve ML workflows using tools such as SageMaker, Airflow, Docker, Kubernetes (EKS), and Step Functions
	+ Ensure compliance with healthcare data standards and security best practices (e.g., HIPAA)
**Qualifications**  
* Bachelor's degree in Computer Science, Engineering, Data Science, or a related field
* **3\+ years' experience in MLOps, DevOps, or ML engineering roles**
* **3\+ years' experience with AWS services for ML (e.g., SageMaker, Lambda, Step Functions, S3, ECR, CloudWatch)**
* **Proficiency with containerization and orchestration tools (Docker, Kubernetes/EKS).**
* **3\+ years' experience with ML lifecycle tools such as MLflow, TensorFlow Serving, or Kubeflow and with CI/CD pipelines, infrastructure as code (e.g., Terraform, CloudFormation), and monitoring/logging tools**
* **Experience in the healthcare domain, especially with claims or EHR data, and familiarity with standards like ICD and CPT**
* **Exposure to NLP, Bayesian modeling, or real\-time ML systems**
* **Familiarity with Agile development methodologies**
* **AWS certifications (e.g., Machine Learning Specialty, DevOps Engineer)**
**Additional Information** **Benefits/Perks:**
* Great compensation package and bonus plan
* Core benefits including medical, dental, vision, and matching 401K
* Flexible work environment, ability to work remote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275">
      <c r="A275" t="inlineStr">
        <is>
          <t>in-279393af1bf62c4b</t>
        </is>
      </c>
      <c r="B275" t="inlineStr">
        <is>
          <t>Machine Learning Engineer II</t>
        </is>
      </c>
      <c r="C275" t="inlineStr">
        <is>
          <t>Restoration of America</t>
        </is>
      </c>
      <c r="D275" t="inlineStr">
        <is>
          <t>indeed</t>
        </is>
      </c>
      <c r="E275">
        <f>HYPERLINK("https://www.indeed.com/viewjob?jk=279393af1bf62c4b", "https://www.indeed.com/viewjob?jk=279393af1bf62c4b")</f>
        <v/>
      </c>
      <c r="F275">
        <f>HYPERLINK("http://www.indeed.com/job/machine-learning-engineer-ii-279393af1bf62c4b", "http://www.indeed.com/job/machine-learning-engineer-ii-279393af1bf62c4b")</f>
        <v/>
      </c>
      <c r="G275" t="inlineStr">
        <is>
          <t>Ponte Vedra, FL, US</t>
        </is>
      </c>
      <c r="H275" s="3" t="n">
        <v>46027</v>
      </c>
      <c r="I275" t="inlineStr">
        <is>
          <t>**Position Overview**  
The Machine Learning Engineer II at Restoration of America is responsible for architecting, developing, and operationalizing advanced machine learning systems that power ROA DTS’s political data initiatives. This role requires reliable execution across the full ML lifecycle—data exploration, feature engineering, model development, validation, deployment, and monitoring—to support high\-stakes electoral decision\-making. Working closely with the Executive Director of DTS, Director of Political Data Strategy, CIO, and other senior stakeholders, the Senior Machine Learning Engineer translates complex political and analytical challenges into scalable, production\-grade ML solutions. This position drives innovation within the political data operation, ensuring models, pipelines, and systems are accurate, reliable, and strategically aligned with organizational goals. The role requires a high degree of autonomy, technical rigor, and the ability to execute end\-to\-end without hand\-holding in a fast\-paced environment.
**Key Responsibilities**
* Design, build, and deploy machine learning models and end\-to\-end data pipelines that directly inform voter targeting, persuasion, allocation strategies, and decision\-making within political campaigns.
* Use the full ML lifecycle, including dataset exploration, feature generation, experiment design, model training, validation, scaling, production deployment, and performance monitoring.
* Translate ambiguous political and strategic needs into well\-scoped, tractable machine learning and analytical projects.
* Collaborate with analysts, strategists, and organizational leadership to prioritize high\-value ML initiatives and integrate model outputs into operational workflows.
* Establish standards for MLOps, including monitoring, drift detection, retraining processes, and automated CI/CD workflows for ML artifacts.
* Work with large, messy, multi\-source datasets—including voter files, digital engagement data, polling, advertising, and demographic datasets—to create engineered features for high\-performance modeling.
* Partner with cloud engineering and data engineering teams to ensure reliable infrastructure, cost\-aware compute environments, and scalable deployment patterns.
* Mentor junior team members and contribute to a culture of technical excellence, ownership, and rapid execution.
* Support in\-campaign data operations with model\-driven insights, rapid\-turnaround analyses, and recommended actions during critical windows.
* Architect clean, maintainable, production\-grade Python code and enforce best practices for modeling, testing, reproducibility, and deployment.
* Other duties and responsibilities as determined by the Company.
**Qualifications**
* 5\+ years of hands\-on experience in machine learning, data science, quantitative modeling, or related engineering disciplines.
* Proven success building production ML systems in high\-velocity environments such as marketing analytics, startup environments, or quantitative finance.
* Expert\-level proficiency in Python, including experience designing maintainable, scalable, production\-ready ML codebases.
* Deep experience with ML frameworks such as scikit\-learn, XGBoost, TensorFlow, or PyTorch.
* High proficiency in SQL and working with large, complex, and unstructured datasets.
* Experience building, deploying, and monitoring ML models in cloud environments (AWS, GCP, or Azure) and familiarity with modern MLOps tooling.
* Ability to communicate technical concepts clearly to non\-technical stakeholders and translate business questions into analytical frameworks.
* Self\-directed, able to independently identify high\-leverage opportunities and execute with minimal oversight.
* Comfortable operating in ambiguous, rapidly evolving contexts with incomplete information.
* Enthusiastic about supporting conservative policy goals and candidates.
Job Type: Full\-time
Pay: Up to $120,000\.00 per year
Benefits:
* 401(k)
* 401(k) matching
* Dental insurance
* Flexible spending account
* Health insurance
* Health savings account
* Paid time off
* Vision insurance
Application Question(s):
* What are your thoughts regarding our mission statement: At Restoration of America, we know the timeless foundation of America’s peace and prosperity is turning to God and the enforcement of just laws. We defend our nation by electing like\-minded leaders and by creating organizations and campaigns that promote fully transparent elections, economic freedom, limited government, military superiority, secure borders, rule of law, and the sanctity of life. We do this through an experienced and passionate leadership team that values truth above all else. We apply best in class business practices yielding efficient, effective, and innovative products and results. And we partner with like\-minded organizations to create force multiplication, extending both our reach and the return\-on\-investment for our donors.
Ability to Commute:
* Ponte Vedra, FL 32081 (Required)
Ability to Relocate:
* Ponte Vedra, FL 32081: Relocate before starting work (Required)
Work Location: In person</t>
        </is>
      </c>
    </row>
    <row r="276">
      <c r="A276" t="inlineStr">
        <is>
          <t>in-e1d0288a5674c1a8</t>
        </is>
      </c>
      <c r="B276" t="inlineStr">
        <is>
          <t>Junior Machine Learning Engineer</t>
        </is>
      </c>
      <c r="C276" t="inlineStr">
        <is>
          <t>CAE</t>
        </is>
      </c>
      <c r="D276" t="inlineStr">
        <is>
          <t>indeed</t>
        </is>
      </c>
      <c r="E276">
        <f>HYPERLINK("https://www.indeed.com/viewjob?jk=e1d0288a5674c1a8", "https://www.indeed.com/viewjob?jk=e1d0288a5674c1a8")</f>
        <v/>
      </c>
      <c r="F276">
        <f>HYPERLINK("https://cae.wd3.myworkdayjobs.com/fr-CA/career/job/Tampa/Junior-Machine-Learning-Engineer_119505", "https://cae.wd3.myworkdayjobs.com/fr-CA/career/job/Tampa/Junior-Machine-Learning-Engineer_119505")</f>
        <v/>
      </c>
      <c r="G276" t="inlineStr">
        <is>
          <t>Tampa, FL, US</t>
        </is>
      </c>
      <c r="H276" s="3" t="n">
        <v>46026</v>
      </c>
      <c r="I276"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and Physical Demands*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Régulier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277">
      <c r="A277" t="inlineStr">
        <is>
          <t>in-2775818fbabb0fb6</t>
        </is>
      </c>
      <c r="B277" t="inlineStr">
        <is>
          <t>Junior Machine Learning Engineer</t>
        </is>
      </c>
      <c r="C277" t="inlineStr">
        <is>
          <t>CAE</t>
        </is>
      </c>
      <c r="D277" t="inlineStr">
        <is>
          <t>indeed</t>
        </is>
      </c>
      <c r="E277">
        <f>HYPERLINK("https://www.indeed.com/viewjob?jk=2775818fbabb0fb6", "https://www.indeed.com/viewjob?jk=2775818fbabb0fb6")</f>
        <v/>
      </c>
      <c r="F277">
        <f>HYPERLINK("https://cae.wd3.myworkdayjobs.com/en-US/career/job/Arlington-TX/Junior-Machine-Learning-Engineer_119515", "https://cae.wd3.myworkdayjobs.com/en-US/career/job/Arlington-TX/Junior-Machine-Learning-Engineer_119515")</f>
        <v/>
      </c>
      <c r="G277" t="inlineStr">
        <is>
          <t>Arlington, TX, US</t>
        </is>
      </c>
      <c r="H277" s="3" t="n">
        <v>46026</v>
      </c>
      <c r="I277"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and Physical Demands*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278">
      <c r="A278" t="inlineStr">
        <is>
          <t>in-06201603f69368b4</t>
        </is>
      </c>
      <c r="B278" t="inlineStr">
        <is>
          <t>Junior Machine Learning Engineer</t>
        </is>
      </c>
      <c r="C278" t="inlineStr">
        <is>
          <t>CAE</t>
        </is>
      </c>
      <c r="D278" t="inlineStr">
        <is>
          <t>indeed</t>
        </is>
      </c>
      <c r="E278">
        <f>HYPERLINK("https://www.indeed.com/viewjob?jk=06201603f69368b4", "https://www.indeed.com/viewjob?jk=06201603f69368b4")</f>
        <v/>
      </c>
      <c r="F278">
        <f>HYPERLINK("https://cae.wd3.myworkdayjobs.com/fr-CA/career/job/Arlington-TX/Junior-Machine-Learning-Engineer_119515", "https://cae.wd3.myworkdayjobs.com/fr-CA/career/job/Arlington-TX/Junior-Machine-Learning-Engineer_119515")</f>
        <v/>
      </c>
      <c r="G278" t="inlineStr">
        <is>
          <t>Arlington, TX, US</t>
        </is>
      </c>
      <c r="H278" s="3" t="n">
        <v>46026</v>
      </c>
      <c r="I278"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and Physical Demands*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Régulier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279">
      <c r="A279" t="inlineStr">
        <is>
          <t>in-9d44a4fca8abce6c</t>
        </is>
      </c>
      <c r="B279" t="inlineStr">
        <is>
          <t>Associate AI Engineer</t>
        </is>
      </c>
      <c r="C279" t="inlineStr">
        <is>
          <t>AXA XL</t>
        </is>
      </c>
      <c r="D279" t="inlineStr">
        <is>
          <t>indeed</t>
        </is>
      </c>
      <c r="E279">
        <f>HYPERLINK("https://www.indeed.com/viewjob?jk=9d44a4fca8abce6c", "https://www.indeed.com/viewjob?jk=9d44a4fca8abce6c")</f>
        <v/>
      </c>
      <c r="F279">
        <f>HYPERLINK("https://careers.axa.com/jobs/7463?lang=en-us", "https://careers.axa.com/jobs/7463?lang=en-us")</f>
        <v/>
      </c>
      <c r="G279" t="inlineStr">
        <is>
          <t>Morristown, NJ, US</t>
        </is>
      </c>
      <c r="H279" s="3" t="n">
        <v>46026</v>
      </c>
      <c r="I279" t="inlineStr">
        <is>
          <t>* 334 Madison Avenue, MORRISTOWN, US, 07960
* DATA AND AI
* 7463
* Band B
* Meghan O'Neill
* 05/01/2026
**Job Description**
-------------------
AXA XL recognizes digital, data and information assets are critical for the business, both in terms of managing risk and enabling new business opportunities. Data Science and AI assets should not only be high quality but also drive a sustained competitive advantage and deliver a superior experience to our internal, external customers and improve efficiency. Our Innovation, Data \&amp; Analytics function is focused on driving innovation by optimizing how we leverage digital, data and AI to drive strategy and differentiate ourselves from the competition.
As we develop an enterprise\-wide data and digital strategy that moves us toward greater focus on the use of data and strengthen our digital and AI capabilities, we are looking for an Associate AI Engineer. In this role, you will contribute to developing our AI technical capabilities, projects and products that seek to yield a significant business benefit and advantage in the market through execution on innovation.
**What****You’ll Be Doing**
---------------------------
What will your essential responsibilities include?
* Contribute into a team effort of building scalable AI capabilities to drive the solutions which will enable functions across the insurance value chain such as underwriting, pricing, claims, distribution, operations etc.
* Exercise and develop robust data science, GenAI and software development skills and support solution delivery by following the lead of senior technical members.
* Ensure high\-quality software delivery by following code review process and standard.
* Be able to clearly communicate the expectations of development effort and help set up the project timeline by collaborating with project managers, senior data scientists and software developers
In this role, you will report to the Division Lead, Data Science and AI Excellence.**What****You’ll Bring**
------------------------
We’re looking for someone who has these abilities and skills:
**Required Skills and Abilities:**
* Hands\-on knowledge and experience in the life cycle of AI technical capability development, from ideation and data exploration to model training, selection, deployment, and monitoring.
* Requires a combination of solid execution, strategic thinking and ability to ‘connect the dots’
* A minimum of a bachelor’s or master’s degree in a relevant discipline
* Supporting multiple specialty areas of Digital, Data and Analytics experience is preferred
* Passion for digital, data and AI and experience working within a digital and data driven Organization
**Who****We****Are**
--------------------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
**What****We****Offer**
-----------------------
**Inclusion**
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family\-friendly leave benefits
* Named to the Diversity Best Practices Index
* Signatory to the UK Women in Finance Charter
Learn more at Inclusion \&amp; Diversity at AXA XL \| AXA XL. AXA XL is an Equal Opportunity Employer.
**Total Rewards**
AXA XL’s Reward program is designed to take care of what matters most to you, covering the full picture of your health, wellbeing, lifestyle and financial security. It provides competitive compensation and personalized, inclusive benefits that evolve as you do.
We’re committed to rewarding your contribution for the long term, so you can be your best self today and look forward to the future with confidence.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base salary range for this position is USD 66,000 – 105,100\.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offerings, please visit US Benefits at a Glance 2025\.</t>
        </is>
      </c>
    </row>
    <row r="280">
      <c r="A280" t="inlineStr">
        <is>
          <t>in-d2256aa3e90fa98e</t>
        </is>
      </c>
      <c r="B280" t="inlineStr">
        <is>
          <t>AI Engineer</t>
        </is>
      </c>
      <c r="C280" t="inlineStr">
        <is>
          <t>Lazard</t>
        </is>
      </c>
      <c r="D280" t="inlineStr">
        <is>
          <t>indeed</t>
        </is>
      </c>
      <c r="E280">
        <f>HYPERLINK("https://www.indeed.com/viewjob?jk=d2256aa3e90fa98e", "https://www.indeed.com/viewjob?jk=d2256aa3e90fa98e")</f>
        <v/>
      </c>
      <c r="F280">
        <f>HYPERLINK("https://lazard-careers.tal.net/vx/lang-en-GB/mobile-0/appcentre-1/brand-4/candidate/so/pm/1/pl/3/opp/4172-AI-Engineer/en-GB", "https://lazard-careers.tal.net/vx/lang-en-GB/mobile-0/appcentre-1/brand-4/candidate/so/pm/1/pl/3/opp/4172-AI-Engineer/en-GB")</f>
        <v/>
      </c>
      <c r="G280" t="inlineStr">
        <is>
          <t>New York, NY, US</t>
        </is>
      </c>
      <c r="H280" s="3" t="n">
        <v>46026</v>
      </c>
      <c r="I280" t="inlineStr">
        <is>
          <t>AI Engineer
**Region**
Americas
**Business Unit**
Corporate
**Location**
New York
**Job Description**
Lazard is one of the world’s preeminent financial advisory and asset management firms. **Our people and culture make the difference**. While global in presence and reach, ours is a close, collaborativecommunity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AI Engineer at Lazard will work within the AI \&amp; Data Group to design, develop, and deploy advanced AI\-driven applications and solutions to support the Firm’s financial advisory and asset management businesses. The primary responsibility is to build large\-scale AI and machine learning projects that deliver actionable insights and drive innovation. The AI Engineer will collaborate closely with investment bankers, asset managers, data scientists, software engineers, and senior management across the Firm to deliver impactful solutions. Successful candidates will possess advanced technical and domain expertise, along with the ability to effectively communicate complex concepts to non\-technical stakeholders.
 **Required Qualifications**
* Bachelor’s or advanced degree in Computer Science, AI, Data Science, Machine Learning, or related fields.
* 1\-3 years of experience developing large scale GenAI applications
* Expertise in Python and frameworks such as TensorFlow, PyTorch, and scikit\-learn.
* Deep knowledge of machine learning algorithms and experience in productionizing AI models.
* Proficiency with frameworks for large language models (LLMs) such as LangChain, LlamaIndex, and VectorDBs.
* Experience developing and deploying AI solutions using cloud platforms like Azure, AWS, or GCP.
* Advanced knowledge of unstructured data processing, including NLP (e.g., sentiment analysis, entity recognition, topic modeling, and retrieval\-augmented generation).
* Proficiency in APIs and microservices frameworks like FastAPI or Flask.
* Demonstrated ability to query and analyze data from relational and NoSQL databases (e.g., PostgreSQL, MongoDB, ElasticSearch).
* Strong communication skills with the ability to translate technical findings into actionable business strategies for bankers, asset managers, and other stakeholders.
* Passion for building innovative, high\-quality AI\-driven products.
* Ability to work both independently and collaboratively.
**It is a bonus to have:**
* Prior experience in the financial industry or a strong interest in finance.
* Familiar with Databricks, Azure AI and Microsoft Copilot ecosystem
* Expertise in building advanced retrieval\-augmented generation (RAG) systems and developing autonomous LLM agent workflows.
* Familiarity with MLOps workflows and tools like MLflow, Kubeflow, or Vertex AI.
* Experience with real\-time AI applications and stream processing frameworks.
* Demonstrated success in delivering AI solutions with measurable business impact.
* Strong knowledge of advanced GenAI and communicating insights to non\-technical audiences.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 Asset Management’s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281">
      <c r="A281" t="inlineStr">
        <is>
          <t>in-ee3989b3232f81bb</t>
        </is>
      </c>
      <c r="B281" t="inlineStr">
        <is>
          <t>Machine Learning Engineer</t>
        </is>
      </c>
      <c r="C281" t="inlineStr">
        <is>
          <t>Rebel Space Technologies</t>
        </is>
      </c>
      <c r="D281" t="inlineStr">
        <is>
          <t>indeed</t>
        </is>
      </c>
      <c r="E281">
        <f>HYPERLINK("https://www.indeed.com/viewjob?jk=ee3989b3232f81bb", "https://www.indeed.com/viewjob?jk=ee3989b3232f81bb")</f>
        <v/>
      </c>
      <c r="F281">
        <f>HYPERLINK("https://jobs.ashbyhq.com/rebel-space-technologies/a85f59ea-6723-49c9-87a1-7587ef93ff6a?utm_source=rv4GkgvaA4", "https://jobs.ashbyhq.com/rebel-space-technologies/a85f59ea-6723-49c9-87a1-7587ef93ff6a?utm_source=rv4GkgvaA4")</f>
        <v/>
      </c>
      <c r="G281" t="inlineStr">
        <is>
          <t>Long Beach, CA, US</t>
        </is>
      </c>
      <c r="H281" s="3" t="n">
        <v>46026</v>
      </c>
      <c r="I281" t="inlineStr">
        <is>
          <t>Rebel Space Technologies is seeking a talented and experienced Machine Learning Engineer to join our team.
**Machine Learning Engineer:**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Our technology supercharges space infrastructure, ensuring resilience against evolving threats in an increasingly complex environment. We’re looking for a talented Machine Learning Engineer to join us in pioneering the next generation of space system security.
As a Machine Learning Engineer at Rebel Space, you’ll design, implement, and optimize ML models for anomaly detection in satellite communications. You’ll help architect secure, scalable infrastructure for ML workloads within demanding government and defense compliance environments. This position is ideal for someone who thrives in dynamic, fast\-paced R\&amp;D environments, is comfortable building systems from the ground up, and has a bias toward elegant, performant, and reliable code.
**Responsibilities:**
---------------------
* Develop and maintain machine learning infrastructure that is portable and flexible, supporting deployments both in cloud environments and on edge devices
* Research, prototype, and survey different ML architecture and workflow optimization techniques
* Design and implement proof\-of\-concept custom optimizations, then demonstrate how these optimizations improve the performance of existing machine learning models when applied to actual real\-world datasets.
* Build data collections, labeling pipelines, and evaluation pipelines. Research and develop machine learning models for physical sensor systems.
* Extend existing ML libraries and frameworks.
*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**Basic Qualifications:**
-------------------------
* Bachelor's degree in Computer Science, Electrical Engineer, Physics or related technical discipline.
* 3\+ years of relevant industry experience in data analytics and machine learning
* Strong expertise in scientific Python (NumPy, SciPy, Pandas) and modern ML frameworks (PyTorch, TensorFlow, JAX, Scikit\-Learn, Keras)
* Proficiency in SQL and experience with relational or time\-series databases
* Proven experience applying statistical modeling, data analysis, and inference to extract actionable insights from large and complex datasets
* Familiarity with overall big data analysis, system backend integration with new ML systems, and large\-scale data processing
* Proficiency in data visualization tools (e.g., Matplotlib, Seaborn, Power BI) to effectively communicate findings
* Excellent understanding of algorithms, data structures, and coding standards
* Strong communication and behavioral skills
* Motivated self\-starter that can work autonomously and as part of a team
**Preferred Qualifications:**
-----------------------------
* PhD, Masters, or equivalent in Computer Science, Electrical Engineer, Physics or related field with 5\+ years of professional experience in machine learning engineering
* Knowledge of experiment tracking, model deployment strategies, data versioning, and monitoring
* Experience with ML infrastructure tools (e.g. MLflow, Kubeflow, Airflow, feature stores, model registries)
* Prior experience with real\-time data processing, prediction systems, or active learning pipelines
* Exposure to synthetic data generation techniques (GANs, simulation platforms).
* Experience designing reliable software through requirements generation, continuous integration, automated testing, issue tracking, and code reviews
* Experience at early\-stage startups and remote\-first organizations
* Passionate about building autonomous systems
**Benefits:**
-------------
* Premium Healthcare Benefits: We offer comprehensive medical, dental, and vision plans at little to no cost to you.
* Stock Options: Own meaningful equity in Rebel Space.
* Generous PTO: Includes flexible vacation and company paid holidays.
* Maternity/paternity leave.
* Flexible hybrid work options.
* Opportunity to shape the future of space cybersecurity and observability!
The estimated salary range for this role is $140,000\-$220,000 \+ equity in the company,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Learn more about the ITAR here.*
Rebel Space Technologies is an equal\-opportunity employer, and we encourage candidates from all backgrounds to apply. If you are someone passionate to work on problems that matter, we’d love to hear from you.</t>
        </is>
      </c>
    </row>
    <row r="282">
      <c r="A282" t="inlineStr">
        <is>
          <t>in-7df3002975f42fde</t>
        </is>
      </c>
      <c r="B282" t="inlineStr">
        <is>
          <t>Machine Learning Engineer III** Hybrid in Raleigh, NC</t>
        </is>
      </c>
      <c r="C282" t="inlineStr">
        <is>
          <t>RELX Group</t>
        </is>
      </c>
      <c r="D282" t="inlineStr">
        <is>
          <t>indeed</t>
        </is>
      </c>
      <c r="E282">
        <f>HYPERLINK("https://www.indeed.com/viewjob?jk=7df3002975f42fde", "https://www.indeed.com/viewjob?jk=7df3002975f42fde")</f>
        <v/>
      </c>
      <c r="F282">
        <f>HYPERLINK("https://relx.wd3.myworkdayjobs.com/en-US/relx/job/USA---Raleigh-NC-RDU/Machine-Learning-Engineer-III---Hybrid-in-Raleigh--NC_R105817-2", "https://relx.wd3.myworkdayjobs.com/en-US/relx/job/USA---Raleigh-NC-RDU/Machine-Learning-Engineer-III---Hybrid-in-Raleigh--NC_R105817-2")</f>
        <v/>
      </c>
      <c r="G282" t="inlineStr">
        <is>
          <t>Raleigh, NC, US</t>
        </is>
      </c>
      <c r="H282" s="3" t="n">
        <v>46026</v>
      </c>
      <c r="I282" t="inlineStr">
        <is>
          <t>About Us
At LexisNexis Intellectual Property Solutions, our mission is to bring clarity to innovation by delivering better outcomes to the innovation community. Every day, our teams support the development of new technologies and processes that ultimately advance humanity. By empowering innovators to make informed decisions, be more productive, comply with regulations, and achieve superior results, we directly serve those shaping the future of humankind.
About the Role:
Are you looking to develop your ML/AI engineering career?
As a ML engineer, you will work closely with data scientists and other engineers to productionize and deploy scaleable AI solutions. You will be responsible for implementing ML / LLM based applications, working with proprietary and open\-source models as well as popular frameworks such as ADK to ensure seamless integration and deployment.
Conditions of Employment:* You must be a U.S. citizen to apply for this position.
* Hybrid Position, Eastern Time Zone \- Raleigh, NC
Responsibilities:* Delivering AI powered features.
* Helping to build AWS platform infrastructure with CDK, such as Kubernetes services and vector databases.
* Participating in development processes, and code reviews.
* Operating in a Scrum based development environment while collaborating with stakeholders.
* Proactively seeking to learn about best coding practices in Python and C\#.
Requirements:* Bachelor's / Master's degree plus 3\+ years of work\-related experience OR PhD with 2\+ years of work\-related experience.
* Experience in writing code and tests in Python and C\#.
* Have experience and knowledge of applying LLMs including from OpenAI, Anthropic, Mistral, etc.
* Knowledge of AWS or similar cloud providers.
* Understanding Software Engineering techniques and processes.
* Strong interpersonal, communication, and presentation skills applicable to a wide audience.
* Experience with Azure Pipelines and AWS CDK is desirable, but not essential.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83">
      <c r="A283" t="inlineStr">
        <is>
          <t>in-d3881791c7cdd36c</t>
        </is>
      </c>
      <c r="B283" t="inlineStr">
        <is>
          <t>Machine Learning Engineer III** Hybrid in Raleigh, NC</t>
        </is>
      </c>
      <c r="C283" t="inlineStr">
        <is>
          <t>LexisNexis Legal &amp; Professional</t>
        </is>
      </c>
      <c r="D283" t="inlineStr">
        <is>
          <t>indeed</t>
        </is>
      </c>
      <c r="E283">
        <f>HYPERLINK("https://www.indeed.com/viewjob?jk=d3881791c7cdd36c", "https://www.indeed.com/viewjob?jk=d3881791c7cdd36c")</f>
        <v/>
      </c>
      <c r="F283">
        <f>HYPERLINK("https://relx.wd3.myworkdayjobs.com/en-US/LexisNexisLegal/job/USA---Raleigh-NC-RDU/Machine-Learning-Engineer-III---Hybrid-in-Raleigh--NC_R105817-1", "https://relx.wd3.myworkdayjobs.com/en-US/LexisNexisLegal/job/USA---Raleigh-NC-RDU/Machine-Learning-Engineer-III---Hybrid-in-Raleigh--NC_R105817-1")</f>
        <v/>
      </c>
      <c r="G283" t="inlineStr">
        <is>
          <t>Raleigh, NC, US</t>
        </is>
      </c>
      <c r="H283" s="3" t="n">
        <v>46026</v>
      </c>
      <c r="I283" t="inlineStr">
        <is>
          <t>About Us
At LexisNexis Intellectual Property Solutions, our mission is to bring clarity to innovation by delivering better outcomes to the innovation community. Every day, our teams support the development of new technologies and processes that ultimately advance humanity. By empowering innovators to make informed decisions, be more productive, comply with regulations, and achieve superior results, we directly serve those shaping the future of humankind.
About the Role:
Are you looking to develop your ML/AI engineering career?
As a ML engineer, you will work closely with data scientists and other engineers to productionize and deploy scaleable AI solutions. You will be responsible for implementing ML / LLM based applications, working with proprietary and open\-source models as well as popular frameworks such as ADK to ensure seamless integration and deployment.
Conditions of Employment:* You must be a U.S. citizen to apply for this position.
* Hybrid Position, Eastern Time Zone \- Raleigh, NC
Responsibilities:* Delivering AI powered features.
* Helping to build AWS platform infrastructure with CDK, such as Kubernetes services and vector databases.
* Participating in development processes, and code reviews.
* Operating in a Scrum based development environment while collaborating with stakeholders.
* Proactively seeking to learn about best coding practices in Python and C\#.
Requirements:* Bachelor's / Master's degree plus 3\+ years of work\-related experience OR PhD with 2\+ years of work\-related experience.
* Experience in writing code and tests in Python and C\#.
* Have experience and knowledge of applying LLMs including from OpenAI, Anthropic, Mistral, etc.
* Knowledge of AWS or similar cloud providers.
* Understanding Software Engineering techniques and processes.
* Strong interpersonal, communication, and presentation skills applicable to a wide audience.
* Experience with Azure Pipelines and AWS CDK is desirable, but not essential.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84">
      <c r="A284" t="inlineStr">
        <is>
          <t>in-c8e50885ae7c990c</t>
        </is>
      </c>
      <c r="B284" t="inlineStr">
        <is>
          <t>Machine Learning Engineer</t>
        </is>
      </c>
      <c r="C284" t="inlineStr">
        <is>
          <t>Children's Hospital of Philadelphia</t>
        </is>
      </c>
      <c r="D284" t="inlineStr">
        <is>
          <t>indeed</t>
        </is>
      </c>
      <c r="E284">
        <f>HYPERLINK("https://www.indeed.com/viewjob?jk=c8e50885ae7c990c", "https://www.indeed.com/viewjob?jk=c8e50885ae7c990c")</f>
        <v/>
      </c>
      <c r="F284">
        <f>HYPERLINK("https://careers.chop.edu/us/en/job/CHOPUS1012391EXTERNALENUS/Machine-Learning-Engineer?utm_source=indeed&amp;utm_medium=phenom-feeds", "https://careers.chop.edu/us/en/job/CHOPUS1012391EXTERNALENUS/Machine-Learning-Engineer?utm_source=indeed&amp;utm_medium=phenom-feeds")</f>
        <v/>
      </c>
      <c r="G284" t="inlineStr">
        <is>
          <t>Philadelphia, PA, US</t>
        </is>
      </c>
      <c r="H284" s="3" t="n">
        <v>46026</v>
      </c>
      <c r="I284"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 Brief Overview**
The Campbell Laboratory at the Children’s Hospital of Philadelphia is seeking a Machine Learning Engineer to help advance our mission to diagnose rare genetic diseases more quickly and accurately. We develop and train large language models (LLMs) to better understand clinical data from the electronic health record (EHR) and to identify ways to facilitate accurate, equitable diagnoses for every child—especially those from historically marginalized backgrounds.
As a Machine Learning Engineer, you will work closely with data scientists, clinicians, and other researchers to design, implement, and scale state\-of\-the\-art machine learning workflows. You will utilize our on\-premises GPU/SLURM cluster and cloud\-based TPU instances (Google Cloud) to train and deploy LLMs using Hugging Face Transformers, PyTorch, and JAX. This role combines robust software engineering practices with advanced machine learning and natural language processing (NLP) techniques, with a focus on reproducibility and high\-quality code.
Our innovative and interdisciplinary environment values diversity, fosters professional growth, and drives impactful research that benefits children worldwide. If you are passionate about building robust machine learning systems, enjoy working on high\-impact problems, and thrive in a collaborative research environment, we encourage you to apply.
 **What you will do**
* Configure and utilize on\-premises SLURM cluster with GPU resources to ensure efficient and reliable job scheduling for large\-scale model training.
* Manage and optimize cloud\-based infrastructures (e.g., TPU Pods on Google Cloud) for distributed model training and evaluation.
* Collaborate with data scientists to implement and fine\-tune LLMs (e.g., Transformer architectures in PyTorch, TensorFlow, or JAX) for clinical and biomedical NLP tasks.
* Develop efficient training pipelines, including data loading, preprocessing, feature extraction, and model deployment.
* Evaluate model performance and optimize hyperparameters, GPU/TPU utilization, and distributed training strategies.
* Collaborate cross\-functionally with clinicians, data scientists, analysts, and IT teams to support and enhance machine learning operations (MLOps).
* Work with relational databases (e.g., Snowflake, BigQuery, Oracle SQL, MySQL) and distributed storage systems to access and manage EHR data.
* Partner with data scientists and domain experts to design data pipelines that integrate with existing hospital systems.
* Write clean, well\-documented, and maintainable code following best practices
* Contribute to shared code repositories using Git, ensuring reproducibility and version control for collaborative projects.
* Develop CI/CD workflows to automate model testing, containerization, and deployment to production environments.
* Monitor deployed models for performance drift, latency, and reliability, and implement automated alerts and feedback loops to refine model behavior.
* Produce clear technical documentation, including system architecture diagrams, training procedures, and user guides for internal stakeholders.
* Present engineering best practices, findings, and process updates to clinicians, researchers, and other non\-technical audiences as needed.
**Education Qualifications**
* Bachelor's Degree Required
* Bachelor's Degree Analytics, Data Science, Statistics, Mathematics, Computer Science or a related field Preferred
* Masters or PhD in Analytics, Data Science, Statistics, Mathematics, Computer Science or a related field Preferred
**Experience Qualifications**
* At least three (3\) years experience with progressively more complex data science, applied statistics, machine learning, or mathematical modeling projects. Required
* At least four (4\) years with progressively more complex data science, applied statistics, machine learning, or mathematical modeling projects Preferred
* At least one year of experience with complex data science, applied statistics, machine learning, or mathematical modeling projects Preferred
* Natural language processing experience, particularly in the biological and medical domains Preferred
* Experience with transformer architecture and associated software (e.g., PyTorch, Tensorflow, JAX) is Preferred
* Experience using distributed computing technologies Preferred
* Experience with cloud virtual machine environments Preferred
* Experience implementing distributed training on GPUs or TPUs in cloud platforms (e.g., Google Cloud, AWS, Azure).
* Experience with prompt engineering, semantic search, or retrieval\-augmented generation (RAG) in a research or production environment.
* Familiarity with MLOps pipelines (CI/CD, containerization, monitoring, and logging frameworks).
* Exposure to healthcare or biomedical data and associated privacy/security regulations (e.g., HIPAA) is a plus.
* Experience with advanced NLP techniques or LLMs in a research or production environment.
**Skills and Abilities**
* Proven software engineering experience, including structured development methods, testing, and version control.
* Hands\-on experience with Python and at least one deep learning framework (e.g., PyTorch, TensorFlow, or JAX).
* Familiarity with relational databases (e.g., Snowflake, BigQuery, Oracle SQL, MySQL).
* Experience with Linux/Unix environments, shell scripting, and cluster computing systems (e.g., SLURM).
 **To carry out its mission, CHOP is committed to supporting the health of our patients, families, workforce, and global community. As a condition of employment, CHOP employees who work in patient care buildings or who have patient facing responsibilities must be fully vaccinated against COVID\-19 and receive an annual influenza vaccine.** **Learn more.**  
**Employees may request exemptions for valid religious and medical reasons. Start dates may be delayed until candidates are immunized or exemption requests are reviewed.**  
**EEO / VEVRAA Federal Contractor** **\|** **Tobacco Statement**
**SALARY RANGE:**
$104,600\.00 \- $138,600\.00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285">
      <c r="A285" t="inlineStr">
        <is>
          <t>in-018394a8f7ef0fda</t>
        </is>
      </c>
      <c r="B285" t="inlineStr">
        <is>
          <t>Machine Learning Engineer, Model Customization, Generative AI Innovation Center</t>
        </is>
      </c>
      <c r="C285" t="inlineStr">
        <is>
          <t>Amazon Web Services</t>
        </is>
      </c>
      <c r="D285" t="inlineStr">
        <is>
          <t>indeed</t>
        </is>
      </c>
      <c r="E285">
        <f>HYPERLINK("https://www.indeed.com/viewjob?jk=018394a8f7ef0fda", "https://www.indeed.com/viewjob?jk=018394a8f7ef0fda")</f>
        <v/>
      </c>
      <c r="F285">
        <f>HYPERLINK("https://www.amazon.jobs/jobs/3146359/machine-learning-engineer-model-customization-generative-ai-innovation-center?cmpid=DA_INAD200785B", "https://www.amazon.jobs/jobs/3146359/machine-learning-engineer-model-customization-generative-ai-innovation-center?cmpid=DA_INAD200785B")</f>
        <v/>
      </c>
      <c r="G285" t="inlineStr">
        <is>
          <t>Mountain View, CA, US</t>
        </is>
      </c>
      <c r="H285" s="3" t="n">
        <v>46008</v>
      </c>
      <c r="I28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in-08caa9e1d724db8f</t>
        </is>
      </c>
      <c r="B286" t="inlineStr">
        <is>
          <t>Machine Learning Engineer, Model Customization, Generative AI Innovation Center</t>
        </is>
      </c>
      <c r="C286" t="inlineStr">
        <is>
          <t>Amazon Web Services</t>
        </is>
      </c>
      <c r="D286" t="inlineStr">
        <is>
          <t>indeed</t>
        </is>
      </c>
      <c r="E286">
        <f>HYPERLINK("https://www.indeed.com/viewjob?jk=08caa9e1d724db8f", "https://www.indeed.com/viewjob?jk=08caa9e1d724db8f")</f>
        <v/>
      </c>
      <c r="F286">
        <f>HYPERLINK("https://www.amazon.jobs/jobs/3146359/machine-learning-engineer-model-customization-generative-ai-innovation-center?cmpid=DA_INAD200785B", "https://www.amazon.jobs/jobs/3146359/machine-learning-engineer-model-customization-generative-ai-innovation-center?cmpid=DA_INAD200785B")</f>
        <v/>
      </c>
      <c r="G286" t="inlineStr">
        <is>
          <t>Seattle, WA, US</t>
        </is>
      </c>
      <c r="H286" s="3" t="n">
        <v>46008</v>
      </c>
      <c r="I28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in-79b806be730daa35</t>
        </is>
      </c>
      <c r="B287" t="inlineStr">
        <is>
          <t>Sr. Machine Learning Engineer, AGIF | Finetuning</t>
        </is>
      </c>
      <c r="C287" t="inlineStr">
        <is>
          <t>Amazon.com</t>
        </is>
      </c>
      <c r="D287" t="inlineStr">
        <is>
          <t>indeed</t>
        </is>
      </c>
      <c r="E287">
        <f>HYPERLINK("https://www.indeed.com/viewjob?jk=79b806be730daa35", "https://www.indeed.com/viewjob?jk=79b806be730daa35")</f>
        <v/>
      </c>
      <c r="F287">
        <f>HYPERLINK("https://www.amazon.jobs/jobs/3145989/sr-machine-learning-engineer-agif--finetuning?cmpid=DA_INAD200785B", "https://www.amazon.jobs/jobs/3145989/sr-machine-learning-engineer-agif--finetuning?cmpid=DA_INAD200785B")</f>
        <v/>
      </c>
      <c r="G287" t="inlineStr">
        <is>
          <t>New York, NY, US</t>
        </is>
      </c>
      <c r="H287" s="3" t="n">
        <v>45984</v>
      </c>
      <c r="I28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in-82e31dcb3df790ef</t>
        </is>
      </c>
      <c r="B288" t="inlineStr">
        <is>
          <t>Sr. Machine Learning Engineer, AGIF | Finetuning</t>
        </is>
      </c>
      <c r="C288" t="inlineStr">
        <is>
          <t>Amazon.com</t>
        </is>
      </c>
      <c r="D288" t="inlineStr">
        <is>
          <t>indeed</t>
        </is>
      </c>
      <c r="E288">
        <f>HYPERLINK("https://www.indeed.com/viewjob?jk=82e31dcb3df790ef", "https://www.indeed.com/viewjob?jk=82e31dcb3df790ef")</f>
        <v/>
      </c>
      <c r="F288">
        <f>HYPERLINK("https://www.amazon.jobs/jobs/3145989/sr-machine-learning-engineer-agif--finetuning?cmpid=DA_INAD200785B", "https://www.amazon.jobs/jobs/3145989/sr-machine-learning-engineer-agif--finetuning?cmpid=DA_INAD200785B")</f>
        <v/>
      </c>
      <c r="G288" t="inlineStr">
        <is>
          <t>Sunnyvale, CA, US</t>
        </is>
      </c>
      <c r="H288" s="3" t="n">
        <v>45984</v>
      </c>
      <c r="I28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in-2bd650661d1fafd7</t>
        </is>
      </c>
      <c r="B289" t="inlineStr">
        <is>
          <t>Sr. Machine Learning Engineer, AGIF | Finetuning</t>
        </is>
      </c>
      <c r="C289" t="inlineStr">
        <is>
          <t>Amazon.com</t>
        </is>
      </c>
      <c r="D289" t="inlineStr">
        <is>
          <t>indeed</t>
        </is>
      </c>
      <c r="E289">
        <f>HYPERLINK("https://www.indeed.com/viewjob?jk=2bd650661d1fafd7", "https://www.indeed.com/viewjob?jk=2bd650661d1fafd7")</f>
        <v/>
      </c>
      <c r="F289">
        <f>HYPERLINK("https://www.amazon.jobs/jobs/3145989/sr-machine-learning-engineer-agif--finetuning?cmpid=DA_INAD200785B", "https://www.amazon.jobs/jobs/3145989/sr-machine-learning-engineer-agif--finetuning?cmpid=DA_INAD200785B")</f>
        <v/>
      </c>
      <c r="G289" t="inlineStr">
        <is>
          <t>Bellevue, WA, US</t>
        </is>
      </c>
      <c r="H289" s="3" t="n">
        <v>45984</v>
      </c>
      <c r="I28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in-b32dc1f12810cf4d</t>
        </is>
      </c>
      <c r="B290" t="inlineStr">
        <is>
          <t>Lead AI/ML Engineer, Recommendation Systems</t>
        </is>
      </c>
      <c r="C290" t="inlineStr">
        <is>
          <t>Amazon.com</t>
        </is>
      </c>
      <c r="D290" t="inlineStr">
        <is>
          <t>indeed</t>
        </is>
      </c>
      <c r="E290">
        <f>HYPERLINK("https://www.indeed.com/viewjob?jk=b32dc1f12810cf4d", "https://www.indeed.com/viewjob?jk=b32dc1f12810cf4d")</f>
        <v/>
      </c>
      <c r="F290">
        <f>HYPERLINK("https://www.amazon.jobs/jobs/3065041/lead-aiml-engineer-recommendation-systems?cmpid=DA_INAD200785B", "https://www.amazon.jobs/jobs/3065041/lead-aiml-engineer-recommendation-systems?cmpid=DA_INAD200785B")</f>
        <v/>
      </c>
      <c r="G290" t="inlineStr">
        <is>
          <t>New York, NY, US</t>
        </is>
      </c>
      <c r="H290" s="3" t="n">
        <v>45892</v>
      </c>
      <c r="I2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in-6d17515c285ee8d5</t>
        </is>
      </c>
      <c r="B291" t="inlineStr">
        <is>
          <t>Lead AI/ML Engineer, Recommendation Systems</t>
        </is>
      </c>
      <c r="C291" t="inlineStr">
        <is>
          <t>Amazon.com</t>
        </is>
      </c>
      <c r="D291" t="inlineStr">
        <is>
          <t>indeed</t>
        </is>
      </c>
      <c r="E291">
        <f>HYPERLINK("https://www.indeed.com/viewjob?jk=6d17515c285ee8d5", "https://www.indeed.com/viewjob?jk=6d17515c285ee8d5")</f>
        <v/>
      </c>
      <c r="F291">
        <f>HYPERLINK("https://www.amazon.jobs/jobs/3065041/lead-aiml-engineer-recommendation-systems?cmpid=DA_INAD200785B", "https://www.amazon.jobs/jobs/3065041/lead-aiml-engineer-recommendation-systems?cmpid=DA_INAD200785B")</f>
        <v/>
      </c>
      <c r="G291" t="inlineStr">
        <is>
          <t>Seattle, WA, US</t>
        </is>
      </c>
      <c r="H291" s="3" t="n">
        <v>45892</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in-6835269d9ea12cca</t>
        </is>
      </c>
      <c r="B292" t="inlineStr">
        <is>
          <t>Lead AI/ML Engineer, Recommendation Systems</t>
        </is>
      </c>
      <c r="C292" t="inlineStr">
        <is>
          <t>Amazon.com</t>
        </is>
      </c>
      <c r="D292" t="inlineStr">
        <is>
          <t>indeed</t>
        </is>
      </c>
      <c r="E292">
        <f>HYPERLINK("https://www.indeed.com/viewjob?jk=6835269d9ea12cca", "https://www.indeed.com/viewjob?jk=6835269d9ea12cca")</f>
        <v/>
      </c>
      <c r="F292">
        <f>HYPERLINK("https://www.amazon.jobs/jobs/3065041/lead-aiml-engineer-recommendation-systems?cmpid=DA_INAD200785B", "https://www.amazon.jobs/jobs/3065041/lead-aiml-engineer-recommendation-systems?cmpid=DA_INAD200785B")</f>
        <v/>
      </c>
      <c r="G292" t="inlineStr">
        <is>
          <t>Sunnyvale, CA, US</t>
        </is>
      </c>
      <c r="H292" s="3" t="n">
        <v>45892</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in-03bdc32f3b811f85</t>
        </is>
      </c>
      <c r="B293" t="inlineStr">
        <is>
          <t>Machine Learning Engineer - Personalization</t>
        </is>
      </c>
      <c r="C293" t="inlineStr">
        <is>
          <t>Amazon.com</t>
        </is>
      </c>
      <c r="D293" t="inlineStr">
        <is>
          <t>indeed</t>
        </is>
      </c>
      <c r="E293">
        <f>HYPERLINK("https://www.indeed.com/viewjob?jk=03bdc32f3b811f85", "https://www.indeed.com/viewjob?jk=03bdc32f3b811f85")</f>
        <v/>
      </c>
      <c r="F293">
        <f>HYPERLINK("https://www.amazon.jobs/jobs/3065042/machine-learning-engineer--personalization?cmpid=DA_INAD200785B", "https://www.amazon.jobs/jobs/3065042/machine-learning-engineer--personalization?cmpid=DA_INAD200785B")</f>
        <v/>
      </c>
      <c r="G293" t="inlineStr">
        <is>
          <t>New York, NY, US</t>
        </is>
      </c>
      <c r="H293" s="3" t="n">
        <v>45892</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in-772a968f3a9e1859</t>
        </is>
      </c>
      <c r="B294" t="inlineStr">
        <is>
          <t>Machine Learning Engineer - Personalization</t>
        </is>
      </c>
      <c r="C294" t="inlineStr">
        <is>
          <t>Amazon.com</t>
        </is>
      </c>
      <c r="D294" t="inlineStr">
        <is>
          <t>indeed</t>
        </is>
      </c>
      <c r="E294">
        <f>HYPERLINK("https://www.indeed.com/viewjob?jk=772a968f3a9e1859", "https://www.indeed.com/viewjob?jk=772a968f3a9e1859")</f>
        <v/>
      </c>
      <c r="F294">
        <f>HYPERLINK("https://www.amazon.jobs/jobs/3065042/machine-learning-engineer--personalization?cmpid=DA_INAD200785B", "https://www.amazon.jobs/jobs/3065042/machine-learning-engineer--personalization?cmpid=DA_INAD200785B")</f>
        <v/>
      </c>
      <c r="G294" t="inlineStr">
        <is>
          <t>Seattle, WA, US</t>
        </is>
      </c>
      <c r="H294" s="3" t="n">
        <v>45892</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in-6650f4f5740b1ebb</t>
        </is>
      </c>
      <c r="B295" t="inlineStr">
        <is>
          <t>Machine Learning Engineer - Personalization</t>
        </is>
      </c>
      <c r="C295" t="inlineStr">
        <is>
          <t>Amazon.com</t>
        </is>
      </c>
      <c r="D295" t="inlineStr">
        <is>
          <t>indeed</t>
        </is>
      </c>
      <c r="E295">
        <f>HYPERLINK("https://www.indeed.com/viewjob?jk=6650f4f5740b1ebb", "https://www.indeed.com/viewjob?jk=6650f4f5740b1ebb")</f>
        <v/>
      </c>
      <c r="F295">
        <f>HYPERLINK("https://www.amazon.jobs/jobs/3065042/machine-learning-engineer--personalization?cmpid=DA_INAD200785B", "https://www.amazon.jobs/jobs/3065042/machine-learning-engineer--personalization?cmpid=DA_INAD200785B")</f>
        <v/>
      </c>
      <c r="G295" t="inlineStr">
        <is>
          <t>Sunnyvale, CA, US</t>
        </is>
      </c>
      <c r="H295" s="3" t="n">
        <v>45892</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in-ec9a4e8a4625424b</t>
        </is>
      </c>
      <c r="B296" t="inlineStr">
        <is>
          <t>Senior Delivery Consultant - Senior Machine Learning Engineer, AWS Professional Services, AWS Professional Services</t>
        </is>
      </c>
      <c r="C296" t="inlineStr">
        <is>
          <t>Amazon Web Services</t>
        </is>
      </c>
      <c r="D296" t="inlineStr">
        <is>
          <t>indeed</t>
        </is>
      </c>
      <c r="E296">
        <f>HYPERLINK("https://www.indeed.com/viewjob?jk=ec9a4e8a4625424b", "https://www.indeed.com/viewjob?jk=ec9a4e8a4625424b")</f>
        <v/>
      </c>
      <c r="F296">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6" t="inlineStr">
        <is>
          <t>Herndon, VA, US</t>
        </is>
      </c>
      <c r="H296" s="3" t="n">
        <v>45825</v>
      </c>
      <c r="I29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in-940755bef15e7496</t>
        </is>
      </c>
      <c r="B297" t="inlineStr">
        <is>
          <t>Senior Delivery Consultant - Senior Machine Learning Engineer, AWS Professional Services, AWS Professional Services</t>
        </is>
      </c>
      <c r="C297" t="inlineStr">
        <is>
          <t>Amazon Web Services</t>
        </is>
      </c>
      <c r="D297" t="inlineStr">
        <is>
          <t>indeed</t>
        </is>
      </c>
      <c r="E297">
        <f>HYPERLINK("https://www.indeed.com/viewjob?jk=940755bef15e7496", "https://www.indeed.com/viewjob?jk=940755bef15e7496")</f>
        <v/>
      </c>
      <c r="F29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7" t="inlineStr">
        <is>
          <t>Dallas, TX, US</t>
        </is>
      </c>
      <c r="H297" s="3" t="n">
        <v>45825</v>
      </c>
      <c r="I29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in-712acf6829d24bf6</t>
        </is>
      </c>
      <c r="B298" t="inlineStr">
        <is>
          <t>Senior Delivery Consultant - Senior Machine Learning Engineer, AWS Professional Services, AWS Professional Services</t>
        </is>
      </c>
      <c r="C298" t="inlineStr">
        <is>
          <t>Amazon Web Services</t>
        </is>
      </c>
      <c r="D298" t="inlineStr">
        <is>
          <t>indeed</t>
        </is>
      </c>
      <c r="E298">
        <f>HYPERLINK("https://www.indeed.com/viewjob?jk=712acf6829d24bf6", "https://www.indeed.com/viewjob?jk=712acf6829d24bf6")</f>
        <v/>
      </c>
      <c r="F29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8" t="inlineStr">
        <is>
          <t>New York, NY, US</t>
        </is>
      </c>
      <c r="H298" s="3" t="n">
        <v>45825</v>
      </c>
      <c r="I29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in-3d4ba3f95b5740f8</t>
        </is>
      </c>
      <c r="B299" t="inlineStr">
        <is>
          <t>Senior Delivery Consultant - Senior Machine Learning Engineer, AWS Professional Services, AWS Professional Services</t>
        </is>
      </c>
      <c r="C299" t="inlineStr">
        <is>
          <t>Amazon Web Services</t>
        </is>
      </c>
      <c r="D299" t="inlineStr">
        <is>
          <t>indeed</t>
        </is>
      </c>
      <c r="E299">
        <f>HYPERLINK("https://www.indeed.com/viewjob?jk=3d4ba3f95b5740f8", "https://www.indeed.com/viewjob?jk=3d4ba3f95b5740f8")</f>
        <v/>
      </c>
      <c r="F29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9" t="inlineStr">
        <is>
          <t>Arlington, VA, US</t>
        </is>
      </c>
      <c r="H299" s="3" t="n">
        <v>45825</v>
      </c>
      <c r="I29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in-e89d0a45b41de862</t>
        </is>
      </c>
      <c r="B300" t="inlineStr">
        <is>
          <t>Senior Delivery Consultant - Senior Machine Learning Engineer, AWS Professional Services, AWS Professional Services</t>
        </is>
      </c>
      <c r="C300" t="inlineStr">
        <is>
          <t>Amazon Web Services</t>
        </is>
      </c>
      <c r="D300" t="inlineStr">
        <is>
          <t>indeed</t>
        </is>
      </c>
      <c r="E300">
        <f>HYPERLINK("https://www.indeed.com/viewjob?jk=e89d0a45b41de862", "https://www.indeed.com/viewjob?jk=e89d0a45b41de862")</f>
        <v/>
      </c>
      <c r="F300">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0" t="inlineStr">
        <is>
          <t>Atlanta, GA, US</t>
        </is>
      </c>
      <c r="H300" s="3" t="n">
        <v>45825</v>
      </c>
      <c r="I30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in-bf64bc3473f0daa1</t>
        </is>
      </c>
      <c r="B301" t="inlineStr">
        <is>
          <t>Senior Delivery Consultant - Senior Machine Learning Engineer, AWS Professional Services, AWS Professional Services</t>
        </is>
      </c>
      <c r="C301" t="inlineStr">
        <is>
          <t>Amazon Web Services</t>
        </is>
      </c>
      <c r="D301" t="inlineStr">
        <is>
          <t>indeed</t>
        </is>
      </c>
      <c r="E301">
        <f>HYPERLINK("https://www.indeed.com/viewjob?jk=bf64bc3473f0daa1", "https://www.indeed.com/viewjob?jk=bf64bc3473f0daa1")</f>
        <v/>
      </c>
      <c r="F301">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1" t="inlineStr">
        <is>
          <t>Boston, MA, US</t>
        </is>
      </c>
      <c r="H301" s="3" t="n">
        <v>45825</v>
      </c>
      <c r="I30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in-c5d3014348e3e106</t>
        </is>
      </c>
      <c r="B302" t="inlineStr">
        <is>
          <t>Senior Delivery Consultant - Senior Machine Learning Engineer, AWS Professional Services, AWS Professional Services</t>
        </is>
      </c>
      <c r="C302" t="inlineStr">
        <is>
          <t>Amazon Web Services</t>
        </is>
      </c>
      <c r="D302" t="inlineStr">
        <is>
          <t>indeed</t>
        </is>
      </c>
      <c r="E302">
        <f>HYPERLINK("https://www.indeed.com/viewjob?jk=c5d3014348e3e106", "https://www.indeed.com/viewjob?jk=c5d3014348e3e106")</f>
        <v/>
      </c>
      <c r="F30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2" t="inlineStr">
        <is>
          <t>Seattle, WA, US</t>
        </is>
      </c>
      <c r="H302" s="3" t="n">
        <v>45825</v>
      </c>
      <c r="I30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in-0651283ba8294839</t>
        </is>
      </c>
      <c r="B303" t="inlineStr">
        <is>
          <t>Senior Delivery Consultant - Senior Machine Learning Engineer, AWS Professional Services, AWS Professional Services</t>
        </is>
      </c>
      <c r="C303" t="inlineStr">
        <is>
          <t>Amazon Web Services</t>
        </is>
      </c>
      <c r="D303" t="inlineStr">
        <is>
          <t>indeed</t>
        </is>
      </c>
      <c r="E303">
        <f>HYPERLINK("https://www.indeed.com/viewjob?jk=0651283ba8294839", "https://www.indeed.com/viewjob?jk=0651283ba8294839")</f>
        <v/>
      </c>
      <c r="F303">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3" t="inlineStr">
        <is>
          <t>Austin, TX, US</t>
        </is>
      </c>
      <c r="H303" s="3" t="n">
        <v>45825</v>
      </c>
      <c r="I30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in-106a7ca1fa8851d7</t>
        </is>
      </c>
      <c r="B304" t="inlineStr">
        <is>
          <t>Senior Delivery Consultant - Senior Machine Learning Engineer, AWS Professional Services, AWS Professional Services</t>
        </is>
      </c>
      <c r="C304" t="inlineStr">
        <is>
          <t>Amazon Web Services</t>
        </is>
      </c>
      <c r="D304" t="inlineStr">
        <is>
          <t>indeed</t>
        </is>
      </c>
      <c r="E304">
        <f>HYPERLINK("https://www.indeed.com/viewjob?jk=106a7ca1fa8851d7", "https://www.indeed.com/viewjob?jk=106a7ca1fa8851d7")</f>
        <v/>
      </c>
      <c r="F30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4" t="inlineStr">
        <is>
          <t>Chicago, IL, US</t>
        </is>
      </c>
      <c r="H304" s="3" t="n">
        <v>45825</v>
      </c>
      <c r="I30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in-6bf4fdf3f97fc4d8</t>
        </is>
      </c>
      <c r="B305" t="inlineStr">
        <is>
          <t>Sr. Machine Learning Engineer, Amazon General Intelligence (AGI)</t>
        </is>
      </c>
      <c r="C305" t="inlineStr">
        <is>
          <t>Amazon.com</t>
        </is>
      </c>
      <c r="D305" t="inlineStr">
        <is>
          <t>indeed</t>
        </is>
      </c>
      <c r="E305">
        <f>HYPERLINK("https://www.indeed.com/viewjob?jk=6bf4fdf3f97fc4d8", "https://www.indeed.com/viewjob?jk=6bf4fdf3f97fc4d8")</f>
        <v/>
      </c>
      <c r="F305">
        <f>HYPERLINK("https://www.amazon.jobs/jobs/3003295/sr-machine-learning-engineer-amazon-general-intelligence-agi?cmpid=DA_INAD200785B", "https://www.amazon.jobs/jobs/3003295/sr-machine-learning-engineer-amazon-general-intelligence-agi?cmpid=DA_INAD200785B")</f>
        <v/>
      </c>
      <c r="G305" t="inlineStr">
        <is>
          <t>Bellevue, WA, US</t>
        </is>
      </c>
      <c r="H305" s="3" t="n">
        <v>45813</v>
      </c>
      <c r="I30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in-76c5d91fca3f8745</t>
        </is>
      </c>
      <c r="B306" t="inlineStr">
        <is>
          <t>Sr. Machine Learning Engineer, Amazon General Intelligence (AGI)</t>
        </is>
      </c>
      <c r="C306" t="inlineStr">
        <is>
          <t>Amazon.com</t>
        </is>
      </c>
      <c r="D306" t="inlineStr">
        <is>
          <t>indeed</t>
        </is>
      </c>
      <c r="E306">
        <f>HYPERLINK("https://www.indeed.com/viewjob?jk=76c5d91fca3f8745", "https://www.indeed.com/viewjob?jk=76c5d91fca3f8745")</f>
        <v/>
      </c>
      <c r="F306">
        <f>HYPERLINK("https://www.amazon.jobs/jobs/3003295/sr-machine-learning-engineer-amazon-general-intelligence-agi?cmpid=DA_INAD200785B", "https://www.amazon.jobs/jobs/3003295/sr-machine-learning-engineer-amazon-general-intelligence-agi?cmpid=DA_INAD200785B")</f>
        <v/>
      </c>
      <c r="G306" t="inlineStr">
        <is>
          <t>Seattle, WA, US</t>
        </is>
      </c>
      <c r="H306" s="3" t="n">
        <v>45813</v>
      </c>
      <c r="I30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in-ff27b787c697152e</t>
        </is>
      </c>
      <c r="B307" t="inlineStr">
        <is>
          <t>Applied Scientist, Personalization, DTx Science</t>
        </is>
      </c>
      <c r="C307" t="inlineStr">
        <is>
          <t>Amazon.com</t>
        </is>
      </c>
      <c r="D307" t="inlineStr">
        <is>
          <t>indeed</t>
        </is>
      </c>
      <c r="E307">
        <f>HYPERLINK("https://www.indeed.com/viewjob?jk=ff27b787c697152e", "https://www.indeed.com/viewjob?jk=ff27b787c697152e")</f>
        <v/>
      </c>
      <c r="F307">
        <f>HYPERLINK("https://www.amazon.jobs/jobs/3136853/applied-scientist-personalization-dtx-science?cmpid=DA_INAD200785B", "https://www.amazon.jobs/jobs/3136853/applied-scientist-personalization-dtx-science?cmpid=DA_INAD200785B")</f>
        <v/>
      </c>
      <c r="G307" t="inlineStr">
        <is>
          <t>Seattle, WA, US</t>
        </is>
      </c>
      <c r="H307" s="3" t="n">
        <v>45979</v>
      </c>
      <c r="I30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in-49d6c76d396fc4d0</t>
        </is>
      </c>
      <c r="B308" t="inlineStr">
        <is>
          <t>Applied Scientist, Personalization, DTx Science</t>
        </is>
      </c>
      <c r="C308" t="inlineStr">
        <is>
          <t>Amazon.com</t>
        </is>
      </c>
      <c r="D308" t="inlineStr">
        <is>
          <t>indeed</t>
        </is>
      </c>
      <c r="E308">
        <f>HYPERLINK("https://www.indeed.com/viewjob?jk=49d6c76d396fc4d0", "https://www.indeed.com/viewjob?jk=49d6c76d396fc4d0")</f>
        <v/>
      </c>
      <c r="F308">
        <f>HYPERLINK("https://www.amazon.jobs/jobs/3136853/applied-scientist-personalization-dtx-science?cmpid=DA_INAD200785B", "https://www.amazon.jobs/jobs/3136853/applied-scientist-personalization-dtx-science?cmpid=DA_INAD200785B")</f>
        <v/>
      </c>
      <c r="G308" t="inlineStr">
        <is>
          <t>New York, NY, US</t>
        </is>
      </c>
      <c r="H308" s="3" t="n">
        <v>45979</v>
      </c>
      <c r="I30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in-3847daaffdbf700e</t>
        </is>
      </c>
      <c r="B309" t="inlineStr">
        <is>
          <t>Applied Scientist, Sponsored Products</t>
        </is>
      </c>
      <c r="C309" t="inlineStr">
        <is>
          <t>Amazon.com</t>
        </is>
      </c>
      <c r="D309" t="inlineStr">
        <is>
          <t>indeed</t>
        </is>
      </c>
      <c r="E309">
        <f>HYPERLINK("https://www.indeed.com/viewjob?jk=3847daaffdbf700e", "https://www.indeed.com/viewjob?jk=3847daaffdbf700e")</f>
        <v/>
      </c>
      <c r="F309">
        <f>HYPERLINK("https://www.amazon.jobs/jobs/3140511/applied-scientist-sponsored-products?cmpid=DA_INAD200785B", "https://www.amazon.jobs/jobs/3140511/applied-scientist-sponsored-products?cmpid=DA_INAD200785B")</f>
        <v/>
      </c>
      <c r="G309" t="inlineStr">
        <is>
          <t>Arlington, VA, US</t>
        </is>
      </c>
      <c r="H309" s="3" t="n">
        <v>45971</v>
      </c>
      <c r="I30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in-a9934a63472f9bf0</t>
        </is>
      </c>
      <c r="B310" t="inlineStr">
        <is>
          <t>Applied Scientist, Sponsored Products</t>
        </is>
      </c>
      <c r="C310" t="inlineStr">
        <is>
          <t>Amazon.com</t>
        </is>
      </c>
      <c r="D310" t="inlineStr">
        <is>
          <t>indeed</t>
        </is>
      </c>
      <c r="E310">
        <f>HYPERLINK("https://www.indeed.com/viewjob?jk=a9934a63472f9bf0", "https://www.indeed.com/viewjob?jk=a9934a63472f9bf0")</f>
        <v/>
      </c>
      <c r="F310">
        <f>HYPERLINK("https://www.amazon.jobs/jobs/3140511/applied-scientist-sponsored-products?cmpid=DA_INAD200785B", "https://www.amazon.jobs/jobs/3140511/applied-scientist-sponsored-products?cmpid=DA_INAD200785B")</f>
        <v/>
      </c>
      <c r="G310" t="inlineStr">
        <is>
          <t>Seattle, WA, US</t>
        </is>
      </c>
      <c r="H310" s="3" t="n">
        <v>45971</v>
      </c>
      <c r="I31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in-3f20b3b9010352f0</t>
        </is>
      </c>
      <c r="B311" t="inlineStr">
        <is>
          <t>Applied Scientist, AWS Agentic AI</t>
        </is>
      </c>
      <c r="C311" t="inlineStr">
        <is>
          <t>Amazon Web Services</t>
        </is>
      </c>
      <c r="D311" t="inlineStr">
        <is>
          <t>indeed</t>
        </is>
      </c>
      <c r="E311">
        <f>HYPERLINK("https://www.indeed.com/viewjob?jk=3f20b3b9010352f0", "https://www.indeed.com/viewjob?jk=3f20b3b9010352f0")</f>
        <v/>
      </c>
      <c r="F311">
        <f>HYPERLINK("https://www.amazon.jobs/jobs/3141517/applied-scientist-aws-agentic-ai-?cmpid=DA_INAD200785B", "https://www.amazon.jobs/jobs/3141517/applied-scientist-aws-agentic-ai-?cmpid=DA_INAD200785B")</f>
        <v/>
      </c>
      <c r="G311" t="inlineStr">
        <is>
          <t>Santa Clara, CA, US</t>
        </is>
      </c>
      <c r="H311" s="3" t="n">
        <v>45962</v>
      </c>
      <c r="I31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in-36b5c1cac5e7b69c</t>
        </is>
      </c>
      <c r="B312" t="inlineStr">
        <is>
          <t>Applied Scientist, AWS Agentic AI</t>
        </is>
      </c>
      <c r="C312" t="inlineStr">
        <is>
          <t>Amazon Web Services</t>
        </is>
      </c>
      <c r="D312" t="inlineStr">
        <is>
          <t>indeed</t>
        </is>
      </c>
      <c r="E312">
        <f>HYPERLINK("https://www.indeed.com/viewjob?jk=36b5c1cac5e7b69c", "https://www.indeed.com/viewjob?jk=36b5c1cac5e7b69c")</f>
        <v/>
      </c>
      <c r="F312">
        <f>HYPERLINK("https://www.amazon.jobs/jobs/3141517/applied-scientist-aws-agentic-ai-?cmpid=DA_INAD200785B", "https://www.amazon.jobs/jobs/3141517/applied-scientist-aws-agentic-ai-?cmpid=DA_INAD200785B")</f>
        <v/>
      </c>
      <c r="G312" t="inlineStr">
        <is>
          <t>New York, NY, US</t>
        </is>
      </c>
      <c r="H312" s="3" t="n">
        <v>45962</v>
      </c>
      <c r="I31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in-213390106aefa5ea</t>
        </is>
      </c>
      <c r="B313" t="inlineStr">
        <is>
          <t>Applied Scientist, AWS Agentic AI</t>
        </is>
      </c>
      <c r="C313" t="inlineStr">
        <is>
          <t>Amazon Web Services</t>
        </is>
      </c>
      <c r="D313" t="inlineStr">
        <is>
          <t>indeed</t>
        </is>
      </c>
      <c r="E313">
        <f>HYPERLINK("https://www.indeed.com/viewjob?jk=213390106aefa5ea", "https://www.indeed.com/viewjob?jk=213390106aefa5ea")</f>
        <v/>
      </c>
      <c r="F313">
        <f>HYPERLINK("https://www.amazon.jobs/jobs/3141517/applied-scientist-aws-agentic-ai-?cmpid=DA_INAD200785B", "https://www.amazon.jobs/jobs/3141517/applied-scientist-aws-agentic-ai-?cmpid=DA_INAD200785B")</f>
        <v/>
      </c>
      <c r="G313" t="inlineStr">
        <is>
          <t>Seattle, WA, US</t>
        </is>
      </c>
      <c r="H313" s="3" t="n">
        <v>45962</v>
      </c>
      <c r="I31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in-2630501e6f1b7276</t>
        </is>
      </c>
      <c r="B314" t="inlineStr">
        <is>
          <t>Sr. Applied Scientist, Sales AI</t>
        </is>
      </c>
      <c r="C314" t="inlineStr">
        <is>
          <t>Amazon.com</t>
        </is>
      </c>
      <c r="D314" t="inlineStr">
        <is>
          <t>indeed</t>
        </is>
      </c>
      <c r="E314">
        <f>HYPERLINK("https://www.indeed.com/viewjob?jk=2630501e6f1b7276", "https://www.indeed.com/viewjob?jk=2630501e6f1b7276")</f>
        <v/>
      </c>
      <c r="F314">
        <f>HYPERLINK("https://www.amazon.jobs/jobs/3020528/sr-applied-scientist-sales-ai?cmpid=DA_INAD200785B", "https://www.amazon.jobs/jobs/3020528/sr-applied-scientist-sales-ai?cmpid=DA_INAD200785B")</f>
        <v/>
      </c>
      <c r="G314" t="inlineStr">
        <is>
          <t>New York, NY, US</t>
        </is>
      </c>
      <c r="H314" s="3" t="n">
        <v>45830</v>
      </c>
      <c r="I3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in-47a98ee9344a7f7b</t>
        </is>
      </c>
      <c r="B315" t="inlineStr">
        <is>
          <t>Sr. Applied Scientist, Sales AI</t>
        </is>
      </c>
      <c r="C315" t="inlineStr">
        <is>
          <t>Amazon.com</t>
        </is>
      </c>
      <c r="D315" t="inlineStr">
        <is>
          <t>indeed</t>
        </is>
      </c>
      <c r="E315">
        <f>HYPERLINK("https://www.indeed.com/viewjob?jk=47a98ee9344a7f7b", "https://www.indeed.com/viewjob?jk=47a98ee9344a7f7b")</f>
        <v/>
      </c>
      <c r="F315">
        <f>HYPERLINK("https://www.amazon.jobs/jobs/3020528/sr-applied-scientist-sales-ai?cmpid=DA_INAD200785B", "https://www.amazon.jobs/jobs/3020528/sr-applied-scientist-sales-ai?cmpid=DA_INAD200785B")</f>
        <v/>
      </c>
      <c r="G315" t="inlineStr">
        <is>
          <t>Seattle, WA, US</t>
        </is>
      </c>
      <c r="H315" s="3" t="n">
        <v>45830</v>
      </c>
      <c r="I3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in-376e63e8abcf4535</t>
        </is>
      </c>
      <c r="B316" t="inlineStr">
        <is>
          <t>Sr. Applied Scientist, Sales AI</t>
        </is>
      </c>
      <c r="C316" t="inlineStr">
        <is>
          <t>Amazon.com</t>
        </is>
      </c>
      <c r="D316" t="inlineStr">
        <is>
          <t>indeed</t>
        </is>
      </c>
      <c r="E316">
        <f>HYPERLINK("https://www.indeed.com/viewjob?jk=376e63e8abcf4535", "https://www.indeed.com/viewjob?jk=376e63e8abcf4535")</f>
        <v/>
      </c>
      <c r="F316">
        <f>HYPERLINK("https://www.amazon.jobs/jobs/3020528/sr-applied-scientist-sales-ai?cmpid=DA_INAD200785B", "https://www.amazon.jobs/jobs/3020528/sr-applied-scientist-sales-ai?cmpid=DA_INAD200785B")</f>
        <v/>
      </c>
      <c r="G316" t="inlineStr">
        <is>
          <t>Sunnyvale, CA, US</t>
        </is>
      </c>
      <c r="H316" s="3" t="n">
        <v>45830</v>
      </c>
      <c r="I3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li-4312894201</t>
        </is>
      </c>
      <c r="B2" t="inlineStr">
        <is>
          <t>Principal Applied Scientist - Machine Learning</t>
        </is>
      </c>
      <c r="C2" t="inlineStr">
        <is>
          <t>AvePoint</t>
        </is>
      </c>
      <c r="D2" t="inlineStr">
        <is>
          <t>linkedin</t>
        </is>
      </c>
      <c r="E2" t="inlineStr"/>
      <c r="F2" t="inlineStr"/>
      <c r="G2" t="inlineStr"/>
      <c r="H2" t="inlineStr"/>
      <c r="I2"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3">
      <c r="A3" t="inlineStr">
        <is>
          <t>li-4354603502</t>
        </is>
      </c>
      <c r="B3" t="inlineStr">
        <is>
          <t>Machine Learning Engineer</t>
        </is>
      </c>
      <c r="C3" t="inlineStr">
        <is>
          <t>Protech Talent</t>
        </is>
      </c>
      <c r="D3" t="inlineStr">
        <is>
          <t>linkedin</t>
        </is>
      </c>
      <c r="E3" t="inlineStr"/>
      <c r="F3" t="inlineStr"/>
      <c r="G3" t="inlineStr"/>
      <c r="H3" t="inlineStr"/>
      <c r="I3" t="inlineStr">
        <is>
          <t>**💼 Applied AI Engineer** 
**Full\-time \| Hybrid \| New York City** 
**Compensation: $150K – $350K \+ Competitive Equity** 
**🚀 About the Role:** 
 We’re looking for an
 **Applied AI Engineer** 
 to help turn cutting\-edge machine\-learning research into production\-grade, revenue\-driving products.
 You’ll own projects end\-to\-end — from model selection and data pipelines to deployment, monitoring, and iteration in live environments. Expect full autonomy, high accountability, and constant cross\-functional collaboration with product and operations teams.
**💼 About the Company:** 
 This company is a fast\-growing AI\-driven healthcare startup on a mission to make life\-changing therapies accessible faster and more affordably. They’re combining first\-party healthcare data with cutting\-edge AI to streamline one of the most complex and outdated systems in the world — from insurance to drug access to patient support.
 Backed by top\-tier investors (including funds behind companies like Stripe, OpenAI, and Airbnb), they’re scaling rapidly and have already achieved strong product\-market fit. The team is composed of exceptional engineers, operators, and scientists from top startups and research labs.
 The culture is
 **intense, collaborative, and ownership\-driven** 
 — ideal for builders who thrive in zero\-to\-one environments and want to see their work make a measurable impact on real lives.
**What you’ll do:** 
* Build and productionize ML and LLM\-based systems that power automation, prediction, and intelligent search.
* Combine techniques like data extraction, document classification, workflow orchestration, and multimodal modeling.
* Lead zero\-to\-one experiments and deliver models that ship to real customers.
* Collaborate directly with business and engineering stakeholders to scope, design, and deploy AI\-driven features.
* Evaluate new methods, fine\-tune models, and continuously improve reliability, latency, and accuracy.
* Build internal tools and pipelines that accelerate future AI development.
 This is a Hybrid
 **, high\-ownership** 
 position for builders who thrive in fast\-moving, product\-driven environments.
**🧠 What We’re Looking For:** 
**Experience** 
* 1–15 years as an AI / ML Engineer, Applied Scientist, or ML Research Engineer
* Hands\-on experience building and deploying ML systems in production (not research\-only)
* Background at a
 **top\-tier tech or early\-stage startup** 
 that has shipped AI\-powered products
* End\-to\-end project ownership — data, training, infra, deployment, iteration
**Technical Skills** 
* Proficiency with modern ML frameworks (PyTorch, TensorFlow, Transformers, LLM APIs)
* Experience fine\-tuning, prompting, or orchestrating large\-language\-model systems
* Strong foundation in full\-stack development (Python \+ React / TypeScript / PostgreSQL / Kubernetes)
* Comfortable designing scalable data and inference pipelines on cloud (AWS preferred)
**Soft Skills** 
* Low\-ego, high\-ownership mindset
* Strong written \+ verbal communication and cross\-team collaboration
* Bias toward speed, clarity, and tangible results
**Nice to Have** 
* Founder or early\-startup experience
* Pear Fellow / Neo Scholar background
* Degree in CS or related field from a top program (or equivalent practical excellence)
**💡 Why Join:** 
* **Product\-market fit \+ hypergrowth:** 
 the platform already serves thousands of users and is scaling fast.
* **AI\-first mission:** 
 core business outcomes are directly driven by applied ML and generative AI.
* **Top\-tier funding \+ team:** 
 backed by leading investors; small, elite engineering org where impact compounds quickly.
* **High autonomy \+ ownership:** 
 you’ll shape not just the product but the AI infrastructure
**🧩 Interview Process:** 
* **Initial Screen (30 min):** 
 Background, motivation, and alignment with company mission.
* **Technical Interview (45 min):** 
 Coding\-focused (Python), similar to a Leetcode\-style exercise.
* **Project Walkthrough (45 min):** 
 Deep dive into a previous ML or AI system you’ve built.
* **Systems Design (45 min):** 
 Evaluate how you approach scaling, deployment, and architecture.
* **Onsite / Final Round (Half Day):** 
 Collaborative project with the team to assess real\-world problem solving and communication.</t>
        </is>
      </c>
    </row>
    <row r="4">
      <c r="A4" t="inlineStr">
        <is>
          <t>li-4320193031</t>
        </is>
      </c>
      <c r="B4" t="inlineStr">
        <is>
          <t>Senior AI Engineer - Applied Scientist</t>
        </is>
      </c>
      <c r="C4" t="inlineStr">
        <is>
          <t>Forterra</t>
        </is>
      </c>
      <c r="D4" t="inlineStr">
        <is>
          <t>linkedin</t>
        </is>
      </c>
      <c r="E4" t="inlineStr"/>
      <c r="F4" t="inlineStr"/>
      <c r="G4" t="inlineStr">
        <is>
          <t>East Palo Alto, CA</t>
        </is>
      </c>
      <c r="H4" t="inlineStr"/>
      <c r="I4"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We are seeking a Senior/Staff AI Engineer with deep expertise in generative modeling and multimodal AI systems. In this role, you will design and implement advanced models for understanding complex agent interactions in dynamic environments. You'll work on extending these capabilities toward vision\-language models and action\-aware systems, collaborating closely with research and engineering teams to bridge foundational representation learning with real\-world applications.
**What You'll Do**
* Develop neural network architectures for modeling sequential agent interactions using generative modeling approaches
* Implement Transformer\-based models that encode agent and contextual features with attention mechanisms for capturing interactions
* Research and integrate goal\-conditioned models that leverage structured representations before generating complete sequences
* Prototype and optimize learning models into lightweight modules suitable for real\-time inference
* Collaborate with cross\-functional teams to ensure seamless integration of models into the broader AI stack
* Benchmark and visualize model performance using real\-world and simulated datasets
* Optimize models for low\-latency inference and interpretability of output distributions
**Minimum Qualifications**
* Deep understanding of probabilistic generative models for sequential forecasting tasks
* Strong experience with Transformers and graph\-based modeling for complex relational data
* Familiarity with multimodal sensor processing and representation learning
* Proven ability to work with uncertainty quantification and latent variable inference
* Experience implementing models in PyTorch/TensorFlow and deploying them in production environments
* M.S. or Ph.D. in Computer Science, Machine Learning, Robotics, or related field
* 3\+ years of experience with sequential modeling, generative architectures, or forecasting systems
* Strong foundation in applied deep learning, especially variational inference and attention mechanisms
* Solid software engineering background with emphasis on clean, modular, and optimized implementations
**Preferred Qualifications**
* Publications or project experience in forecasting, agent modeling, or scene understanding
* Familiarity with graph\-based or vectorized representations of structured environments
* Experience with diffusion model optimization or goal\-conditioned decoding
* Contributions to open\-source frameworks related to generative modeling or sequential forecasting
* Interest in bridging high\-fidelity modeling with real\-time applications
 US Salary Range
 $145,000—$185,000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145,000 \- 185,000 USD per year (Palo Alto Office)</t>
        </is>
      </c>
    </row>
    <row r="5">
      <c r="A5" t="inlineStr">
        <is>
          <t>li-4347449532</t>
        </is>
      </c>
      <c r="B5" t="inlineStr">
        <is>
          <t>Senior Machine Learning Engineer</t>
        </is>
      </c>
      <c r="C5" t="inlineStr">
        <is>
          <t>Parker B Associates</t>
        </is>
      </c>
      <c r="D5" t="inlineStr">
        <is>
          <t>linkedin</t>
        </is>
      </c>
      <c r="E5" t="inlineStr"/>
      <c r="F5" t="inlineStr"/>
      <c r="G5" t="inlineStr"/>
      <c r="H5" t="inlineStr"/>
      <c r="I5" t="inlineStr">
        <is>
          <t>Senior Machine Learning Engineer (No sponsorship available)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6">
      <c r="A6" t="inlineStr">
        <is>
          <t>li-4290784023</t>
        </is>
      </c>
      <c r="B6" t="inlineStr">
        <is>
          <t>Senior Applied Scientist - Oracle Health</t>
        </is>
      </c>
      <c r="C6" t="inlineStr">
        <is>
          <t>Oracle</t>
        </is>
      </c>
      <c r="D6" t="inlineStr">
        <is>
          <t>linkedin</t>
        </is>
      </c>
      <c r="E6" t="inlineStr"/>
      <c r="F6" t="inlineStr"/>
      <c r="G6" t="inlineStr">
        <is>
          <t>Kansas City, MO</t>
        </is>
      </c>
      <c r="H6" t="inlineStr"/>
      <c r="I6"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IC3
**Responsibilities**
 Identify data science use cases and design scalable solutions that can be built as a feature of the product/service. Contributes to writing production model code. Work with Software Engineering teams to deploy them in production. Set up environment needed to run experiments for all projects. Set up distributed environments. Design and implement algorithms, train models, and deploy both to production to validate premises and achieve goals. Design and execute offline/online experiments and model performance testing. Work with large, complex data sets. Solve difficult, non\-routine analysis problems, applying advanced analytical methods as needed. Address business/customer problems and questions using statistical and machine learning techniques to achieve business goals and KPI's. Come up with innovative solutions to address tradeoffs or challenges faced by team. Stay up\-to date with research and trends regarding latest algorithms in ML or other industry/domain space. Perform research in emerging areas, which may include efficient neural network development including quantization, pruning, compression and neural architecture search, as well as novel differentiable compute primitives.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
      <c r="A7" t="inlineStr">
        <is>
          <t>li-4310767979</t>
        </is>
      </c>
      <c r="B7" t="inlineStr">
        <is>
          <t>Senior Principal Applied Scientist</t>
        </is>
      </c>
      <c r="C7" t="inlineStr">
        <is>
          <t>Oracle</t>
        </is>
      </c>
      <c r="D7" t="inlineStr">
        <is>
          <t>linkedin</t>
        </is>
      </c>
      <c r="E7" t="inlineStr"/>
      <c r="F7" t="inlineStr"/>
      <c r="G7" t="inlineStr"/>
      <c r="H7" t="inlineStr"/>
      <c r="I7" t="inlineStr">
        <is>
          <t>**Job Description**
 The Oracle Global Business Unit (GBU) Generative AI team is responsible for leading Generative AI and Agent needs of business applications serving variety of markets including Finance, Hospitality, Construction and Engineering, Energy \&amp; Water etc. Our goal is to enable customers to apply AI to solve their business problems with Oracle's assistance and expertise in Generative AI. In this role, you will have an opportunity to work with teams of applied scientists and engineers to deliver high quality generative ai and agent features that delights our customers with the confidence that their data are safe and protected.
 Your Opportunity
 We are seeking a Senior Principal Applied Scientist to spearhead Generative AI and Agent use cases that support GBU business applications as well as GBU consulting. As an applied scientist, you will be responsible for driving the development and implementation of cutting\-edge technologies. We are building a core talented team specialized in Generative AI. We are looking for candidates who are passionate about building state\-of\-the\-art technologies to solve real\-world problems and have a solid technical background in deep learning, especially natural language processing (NLP) and multimodal models, to join this team.
 You will collaborate with a team of world\-class scientists, engineers and product managers. We’re looking for a person who will bring a passion for innovative products, strong collaboration skills and the ability to work closely with both development and consulting teams. You’ll be a Generative AI expert who is hands\-on as well as be adept at evangelizing and influencing multiple stakeholders without direct authority on best practices and to get things done efficiently. Most importantly – we believe in a people\-first approach. Our team consists of people from a wide variety of backgrounds, with different professional and life experiences, who support each other to build things the right way and enjoy ourselves while doing it. A successful candidate will bring a passion for innovative products, strong collaboration skills and the ability to work closely with both external customers and internal teams, as well as hands\-on experience as a data scientist applying AI to solve business problems.
**What We Offer**
* Being part of one of the most visionary and mission\-driven organizations in Oracle, cooperating with talented peers with diverse backgrounds worldwide.
* High visibility to senior leadership, as well as technical leaders and partners.
* Opportunity to build state\-of\-the\-art technologies in large language models and generative AI at scale.
* Close partnership with product managers and software engineers to deploy Generative AI features into products in various business\-critical scenarios.
* Building performance evaluations of Generative AI systems for continuous improvement of alignment with stakeholders' growing expectations.
**What You’ll Do**
* Develop, implement, and optimize large language models and generative AI technologies, including training/finetuning and computation optimizations.
* Collaborate with software engineers to deploy LLM / Generative AI models and Agents into production environments.
* Stay up\-to\-date with the latest advancements in the field of generative AI.
* Collaborate with cross\-functional teams to drive the development and adoption of LLM and generative AI solutions across various organizations in the company.
* Work directly with key customers and accompany them on their AI journey – understanding their requirements, help them envision and design the right solutions and work together with their engineering and data science team to remove blockers and translate the feedback into actionable items for individual service owners.
* Design and build solutions and help GBU development teams reach successful pilots, PoCs and feature releases with our AI/Gen AI and DS technologies.
* Bring back learnings from these engagements to standardize Generative AI and Agent implementations for efficiency, scale and ease of maintenance.
* Support GBU consulting with re\-usable solution patterns and reference solutions / showcases that can apply across multiple customers.
* Being enthusiastic, self\-motivated, and a great collaborator. Lead patent filings and author papers to show innovative enterprise grade developments.
* Be our product evangelist \- engage directly with customers and partners, participate and present in external events and conferences, etc.
**Responsibilities**
**Qualifications:**
* PhD, MS in computer science, engineering, mathematics or a field related to deep learning.
* Strong knowledge of ML fundamentals – supervised vs unsupervised modeling, time series, highly unbalanced and noisy data sets, complex feature engineering, recommendation systems, using and optimizing gradient boosting models, NLP, deep learning on all kinds of unstructured data.
* 5\+ (for Senior), 7\+ (for Principal), 10\+ (for Sr Principal) years of work experience including a minimum of 2\-year experience in developing large\-scale ML solutions, and in particular deep learning solutions in the NLP field.
* Proficiency with deep learning frameworks (such as PyTorch or TensorFlow) and deep learning architectures (especially Transformers).
* Hands\-on experience with distributed training of large language models.
* Strong development experience of deep learning modeling in Python.
* Familiarity with the latest advancements in LLM and generative AI technologies.
* Familiarity with engineering best practices, including shared codebase, version control, containerization, etc.
* Passionate about being a builder and working with talented peers to solve hard problems at scale.
* Good communication skills to convey technical concepts in straightforward terms with product managers and various stakeholders.
**Preferred Skills**
* Publications in top\-tier deep learning conferences or significant contributions to prominent deep learning repositories
* Industrial experience in system design, software development, and production deployment
* Excel in transforming ambiguous requirements into actionable plans with deep learning techniques for problem\-solving.
* First\-hand experience with deep reinforcement learning
* First\-hand experience with the latest technologies in LLM and generative AI such as parameter\-efficient finetuning and instruction finetuning is a plus
* Familiarity with the latest advancements in computer vision and multimodal modeling (such as CLIP, DALL\-E2, and diffusion models) is a plus
* Top\-tier performance in prestigious deep learning leaderboards or large model\-related competitions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li-4313454772</t>
        </is>
      </c>
      <c r="B8" t="inlineStr">
        <is>
          <t>Senior Applied Scientist, Generative AI Innovation Center</t>
        </is>
      </c>
      <c r="C8" t="inlineStr">
        <is>
          <t>Amazon Web Services (AWS)</t>
        </is>
      </c>
      <c r="D8" t="inlineStr">
        <is>
          <t>linkedin</t>
        </is>
      </c>
      <c r="E8" t="inlineStr"/>
      <c r="F8" t="inlineStr"/>
      <c r="G8" t="inlineStr">
        <is>
          <t>New York, United States</t>
        </is>
      </c>
      <c r="H8" t="inlineStr"/>
      <c r="I8"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9">
      <c r="A9" t="inlineStr">
        <is>
          <t>li-4310741174</t>
        </is>
      </c>
      <c r="B9" t="inlineStr">
        <is>
          <t>Machine Learning Engineer</t>
        </is>
      </c>
      <c r="C9" t="inlineStr">
        <is>
          <t>FanDuel</t>
        </is>
      </c>
      <c r="D9" t="inlineStr">
        <is>
          <t>linkedin</t>
        </is>
      </c>
      <c r="E9" t="inlineStr"/>
      <c r="F9" t="inlineStr"/>
      <c r="G9" t="inlineStr">
        <is>
          <t>New York, NY</t>
        </is>
      </c>
      <c r="H9" t="inlineStr"/>
      <c r="I9" t="inlineStr">
        <is>
          <t>**THE POSITION**
 Our roster has an opening with your name on it
 We’re looking for a Machine Learning Engineer to join our growing team and help design, build, and deploy machine learning systems that power real\-world applications. In this role, you’ll work closely with data scientists, engineers, and product managers to bring models from experimentation to production and ensure they perform reliably at scale.
 You’ll contribute across the ML lifecycle—including feature engineering, model training, evaluation, deployment, and monitoring—while growing your skills in software development, ML Ops, and scalable infrastructure.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ML Pipeline Development
* Collaborate with data scientists to implement and optimize machine learning models for production use.
* Develop and maintain pipelines for data preparation, training, and model deployment.
* Build tools and services to support real\-time and batch inference workloads.
 Collaboration \&amp; Execution
* Translate product and business requirements into ML\-driven solutions.
* Participate in agile workflows, including sprint planning, code reviews, and design discussions.
* Work with engineers and analysts to ensure data integrity and efficient feature computation.
 Quality \&amp; Reliability
* Implement monitoring and alerting to track model performance and detect issues such as data drift.
* Write maintainable, testable code and follow best practices in version control and documentation.
* Help automate training, deployment, and retraining workflows using ML Ops tools.
**THE ST** 
**ACK** 
 : Databricks, AWS, Spark, Python, MLFlow, (Generally available ML Libraries), Terraform, Github, Buildkite
**THE STATS**
 What we're looking for in our next teammate
* 2–4 years of experience in software engineering, machine learning, or data science.
* Proficiency in Python, with exposure to ML libraries (Scikit\-learn, TensorFlow, or PyTorch).
* Solid understanding of data structures, algorithms, and software engineering principles.
* Hands\-on with SQL and comfortable working with large datasets.
* Familiarity with distributed computing (Apache Spark preferred).
* Exposure to ML deployment \&amp; monitoring practices or strong interest in learning them.
* Bonus: experience with Databricks, MLflow, or similar ML Ops tools.
* Experience with cloud services (AWS preferred, GCP or Azure also valuable).
**Preferred Qualifications**
* Experience with containerization (Docker, Kubernetes is a plus).
* Familiarity with orchestration/ML Ops tooling (SageMaker, MLflow).
* Understanding of model evaluation metrics and techniques for improving generalization.
* Interest in or experience with real\-time ML systems, recommendation engines, or NLP.
**About You**
 You might be a great fit if you often ask yourself questions like:
* “How do complex systems actually work end to end, and how can I make them better?”
* “What makes software reliable, and how do you design for that from the start?”
* “Where’s the balance between moving fast and building things that last?”
* “How do small changes in code or data ripple out into big user or business impacts?”
* “What can I automate today that will save everyone headaches tomorrow?”
* “How do different roles (engineers, data scientists, product managers, etc.) fit together to ship something meaningful?”
* “What skills should I grow next if I want to level up from strong engineer to strong ML engineer?”
 This role will join our Personalization team, working directly with senior engineers to:
* Build and optimize ML pipelines and feedback loops for our flagship recommender systems.
* Improve observability, monitoring, and on\-call reliability across models.
* Partner with FinOps to optimize Spark jobs and cloud resource usage.
* Adopt and integrate AI Foundations platform tools into workflows.
 This person will have mentorship from Staff ICs and the opportunity to grow, directly contributing to the revenue\-driving backbone of the company.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0">
      <c r="A10" t="inlineStr">
        <is>
          <t>li-4281692352</t>
        </is>
      </c>
      <c r="B10" t="inlineStr">
        <is>
          <t>Machine Learning Engineer, Community Notes</t>
        </is>
      </c>
      <c r="C10" t="inlineStr">
        <is>
          <t>xAI</t>
        </is>
      </c>
      <c r="D10" t="inlineStr">
        <is>
          <t>linkedin</t>
        </is>
      </c>
      <c r="E10" t="inlineStr"/>
      <c r="F10" t="inlineStr"/>
      <c r="G10" t="inlineStr">
        <is>
          <t>Palo Alto, CA</t>
        </is>
      </c>
      <c r="H10" t="inlineStr"/>
      <c r="I10"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team** 
 We are the Community Notes team — empowering the people to keep each other better informed, with a fully open source algorithm and data. Community Notes is constantly advancing the state\-of\-the\-art in improving the quality of information on the internet and we employ an experimental, fast\-moving, iterative approach to find product solutions that work for people of all different points of view.
**What You’ll Do:** 
* Design and build improvements to our unique machine learning algorithm that improve Community Notes’ helpfulness, accuracy, scale, speed, and manipulation resistance
* Work in public: contribute to our open source code base, supporting external engineers working with our public data. For (example).
* Build efficient, scalable internal production machine learning systems and infrastructure
* Contribute to the entire product via tight cross\-functional collaborations with product/eng/etc
**Qualifications:** 
* Experience developing and shipping high\-impact ML solutions end\-to\-end: from getting your hands dirty creating training data pipelines, to developing novel model architectures, to deploying to production at scale reliably
* Demonstrated ability to work with real\-world data to extract insights, inform product roadmap and develop guiding metrics in situations that lack cut\-and\-dry evaluation criteria
* Familiarity with one or more deep learning software frameworks, e.g. PyTorch
* Enjoy working in a 0\-to\-1 space with no known machine learning or product solutions, and trailblazing to build novel solutions that work
* Love doing whatever work is needed to get things done, enabling rapid iteration on the product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1">
      <c r="A11" t="inlineStr">
        <is>
          <t>li-4337407786</t>
        </is>
      </c>
      <c r="B11" t="inlineStr">
        <is>
          <t>Machine Learning Engineer</t>
        </is>
      </c>
      <c r="C11" t="inlineStr">
        <is>
          <t>Provenir</t>
        </is>
      </c>
      <c r="D11" t="inlineStr">
        <is>
          <t>linkedin</t>
        </is>
      </c>
      <c r="E11" t="inlineStr"/>
      <c r="F11" t="inlineStr"/>
      <c r="G11" t="inlineStr">
        <is>
          <t>New York, NY</t>
        </is>
      </c>
      <c r="H11" t="inlineStr"/>
      <c r="I11" t="inlineStr">
        <is>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 Strong Python development skills, including experience with modern frameworks (FastAPI preferred) and testing practices (pytest, unittest)
* Proven ability to take ML/LLM models from prototype to production in containerized, cloud\-native environments
* Hands\-on experience with deploying and managing services on Kubernetes (EKS) and Docker\-based workflows
* Expertise with AWS services: Bedrock, SageMaker, Lambda, EKS, S3, IAM, CloudWatch
* Familiarity with Generative AI frameworks (LangChain, LlamaIndex) and Agent development (tool integration, RAG workflows)
* Knowledge of vector databases and embeddings (e.g., Pinecone, FAISS, OpenSearch)
* Experience with CI/CD pipelines (GitHub Actions preferred) and Infrastructure as Code (Terraform, CloudFormation)
* Solid foundation in object\-oriented programming with a language such as Java, C\#, or C\+\+ (in addition to Python)
* Understanding of MLOps practices including monitoring, logging, scaling, and secure deployment in production
**What You’ll Be Doing**
* Designing and developing APIs and reusable components for ML and GenAI deployment
* Building and scaling ML/GenAI pipelines on AWS (Bedrock, SageMaker, Step Functions, Argo, Kubeflow on EKS)
* Productionising LLMs, generative AI applications, and predictive models on Amazon Bedrock
* Developing and integrating AI Agents with frameworks like LangChain for orchestration and tool use
* Writing robust, testable, and maintainable Python code for backend services, SDKs, and ML workflows
* Packaging and deploying containerized services on Kubernetes (EKS) with attention to scalability, resilience, and observability
* Working in a modern MLOps environment with CI/CD, monitoring, and version control best practices
*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is>
      </c>
    </row>
    <row r="12">
      <c r="A12" t="inlineStr">
        <is>
          <t>li-4310773791</t>
        </is>
      </c>
      <c r="B12" t="inlineStr">
        <is>
          <t>Sr. AI/Machine Learning Engineer - Supply Chain</t>
        </is>
      </c>
      <c r="C12" t="inlineStr">
        <is>
          <t>Samsara</t>
        </is>
      </c>
      <c r="D12" t="inlineStr">
        <is>
          <t>linkedin</t>
        </is>
      </c>
      <c r="E12" t="inlineStr"/>
      <c r="F12" t="inlineStr"/>
      <c r="G12" t="inlineStr"/>
      <c r="H12" t="inlineStr"/>
      <c r="I1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seeking a Senior Applied Scientist II to join our Supply Chain Innovation \&amp; Intelligence team. In this role, you’ll be responsible for designing, developing, and deploying advanced machine learning and statistical models that optimize and transform our global supply chain. From forecasting demand across thousands of SKUs to modeling supply risk using real\-time IoT signals, you’ll apply cutting\-edge techniques to solve complex problems with direct business impact.
 You’ll work alongside data scientists, software engineers, and domain experts, collaborating cross\-functionally with teams in Product, Engineering, Procurement, and Finance. You’ll report to the Director of Supply Chain Innovation \&amp; Intelligence and play a key role in shaping the team’s roadmap, scientific agenda, and modeling standards.
 This role is ideal for a deeply technical IC who thrives in ambiguity, thinks strategically, and enjoys end\-to\-end ownership—from ideation to deployment.
**This role is open to candidates residing in the US** 
**except** 
**the San Francisco Bay Metro Area, NYC Metro Area, and Washington, D.C. Metro Area.**
**You should apply if:**
* You are motivated by impact: Your work will drive smarter, faster, and more sustainable supply chain decisions across Samsara’s operations.
* You combine scientific rigor with real\-world pragmatism: You’re skilled at navigating trade\-offs between model complexity, performance, and maintainability.
* You want to work on hard problems: You’ll help tackle forecasting volatility, cost optimization, anomaly detection, and more using large, noisy, high\-dimensional datasets.
* You are a self\-directed leader: You identify analytical white space, set multi\-quarter plans, and mentor others through influence.
* You enjoy building models that matter: Your solutions will be deployed in production, drive decisions, and be regularly evaluated against business KPIs.
**In this role, you will:**
* Define the end\-to\-end AI transformation roadmap for supply chain alongside the Director, aligning with company OKRs and working closely with executive stakeholders.
* Own the design, training, validation, and deployment of ML and statistical models. (e.g., demand forecasting, inventory optimization, supplier risk scoring), ensuring robust MLOps practices and measurable ROI.
* Build predictive models to forecast demand, lead times, and cellular spend across Samsara’s global supply network.
* Create novel features using large\-scale ERP, IoT, and third\-party datasets; build pipelines and ETL jobs to serve models and stakeholders.
* Deliver production\-grade code that supports both batch and real\-time inference with MLOps best practices.
* Act as the AI liaison to Product, Engineering, Procurement, and Finance—ensuring alignment on data requirements, integration, and change management.
* Drive enhancements to our data infrastructure and analytics platform to support real\-time model training, monitoring, and inference at scale.
* Mentor junior scientists through code reviews and collaborative project work.
* Act as a key scientific voice in roadmap planning, experimentation frameworks, and modeling strategy discussions.
* Identify gaps in data, tools, and processes—and lead initiatives to close them.
* Establish governance frameworks, documentation standards, and quality controls for model development, validation, and lifecycle management.
* Partner with Ops management to drive adoption of AI tools, define new processes, and train supply chain teams on insights\-driven workflows.
* Hire, develop and lead an inclusive, engaged, and high\-performing team.
* Champion, role model, and embed Samsara’s cultural principles (Focus on Customer Success, Build for the Long Term, Adopt a Growth Mindset, Be Inclusive, Win as a Team) as we scale globally and across new offices.
**Minimum requirements for the role:**
* 8\+ years of experience in applied data science or machine learning, ideally in supply chain, operations research, logistics, or manufacturing.
* Master’s or PhD in Computer Science, Statistics, Data Science, EE, OR, or a related technical field.
* Expertise in statistical modeling or machine learning, including time series forecasting, optimization, and anomaly detection.
* Strong coding skills in Python and fluency in SQL; experience developing and deploying production ML systems.
* Familiarity with MLOps practices, including automated testing, CI/CD, model versioning, and monitoring.
* Demonstrated track record building real\-time inference pipelines and managing GPU/TPU resources.
* Familiarity with data visualization tools (e.g., Tableau, Power BI) and cloud platforms (e.g., AWS, GCP, or Azure).
* A passion for operational excellence, cost efficiency, and building scalable, data\-driven solutions.
* Exceptional problem\-solving, critical thinking, and communication abilities.
**An ideal candidate also has:**
* Deep Statistical Expertise: Able to design and validate experiments (A/B, multi\-armed bandits) and apply Bayesian methods for uncertainty quantification.
* Time\-Series Mastery: Proven track record building advanced forecasting models (e.g., Prophet, LSTMs, Transformer\-based) for intermittent demand and seasonal patterns.
* Cost Optimization Mindset: Skilled in profiling ML workloads and driving down cloud/GPU spend through model compression (quantization, pruning) and serverless architectures.
* Cross\-Region Scaling: Demonstrated ability to deploy low\-latency inference across multiple geographic regions with fail\-over and disaster\-recovery strategies.
* Vendor \&amp; Open\-Source Savvy: Experience evaluating and integrating third\-party ML platforms and contributing to or leveraging relevant open\-source projects.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$157,675—$238,500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3">
      <c r="A13" t="inlineStr">
        <is>
          <t>li-3959597204</t>
        </is>
      </c>
      <c r="B13" t="inlineStr">
        <is>
          <t>Machine Learning Engineer - Inference</t>
        </is>
      </c>
      <c r="C13" t="inlineStr">
        <is>
          <t>Together AI</t>
        </is>
      </c>
      <c r="D13" t="inlineStr">
        <is>
          <t>linkedin</t>
        </is>
      </c>
      <c r="E13" t="inlineStr"/>
      <c r="F13" t="inlineStr"/>
      <c r="G13" t="inlineStr">
        <is>
          <t>San Francisco, CA</t>
        </is>
      </c>
      <c r="H13" t="inlineStr"/>
      <c r="I13" t="inlineStr">
        <is>
          <t>**About The Role**
 Together AI is seeking a Machine Learning Engineer to join our Inference Engine team, focusing on optimizing and enhancing the performance of our AI inference systems. This role involves working with state\-of\-the\-art large language models models and ensuring they run efficiently and effectively at scale. If you are passionate about AI inference, PyTorch, and developing high\-performance systems, we want to hear from you. This position offers the chance to collaborate closely with AI researchers and engineers to create cutting\-edge AI solutions. Join us in shaping the future at Together AI!
**Responsibilities**
* Design and build the production systems that power the Together AI inference engine, enabling reliability and performance at scale.
* Develop and optimize runtime inference services for large\-scale AI applications.
* Collaborate with researchers, engineers, product managers, and designers to bring new features and research capabilities to the world.
* Conduct design and code reviews to ensure high standards of quality.
* Create services, tools, and developer documentation to support the inference engine.
* Implement robust and fault\-tolerant systems for data ingestion and processing.
**Requirements**
* 3\+ years of experience writing high\-performance, well\-tested, production\-quality code.
* Proficiency with Python and PyTorch.
* Demonstrated experience in building high performance libraries and tooling.
* Excellent understanding of low\-level operating systems concepts including multi\-threading, memory management, networking, storage, performance, and scale.
* Preferred: Knowledge of existing AI inference systems such as TGI, vLLM, TensorRT\-LLM, Optimum
* Preferred: Knowledge of AI inference techniques such as speculative decoding.
* Preferred: Knowledge of CUDA/Triton programming.
* Nice to have: Knowledge of Rust, Cython and compilers.
**About Together AI**
 Together AI is a research\-driven artificial intelligence company. We believe open and transparent AI systems will drive innovation and create the best outcomes for society. Together, we are on a mission to significantly lower the cost of modern AI systems by co\-designing software, hardware, algorithms, and models. We have contributed to leading open\-source research, models, and datasets to advance the frontier of AI. Our team has been behind technological advancements such as FlashAttention, Hyena, FlexGen, and RedPajama. We invite you to join a passionate group of researchers and engineers in our journey to build the next\-generation AI infrastructure.
**Compensation**
 We offer competitive compensation, startup equity, health insurance, and other competitive benefits. The US base salary range for this full\-time position is $160,000 \- $230,000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opportunities to everyone regardless of race, color, ancestry, religion, sex, national origin, sexual orientation, age, citizenship, marital status, disability, gender identity, veteran status, and more.
 Please see our privacy policy at https://www.together.ai/privacy</t>
        </is>
      </c>
    </row>
    <row r="14">
      <c r="A14" t="inlineStr">
        <is>
          <t>li-4340290419</t>
        </is>
      </c>
      <c r="B14" t="inlineStr">
        <is>
          <t>Machine Learning Engineer</t>
        </is>
      </c>
      <c r="C14" t="inlineStr">
        <is>
          <t>Parker B Associates</t>
        </is>
      </c>
      <c r="D14" t="inlineStr">
        <is>
          <t>linkedin</t>
        </is>
      </c>
      <c r="E14" t="inlineStr"/>
      <c r="F14" t="inlineStr"/>
      <c r="G14" t="inlineStr"/>
      <c r="H14" t="inlineStr"/>
      <c r="I14" t="inlineStr">
        <is>
          <t>Machine Learning Engineer (Must be a green card holder or US citizen)
 New York City
 Permanent
 €130,000 – €250,000 \+ Bens
 Our client is a global Insurance business seeking a Machine Learning Engineer to join the team on a permanent basis.
 Are you interested in working on a brand\-new greenfield AI project that is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15">
      <c r="A15" t="inlineStr">
        <is>
          <t>li-4310779372</t>
        </is>
      </c>
      <c r="B15" t="inlineStr">
        <is>
          <t>Senior Machine Learning Engineer</t>
        </is>
      </c>
      <c r="C15" t="inlineStr">
        <is>
          <t>Samsara</t>
        </is>
      </c>
      <c r="D15" t="inlineStr">
        <is>
          <t>linkedin</t>
        </is>
      </c>
      <c r="E15" t="inlineStr"/>
      <c r="F15" t="inlineStr"/>
      <c r="G15" t="inlineStr"/>
      <c r="H15" t="inlineStr"/>
      <c r="I1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Samsara ML infrastructure team builds end\-to\-end ML applications to power different product pillars at Samsara. As a Senior Machine Learning Engineer, you will be responsible for developing ML solutions to increase the safety, efficiency and sustainability of the physical operations. You will work closely with various engineering teams across ML, full\-stack, firmware as well as cross\-functional partners to deliver core infrastructure, services, and optimizations.
**This is a remote position for candidates based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Design and implement ML APIs for seamless integration of machine learning models into cloud\-based applications
* Build and maintain data pipelines to support the continuous training and improvement of machine learning models, contributing to the development of a data flywheel
* Implement support for A/B testing and online evaluation of machine learning models to facilitate rapid iteration and deployment
* Partner with firmware and full\-stack teams to deploy model for optimal performance and cost
* Research and evaluate emerging technologies and methodologies in machine learning to drive innovation and improvement in our ML application systems
* Collaborate with PM to translate customer needs to ML solutions
* Champion, role model, and embed Samsara’s cultural principles (Focus on Customer Success, Build for the Long Term, Adopt a Growth Mindset, Be Inclusive, Win as a Team) as we scale globally and across new offices
**Minimum requirements for the role:**
* BS or MS in Computer Science or other relevant field
* 4\+ years of experience as a Machine Learning Engineer or similar role
* Strong proficiency in one or more common languages (e.g., C\+\+, Golang, Java, Python, Scala)
* Proficiency with common ML tools (e.g., Spark, TensorFlow, PyTorch)
* Experience deploying and iteratively refining models using customer feedback loops
* Comfortable with full\-stack/backend development code to build a strong understanding of underlying data structures and other dependencies
**An ideal candidate also has:**
* Ph.D. in Computer Science or quantitative discipline (e.g., Applied Math, Physics, Statistics)
* Experience with containerization technologies (e.g., Docker, Kubernetes), continuous integration/continuous deployment (CI/CD) pipelines, and infrastructure\-as\-code (IaC) frameworks
* Familiar with deploying and managing ML applications in cloud environments, as well as leveraging cloud\-based services for data storage, processing, and inference
* Experience building end\-to\-end ML applications from scratch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$157,675—$265,000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6">
      <c r="A16" t="inlineStr">
        <is>
          <t>li-4303224296</t>
        </is>
      </c>
      <c r="B16" t="inlineStr">
        <is>
          <t>Machine Learning Engineer l</t>
        </is>
      </c>
      <c r="C16" t="inlineStr">
        <is>
          <t>Cohere Health</t>
        </is>
      </c>
      <c r="D16" t="inlineStr">
        <is>
          <t>linkedin</t>
        </is>
      </c>
      <c r="E16" t="inlineStr"/>
      <c r="F16" t="inlineStr"/>
      <c r="G16" t="inlineStr"/>
      <c r="H16" t="inlineStr"/>
      <c r="I16" t="inlineStr">
        <is>
          <t>**Opportunity Overview**
 We are looking for a Machine Learning Engineer 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1\-3 years full time professional experience in ML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$95,000\.00 to $115,000\.00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17">
      <c r="A17" t="inlineStr">
        <is>
          <t>li-4354513970</t>
        </is>
      </c>
      <c r="B17" t="inlineStr">
        <is>
          <t>Machine Learning Engineer</t>
        </is>
      </c>
      <c r="C17" t="inlineStr">
        <is>
          <t>Hadte Group</t>
        </is>
      </c>
      <c r="D17" t="inlineStr">
        <is>
          <t>linkedin</t>
        </is>
      </c>
      <c r="E17" t="inlineStr"/>
      <c r="F17" t="inlineStr"/>
      <c r="G17" t="inlineStr">
        <is>
          <t>New York, United States</t>
        </is>
      </c>
      <c r="H17" t="inlineStr"/>
      <c r="I17" t="inlineStr">
        <is>
          <t>**Machine Learning Engineer \| Artificial intelligence (AI)** 
 We are looking for a Machine Learning and AI Engineer to join our growing Data \&amp; AI team. In this role, you will design and deliver next\-generation AI solutions with a focus on Generative AI (GenAI), Agentic AI and Large Language Models (LLMs). You’ll collaborate with data architects, engineers and business stakeholders to create cloud\-based AI solutions that unlock new value from data, automate processes and drive digital transformation.
 This is a unique opportunity to work on impactful AI projects across diverse industries, shaping the future of AI adoption and delivering solutions that make a tangible difference.
**Essential skills:** 
* 3\+ years of
 **Machine** 
**Learning** 
 experience, with a focus on
 **LLMs** 
 .
* Programming skills in
 **Python** 
 OR
 **Rust.**
* Interest in deep learning and data preprocessing/ model architecture.
* Exposure with
 **GenAI** 
 frameworks.
* Deployed ML/ AI solutions on Azure.
**Day to day:** 
* Fine\-tune, deploy and monitor ML and Generative AI models.
* Develop in Rust/ Python to support model training and more.
* Integrate Agentic AI into business workflows to accelerate solution delivery.
* Collaborate with data engineers to bring Agentic capabilities to production.
* Stay up to date with AI trends, tools and best practices to drive innovation.
**Benefits:** 
* 401k benefits
* Medical, Dental and Vision premiums covered at 100%
* Fun company social events
* Unlimited vacation and paid holidays
* Fully paid parental leave
* Equity in the company</t>
        </is>
      </c>
    </row>
    <row r="18">
      <c r="A18" t="inlineStr">
        <is>
          <t>li-4249681985</t>
        </is>
      </c>
      <c r="B18" t="inlineStr">
        <is>
          <t>Machine Learning Engineer, Personalization</t>
        </is>
      </c>
      <c r="C18" t="inlineStr">
        <is>
          <t>Spotify</t>
        </is>
      </c>
      <c r="D18" t="inlineStr">
        <is>
          <t>linkedin</t>
        </is>
      </c>
      <c r="E18" t="inlineStr"/>
      <c r="F18" t="inlineStr"/>
      <c r="G18" t="inlineStr">
        <is>
          <t>Boston, MA</t>
        </is>
      </c>
      <c r="H18" t="inlineStr"/>
      <c r="I18" t="inlineStr">
        <is>
          <t>The Safe\-and\-Sound team makes Spotify safe and enjoyable for every listener. From podcast recommendations to AI Playlists, we’re a part of some of Spotify’s most\-loved features. We build Responsible AI solutions by understanding our music, podcasts and users better than anyone else. Join us and you’ll keep millions of users listening by making recommendations safe for each and every one of them.
 What You'll Do
* Contribute to designing, building, evaluating, shipping, and refining Spotify’s product by hands\-on ML development
* Collaborate with a cross functional agile team spanning user research, design, data science, product management, and engineering to build new product features that advance our mission to connect artists and fans in personalized and relevant ways
* Prototype new approaches and production\-ize solutions at scale for our hundreds of millions of active users
* Help drive optimization, testing, and tooling to improve quality
* Be part of an active group of machine learning practitioners in New York (and across Spotify) collaborating with one another
 Who You Are
* You have a strong background in machine learning, with experience and expertise in personalized machine learning algorithms, especially recommender systems.
* You have hands\-on experience implementing production machine learning systems at scale in Java, Scala, Python, or similar languages. Experience with XGBoost, TensorFlow is also a plus.
* You care about agile software processes, data\-driven development, reliability, and disciplined experimentation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$136,878\- $195,540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9">
      <c r="A19" t="inlineStr">
        <is>
          <t>li-4103786588</t>
        </is>
      </c>
      <c r="B19" t="inlineStr">
        <is>
          <t>AI Engineer &amp; Researcher - Inference</t>
        </is>
      </c>
      <c r="C19" t="inlineStr">
        <is>
          <t>xAI</t>
        </is>
      </c>
      <c r="D19" t="inlineStr">
        <is>
          <t>linkedin</t>
        </is>
      </c>
      <c r="E19" t="inlineStr"/>
      <c r="F19" t="inlineStr"/>
      <c r="G19" t="inlineStr">
        <is>
          <t>Palo Alto, CA</t>
        </is>
      </c>
      <c r="H19" t="inlineStr"/>
      <c r="I1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Tech Stack
* Python / Rust
* PyTorch / JAX
* CUDA / CUTLASS / Triton / NCCL
* Kubernetes
* SGLang: This team is leading the development of one of the most popular open\-source inference engines, SGLang (https://github.com/sgl\-project/sglang/tree/main). You have the opportunity to work on open\-source projects.
 Location
 The role is based in the Bay Area \[San Francisco and Palo Alto]. Candidates are expected to be located near the Bay Area or open to relocation.
 Focus
* Optimizing the latency and throughput of model inference.
* Building reliable production serving systems to serve millions of users.
* Accelerating research on scaling test\-time compute.
 Ideal Experiences
* Worked on system optimizations for model serving, such as batching, caching, load balancing, and model parallelism.
* Worked on low\-level optimizations for inference, such as GPU kernels and code generation.
* Worked on algorithmic optimizations for inference, such as quantization, distillation, and speculative decoding.
* Worked on large\-scale, high concurrent production serving.
* Worked on testing, benchmarking, and reliability of inference services.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2. Coding assessment in a language of your choice.
4. Systems hands\-on: Demonstrate practical skills in a live problem\-solving session.
6. Project deep\-dive: Present your past exceptional work to a small audience.
8. Meet and greet with the wider team.
 Our goal is to finish the main process within one week. All interviews will be conducted via Google Meet.
 Annual Salary Range
 $180,000 \- $440,000 USD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 *Access to information technology systems and confidential information, including proprietary and trade secret information, and/or user data;*
* *Interacting with internal and/or external clients and colleagues; and*
* *Exercising sound judgment.*
 California Consumer Privacy Act (CCPA) Notice</t>
        </is>
      </c>
    </row>
    <row r="20">
      <c r="A20" t="inlineStr">
        <is>
          <t>li-4354604300</t>
        </is>
      </c>
      <c r="B20" t="inlineStr">
        <is>
          <t>Machine Learning Engineer</t>
        </is>
      </c>
      <c r="C20" t="inlineStr">
        <is>
          <t>Wiraa</t>
        </is>
      </c>
      <c r="D20" t="inlineStr">
        <is>
          <t>linkedin</t>
        </is>
      </c>
      <c r="E20" t="inlineStr"/>
      <c r="F20" t="inlineStr"/>
      <c r="G20" t="inlineStr"/>
      <c r="H20" t="inlineStr"/>
      <c r="I20" t="inlineStr">
        <is>
          <t>**About The Company**
 Quora is a privately held, remote‑first company dedicated to fostering knowledge sharing and community engagement across the globe. With a platform that attracts over 300 million monthly unique visitors, Quora facilitates meaningful discussions and insights on a diverse range of topics. In addition to its core Q\&amp;A platform, Quora has expanded its offerings with Poe, a cutting\-edge AI\-powered chat platform that integrates multiple advanced language models such as GPT‑5, Claude Sonnet 4\.5, Grok 4, Veo 3\.1, and Gemini 2\.5 Flash Image, providing users with instant access to the latest AI capabilities.
 Our culture emphasizes transparency, collaboration, and innovation. We believe in empowering our teams to experiment, share ideas, and grow together, creating a dynamic environment where meaningful work leads to a positive impact. Join us on this journey to enhance global knowledge sharing and develop transformative AI solutions that make a difference in people's lives.
**About The Role**
 We are seeking an experienced Staff Machine Learning Engineer to join our remote‑first engineering team, focusing on our Quora product. This role offers a unique opportunity to influence and advance our recommendation systems, including feeds, notifications, digest emails, and "Ask to Answer" (A2A) features. As a key contributor, you will leverage your expertise to improve existing machine learning models, identify new application areas within the product, and develop tools and abstractions that empower other developers.
 Our small, agile team values continuous learning and experimentation. You will work on challenging problems that require innovative solutions, taking ownership of end\-to\-end machine learning systems—from data pipelines and feature engineering to model training and deployment. Your contributions will directly impact how users discover and engage with content on Quora, enabling us to connect people with relevant information efficiently and effectively.
**Qualifications**
* 5\+ years of professional software development experience in machine learning
* 3\+ years of experience working on recommendation systems
* Strong understanding of the mathematical foundations of machine learning algorithms
* Experience building end\-to\-end machine learning systems
* Bachelor’s, Master’s, or PhD in Computer Science, Engineering, or a related technical field
* Proficiency in Python or C\+\+ (preferred)
* Experience leading large\-scale, multi\-engineer projects (preferred)
* Excellent communication and interpersonal skills
* Availability to participate in meetings and communication during Quora's coordination hours (Mon‑Fri: 9am\-3pm Pacific Time)
**Responsibilities**
* Enhance and optimize existing machine learning systems utilizing your core coding skills and ML expertise
* Identify and develop new opportunities to apply machine learning across various components of the Quora platform
* Collaborate with other machine learning engineers to implement efficient algorithms and scalable systems
* Take full ownership of machine learning workflows, including data pipeline development, candidate extraction, feature engineering, model training, and deployment
* Integrate machine learning models seamlessly into production environments ensuring robustness and scalability
* Design and develop tools and abstractions to facilitate the work of other developers and data scientists
* Continuously monitor and improve system performance, accuracy, and relevance of recommendations
**Benefits**
* Comprehensive medical, dental, and vision coverage
* Equity refreshers and stock options
* Remote work reimbursement and flexible work arrangements
* Paid time off and holidays
* Employee assistance programs and wellness resources
* Opportunities for professional growth and development
 Equal Opportunity
 Quora is committed to creating an inclusive environment and is proud to be an equal opportunity employer. We welcome applicants from all backgrounds, including marginalized or underrepresented groups in tech. We do not discriminate based on race, religion, gender, sexual orientation, age, marital status, veteran status, disability, or any other protected characteristic. We believe that diversity of perspectives fosters innovation and strengthens our community. All qualified candidates are encouraged to apply and will be considered based on merit and fit for the role.</t>
        </is>
      </c>
    </row>
    <row r="21">
      <c r="A21" t="inlineStr">
        <is>
          <t>li-4351285060</t>
        </is>
      </c>
      <c r="B21" t="inlineStr">
        <is>
          <t>Machine Learning Engineer (Inference)</t>
        </is>
      </c>
      <c r="C21" t="inlineStr">
        <is>
          <t>Acceler8 Talent</t>
        </is>
      </c>
      <c r="D21" t="inlineStr">
        <is>
          <t>linkedin</t>
        </is>
      </c>
      <c r="E21" t="inlineStr"/>
      <c r="F21" t="inlineStr"/>
      <c r="G21" t="inlineStr"/>
      <c r="H21" t="inlineStr"/>
      <c r="I21" t="inlineStr">
        <is>
          <t>**Machine Learning Engineer (Inference)** 
 We are seeking an Inference focussed Machine Learning Engineer to join a Stanford spin out scale up building a foundational infrastructure layer for AI inference.
 The team were founded on the back of a successful exit, with the core of the previous founding team creating their new venture. Their aim is to dramatically improve inference efficiency across the stack, tackling custom compiler, kernel \&amp; distributed orchestration bottlenecks.
 They are hiring across the stack, with a particular focussing on accelerating inference performance with cutting edge research and engineering techniques. You will work on lower level systems, building and optimizing serving stacks.
**We are seeking a Machine Learning Engineer (Inference) with:** 
* A focus on inference and serving environments
* Experience building and optimizing inference stacks
* Exposure to inference related tools and frameworks which could include vLLM, TensorRT, SGLang or Pytorch
**Location:** 
 San Francisco or the Bay on a hybrid basis
**Compensation:** 
 Competitive base salary \+ meaningful equity % \+ potential sign on bonus</t>
        </is>
      </c>
    </row>
    <row r="22">
      <c r="A22" t="inlineStr">
        <is>
          <t>li-4354328804</t>
        </is>
      </c>
      <c r="B22" t="inlineStr">
        <is>
          <t>ML Engineer</t>
        </is>
      </c>
      <c r="C22" t="inlineStr">
        <is>
          <t>Wiraa</t>
        </is>
      </c>
      <c r="D22" t="inlineStr">
        <is>
          <t>linkedin</t>
        </is>
      </c>
      <c r="E22" t="inlineStr"/>
      <c r="F22" t="inlineStr"/>
      <c r="G22" t="inlineStr"/>
      <c r="H22" t="inlineStr"/>
      <c r="I22" t="inlineStr">
        <is>
          <t>**About The Company**
 Reddit is a vibrant community of communities, built on shared interests, passions, and trust. It serves as one of the largest online platforms for open and authentic conversations, hosting over 100,000 active communities and attracting approximately 116 million daily active visitors. Reddit's mission is to foster community, belonging, and empowerment for everyone worldwide. The platform continuously evolves to provide a delightful and relevant experience for its users and advertisers alike. With a focus on innovation and user engagement, Reddit is dedicated to building best\-in\-class products that connect people through meaningful interactions.
**About The Role**
 We are seeking a highly skilled and experienced Ads Targeting Machine Learning Engineer to join our dynamic team. In this role, you will be instrumental in designing and implementing machine learning systems that enhance targeting products, ensuring relevant audiences are delivered to advertisers within the right context. Your work will involve building large\-scale offline and online retrieval systems to improve behavioral and contextual targeting capabilities. As a key member of the ads targeting quality team, you will own end\-to\-end ML product development, from research and experimentation to deployment and optimization. You will collaborate closely with cross\-functional teams including product managers, engineers, research, and marketing to develop innovative solutions that drive business outcomes and improve user experience. This position offers an exciting opportunity to lead complex projects, influence technical strategy, and mentor junior team members in a fast\-paced, innovative environment.
**Qualifications**
* Tech lead experience in a product\-focused machine learning team, driving research and technical direction to improve business outcomes
* Experience with ads retrieval modeling, ranking, or recommendation systems
* Proficiency with deep learning models for retrieval such as two\-tower architectures, GNNs, transformers, and LLMs
* Minimum of 5\+ years of end\-to\-end experience in training, evaluating, testing, and deploying machine learning models
* At least 2\+ years of hands\-on experience with TensorFlow or PyTorch
* Experience working with large\-scale data processing and pipeline orchestration tools like Spark, Dataflow, Kubeflow, Airflow, and BigQuery
* Knowledge of nearest\-neighbor search systems is highly desirable
* Experience collaborating with cross\-functional stakeholders across research, product, and infrastructure teams
* Familiarity with deep learning, representation learning, or transfer learning techniques
* Previous experience in a technical leadership role within a product team is strongly preferred
**Responsibilities**
* Own the end\-to\-end design, development, and deployment of ML\-based targeting products, including auto targeting and user lookalikes
* Lead research initiatives and define the technical roadmap for complex projects, ensuring alignment with business goals
* Drive day\-to\-day project execution, providing technical guidance and mentorship to team members
* Collaborate with product managers and cross\-functional teams to prioritize features based on data analysis, industry trends, and research findings
* Research, implement, and test innovative model architectures using advanced deep learning techniques to enhance retrieval and targeting accuracy
* Conduct offline and online experiments to evaluate model performance and optimize targeting strategies
* Work on large\-scale data systems and ensure smooth integration of ML models into production environments
* Partner with engineering, research, and marketing teams to translate research insights into scalable products and features
**Benefits**
* Comprehensive healthcare benefits and income replacement programs
* 401(k) plan with employer match
* Support for family planning and gender\-affirming care
* Mental health and coaching services
* Flexible vacation policy and Reddit Global Days off
* Generous paid parental leave
* Paid volunteer time off
 Equal Opportunity
 Reddit is an equal opportunity employer committed to fostering an inclusive environment. We welcome applicants of all backgrounds and are dedicated to providing reasonable accommodations for qualified individuals with disabilities and disabled veterans during the application and interview process. We believe diverse teams drive innovation and success, and we strive to build a workforce that reflects the communities we serve.</t>
        </is>
      </c>
    </row>
    <row r="23">
      <c r="A23" t="inlineStr">
        <is>
          <t>li-4343614558</t>
        </is>
      </c>
      <c r="B23" t="inlineStr">
        <is>
          <t>AI Engineer, Insights</t>
        </is>
      </c>
      <c r="C23" t="inlineStr">
        <is>
          <t>Productboard</t>
        </is>
      </c>
      <c r="D23" t="inlineStr">
        <is>
          <t>linkedin</t>
        </is>
      </c>
      <c r="E23" t="inlineStr"/>
      <c r="F23" t="inlineStr"/>
      <c r="G23" t="inlineStr">
        <is>
          <t>San Francisco, CA</t>
        </is>
      </c>
      <c r="H23" t="inlineStr"/>
      <c r="I23" t="inlineStr">
        <is>
          <t>**About The Role**
 You'll design and deliver the agentic AI systems that will define the next generation of product intelligence. You'll create net\-new agentic capabilities where AI systems operate independently, analyzing customer signals and competitive movements to generate the insights that product teams base their roadmaps on. You'll work at the intersection of large language models, agentic reasoning, and real\-world product decisions, shipping AI capabilities that customers measure their success by.
**Location and Work Arrangement**
 This role is based in our downtown San Francisco office, where you'll collaborate in person with the Insights team on Mondays, Tuesdays, and Thursdays. You will have the option to work from home on Wednesdays and Fridays.
**About The Team**
 Insights exists to unlock the next evolution of product intelligence. We're building AI systems that don't just process customer feedback. They understand context, discover market signals, and autonomously orchestrate insights that shape product strategy.
 The team is chartered with moving fast on net\-new capabilities. You'll be designing and implementing workflows where AI agents listen to customer voices, synthesize market intelligence from across the internet, and deliver understanding that helps product teams see further and decide faster.
 We're a team that spans San Francisco and Europe, anchored by strong in\-person collaboration in SF. We move between research\-oriented thinking and shipping production systems, building both the science and the product.
**What You'll Do**
**Build agentic workflows that move autonomously.** 
 You'll design and implement AI agents that don't wait for prompts. They observe patterns in customer feedback, detect emerging market trends, and initiate analysis that product managers didn't know to ask for. Think: systems that recognize a competitor launch, synthesize customer sentiment about similar features, and surface strategic recommendations before the weekly review.
**Push the technical boundaries of what LLMs can do.** 
 You'll experiment with cutting\-edge techniques in context engineering, RAG architectures, and multi\-agent orchestration. When you identify a breakthrough in agentic reasoning or context management, you'll prototype it against real customer data, measure the gains, and ship it to production.
**Own the intelligence layer from data to insight.** 
 You'll work across the full stack, from ingesting messy, real\-world customer feedback and web data, through semantic understanding and entity resolution, to generating insights that directly influence product roadmaps. You'll build evals to measure whether your AI systems actually make product teams smarter.
**Shape the product and AI strategy.** 
 You'll have a voice in what we build and why. When you see an opportunity to use agentic workflows for competitive intelligence, or identify a research paper that could transform our approach to customer sentiment, you'll have the autonomy to explore it and the platform to ship it.
**Collaborate at the edge of possibility.** 
 You'll work alongside engineers and product managers who care deeply about the impact. You'll share what you're learning, whether that's a novel approach to context engineering or lessons from a production incident, because we get better faster together.
**What You Bring**
**Hands\-on agentic AI experience.** 
 You've built AI agents that make decisions and take actions. You're familiar with frameworks like LangGraph, AutoGen, or CrewAI, and you understand the challenges of agentic control flow: error handling, state management, when to give agents autonomy versus guardrails. You know that building reliable agents requires rigorous evaluation strategies.
**Strong GenAI and NLP foundations.** 
 You have deep experience with generative AI and natural language processing. You've worked extensively with large language models, not just calling APIs, but understanding their capabilities, limitations, and how to extract reliable behavior through context engineering. You know how to apply these technologies to real problems that matter.
**Practical engineering skills.** 
 You're fluent in Python and the AI/ML ecosystem, including libraries like Anthropic's SDK, OpenAI, Hugging Face, vector databases, and embedding models. You understand how to design scalable backend systems, work with APIs, build event\-driven architectures, and deploy AI capabilities that handle production load. You write code that others can build on.
**Product intuition.** 
 You think in terms of outcomes, not just implementations. When you build a feature that analyzes customer feedback, you're asking: "Does this actually help product managers make better decisions?" You can talk to users, understand their workflows, and translate that into technical architecture.
**Collaborative technical leadership.** 
 You communicate complex ideas clearly, whether you're explaining why a particular RAG architecture will solve a latency problem or helping a teammate debug a stubborn prompt. You thrive in cross\-functional environments where you're bridging AI research, product strategy, and user needs.
**Nice to Have**
* Background in information retrieval, knowledge graphs, or competitive intelligence systems
* Experience building multimodal AI systems that synthesize understanding from text, voice, and image data for product intelligence
* Contributions to open\-source AI/ML projects or publications in ML conferences
* Experience building evaluation frameworks and measuring AI system quality
* Familiarity with web scraping, data synthesis, or multi\-source intelligence gathering
* Previous work in product management tools, B2B SaaS, or developer platforms
**Why Productboard**
 You'll be joining a company where AI isn't a buzzword. It's the strategic bet. Productboard is a $1\.7B Unicorn trusted by companies like Microsoft, Zoom, and UiPath to power their product decisions. Our platform is already where product teams live; now we're building the AI layer that transforms how they work.
 We're revolutionizing product management with AI\-powered capabilities that understand customer needs and accelerate decision\-making. Productboard Pulse provides executive\-level visibility into the voice of the customer, surfacing valuable insights at scale from feedback across every source. Productboard Spark is our specialized product management agent that helps teams move from rough ideas to comprehensive, delivery\-ready specifications by tapping into context about products, customers, and business goals. You'll be working on the cutting edge of these capabilities, pushing what's possible with agentic AI.
 This role offers something rare: the chance to build genuinely novel AI capabilities with real users who will measure their impact. This is core AI systems work with direct product impact. You're building systems that help product teams understand markets, synthesize customer needs, and make decisions that shape products used by millions.
 You'll have access to real\-world customer feedback at scale, internet\-discoverable market data, and the freedom to explore how agentic AI can transform it into strategic intelligence. The technical problems are hard, the product surface area is unconstrained, and the impact is measurable.
 We're global, spanning San Francisco to Prague, but locally rooted. In SF, you'll have the in\-person collaboration that makes ambitious technical work move faster, with the flexibility to focus when you need it. You'll work with people who care about craft, who push each other to think bigger, and who ship.
**Ready to build the future of product intelligence?** 
 If you're excited about pushing the boundaries of what agentic AI can do and seeing product teams transformed by what you build, let's talk.
**The Offer**
* Competitive compensation, stock options, company 401k
* A budget for your professional development and ongoing learning
* Flexible PTO and paid sick days
* Life insurance and disability coverage
* Carrot Fertility Benefits
* 1 Volunteer Day per year for you to help causes close to your heart
* 8 weeks of Paternity leave and 12 weeks of Maternity leave
* Mental Wellness Program to support your well\-being and self\-care
* Company contribution to gym and wellness memberships
* Commuter benefits
* Company contribution and access to best\-in\-class health benefits and your own Soulmio membership
* Hone – Live, interactive learning programs for managers, leaders, and teams
*The expected base pay range for this position in the San Francisco area is $173,520 \- $278,400\. In addition to the base pay, this role is eligible for competitive equity awards and benefits. Productboard's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**About Productboard**
 At Productboard, we’re on a mission to help product teams build exceptional products with clarity and confidence. As the leading intelligent product management platform, we empower over 4,000 companies, including Salesforce, SAP, Autodesk, and Kroger, to understand what customers need, prioritize what to build next, and align everyone around a shared roadmap.
 Headquartered in San Francisco with offices in Prague and Brno, Czechia, we’re backed by some of the world’s most respected investors, including Index Ventures, Kleiner Perkins, Sequoia Capital, Bessemer Venture Partners, Tiger Global, and Dragoneer.
 We’re proud to be consistently recognized as one of the best places to work by BuiltIn and Comparably, and to count ourselves among the world’s leading unicorn companies. Well\-funded and financially disciplined, we have the stability and runway to build boldly for the long term.
 Over the past few years, we’ve rearchitected our platform from the ground up to serve enterprise scale and set the foundation for the next era of product management. Now we’re entering an exciting new phase with Productboard Spark, our AI\-first, agentic experience that transforms how product teams work. Spark is a true collaborator that deeply understands your product context, company strategy, and customer needs, helping teams move faster and make smarter, more confident decisions.
 Join us as we build the future of product management.
**About Our Culture**
 Imagine working in a place where everything matters — most importantly, you. At Productboard, values aren’t just something we like to talk about, they’re something we live and breathe. We believe in creating a work environment where:
* People feel empowered, supported, and included
* Trust and transparency are built into the way we work
* Creativity, curiosity, and continuous improvement are encouraged and nurtured every day
 Forming our company values was a group effort, with every employee allowed to contribute. From profit\-sharing initiatives, like stock options, to open calendars and communication, we don’t waste time on politics or ego. We champion openness by sharing our goals, successes, and failures.
 Join colleagues who are passionate about what they do. Team members who are invested in their work environment, and the future of Productboard. Help shape our company, culture, and product!
 Check out our LinkedIn Life page, or listen to our People of Productboard podcast for a real feel of what life is like at Productboard.
**Equal Opportunity Employer Statement**
 We are an equal opportunity employer and champion equity. We aim to help people from all backgrounds, cultures, and groups realize their full potential at Productboard. We do not tolerate any discrimination or harassment based on gender identity, race, color, religion, age, sexual orientation, non\-disqualifying physical or mental disability, national origin, veteran status, or any other bias covered by appropriate law. All aspects of employment, including hiring, training, promotion, and terminations, are based on merit, competence, performance, and business needs. We are committed to an inclusive hiring process and provide all candidates with equal opportunity to demonstrate their abilities. Togetherness is one of our core values, and our Diversity Council helps to ensure that we uphold the values of authenticity, humanity, and diversity to create an environment where every person matters. We are committed to leading by example to drive societal change.</t>
        </is>
      </c>
    </row>
    <row r="24">
      <c r="A24" t="inlineStr">
        <is>
          <t>li-4338622413</t>
        </is>
      </c>
      <c r="B24" t="inlineStr">
        <is>
          <t>AI/ML Engineer, Analyst - AI Labs</t>
        </is>
      </c>
      <c r="C24" t="inlineStr">
        <is>
          <t>BlackRock</t>
        </is>
      </c>
      <c r="D24" t="inlineStr">
        <is>
          <t>linkedin</t>
        </is>
      </c>
      <c r="E24" t="inlineStr"/>
      <c r="F24" t="inlineStr"/>
      <c r="G24" t="inlineStr">
        <is>
          <t>Atlanta, GA</t>
        </is>
      </c>
      <c r="H24" t="inlineStr"/>
      <c r="I24" t="inlineStr">
        <is>
          <t>**About This Role**
**AI Labs Overview** 
 :
 Since our founding over 30 years ago, BlackRock has brought together great minds to drive innovation. From the beginning, we have been demonstrating technology for insight and efficiency to make our business better and to help clients realize the objectives they desire. At BlackRock, there is a rich problem space for data scientists and engineers across all areas of the business including investments, sales, marketing, operations, product, UX, etc. and the potential to have large scale impact. In 2018, BlackRock accelerated innovation and technology again with additional investment in artificial intelligence and data science and all the potential they represent.
 AI Labs was formed to act as a central hub with a firm\-wide remit to solve strategic business challenges for the firm by bringing to bear our expertise in data science, machine learning, generative AI, optimization, stochastic control and statistics. Our mission is to combine human and machine intelligence to revolutionize asset management. The team is led by Dr. Rachel Schutt.
 Our solutions drive towards commercial impact in the form of alpha generation, operational efficiencies, and cost reduction. Building on the success of systematic investment teams with a history of demonstrating machine learning at BlackRock to create alpha, the goal is to apply these same techniques throughout the business.
 The team has grown to 40\+ data scientists and data engineers. Working collaboratively, the team is multi\-disciplinary with the following skills and capabilities: machine learning, statistical modeling, signal detection, natural language processing, data visualization, network/graph modeling, ETL, data pipelines, data architecture, communication, product management and strategy. We work with data from a wide variety of sources including text, news feeds, financial reports, time series transactions, user behavior logs, and real\-time data.
 AI Labs has offices in New York, Edinburgh, Atlanta, San Francisco and Seattle.
 We are looking for candidates with unique backgrounds and diverse skill sets with fresh perspectives to accelerate and amplify our efforts to make an impact at BlackRock. AI Labs aims to bring best of class technologies, analytics, and insights to the entirety of the firm and to our clients.
**In This Role, You Can Expect To**
* Design and deliver secure and scalable solutions to enable the rapid delivery of machine learning products to production environments
* Continuously improve existing products, tools, and services, by maintaining close relationships with data scientists, researchers, and other BlackRock users
* Write quality maintainable code that is comprehensively tested and fit for the intended objective
* Provide ongoing maintenance and support for internal tools and services, including troubleshooting and resolution of production incidents
* Advise data scientists and researchers on product architecture and system design, and collaborate on complex deliverables
* Participate in team agile processes, and proactively contribute to team culture
**The Minimum Requirements For This Position Are**
* 0\-2 years of experience shipping code to production environments
* Strong programming language skills in Python and SQL
* Experience building cloud native applications
* Great problem\-solving and communication skills
**Knowledge And Experience We Are Looking For Includes**
* DevOps automation, idempotent deployment testing, and continuous delivery pipelines
* Networking and security protocols, load balancers, API Gateways
* ETL tooling and workflow engines (e.g., Spark, Airflow, Dagster, Flyte)
* Data modeling, and strategies for cleaning and validating data at scale
* Performance tuning on RDBMS or Big Data tools for row\- and column\-oriented use\-cases
* Telemetry and related tools (metrics, event logging, tracing, etc.)
* Accelerated compute infrastructure (GPU, TPU, Inferencia, etc.)
* Training and fine\-tuning neural networks and Gen. AI models
* Ability to traverse full stack
* Familiarity with latest AI code generation tools is a plus
 For Atlanta, GA Only the salary range for this position is USD$99,750\.00 \- USD$120,000\.00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25">
      <c r="A25" t="inlineStr">
        <is>
          <t>li-4354611696</t>
        </is>
      </c>
      <c r="B25" t="inlineStr">
        <is>
          <t>Senior Machine Learning Engineer</t>
        </is>
      </c>
      <c r="C25" t="inlineStr">
        <is>
          <t>TechLine Consulting</t>
        </is>
      </c>
      <c r="D25" t="inlineStr">
        <is>
          <t>linkedin</t>
        </is>
      </c>
      <c r="E25" t="inlineStr"/>
      <c r="F25" t="inlineStr"/>
      <c r="G25" t="inlineStr"/>
      <c r="H25" t="inlineStr"/>
      <c r="I25" t="inlineStr">
        <is>
          <t>**Title: Senior AI / Machine Learning Engineer** 
**Location:** 
 Fully Remote
**Compensation:** 
 $200,000 – $350,000 base \+ equity \+ bonus
**About the Role** 
 We are hiring a Senior AI / Machine Learning Engineer to build and deploy production\-grade ML systems at a fast\-growing AI startup. This role focuses on taking models from experimentation to real\-world impact, working closely with product and engineering teams to power AI\-driven features at scale.
 You’ll operate end\-to\-end across modeling, deployment, and system integration in an ownership\-driven, high\-velocity environment.
**Key Responsibilities** 
* Build, train, and deploy machine learning models for production use
* Develop and maintain ML pipelines, inference services, and model APIs
* Collaborate with engineers and product teams to integrate ML into customer\-facing products
* Productionize models with monitoring, evaluation, and performance optimization
* Improve reliability, scalability, and latency of ML systems
* Contribute to technical decisions around ML architecture and tooling
**Required Qualifications** 
* 3–7\+ years of experience in Machine Learning, AI Engineering, or Software Engineering with ML focus
* Strong experience with Python and ML frameworks (PyTorch, TensorFlow, or similar)
* Hands\-on experience deploying ML models into production environments
* Solid understanding of data pipelines, model lifecycle, and ML system design
* Experience working in startup or fast\-moving engineering environments
* Strong problem\-solving and communication skills
* Experience with Cloud platforms preferably AWS but GCP or Azure will suffice</t>
        </is>
      </c>
    </row>
    <row r="26">
      <c r="A26" t="inlineStr">
        <is>
          <t>li-4351325009</t>
        </is>
      </c>
      <c r="B26" t="inlineStr">
        <is>
          <t>Senior AI Engineer</t>
        </is>
      </c>
      <c r="C26" t="inlineStr">
        <is>
          <t>Galent</t>
        </is>
      </c>
      <c r="D26" t="inlineStr">
        <is>
          <t>linkedin</t>
        </is>
      </c>
      <c r="E26" t="inlineStr"/>
      <c r="F26" t="inlineStr"/>
      <c r="G26" t="inlineStr">
        <is>
          <t>New York, NY</t>
        </is>
      </c>
      <c r="H26" t="inlineStr"/>
      <c r="I26" t="inlineStr">
        <is>
          <t>* Bachelor’s or master’s degree in computer science, Data Science, Finance, or related field.
* Experience in one or many of the high\-level programming languages like C\+\+, Java, C\#
* Good understanding of Typescript, Node.js and other JS framework for UI development
* Strong hands\-on experience with Python, SQL, and AI/ML frameworks (e.g., TensorFlow, PyTorch) as applied to financial data and workflows
* At least 4\+ years working in AI roles within finance, fintech, or technical consulting, preferably with exposure to regulatory environments.
* Deep knowledge of AI ethics, compliance, Guardrails, data privacy, and compliance trends relevant to the financial sector.
* Excellent communication, stakeholder engagement, and technical storytelling abilities
* Demonstrated ability to manage multiple priorities and projects while maintaining strategic alignment and rigorous attention to detail.</t>
        </is>
      </c>
    </row>
    <row r="27">
      <c r="A27" t="inlineStr">
        <is>
          <t>li-4351145790</t>
        </is>
      </c>
      <c r="B27" t="inlineStr">
        <is>
          <t>Google Cloud ML Engineer</t>
        </is>
      </c>
      <c r="C27" t="inlineStr">
        <is>
          <t>Codebase Inc</t>
        </is>
      </c>
      <c r="D27" t="inlineStr">
        <is>
          <t>linkedin</t>
        </is>
      </c>
      <c r="E27" t="inlineStr"/>
      <c r="F27" t="inlineStr"/>
      <c r="G27" t="inlineStr">
        <is>
          <t>Dallas, TX</t>
        </is>
      </c>
      <c r="H27" t="inlineStr"/>
      <c r="I27" t="inlineStr">
        <is>
          <t>**Job Title : AI ML Engineer (OR) Google Cloud ML Engineer\- Vertex AI \&amp; CCAI Chat Virtual Agent Expert) – Overall 8\-10yrs needed** 
**Location : Dallas , TX ( Day 1 Onsite)** 
**About the Role:** 
**We seek an experienced developer to design, build, and deploy advanced conversational AI solutions on Google Cloud. You will leverage Vertex AI, CCAI, and Dialogflow to create intelligent, scalable chatbots that enhance digital customer engagement.** 
 Key Responsibilities:
 Experience architecting, designing, and developing scalable chat Virtual Agent frameworks using Google Vertex AI, with proficiency in Vertex AI Agent Engine and Google Agent Development Kit (ADK).
 Expertise in building, customizing, and optimizing chatbots and conversational flows with Dialogflow CX/ES, including implementation of advanced intent detection, context management, slot filling, and rich fulfillment.
 Demonstrated ability to leverage state\-of\-the\-art NLP, LLM, and GenAI models on Vertex AI to enhance chatbot capabilities, such as complex intent handling, summarization, entity extraction, and response generation.
 Hands\-on experience building and maintaining cloud\-native chat Virtual Agent solutions using GCP services including CCAI, Vertex AI, Pub/Sub, Cloud Functions, Cloud Run, Cloud Storage, and BigQuery for real\-time data processing, analytics, and reporting.
 Proficiency in training, fine\-tuning, and deploying custom LLMs, transformer models, and Retrieval Augmented Generation (RAG) pipelines to advance chat Virtual Agent intelligence.
 Solid understanding and practical application of MLOps best practices for chatbot pipelines, including automation of training, deployment, testing, monitoring, and versioning with Vertex AI Pipelines, Docker, Kubernetes, and CI/CD workflows.
 Strong experience developing REST APIs, gRPC, and JSON\-based communication for seamless system integration.
 Required Qualifications:
 6\+ years in software development (4\+ in NLP/NLU for chat).
 Advanced Python skills; experience with ML/NLP libraries (Hugging Face, TensorFlow, PyTorch).
 Proven success building conversational agents with Vertex AI and Dialogflow CX/ES.
 Proficiency in GCP services and cloud\-native architectures.
 Solid MLOps understanding (Docker, Kubernetes, CI/CD, Git).
 Experience with Agent Assist functionality is a plus.
 Preferred Qualifications:
 Master’s/PhD in Computer Science, AI/ML, or related field.
 GCP certifications (e.g., Google Cloud Certified Professional ML Engineer).
 Experience with GenAI frameworks (PaLM, Gemini).
 Integration with CRM, knowledge bases, and live agent systems.
 Knowledge of security and compliance in chat AI.
 Soft Skills:
 Excellent communication and collaboration.
 Strong ownership and end\-to\-end project delivery.
 Leadership in cross\-functional environments.
 Team Leading and Management.</t>
        </is>
      </c>
    </row>
    <row r="28">
      <c r="A28" t="inlineStr">
        <is>
          <t>li-4330265764</t>
        </is>
      </c>
      <c r="B28" t="inlineStr">
        <is>
          <t>Generative AI Engineer</t>
        </is>
      </c>
      <c r="C28" t="inlineStr">
        <is>
          <t>Apexon</t>
        </is>
      </c>
      <c r="D28" t="inlineStr">
        <is>
          <t>linkedin</t>
        </is>
      </c>
      <c r="E28" t="inlineStr"/>
      <c r="F28" t="inlineStr"/>
      <c r="G28" t="inlineStr">
        <is>
          <t>New Brunswick, NJ</t>
        </is>
      </c>
      <c r="H28" t="inlineStr"/>
      <c r="I28" t="inlineStr">
        <is>
          <t>**Job Description: Generative AI Engineer** 
**Position: Generative AI Engineer** 
**Location: New Brunswick, NJ (Remote is acceptable)** 
**Department:** 
 AI \&amp; ML
**Reports to:** 
 Senior Partner \- AI Planning and Operations
**Overview:** 
 We are seeking a highly skilled
 **Generative AI Engineer** 
 to join our AI team. The ideal candidate will have hands\-on experience with generative AI models, including but not limited to OpenAI's GPT, and will be responsible for designing and implementing AI solutions that align with business goals and sustainability initiatives.
**Key Responsibilities:** 
* Develop and implement generative AI models and solutions using state\-of\-the\-art techniques.
* Collaborate with cross\-functional teams to integrate AI solutions into broader systems.
* Conduct research and stay updated with the latest advancements in generative AI.
* Optimize and fine\-tune AI models for performance and scalability.
* Provide technical guidance and mentorship to junior team members.
* Participate in Discovery sessions, help implement the GenAI, agentic AI capabilities as mentioned above, test the new platform with respect to agent creation, deployment, MCP, agent gateway, RAG, evaluation, observability, content sphere. KT transfer and documentation
**Technical Requirements:** 
* Proficiency in Python and experience with AI frameworks such as TensorFlow, PyTorch, or similar.
* Strong understanding of generative AI models, including GPT, GANs, and VAEs.
* Experience with cloud platforms such as AWS and AWS GenAI stack (e.g., Bedrock, Agentcore, Q business, Q developer, Kiro)
* Familiarity with ML/Ops processes, from development to deployment in production environments.
* Advanced skills in data visualization and model optimization.
* 5\+ yearsof hands\-on ML engineering experience
* Deep understanding of ML algorithms (supervised, unsupervised, reinforcement learning)
* Knowledge of statistical modeling and experimental design
* Experience with large language models and generative AI
* Experience with agents and related technologies
* **AWS Certified Machine Learning – Specialty (highly preferred)**
* **AWS Certified Solutions Architect – Associate/Professional**
* Bedrock Sage maker</t>
        </is>
      </c>
    </row>
    <row r="29">
      <c r="A29" t="inlineStr">
        <is>
          <t>li-4354504489</t>
        </is>
      </c>
      <c r="B29" t="inlineStr">
        <is>
          <t>Senior AI Engineer</t>
        </is>
      </c>
      <c r="C29" t="inlineStr">
        <is>
          <t>Franklin Fitch</t>
        </is>
      </c>
      <c r="D29" t="inlineStr">
        <is>
          <t>linkedin</t>
        </is>
      </c>
      <c r="E29" t="inlineStr"/>
      <c r="F29" t="inlineStr"/>
      <c r="G29" t="inlineStr">
        <is>
          <t>Boston, MA</t>
        </is>
      </c>
      <c r="H29" t="inlineStr"/>
      <c r="I29" t="inlineStr">
        <is>
          <t>We are looking for a
 **Senior AI Engineer** 
 to design, integrate, and operate an AI platform built on leading third\-party LLM providers.
 This role focuses on delivering
 **secure, reliable, and compliant AI services** 
 that integrate with core enterprise systems and drive measurable productivity gains for technical and non\-technical users.
 What You’ll Do
* Design and maintain scalable APIs and SDKs enabling agentic and RAG\-based AI solutions
* Integrate AI capabilities with enterprise tools (e.g. ITSM, CRM, document management, Microsoft 365\)
* Build and govern custom GPT\-style applications, connectors, and enterprise integrations
* Maintain vector databases and retrieval pipelines to ensure high\-accuracy, domain\-grade outputs
* Support adoption through reference implementations, templates, and enablement sessions
 What We’re Looking For
* Strong experience in software or AI engineering, including 3\+ years building LLM\-powered applications
* Strong cloud and DevOps experience (containers, CI/CD, IaC); Azure experience preferred
* Hands\-on expertise with RAG, embeddings, vector databases, and agent frameworks
* Proven experience designing secure AI integrations and custom GPT\-style tools
* Background in regulated environments (legal, financial, or similar) is a strong plus
* Strong Python and R. experience
 This role offers the opportunity to
 **shape and scale enterprise AI capabilities** 
 in a highly regulated environment, working closely with technical teams and business stakeholders to move AI from pilot to production.</t>
        </is>
      </c>
    </row>
    <row r="30">
      <c r="A30" t="inlineStr">
        <is>
          <t>li-4057820528</t>
        </is>
      </c>
      <c r="B30" t="inlineStr">
        <is>
          <t>Senior Staff Machine Learning Engineer (AI Agent)</t>
        </is>
      </c>
      <c r="C30" t="inlineStr">
        <is>
          <t>Cresta</t>
        </is>
      </c>
      <c r="D30" t="inlineStr">
        <is>
          <t>linkedin</t>
        </is>
      </c>
      <c r="E30" t="inlineStr"/>
      <c r="F30" t="inlineStr"/>
      <c r="G30" t="inlineStr"/>
      <c r="H30" t="inlineStr"/>
      <c r="I30"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At Cresta, the AI Agent team is on a mission to create state\-of\-the\-art AI Agents that solve practical problems for our customers. We are focused on leveraging the latest technologies in Large Language Models (LLMs) and AI Agent systems, while ensuring that the solutions we develop are cost\-effective, secure, and reliable. This role will involve hands\-on work on cutting\-edge projects, requiring innovative and passionate machine learning engineers who can bring research into practical, scalable applications.
 As a Staff Machine Learning Engineer, your goal will be to take AI Agents from the realm of research and bring them into practical, real\-world use cases. This includes developing and deploying proprietary LLMs, scaling AI solutions, and addressing key challenges such as evaluation and reliability. While we’re focused on real\-world application rather than pure research, you’ll be working with some of the most advanced technologies in the GenAI space.
 This is a unique opportunity to shape the future of AI at Cresta by solving complex problems and bringing breakthrough AI advancements into production environments.
**Responsibilities**
* Design, develop, and deploy Cresta’s AI Agent solutions and proprietary models.
* Focus on practical AI challenges such as improving reasoning, planning capabilities, and evaluation in real\-world scenarios.
* Collaborate with cross\-functional teams including front\-end and back\-end software engineers to integrate AI Agents into Cresta’s customer solutions.
* Lead initiatives to scale AI systems for production environments, ensuring performance and reliability across use cases.
* Contribute to solving cutting\-edge problems in AI and help define the future roadmap for Cresta’s AI Agents.
* Innovate and research ways to improve security, cost\-efficiency, and reliability of AI systems.
**Qualifications We Value**
* Bachelor’s Degree in Computer Science, Mathematics, or a related field; Master’s or Ph.D. preferred, or equivalent professional experience
* 7\+ years of hands\-on industry experience with AI and machine learning, preferably with 3\+ years of experience working with LLMs in large\-scale production environments
* Expert knowledge of machine learning concepts and methods, especially those related to NLP, Generative AI, and working with LLMs
* Proven leadership in designing and deploying AI solutions at scale, with a deep understanding of model optimization and real\-time AI applications
* Extensive practical knowledge of modern machine learning frameworks and technologies (e.g., PyTorch, Tensorflow, Hugging Face, NumPy), as well as experience with distributed systems and cloud\-based AI infrastructure
* Strong problem\-solving and strategic thinking abilities, with a proven ability to lead cross\-functional teams and work collaboratively to deliver innovative AI solutions in production
* A passion for driving AI adoption and pushing the boundaries of AI technology into real\-world applications, with an ability to mentor junior engineers and influence strategic decisions across the organization
**Perks \&amp; Benefits**
* We offer Cresta employees a variety of medical, dental, and vision plans, designed to fit you and your family’s needs
* Paid parental leave to support you and your family
* Monthly Health \&amp; Wellness allowance
* Work from home office stipend to help you succeed in a remote environment
* Lunch reimbursement for in\-office employees
* PTO: 3 weeks in Canada
 Compensation for this position includes a base salary, equity, and a variety of benefits. Actual base salaries will be based on candidate\-specific factors, including experience, skillset, and location, and local minimum pay requirements as applicable. We are actively hiring for this role in the US and Canada. Your recruiter can provide further details.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31">
      <c r="A31" t="inlineStr">
        <is>
          <t>li-4354375798</t>
        </is>
      </c>
      <c r="B31" t="inlineStr">
        <is>
          <t>Lead AI Engineer</t>
        </is>
      </c>
      <c r="C31" t="inlineStr">
        <is>
          <t>MassMutual</t>
        </is>
      </c>
      <c r="D31" t="inlineStr">
        <is>
          <t>linkedin</t>
        </is>
      </c>
      <c r="E31" t="inlineStr"/>
      <c r="F31" t="inlineStr"/>
      <c r="G31" t="inlineStr">
        <is>
          <t>New York, NY</t>
        </is>
      </c>
      <c r="H31" t="inlineStr"/>
      <c r="I31"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solutionssupporting various use cases for a large enterpriseusing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32">
      <c r="A32" t="inlineStr">
        <is>
          <t>li-4354524318</t>
        </is>
      </c>
      <c r="B32" t="inlineStr">
        <is>
          <t>Ai Engineer</t>
        </is>
      </c>
      <c r="C32" t="inlineStr">
        <is>
          <t>Best Job Tool</t>
        </is>
      </c>
      <c r="D32" t="inlineStr">
        <is>
          <t>linkedin</t>
        </is>
      </c>
      <c r="E32" t="inlineStr"/>
      <c r="F32" t="inlineStr"/>
      <c r="G32" t="inlineStr"/>
      <c r="H32" t="inlineStr"/>
      <c r="I32" t="inlineStr">
        <is>
          <t>**About The Company**
 Capital One is a leading financial services company dedicated to transforming banking through innovative technology and responsible AI systems. With a commitment to delivering personalized, real\-time customer experiences, Capital One leverages advanced machine learning and AI to enhance its products and services. The company’s substantial investments in cutting\-edge infrastructure, coupled with a team of world\-class talent, position it at the forefront of AI\-driven financial solutions. Capital One’s mission is to reimagine banking by harnessing the transformative power of emerging AI capabilities, making banking more human, simple, and accessible for millions of customers worldwide.
**About The Role**
 The Lead AI Engineer for Gen AI Platform Services at Capital One plays a pivotal role in developing and deploying scalable, responsible, and innovative AI solutions. This position involves collaborating with cross\-functional teams to design, develop, and support AI software components that power the next generation of banking products and services. The ideal candidate will lead efforts in foundation model training, large language model inference, similarity search, and governance, ensuring high performance, scalability, and cost\-efficiency. They will contribute to shaping the technical vision and long\-term roadmap of AI systems at Capital One, driving advancements that directly impact customer experience and operational efficiency.
**Qualifications**
 The ideal candidate will possess a strong educational background in Computer Science, AI, Electrical Engineering, or related fields, with a minimum of 2 years of experience for Master's degree holders or 4 years for Bachelor’s degree holders in developing AI and ML algorithms or technologies. Proficiency in programming languages such as Python, Java, Go, or Scala is essential, with at least 4 years of hands\-on experience. Preferred qualifications include extensive experience in deploying scalable AI solutions on cloud platforms like AWS, Google Cloud, or Azure, and developing AI services involving large language models, vector databases, and optimization techniques. A deep understanding of hardware\-software optimization, AI research, and responsible AI practices is highly valued.
**Responsibilities**
* Partner with cross\-disciplinary teams, including engineers, research scientists, product managers, and technical program managers, to deliver AI\-powered products that revolutionize customer interactions and internal workflows.
* Design, develop, test, deploy, and maintain AI software components such as foundation models, large language models, similarity search systems, and governance frameworks.
* Leverage open\-source and SaaS AI technologies like AWS Ultraclusters, Huggingface, VectorDBs, Nemo Guardrails, and PyTorch to build robust AI solutions.
* Invent and implement state\-of\-the\-art optimization techniques for large\-scale training and inference, improving system scalability, latency, throughput, and cost\-effectiveness.
* Contribute to the technical vision and strategic planning of AI systems, ensuring alignment with business goals and industry best practices.
* Ensure AI models and systems adhere to ethical standards, governance policies, and observability practices to maintain responsible AI deployment.
**Benefits**
 Capital One offers a comprehensive and competitive benefits package designed to support your overall well\-being. This includes health, dental, and vision insurance, retirement plans, paid time off, and flexible work arrangements. The company also provides performance\-based incentives, including cash bonuses and long\-term incentives, to reward your contributions. Additionally, employees have access to professional development opportunities, wellness programs, and resources aimed at fostering a diverse and inclusive workplace. Capital One is committed to creating an environment where employees can thrive both personally and professionally, with a focus on innovation, collaboration, and growth.
 Equal Opportunity
 Capital One is an equal opportunity employer committed to fostering a diverse and inclusive workforce. We do not discriminate based on race, color, religion, sex, national origin, age, disability, veteran status, or any other protected class under applicable law. We promote a drug\-free workplace and consider qualified applicants with criminal histories in accordance with legal requirements. We value the unique perspectives and experiences of all employees and are dedicated to providing an environment where everyone can succeed. If you require accommodations during the application process, please contact our recruiting team for assistance.</t>
        </is>
      </c>
    </row>
    <row r="33">
      <c r="A33" t="inlineStr">
        <is>
          <t>li-4302769773</t>
        </is>
      </c>
      <c r="B33" t="inlineStr">
        <is>
          <t>Senior Machine Learning Engineer</t>
        </is>
      </c>
      <c r="C33" t="inlineStr">
        <is>
          <t>Red Hat</t>
        </is>
      </c>
      <c r="D33" t="inlineStr">
        <is>
          <t>linkedin</t>
        </is>
      </c>
      <c r="E33" t="inlineStr"/>
      <c r="F33" t="inlineStr"/>
      <c r="G33" t="inlineStr">
        <is>
          <t>Raleigh, NC</t>
        </is>
      </c>
      <c r="H33" t="inlineStr"/>
      <c r="I33" t="inlineStr">
        <is>
          <t>**About The Job**
 Are you passionate about shaping the future of AI by building infrastructure that ensures large language models and AI agents are safe, reliable, and aligned with human values? Red Hat's OpenShift AI team is seeking a principal ML engineer who combines deep technical expertise with a commitment to responsible AI innovation.
 As a pivotal contributor to open\-source projects like Open Data Hub, KServe, TrustyAI, Kubeflow, and llama\-stack, you'll be at the forefront of democratizing trustworthy AI infrastructure. These critical open\-source initiatives are transforming how organizations develop, deploy, and monitor machine learning models across hybrid cloud and edge environments. Your work will directly shape the next generation of MLOps platforms, making advanced AI technologies more accessible, secure, and ethically aligned.
**About The Team**
 In today's rapidly evolving technological landscape, AI is becoming an integral part of our lives, powering everything from daily apps to complex systems in healthcare, finance, and beyond. While this is exciting, the focus on "what AI can do" has overshadowed "how it can do it safely".
 Our Team’s mission is to create reliable AI systems that humans can trust. We do this by making AI safety both
 *practical* 
 and
 *accessible* 
 . Practical in the sense that you can implement it today, reducing complexity to facilitate adoption by developers and organizations in real\-world environments, and accessible in the sense that our tools are open source and free from vendor lock\-in.
**What You Will Do**
* Architect and lead development of large\-scale evaluation platforms for LLMs and agents, enabling automated, reproducible, and extensible assessment of accuracy, reliability, safety, and performance across diverse domains.
* Define organizational standards and metrics for LLM/agent evaluation, covering hallucination detection, factuality, bias, robustness, interpretability, and alignment drift.
* Build platform components and APIs that allow product teams to integrate evaluation seamlessly into training, fine\-tuning, deployment, and continuous monitoring workflows.
* Design automated pipelines and benchmarks for adversarial testing, red\-teaming, and stress testing of LLMs and retrieval\-augmented generation (RAG) systems.
* Lead initiatives in multi\-dimensional evaluation, including safety (toxicity, bias, harmful outputs), grounding (retrieval correctness, source attribution), and agent behaviors (tool use, planning, trustworthiness).
* Collaborate with cross\-functional stakeholders (safety, product, research, infrastructure) to translate abstract evaluation goals into measurable, system\-level frameworks.
* Advance interpretability and observability, developing tools that allow teams to understand, debug, and explain LLM behaviors in production.
* Mentor engineers and establish best practices, driving adoption of evaluation\-driven development across the organization.
* Influence technical roadmaps and industry direction, representing the team’s evaluation\-first approach in external forums and publications
**What You Will Bring**
* 5\+ years of ML engineering experience, with 3\+ years focused on large\-scale evaluation of transformer\-based LLMs and/or agentic systems.
* Proven experience building evaluation platforms or frameworks that operate across training, deployment, and post\-deployment contexts.
* Deep expertise in designing and implementing LLM evaluation metrics (factuality, hallucination detection, grounding, toxicity, robustness).
* Strong background in scalable platform engineering, including APIs, pipelines, and integrations used by multiple product teams.
* Demonstrated ability to bridge research and engineering, operationalizing safety and alignment techniques into production evaluation systems.
* Proficiency in Python, PyTorch, Hugging Face, and modern ML ops/deployment environments.
* Track record of technical leadership, including mentoring, architecture design, and defining org\-wide practices.
**The Following Will Be Considered a Plus**
* Experience with multi\-agent evaluation frameworks and graph\-based metrics for agent interactions.
* Background in retrieval\-augmented generation (RAG) evaluation (retrieval precision/recall, grounding, attribution).
* Contributions to AI safety or evaluation research in industry or academia.
* Familiarity with adversarial testing methodologies and automated red\-teaming.
* Knowledge of interpretability and transparency methods for LLMs
* Advanced degree in ML/CS or related field with focus on evaluation, safety, or interpretability.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4">
      <c r="A34" t="inlineStr">
        <is>
          <t>li-4354543684</t>
        </is>
      </c>
      <c r="B34" t="inlineStr">
        <is>
          <t>AI Engineer</t>
        </is>
      </c>
      <c r="C34" t="inlineStr">
        <is>
          <t>Hirenza</t>
        </is>
      </c>
      <c r="D34" t="inlineStr">
        <is>
          <t>linkedin</t>
        </is>
      </c>
      <c r="E34" t="inlineStr"/>
      <c r="F34" t="inlineStr"/>
      <c r="G34" t="inlineStr"/>
      <c r="H34" t="inlineStr"/>
      <c r="I34" t="inlineStr">
        <is>
          <t>**About The Company**
 Capital One is a leading financial services company dedicated to transforming banking through innovative technology and customer\-centric solutions. With a strong focus on leveraging artificial intelligence and machine learning, Capital One has established itself as an industry pioneer in delivering personalized, real\-time banking experiences. Our commitment to responsible AI development ensures that our systems are reliable, ethical, and aligned with our goal of making banking simpler and more accessible for our customers. We invest heavily in cutting\-edge infrastructure and attract top\-tier talent to stay at the forefront of technological advancements, enabling us to reimagine the future of financial services.
**About The Role**
 The Senior Lead AI Engineer (LLM Customization and Finetuning) plays a pivotal role within the Intelligent Foundations and Experiences (IFX) team at Capital One. This team is at the heart of bringing our AI vision to life by developing proprietary solutions that significantly impact our business operations and customer interactions. As a senior technical leader, you will collaborate with cross\-functional teams comprising engineers, research scientists, product managers, and program managers to design, develop, and deploy advanced AI systems, particularly focusing on large language models (LLMs). Your expertise will drive innovations in foundation model training, inference optimization, similarity search, and governance, contributing to the scalability and effectiveness of our AI infrastructure. This role offers an exciting opportunity to influence the long\-term AI strategy at Capital One, ensuring our systems are responsible, efficient, and aligned with business needs.
**Qualifications**
 The ideal candidate possesses a strong technical background with extensive experience in AI and machine learning. A bachelor’s degree in Computer Science, AI, Electrical Engineering, or related fields, combined with a minimum of six years of relevant experience, or a master’s degree with at least four years of experience, is required. Proficiency in programming languages such as Python, Java, Scala, or Go is essential, with at least six years of hands\-on experience. Preferred qualifications include seven or more years of deploying scalable AI solutions on cloud platforms like AWS, Google Cloud, or Azure. Demonstrated leadership in managing engineering teams and influencing cross\-functional stakeholders is highly valued. Familiarity with state\-of\-the\-art AI techniques, including LLM inference, vector similarity search, guardrails, and optimization strategies, will set candidates apart. Excellent communication skills are necessary to articulate complex technical concepts effectively to diverse audiences.
**Responsibilities**
 As a Senior Lead AI Engineer, your responsibilities include partnering with multidisciplinary teams to deliver innovative AI\-powered products that enhance customer experience and operational efficiency. You will design, develop, test, and deploy AI software components, focusing on foundation model customization, large language model inference, and optimization. Your role involves leveraging open\-source and SaaS AI technologies such as Huggingface, AWS Ultraclusters, Nemo Guardrails, and VectorDBs to build scalable solutions. You will introduce and implement cutting\-edge LLM optimization techniques to improve performance metrics like latency, throughput, and cost\-effectiveness in production environments. Additionally, you will contribute to shaping the technical vision and strategic roadmap for foundational AI systems at Capital One, ensuring alignment with business objectives and responsible AI practices. Mentoring junior engineers, conducting research to stay ahead of industry trends, and fostering a culture of innovation and excellence are also key aspects of your responsibilities.
**Benefits**
 Capital One offers a comprehensive and competitive benefits package designed to support your overall well\-being and professional growth. This includes health, dental, and vision insurance, retirement plans, paid time off, and opportunities for performance\-based incentives such as bonuses and long\-term incentives. We promote a flexible and inclusive work environment, encouraging work\-life balance and continuous learning. Employees gain access to various development programs, mentorship opportunities, and resources to advance their careers. Additionally, Capital One fosters a culture of innovation, collaboration, and diversity, providing a dynamic workplace where your contributions make a meaningful impact. We also prioritize employee health and safety, offering wellness programs and support services tailored to your needs.
 Equal Opportunity
 Capital One is an equal opportunity employer committed to fostering an inclusive environment where all employees and applicants are treated with respect and fairness. We do not discriminate based on race, color, religion, sex, national origin, age, disability, veteran status, or any other protected characteristic under applicable law. We are dedicated to creating a diverse workforce that reflects the communities we serve and believe that varied perspectives drive innovation and success. Capital One also complies with all applicable laws regarding criminal background inquiries and provides reasonable accommodations for qualified individuals with disabilities. We invite all qualified candidates to apply and join us in shaping the future of banking through responsible AI and technological excellence.</t>
        </is>
      </c>
    </row>
    <row r="35">
      <c r="A35" t="inlineStr">
        <is>
          <t>li-4326356989</t>
        </is>
      </c>
      <c r="B35" t="inlineStr">
        <is>
          <t>Machine Learning Engineer</t>
        </is>
      </c>
      <c r="C35" t="inlineStr">
        <is>
          <t>Recruiting from Scratch</t>
        </is>
      </c>
      <c r="D35" t="inlineStr">
        <is>
          <t>linkedin</t>
        </is>
      </c>
      <c r="E35" t="inlineStr"/>
      <c r="F35" t="inlineStr"/>
      <c r="G35" t="inlineStr">
        <is>
          <t>San Francisco, CA</t>
        </is>
      </c>
      <c r="H35" t="inlineStr"/>
      <c r="I35"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36">
      <c r="A36" t="inlineStr">
        <is>
          <t>li-4351315160</t>
        </is>
      </c>
      <c r="B36" t="inlineStr">
        <is>
          <t>Head of Computer Use/ AI Engineer</t>
        </is>
      </c>
      <c r="C36" t="inlineStr">
        <is>
          <t>Edward Mann</t>
        </is>
      </c>
      <c r="D36" t="inlineStr">
        <is>
          <t>linkedin</t>
        </is>
      </c>
      <c r="E36" t="inlineStr"/>
      <c r="F36" t="inlineStr"/>
      <c r="G36" t="inlineStr"/>
      <c r="H36" t="inlineStr"/>
      <c r="I36" t="inlineStr">
        <is>
          <t>Edward Mann are hiring for an excellent Technology Start\-up based in San Francisco.
**About the Role** 
 We are seeking a Head of Computer Use / Senior AI Engineer (hands on role). Driving the evolution of the next generation of browser agents (testing browser agents).
 To lead the design, training, and advancement of next\-generation AI agent systems. This role involves fine\-tuning large language models (LLMs) and developing intelligent agents capable of navigating and interacting with real web environments. It’s a high\-impact position combining hands\-on engineering, experimentation, and strategic input. You’ll collaborate closely with technical leadership, contribute directly to product direction, and mentor other engineers in developing advanced agent capabilities.
**Key Responsibilities** 
* Develop, train, and deploy LLM\-powered agents that interact with websites through real browser interfaces.
* Fine\-tune foundation models using advanced methods (e.g., LoRA, PEFT, DPO, RLHF) and select the best approach for each use case.
* Design reinforcement learning systems that improve agent reasoning, adaptability, and task performance.
* Own the full agent pipeline—from model architecture and policy design to simulation frameworks and testing environments.
* Rapidly prototype, run experiments, and refine solutions to push the limits of agent performance.
* Partner with technical leadership to shape product direction and research priorities.
* Mentor and support other engineers, helping to grow a strong, mission\-driven technical team.
* Build and coordinate multi\-agent workflows with structured roles, memory systems, and effective trajectories.
**What You’ll Bring** 
* Strong background in machine learning with a PhD or equivalent industry experience in AI/ML/Computer Science.
* Hands\-on experience fine\-tuning LLMs.
* Deep applied knowledge of reinforcement learning techniques.
* Experience building agents for real\-world applications (bonus: browser\-based or robotics experience).
* Strong coding and experimentation skills, with a preference for practical problem\-solving over theory alone.
* A sense of ownership and drive to build impactful systems beyond titles or hierarchy.
* Experience mentoring, managing, or growing technical teams.
**Preferred Qualifications** 
* Record of impactful research publications or open\-source contributions.
* Experience in high\-growth, fast\-paced start\-up environments.</t>
        </is>
      </c>
    </row>
    <row r="37">
      <c r="A37" t="inlineStr">
        <is>
          <t>li-4343791185</t>
        </is>
      </c>
      <c r="B37" t="inlineStr">
        <is>
          <t>Staff Machine Learning Engineer</t>
        </is>
      </c>
      <c r="C37" t="inlineStr">
        <is>
          <t>Cisco</t>
        </is>
      </c>
      <c r="D37" t="inlineStr">
        <is>
          <t>linkedin</t>
        </is>
      </c>
      <c r="E37" t="inlineStr"/>
      <c r="F37" t="inlineStr"/>
      <c r="G37" t="inlineStr">
        <is>
          <t>San Francisco, CA</t>
        </is>
      </c>
      <c r="H37" t="inlineStr"/>
      <c r="I37"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6\+ years of software engineering experience, or bachelor's degree with 8\+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8">
      <c r="A38" t="inlineStr">
        <is>
          <t>li-4292636776</t>
        </is>
      </c>
      <c r="B38" t="inlineStr">
        <is>
          <t>2026 University Graduate - Machine Learning Engineer</t>
        </is>
      </c>
      <c r="C38" t="inlineStr">
        <is>
          <t>Adobe</t>
        </is>
      </c>
      <c r="D38" t="inlineStr">
        <is>
          <t>linkedin</t>
        </is>
      </c>
      <c r="E38" t="inlineStr"/>
      <c r="F38" t="inlineStr"/>
      <c r="G38" t="inlineStr">
        <is>
          <t>San Jose, CA</t>
        </is>
      </c>
      <c r="H38" t="inlineStr"/>
      <c r="I3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data mining, and software development. Familiarity with working with large\-scale datasets and big data techniques would be a plus.
**What You’ll Do**
* Develop predictive models on large\-scale datasets to address various business problems with advanced statistical modeling, machine learning, and analytics techniques.
* Develop and implement scalable and efficient modeling algorithms that can work with large\-scale data in production systems
* Collaborate with product management and engineering groups to develop new products and features.
 What You Need to Succeed
* PhD or MS in Computer Science, Statistics, Electrical Engineering, Applied Math, Operations Research, Econometrics or equivalent experience required
* 0\-2\+ years of experience in specific skill/field(s)
* Deep understanding of statistical modeling, machine learning, deep learning, or data mining concepts, and a track record of solving problems with these methods.
* Proficient in one or more programming languages such as Python, Scala, Java and C
* Familiar with one or more machine learning or statistical modeling tools such as R, Matlab and scikit learn
* Knowledge and experience of working with relational databases and SQL
* Strong analytical and quantitative problem\-solving ability.
* Excellent communication, relationship skills and a strong team player.
 Our compensation reflects the cost of labor across several  U.S. geographic markets, and we pay differently based on those defined markets. The U.S. pay range for this position is $102,400 \-\- $202,250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$139,700 \- $202,250 In New York, the pay range for this position is $139,700 \- $202,250 In Washington, the pay range for this position is $127,700 \- $185,000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9">
      <c r="A39" t="inlineStr">
        <is>
          <t>li-4354395047</t>
        </is>
      </c>
      <c r="B39" t="inlineStr">
        <is>
          <t>Lead AI Engineer</t>
        </is>
      </c>
      <c r="C39" t="inlineStr">
        <is>
          <t>MassMutual</t>
        </is>
      </c>
      <c r="D39" t="inlineStr">
        <is>
          <t>linkedin</t>
        </is>
      </c>
      <c r="E39" t="inlineStr"/>
      <c r="F39" t="inlineStr"/>
      <c r="G39" t="inlineStr">
        <is>
          <t>Hartford, CT</t>
        </is>
      </c>
      <c r="H39" t="inlineStr"/>
      <c r="I39"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solutionssupporting various use cases for a large enterpriseusing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40">
      <c r="A40" t="inlineStr">
        <is>
          <t>li-4292594075</t>
        </is>
      </c>
      <c r="B40" t="inlineStr">
        <is>
          <t>Staff Applied AI/ ML Engineer - Customer Experience Platform</t>
        </is>
      </c>
      <c r="C40" t="inlineStr">
        <is>
          <t>Gusto</t>
        </is>
      </c>
      <c r="D40" t="inlineStr">
        <is>
          <t>linkedin</t>
        </is>
      </c>
      <c r="E40" t="inlineStr"/>
      <c r="F40" t="inlineStr"/>
      <c r="G40" t="inlineStr"/>
      <c r="H40" t="inlineStr"/>
      <c r="I4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team leverages Gusto’s rich dataset to guide product direction and decision\-making by building the right AI/ML solutions at scale.
 For this role, we are looking for a technical leader (an individual contributor) to drive the scale and optimization of our customer experience and customer journey via building AI and ML enabled experiences and services. In this role you will build and optimize AI/ML solutions and infrastructure that power our customer journey related products.
 You’ll be working with a strong AI/ML team and seasoned leaders in Engineering, Product, Design, Data Science, Marketing, and Sales. In this role, you’ll work cross functionally to build Platforms that span the entire breadth of the unified service platform stack using machine learning and AI to personalize world class content for our customers and enhance customer experience.
**Here’s What You’ll Do Day\-to\-day**
* Design and develop scalable, production\-grade AI and machine learning models for solving complex business problems.
* Lead and mentor teams of ML engineers, fostering a culture of technical excellence and innovation.
* Collaborate cross\-functionally with product, engineering, and business stakeholders to identify AI opportunities and translate them into actionable solutions.
* Stay current with latest AI research; prototype and implement new algorithms and advancements from academia and industry.
* Oversee model validation, deployment, evaluation, and lifecycle management, ensuring robust monitoring, explainability, and performance.
* Guide technical strategy, roadmap, and architectural decisions for the ML/AI function.
* Communicate findings, roadmaps, and performance results clearly to executives and non\-technical partners.
**Here’s What We're Looking For**
* 8\+ years’ hands\-on experience building and deploying end\-to\-end ML/AI systems in industry or academia.
* Deep expertise in one or more advanced ML methods (supervised, unsupervised, reinforcement learning, deep learning, NLP, LLMs, RAG, etc.).
* Proven track record of delivering large, impactful ML/AI projects into production environments.
* Proficient in modern ML frameworks (TensorFlow, PyTorch, HuggingFace, etc.) and cloud computing platforms (AWS, GCP, or Azure).
* Strong programming skills in Python and familiarity with best engineering practices (CI/CD, testing, code review).
* Demonstrated leadership in cross\-disciplinary teams and ability to mentor scientists and engineers.
* Excellent communication skills and business acumen.
* Ph.D. or Master’s degree in Computer Science, Machine Learning, Statistics, Mathematics, or a related field is a plus.
 Our cash compensation amount for this role is targeted at $230k\-280k for San Francisco, New York, and Seattle $205k \- 255k in Los Angeles, $185k\-234k in Denver, and 200k\-250k CAD for Toronto.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1">
      <c r="A41" t="inlineStr">
        <is>
          <t>li-4302873000</t>
        </is>
      </c>
      <c r="B41" t="inlineStr">
        <is>
          <t>Staff Machine Learning Engineer - Search</t>
        </is>
      </c>
      <c r="C41" t="inlineStr">
        <is>
          <t>Warner Bros. Discovery</t>
        </is>
      </c>
      <c r="D41" t="inlineStr">
        <is>
          <t>linkedin</t>
        </is>
      </c>
      <c r="E41" t="inlineStr"/>
      <c r="F41" t="inlineStr"/>
      <c r="G41" t="inlineStr">
        <is>
          <t>Bellevue, WA</t>
        </is>
      </c>
      <c r="H41" t="inlineStr"/>
      <c r="I4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**Staff MLE
 , Personalization, Content Discovery**
**Location:
 Seattle,
 San Francisco Bay Area, New York**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Motivate,
 inspire
 and create a culture of experimentation and data\-driven innovation while constantly striving to be an advocate for doing what is right for our customers
**Requirements:**
* 8
 \+ years of industry experience, with 4\+ years as tech lead experience (preferred)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5\+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42">
      <c r="A42" t="inlineStr">
        <is>
          <t>li-4279664000</t>
        </is>
      </c>
      <c r="B42" t="inlineStr">
        <is>
          <t>AI / ML Engineer, Software Engineering - Vice President</t>
        </is>
      </c>
      <c r="C42" t="inlineStr">
        <is>
          <t>iCapital</t>
        </is>
      </c>
      <c r="D42" t="inlineStr">
        <is>
          <t>linkedin</t>
        </is>
      </c>
      <c r="E42" t="inlineStr"/>
      <c r="F42" t="inlineStr"/>
      <c r="G42" t="inlineStr">
        <is>
          <t>New York, NY</t>
        </is>
      </c>
      <c r="H42" t="inlineStr"/>
      <c r="I42" t="inlineStr">
        <is>
          <t>iCapital is powering the world’s alternative investment marketplace. Our financial technology platform has transformed how advisors, wealth management firms, asset managers, and banks evaluate and recommend bespoke public and private market strategies for their high\-net\-worth clients. iCapital services, approximately $945 billion in global client assets invested in 1,940 funds, as of June 2025\.
 iCapital has been named to the Forbes Fintech 50 for seven consecutive years (2018\-2024\); a three\-time selection by Forbes to its list of Best Startup Employers (2021\-2023\); and a four\-time winner of MMI/Barron’s Solutions Provider award (See link below).
**About The Role**
 iCapital is seeking an experienced and forward\-thinking AI/ML Engineer Vice President with a strong engineering background and experience leading technical teams. The ideal candidate thrives at the intersection of AI/ML systems engineering, platform development, and intelligent agent design. This individual will play a key role in building and scaling AI capabilities across our platform, with a focus on production\-grade systems rather than data science. If you are passionate about developing systems that go beyond traditional ML models—systems that can reason, plan, and act in dynamic environments using tools, APIs, and memory—this is the role for you. While this is primarily a hands\-on engineering position, this role will also provide technical leadership, mentor junior engineers, and collaborate cross\-functionally to shape our AI strategy and execution.
**Responsibilities**
* Design, build, and optimize scalable AI/ML infrastructure and services powering intelligent features across our platform.
* Lead the development of AI agents capable of autonomous decision\-making, task execution, and multi\-step reasoning across internal and customer\-facing applications.
* Architect and implement modular agent frameworks by integrating tools, APIs, and memory systems for dynamic and context\-aware behavior.
* Collaborate with product, data, and infrastructure teams to embed AI capabilities into production systems.
* Drive the architecture and development of ML pipelines, model serving frameworks, and real\-time inference systems.
* Evaluate and integrate state\-of\-the\-art AI tools and frameworks to accelerate development and deployment.
* Provide technical mentorship and guidance to engineers, contributing to team growth and best practices.
* Partner with Data Science teams to operationalize models, ensuring a smooth transition from experimentation to production.
* Contribute to technical roadmaps and help define long\-term AI/ML platform and agent strategy.
* Optimize agent performance for latency, reliability, and safety in production environments.
* Stay current with the latest research and tools in LLMs, multi\-agent systems, and cognitive architectures.
* Contribute to the development of internal libraries, best practices, and reusable components for agentic systems.
**Qualifications**
* 8\+ years of experience in software engineering, with at least 2\+ years focused on AI/ML systems
* Proven experience in building and deploying ML models in production environments
* Hands\-on experience with AI agent frameworks (e.g., LangChain, Semantic Kernel, AutoGen, or custom\-built systems)
* Strong understanding of the ML lifecycle, including data pipelines, model training, evaluation, deployment, and monitoring
* Familiar with MLOps tools such as MLflow, Kubeflow, or SageMaker
* Deep understanding of LLM orchestration, prompt engineering, tool use, and memory architectures
* Familiar with various LLM inference engines such as vLLM or SGLang
* Experience in integrating agents with APIs, databases, and external systems
* Familiar with retrieval\-augmented generation (RAG), vector databases, and knowledge graphs
* Experience deploying AI systems in cloud environments (AWS, GCP, Azure) and utilizing containerization tools (Docker, Kubernetes)
* Demonstrated ability to lead projects or small teams, with excellent communication and collaboration skills
* Bachelor’s or master’s degree in computer science, engineering, or a related field
* Experience with LLMs, generative AI, or multi\-agent systems in production is a plus
* Background in distributed systems or real\-time data processing is a plus
* Experience in the finance industry is a plus
**Benefits**
 The base salary range for this role is $180,000 to $220,000\.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43">
      <c r="A43" t="inlineStr">
        <is>
          <t>li-4292592115</t>
        </is>
      </c>
      <c r="B43" t="inlineStr">
        <is>
          <t>Staff Applied AI/ ML Engineer - Customer Experience Platform</t>
        </is>
      </c>
      <c r="C43" t="inlineStr">
        <is>
          <t>Gusto</t>
        </is>
      </c>
      <c r="D43" t="inlineStr">
        <is>
          <t>linkedin</t>
        </is>
      </c>
      <c r="E43" t="inlineStr"/>
      <c r="F43" t="inlineStr"/>
      <c r="G43" t="inlineStr">
        <is>
          <t>New York, NY</t>
        </is>
      </c>
      <c r="H43" t="inlineStr"/>
      <c r="I4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team leverages Gusto’s rich dataset to guide product direction and decision\-making by building the right AI/ML solutions at scale.
 For this role, we are looking for a technical leader (an individual contributor) to drive the scale and optimization of our customer experience and customer journey via building AI and ML enabled experiences and services. In this role you will build and optimize AI/ML solutions and infrastructure that power our customer journey related products.
 You’ll be working with a strong AI/ML team and seasoned leaders in Engineering, Product, Design, Data Science, Marketing, and Sales. In this role, you’ll work cross functionally to build Platforms that span the entire breadth of the unified service platform stack using machine learning and AI to personalize world class content for our customers and enhance customer experience.
**Here’s What You’ll Do Day\-to\-day**
* Design and develop scalable, production\-grade AI and machine learning models for solving complex business problems.
* Lead and mentor teams of ML engineers, fostering a culture of technical excellence and innovation.
* Collaborate cross\-functionally with product, engineering, and business stakeholders to identify AI opportunities and translate them into actionable solutions.
* Stay current with latest AI research; prototype and implement new algorithms and advancements from academia and industry.
* Oversee model validation, deployment, evaluation, and lifecycle management, ensuring robust monitoring, explainability, and performance.
* Guide technical strategy, roadmap, and architectural decisions for the ML/AI function.
* Communicate findings, roadmaps, and performance results clearly to executives and non\-technical partners.
**Here’s What We're Looking For**
* 8\+ years’ hands\-on experience building and deploying end\-to\-end ML/AI systems in industry or academia.
* Deep expertise in one or more advanced ML methods (supervised, unsupervised, reinforcement learning, deep learning, NLP, LLMs, RAG, etc.).
* Proven track record of delivering large, impactful ML/AI projects into production environments.
* Proficient in modern ML frameworks (TensorFlow, PyTorch, HuggingFace, etc.) and cloud computing platforms (AWS, GCP, or Azure).
* Strong programming skills in Python and familiarity with best engineering practices (CI/CD, testing, code review).
* Demonstrated leadership in cross\-disciplinary teams and ability to mentor scientists and engineers.
* Excellent communication skills and business acumen.
* Ph.D. or Master’s degree in Computer Science, Machine Learning, Statistics, Mathematics, or a related field is a plus.
 Our cash compensation amount for this role is targeted at $230k\-280k for San Francisco, New York, and Seattle $205k \- 255k in Los Angeles, $185k\-234k in Denver, and 200k\-250k CAD for Toronto.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4">
      <c r="A44" t="inlineStr">
        <is>
          <t>li-4292460046</t>
        </is>
      </c>
      <c r="B44" t="inlineStr">
        <is>
          <t>Senior Machine Learning Engineer</t>
        </is>
      </c>
      <c r="C44" t="inlineStr">
        <is>
          <t>Scribd, Inc.</t>
        </is>
      </c>
      <c r="D44" t="inlineStr">
        <is>
          <t>linkedin</t>
        </is>
      </c>
      <c r="E44" t="inlineStr"/>
      <c r="F44" t="inlineStr"/>
      <c r="G44" t="inlineStr">
        <is>
          <t>Los Angeles, CA</t>
        </is>
      </c>
      <c r="H44" t="inlineStr"/>
      <c r="I4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5">
      <c r="A45" t="inlineStr">
        <is>
          <t>li-4267563689</t>
        </is>
      </c>
      <c r="B45" t="inlineStr">
        <is>
          <t>Manager II, Machine Learning Engineering, Core Engineering</t>
        </is>
      </c>
      <c r="C45" t="inlineStr">
        <is>
          <t>Pinterest</t>
        </is>
      </c>
      <c r="D45" t="inlineStr">
        <is>
          <t>linkedin</t>
        </is>
      </c>
      <c r="E45" t="inlineStr"/>
      <c r="F45" t="inlineStr"/>
      <c r="G45" t="inlineStr"/>
      <c r="H45" t="inlineStr"/>
      <c r="I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helps Pinners discover and do what they love. Core Engineering touches every surface the Pinner sees across the app and forms the front\-and\-center of the Pinterest experience for 500M\+ Pinners every month. The Core team’s mission is to recommend inspiring \&amp; engaging pins for all our Pinners. We are looking for a Machine Learning Engineer Engineering Manager II who can drive the team’s technical direction, strategic planning and execution. You'll have the opportunity to lead a team that works cross\-team on various innovative projects of new product experiences, builds large\-scale low\-latency systems and state\-of\-the\-art machine learning models, and delivers great impact to our pinners and business metrics.
**What You’ll Do**
* Be responsible for major areas of search, recommendations, notifications, etc for more than 500 million monthly active Pinterest users. Potential areas of impact include ML based retrieval, multi domain ranking, L1 modeling, candidate generators, sequence modeling, relevance modeling, and infrastructure efficiency and scalability.
* Deeply understand the Pinterest product and drive the vision for the team, ensuring the team’s work directly contributes to the company’s goals.
* Manage and mentor a team of Machine Learning engineers (L13 \- L16\), providing technical guidance and support to help them grow their careers. Identify team needs and hire strong candidates.
* Collaborate closely with other engineering teams at Pinterest to enhance the experience for users, including Advanced Technology Group, Infrastructure, Content Understanding and User Understanding.
* Provide visibility to senior leadership regarding the team’s global impact.
* Partner with stakeholders across the company, including product management, data scientists, and design, to shape the future of the content ecosystem and personalization at Pinterest.
* Build a culture of excellence and expertise within the team.
**What We’re Looking For**
* MS/PhD in Computer Science, ML, NLP, Statistics, Information Sciences, related field, or equivalent experience.
* Experience leading and working on a large\-scale production recommendation, e\-commerce, search or ads systems that are based on state\-of\-the\-art machine learning and big data technology.
* Strong experience in related fields such as recommendation systems and applied machine learning experience is required. Natural language processing and computer vision is a bonus.
* Demonstrated ability to define and drive the strategic roadmap for scalable, production\-quality systems from concept to execution.
* Strong focus on product impact and user experience within a consumer\-focused environment.
* Minimum of 1 year of experience managing a high\-performing machine learning engineering team of 10\+ members.
* 8\+ years of experience in software development, with a proven track record of delivering impactful solutions.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$189,308—$389,753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6">
      <c r="A46" t="inlineStr">
        <is>
          <t>li-4302585963</t>
        </is>
      </c>
      <c r="B46" t="inlineStr">
        <is>
          <t>Staff Machine Learning Engineer (India based, relocation provided)</t>
        </is>
      </c>
      <c r="C46" t="inlineStr">
        <is>
          <t>Agoda</t>
        </is>
      </c>
      <c r="D46" t="inlineStr">
        <is>
          <t>linkedin</t>
        </is>
      </c>
      <c r="E46" t="inlineStr"/>
      <c r="F46" t="inlineStr"/>
      <c r="G46" t="inlineStr">
        <is>
          <t>San Francisco, CA</t>
        </is>
      </c>
      <c r="H46" t="inlineStr"/>
      <c r="I4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7">
      <c r="A47" t="inlineStr">
        <is>
          <t>li-4302594609</t>
        </is>
      </c>
      <c r="B47" t="inlineStr">
        <is>
          <t>Staff Machine Learning Engineer (India based, relocation provided)</t>
        </is>
      </c>
      <c r="C47" t="inlineStr">
        <is>
          <t>Agoda</t>
        </is>
      </c>
      <c r="D47" t="inlineStr">
        <is>
          <t>linkedin</t>
        </is>
      </c>
      <c r="E47" t="inlineStr"/>
      <c r="F47" t="inlineStr"/>
      <c r="G47" t="inlineStr">
        <is>
          <t>Houston, TX</t>
        </is>
      </c>
      <c r="H47" t="inlineStr"/>
      <c r="I4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8">
      <c r="A48" t="inlineStr">
        <is>
          <t>li-4354386627</t>
        </is>
      </c>
      <c r="B48" t="inlineStr">
        <is>
          <t>TS/SCI Cleared Applied AI Engineer</t>
        </is>
      </c>
      <c r="C48" t="inlineStr">
        <is>
          <t>Motion Recruitment</t>
        </is>
      </c>
      <c r="D48" t="inlineStr">
        <is>
          <t>linkedin</t>
        </is>
      </c>
      <c r="E48" t="inlineStr"/>
      <c r="F48" t="inlineStr"/>
      <c r="G48" t="inlineStr">
        <is>
          <t>Virginia, United States</t>
        </is>
      </c>
      <c r="H48" t="inlineStr"/>
      <c r="I48" t="inlineStr">
        <is>
          <t>As an AI/ML Engineer, you would be contributing/handling all aspects of their current and future AI/ML work.
 This position is hybrid 50% on\-site in the Dulles area and requires candidates to have an active TS/SCI clearance.
**Responsibilities**
* Lead the deployment of AI/ML systems onto the platform
* Collaborate with the Devops/Data Engineering teams to make sure these systems are maintained
**Qualifications**
* 4\+ years of AI/ML work
* Python \+ Modern ML tools (PyTorch, Tensorflow, keras), LLMs, agentic tools (LangChain, vector databases), OpenAI models
* Good to have: Kubernetes, terraform, CI/CD
* Holds an active TS/SCI clearance
**Posted By:** 
 Akibu Koroma</t>
        </is>
      </c>
    </row>
    <row r="49">
      <c r="A49" t="inlineStr">
        <is>
          <t>li-4330128084</t>
        </is>
      </c>
      <c r="B49" t="inlineStr">
        <is>
          <t>AI Engineer (.Net + Angular)</t>
        </is>
      </c>
      <c r="C49" t="inlineStr">
        <is>
          <t>Centraprise</t>
        </is>
      </c>
      <c r="D49" t="inlineStr">
        <is>
          <t>linkedin</t>
        </is>
      </c>
      <c r="E49" t="inlineStr"/>
      <c r="F49" t="inlineStr"/>
      <c r="G49" t="inlineStr">
        <is>
          <t>Parsippany, NJ</t>
        </is>
      </c>
      <c r="H49" t="inlineStr"/>
      <c r="I49" t="inlineStr">
        <is>
          <t>**Job Role: AI Engineer (.Net \+ Angular)** 
**Location: Parsippany, NJ (ONSITE)** 
**Job Type: Fulltime** 
**Job description:** 
**Must Have Technical/Functional Skills** 
 Backend .NET Core (C\#), Web API, Entity Framework, SQL Server
 Frontend Angular, TypeScript, RxJS
 AI / ML Python, TensorFlow/PyTorch, Scikit\-learn, Generative AI, LLMs, and RAG pipelines
 Cloud \&amp; DevOps Azure (ML, Functions, DevOps), containerization
 MLOps CI/CD pipelines, model validation \&amp; reranking (Nice to have)
 Architecture SOLID principles, clean code, microservices, REST APIs
**Roles \&amp; Responsibilities** 
 The Lead AI Engineer will spearhead the design, development, and deployment of advanced AI solutions. This role combines technical expertise in AI/ML
 with leadership responsibilities, ensuring scalable, high\-performing systems that align with business objectives.
 The ideal candidate will mentor team members, set technical direction, and collaborate across departments to deliver innovative AI\-driven products.
**Must Have** 
 3–5\+ years’ experience working with .NET Core and Angular in full\-stack roles.
 Hands\-on experience building and deploying ML/AI solutions, preferably in production.
 Proficiency in Python, TensorFlow, PyTorch, scikit\-learn.
 Experience with NLP, Computer Vision, Deep Learning, and Predictive Analytics.
 Familiarity with MLOps, Docker, Cloud Platforms (AWS, Azure, GCP).
 Knowledge of high\-performance computing and data engineering.
 Effective communication skills for technical and non\-technical stakeholder engagement.
**Nice to Have** 
 Familiarity with MLOps frameworks like Kubeflow, Zenflow, Kedro or DVC.
 Experience with model Interpretability tools, bias mitigation, or AI regulatory compliance.
 Experience with microservices, Docker/Kubernetes, and event\-driven messaging (Kafka, RabbitMQ).
 Exposure to vertical industries like Logistics, finance, healthcare, or enterprise SaaS.
 Experience with Generative AI, LLMs, and RAG pipelines.
 Knowledge of graph databases and neural network architectures.</t>
        </is>
      </c>
    </row>
    <row r="50">
      <c r="A50" t="inlineStr">
        <is>
          <t>li-4313466440</t>
        </is>
      </c>
      <c r="B50" t="inlineStr">
        <is>
          <t>Senior Applied Scientist, Generative AI Innovation Center</t>
        </is>
      </c>
      <c r="C50" t="inlineStr">
        <is>
          <t>Amazon Web Services (AWS)</t>
        </is>
      </c>
      <c r="D50" t="inlineStr">
        <is>
          <t>linkedin</t>
        </is>
      </c>
      <c r="E50" t="inlineStr"/>
      <c r="F50" t="inlineStr"/>
      <c r="G50" t="inlineStr">
        <is>
          <t>Mountain View, CA</t>
        </is>
      </c>
      <c r="H50" t="inlineStr"/>
      <c r="I50"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1">
      <c r="A51" t="inlineStr">
        <is>
          <t>li-4303040068</t>
        </is>
      </c>
      <c r="B51" t="inlineStr">
        <is>
          <t>Senior Applied Scientist, Model Customization, Generative AI Innovation Center</t>
        </is>
      </c>
      <c r="C51" t="inlineStr">
        <is>
          <t>Amazon Web Services (AWS)</t>
        </is>
      </c>
      <c r="D51" t="inlineStr">
        <is>
          <t>linkedin</t>
        </is>
      </c>
      <c r="E51" t="inlineStr"/>
      <c r="F51" t="inlineStr"/>
      <c r="G51" t="inlineStr">
        <is>
          <t>New York, United States</t>
        </is>
      </c>
      <c r="H51" t="inlineStr"/>
      <c r="I51"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A3088254</t>
        </is>
      </c>
    </row>
    <row r="52">
      <c r="A52" t="inlineStr">
        <is>
          <t>li-4313468276</t>
        </is>
      </c>
      <c r="B52" t="inlineStr">
        <is>
          <t>Senior Applied Scientist, Generative AI Innovation Center</t>
        </is>
      </c>
      <c r="C52" t="inlineStr">
        <is>
          <t>Amazon Web Services (AWS)</t>
        </is>
      </c>
      <c r="D52" t="inlineStr">
        <is>
          <t>linkedin</t>
        </is>
      </c>
      <c r="E52" t="inlineStr"/>
      <c r="F52" t="inlineStr"/>
      <c r="G52" t="inlineStr">
        <is>
          <t>Boston, MA</t>
        </is>
      </c>
      <c r="H52" t="inlineStr"/>
      <c r="I52"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3">
      <c r="A53" t="inlineStr">
        <is>
          <t>li-4313464461</t>
        </is>
      </c>
      <c r="B53" t="inlineStr">
        <is>
          <t>Senior Applied Scientist, Generative AI Innovation Center</t>
        </is>
      </c>
      <c r="C53" t="inlineStr">
        <is>
          <t>Amazon Web Services (AWS)</t>
        </is>
      </c>
      <c r="D53" t="inlineStr">
        <is>
          <t>linkedin</t>
        </is>
      </c>
      <c r="E53" t="inlineStr"/>
      <c r="F53" t="inlineStr"/>
      <c r="G53" t="inlineStr">
        <is>
          <t>Denver, CO</t>
        </is>
      </c>
      <c r="H53" t="inlineStr"/>
      <c r="I53"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4">
      <c r="A54" t="inlineStr">
        <is>
          <t>li-4303035130</t>
        </is>
      </c>
      <c r="B54" t="inlineStr">
        <is>
          <t>Senior Applied Scientist, Model Customization, Generative AI Innovation Center</t>
        </is>
      </c>
      <c r="C54" t="inlineStr">
        <is>
          <t>Amazon Web Services (AWS)</t>
        </is>
      </c>
      <c r="D54" t="inlineStr">
        <is>
          <t>linkedin</t>
        </is>
      </c>
      <c r="E54" t="inlineStr"/>
      <c r="F54" t="inlineStr"/>
      <c r="G54" t="inlineStr">
        <is>
          <t>Seattle, WA</t>
        </is>
      </c>
      <c r="H54" t="inlineStr"/>
      <c r="I54"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A3088254</t>
        </is>
      </c>
    </row>
    <row r="55">
      <c r="A55" t="inlineStr">
        <is>
          <t>li-4313452923</t>
        </is>
      </c>
      <c r="B55" t="inlineStr">
        <is>
          <t>Senior Applied Scientist, Generative AI Innovation Center</t>
        </is>
      </c>
      <c r="C55" t="inlineStr">
        <is>
          <t>Amazon Web Services (AWS)</t>
        </is>
      </c>
      <c r="D55" t="inlineStr">
        <is>
          <t>linkedin</t>
        </is>
      </c>
      <c r="E55" t="inlineStr"/>
      <c r="F55" t="inlineStr"/>
      <c r="G55" t="inlineStr">
        <is>
          <t>Seattle, WA</t>
        </is>
      </c>
      <c r="H55" t="inlineStr"/>
      <c r="I55"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6">
      <c r="A56" t="inlineStr">
        <is>
          <t>li-4313454774</t>
        </is>
      </c>
      <c r="B56" t="inlineStr">
        <is>
          <t>Senior Applied Scientist, Generative AI Innovation Center</t>
        </is>
      </c>
      <c r="C56" t="inlineStr">
        <is>
          <t>Amazon Web Services (AWS)</t>
        </is>
      </c>
      <c r="D56" t="inlineStr">
        <is>
          <t>linkedin</t>
        </is>
      </c>
      <c r="E56" t="inlineStr"/>
      <c r="F56" t="inlineStr"/>
      <c r="G56" t="inlineStr">
        <is>
          <t>Arlington, VA</t>
        </is>
      </c>
      <c r="H56" t="inlineStr"/>
      <c r="I56"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7">
      <c r="A57" t="inlineStr">
        <is>
          <t>li-4354328804</t>
        </is>
      </c>
      <c r="B57" t="inlineStr">
        <is>
          <t>ML Engineer</t>
        </is>
      </c>
      <c r="C57" t="inlineStr">
        <is>
          <t>Reddit, Inc.</t>
        </is>
      </c>
      <c r="D57" t="inlineStr">
        <is>
          <t>linkedin</t>
        </is>
      </c>
      <c r="E57" t="inlineStr"/>
      <c r="F57" t="inlineStr"/>
      <c r="G57" t="inlineStr"/>
      <c r="H57" t="inlineStr"/>
      <c r="I57" t="inlineStr">
        <is>
          <t>**About The Company**
 Reddit is a vibrant community of communities, built on shared interests, passions, and trust. It serves as one of the largest online platforms for open and authentic conversations, hosting over 100,000 active communities and attracting approximately 116 million daily active visitors. Reddit's mission is to foster community, belonging, and empowerment for everyone worldwide. The platform continuously evolves to provide a delightful and relevant experience for its users and advertisers alike. With a focus on innovation and user engagement, Reddit is dedicated to building best\-in\-class products that connect people through meaningful interactions.
**About The Role**
 We are seeking a highly skilled and experienced Ads Targeting Machine Learning Engineer to join our dynamic team. In this role, you will be instrumental in designing and implementing machine learning systems that enhance targeting products, ensuring relevant audiences are delivered to advertisers within the right context. Your work will involve building large\-scale offline and online retrieval systems to improve behavioral and contextual targeting capabilities. As a key member of the ads targeting quality team, you will own end\-to\-end ML product development, from research and experimentation to deployment and optimization. You will collaborate closely with cross\-functional teams including product managers, engineers, research, and marketing to develop innovative solutions that drive business outcomes and improve user experience. This position offers an exciting opportunity to lead complex projects, influence technical strategy, and mentor junior team members in a fast\-paced, innovative environment.
**Qualifications**
* Tech lead experience in a product\-focused machine learning team, driving research and technical direction to improve business outcomes
* Experience with ads retrieval modeling, ranking, or recommendation systems
* Proficiency with deep learning models for retrieval such as two\-tower architectures, GNNs, transformers, and LLMs
* Minimum of 5\+ years of end\-to\-end experience in training, evaluating, testing, and deploying machine learning models
* At least 2\+ years of hands\-on experience with TensorFlow or PyTorch
* Experience working with large\-scale data processing and pipeline orchestration tools like Spark, Dataflow, Kubeflow, Airflow, and BigQuery
* Knowledge of nearest\-neighbor search systems is highly desirable
* Experience collaborating with cross\-functional stakeholders across research, product, and infrastructure teams
* Familiarity with deep learning, representation learning, or transfer learning techniques
* Previous experience in a technical leadership role within a product team is strongly preferred
**Responsibilities**
* Own the end\-to\-end design, development, and deployment of ML\-based targeting products, including auto targeting and user lookalikes
* Lead research initiatives and define the technical roadmap for complex projects, ensuring alignment with business goals
* Drive day\-to\-day project execution, providing technical guidance and mentorship to team members
* Collaborate with product managers and cross\-functional teams to prioritize features based on data analysis, industry trends, and research findings
* Research, implement, and test innovative model architectures using advanced deep learning techniques to enhance retrieval and targeting accuracy
* Conduct offline and online experiments to evaluate model performance and optimize targeting strategies
* Work on large\-scale data systems and ensure smooth integration of ML models into production environments
* Partner with engineering, research, and marketing teams to translate research insights into scalable products and features
**Benefits**
* Comprehensive healthcare benefits and income replacement programs
* 401(k) plan with employer match
* Support for family planning and gender\-affirming care
* Mental health and coaching services
* Flexible vacation policy and Reddit Global Days off
* Generous paid parental leave
* Paid volunteer time off
 Equal Opportunity
 Reddit is an equal opportunity employer committed to fostering an inclusive environment. We welcome applicants of all backgrounds and are dedicated to providing reasonable accommodations for qualified individuals with disabilities and disabled veterans during the application and interview process. We believe diverse teams drive innovation and success, and we strive to build a workforce that reflects the communities we serve.</t>
        </is>
      </c>
    </row>
    <row r="58">
      <c r="A58" t="inlineStr">
        <is>
          <t>li-4354604300</t>
        </is>
      </c>
      <c r="B58" t="inlineStr">
        <is>
          <t>Machine Learning Engineer</t>
        </is>
      </c>
      <c r="C58" t="inlineStr">
        <is>
          <t>Quora</t>
        </is>
      </c>
      <c r="D58" t="inlineStr">
        <is>
          <t>linkedin</t>
        </is>
      </c>
      <c r="E58" t="inlineStr"/>
      <c r="F58" t="inlineStr"/>
      <c r="G58" t="inlineStr"/>
      <c r="H58" t="inlineStr"/>
      <c r="I58" t="inlineStr">
        <is>
          <t>**About The Company** 
 Quora is a privately held, remote‑first company dedicated to fostering knowledge sharing and community engagement across the globe. With a platform that attracts over 300 million monthly unique visitors, Quora facilitates meaningful discussions and insights on a diverse range of topics. In addition to its core Q\&amp;A platform, Quora has expanded its offerings with Poe, a cutting\-edge AI\-powered chat platform that integrates multiple advanced language models such as GPT‑5, Claude Sonnet 4\.5, Grok 4, Veo 3\.1, and Gemini 2\.5 Flash Image, providing users with instant access to the latest AI capabilities.
 Our culture emphasizes transparency, collaboration, and innovation. We believe in empowering our teams to experiment, share ideas, and grow together, creating a dynamic environment where meaningful work leads to a positive impact. Join us on this journey to enhance global knowledge sharing and develop transformative AI solutions that make a difference in people's lives.
**About The Role** 
 We are seeking an experienced Staff Machine Learning Engineer to join our remote‑first engineering team, focusing on our Quora product. This role offers a unique opportunity to influence and advance our recommendation systems, including feeds, notifications, digest emails, and "Ask to Answer" (A2A) features. As a key contributor, you will leverage your expertise to improve existing machine learning models, identify new application areas within the product, and develop tools and abstractions that empower other developers.
 Our small, agile team values continuous learning and experimentation. You will work on challenging problems that require innovative solutions, taking ownership of end\-to\-end machine learning systems—from data pipelines and feature engineering to model training and deployment. Your contributions will directly impact how users discover and engage with content on Quora, enabling us to connect people with relevant information efficiently and effectively.
**Qualifications** 
* 5\+ years of professional software development experience in machine learning
* 3\+ years of experience working on recommendation systems
* Strong understanding of the mathematical foundations of machine learning algorithms
* Experience building end\-to\-end machine learning systems
* Bachelor’s, Master’s, or PhD in Computer Science, Engineering, or a related technical field
* Proficiency in Python or C\+\+ (preferred)
* Experience leading large\-scale, multi\-engineer projects (preferred)
* Excellent communication and interpersonal skills
* Availability to participate in meetings and communication during Quora's coordination hours (Mon‑Fri: 9am\-3pm Pacific Time)
**Responsibilities** 
* Enhance and optimize existing machine learning systems utilizing your core coding skills and ML expertise
* Identify and develop new opportunities to apply machine learning across various components of the Quora platform
* Collaborate with other machine learning engineers to implement efficient algorithms and scalable systems
* Take full ownership of machine learning workflows, including data pipeline development, candidate extraction, feature engineering, model training, and deployment
* Integrate machine learning models seamlessly into production environments ensuring robustness and scalability
* Design and develop tools and abstractions to facilitate the work of other developers and data scientists
* Continuously monitor and improve system performance, accuracy, and relevance of recommendations
**Benefits** 
* Comprehensive medical, dental, and vision coverage
* Equity refreshers and stock options
* Remote work reimbursement and flexible work arrangements
* Paid time off and holidays
* Employee assistance programs and wellness resources
* Opportunities for professional growth and development
 Equal Opportunity
 Quora is committed to creating an inclusive environment and is proud to be an equal opportunity employer. We welcome applicants from all backgrounds, including marginalized or underrepresented groups in tech. We do not discriminate based on race, religion, gender, sexual orientation, age, marital status, veteran status, disability, or any other protected characteristic. We believe that diversity of perspectives fosters innovation and strengthens our community.</t>
        </is>
      </c>
    </row>
    <row r="59">
      <c r="A59" t="inlineStr">
        <is>
          <t>li-4354604702</t>
        </is>
      </c>
      <c r="B59" t="inlineStr">
        <is>
          <t>Machine Learning Engineer (LLM)</t>
        </is>
      </c>
      <c r="C59" t="inlineStr">
        <is>
          <t>DeepRec.ai</t>
        </is>
      </c>
      <c r="D59" t="inlineStr">
        <is>
          <t>linkedin</t>
        </is>
      </c>
      <c r="E59" t="inlineStr"/>
      <c r="F59" t="inlineStr"/>
      <c r="G59" t="inlineStr">
        <is>
          <t>Boston, MA</t>
        </is>
      </c>
      <c r="H59" t="inlineStr"/>
      <c r="I59" t="inlineStr">
        <is>
          <t>**Machine Learning Engineer (LLM)
 $170,000 \- $200,000\+ (DOE)
 Boston OR Berkeley, 2\-3 days per week in\-office**
 We’re working a fast\-growing AI company on a mission to automate complex workflows in the financial services sector, starting with insurance. Their technology leverages cutting\-edge AI to simplify high\-value processes, from multi\-turn conversations to full workflow automation.
 As an ML Engineer within LLMs, you’ll be building and scaling advanced AI systems that power intelligent, multi\-agent workflows. You’ll take ownership of designing, fine\-tuning, and productionizing large language models, integrating them with backend systems, and optimizing their performance. You’ll collaborate closely with data science, DevOps, and leadership to shape the AI infrastructure that drives the company’s automation solutions.
**What You’ll Do:**
* Build, fine\-tune, and productionize large language model (LLM) pipelines, including PEFT, RLHF, and DPO workflows.
* Develop APIs, data pipelines, and orchestration systems for multi\-agent, multi\-turn AI conversations.
* Integrate models with backend services, including voice orchestration platforms and transcript generation.
* Optimize model usage and efficiency, transitioning from external APIs to in\-house solutions.
* Collaborate cross\-functionally with data scientists, DevOps, and leadership to deliver scalable machine learning solutions.
**What We’re Looking For:**
**Essential Skills \&amp; Experience:**
* Strong proficiency in Python and ML frameworks (e.g., scikit\-learn, TensorFlow, PyTorch).
* Hands\-on experience fine\-tuning and training LLMs.
* PEFT, DPO, Prefence Optimization, post\-training, supervised fine tuning, RLHF
* Familiarity with AWS suite and deploying ML models to production.
* Ability to reason deeply about ML principles, architectures, and design choices.
* Knowledge of multi\-agent orchestration and conversational AI systems.
**Desirable Skills \&amp; Experience:**
* Background in voice AI, speech\-to\-text, or text\-to\-speech systems.
* Exposure to financial services or insurance applications.
* Familiarity with optimizing models for long\-context scenarios.
 If you’d like to hear more, please apply or get in touch!</t>
        </is>
      </c>
    </row>
    <row r="60">
      <c r="A60" t="inlineStr">
        <is>
          <t>li-4330227214</t>
        </is>
      </c>
      <c r="B60" t="inlineStr">
        <is>
          <t>Senior Machine Learning Engineer</t>
        </is>
      </c>
      <c r="C60" t="inlineStr">
        <is>
          <t>5V Tech</t>
        </is>
      </c>
      <c r="D60" t="inlineStr">
        <is>
          <t>linkedin</t>
        </is>
      </c>
      <c r="E60" t="inlineStr"/>
      <c r="F60" t="inlineStr"/>
      <c r="G60" t="inlineStr"/>
      <c r="H60" t="inlineStr"/>
      <c r="I60" t="inlineStr">
        <is>
          <t>**Senior Machine Learning Engineer** 
**Remote** 
**Full Time** 
**$200,000 pa plus equity** 
 We are partnering with a next\-generation AI infrastructure company building a distributed, privacy\-first AI platform designed for enterprise and public sector environments.
 They are seeking a Senior Machine Learning Engineer
 to join their growing team, working at the intersection of machine learning, systems engineering, and production deployment.
 This role is hands\-on and execution\-focused. You will take research\-grade models and turn them into robust, production\-ready AI systems capable of running across cloud, edge, and constrained hardware environments.
 Key Responsibilities
* Convert research prototypes into
 **scalable, production\-grade AI systems**
* Develop, fine\-tune, and optimise models using
 **PyTorch, TensorFlow, and Hugging Face**
* Apply
 **model optimisation techniques** 
 such as quantisation, pruning, distillation, and hardware\-specific acceleration
* Engineer
 **parameter\-efficient adaptation strategies** 
 (LoRA, PEFT) and on\-device inference pipelines
* Work across
 **multi\-modal AI systems** 
 (vision, audio, language)
* Develop
 **performance\-critical components** 
 using C, C\+\+, or Rust
* Optimise AI systems for
 **distributed, resource\-constrained, and offline environments**
 Required Experience
* **5\+ years** 
 in applied ML, ML engineering, or production AI systems
* Deep hands\-on experience with
 **PyTorch, TensorFlow, or Hugging Face**
* Proven track record deploying models across
 **cloud, edge, and on\-device environments**
* Strong experience with
 **model compression and optimisation**
* Solid understanding of
 **GPU computing, CUDA, and performance profiling**
* Low\-level systems programming experience in
 **C, C\+\+, or Rust**
* Strong algorithmic thinking and problem\-solving ability in constrained or distributed systems
 Want to work on
 **real\-world AI deployments** 
 , not demos? Take the next step in your career and apply today!
***5V Tech are acting as an Employment Agency for the purposes of this job vacancy. We offer a reward scheme if you can recommend someone for this position, up to $250 for you and an additional $250 to a charity of your choice, 5V Tech are recognised talent solutions experts within IoT and Deep Tech working across Europe, the UK, and North America.***</t>
        </is>
      </c>
    </row>
    <row r="61">
      <c r="A61" t="inlineStr">
        <is>
          <t>li-4351215256</t>
        </is>
      </c>
      <c r="B61" t="inlineStr">
        <is>
          <t>Machine Learning Engineer (Distributed Training)</t>
        </is>
      </c>
      <c r="C61" t="inlineStr">
        <is>
          <t>Acceler8 Talent</t>
        </is>
      </c>
      <c r="D61" t="inlineStr">
        <is>
          <t>linkedin</t>
        </is>
      </c>
      <c r="E61" t="inlineStr"/>
      <c r="F61" t="inlineStr"/>
      <c r="G61" t="inlineStr">
        <is>
          <t>Santa Clara, CA</t>
        </is>
      </c>
      <c r="H61" t="inlineStr"/>
      <c r="I61" t="inlineStr">
        <is>
          <t>**Machine Learning Engineer (Distributed Training)** 
 We are seeking a distributed training focussed Machine Learning Engineer to train, accelerate and deploy specialized foundation models for a $50m\+ funded later stage scale up, building the worlds leading 3D foundation models.
 The team were founded on the back of state of the art MIT research in computer graphics, the Founding team a mix of some of the most cited researchers in this space globally and commercially experienced veterans from teams like Nvidia and Microsoft. You'll be joining an elite team of Engineers and Researchers.
 You join to build and optimize the worlds largest 3D native ML systems, working from lower levels, building an end to end ML framework from pretraining all the way through training, quantization and inferencing. You'll work closely with model researchers on the in\-house foundation models, optimizing for throughput and efficiency.
**We are seeking a Machine Learning Engineer (Distributed Training) with:** 
* Experience of low level training optimizations including quantization and parallelism
* Demonstrable experience in low level training systems which could include attention and softmax work. This may include kernel experience.
* Expertise in Pytorch
**Location:** 
 Bay Area on a hybrid basis
**Compensation:** 
 Substantial cash and generous equity \+ potential for sign on bonuses</t>
        </is>
      </c>
    </row>
    <row r="62">
      <c r="A62" t="inlineStr">
        <is>
          <t>li-4351275369</t>
        </is>
      </c>
      <c r="B62" t="inlineStr">
        <is>
          <t>Senior Machine Learning Engineer</t>
        </is>
      </c>
      <c r="C62" t="inlineStr">
        <is>
          <t>SoTalent</t>
        </is>
      </c>
      <c r="D62" t="inlineStr">
        <is>
          <t>linkedin</t>
        </is>
      </c>
      <c r="E62" t="inlineStr"/>
      <c r="F62" t="inlineStr"/>
      <c r="G62" t="inlineStr">
        <is>
          <t>New York, United States</t>
        </is>
      </c>
      <c r="H62" t="inlineStr"/>
      <c r="I62" t="inlineStr">
        <is>
          <t>**Job Title : Senior Machine Learning Engineer** 
**Location : New York, United States (Remote)** 
**Job Type : Full Time** 
 Our client, a leading technology\-driven organization, is looking for a Distinguished Machine Learning Engineer to help shape the future of intelligent, scalable platforms. This role is ideal for a senior technical leader who thrives at the intersection of innovation, engineering excellence, and real\-world business impact.
**Key Responsibilities** 
* Champion modern machine learning and software engineering practices, driving awareness, adoption, and measurable value across teams
* Partner with product, design, and engineering leaders to solve complex, high\-impact business challenges that directly affect customers and employees
* Provide deep technical leadership while fostering an inclusive environment where diverse ideas are encouraged and amplified
* Promote engineering excellence by reusing, standardizing, and innersourcing solutions wherever possible
* Communicate effectively with senior leaders and stakeholders across the organization to influence technical direction and investment decisions
* Act as a trusted advisor within a defined technology or platform domain, shaping scalable and consistent use cases
* Mentor and develop internal engineering talent while contributing to the growth of the broader technology community
* Support hiring and talent development efforts to build next\-generation machine learning capabilities
**Basic Qualifications** 
* Bachelor’s degree or equivalent practical experience
* 7\+ years of experience in software engineering
* 5\+ years of experience building and operating machine learning systems and infrastructure
**Preferred Qualifications** 
* Master’s degree in a relevant field
* 7\+ years of hands\-on experience with Python, Java, Go, and SQL
* 6\+ years of experience deploying machine learning models into production at scale
* Strong understanding of operating machine learning solutions in high\-availability, large\-scale environments
* Experience working with large language models, including prompt engineering, fine\-tuning, evaluation, and alignment
* 3\+ years of experience with data streaming, workflow orchestration, and big data technologies (Kafka, Airflow, Spark, Glue, Kinesis)
* 3\+ years of experience with modern data platforms such as Databricks or Snowflake
* Hands\-on experience with MLOps and LLMOps practices, including model versioning, deployment automation, cost optimization, and latency reduction</t>
        </is>
      </c>
    </row>
    <row r="63">
      <c r="A63" t="inlineStr">
        <is>
          <t>li-4330197676</t>
        </is>
      </c>
      <c r="B63" t="inlineStr">
        <is>
          <t>AI Engineer</t>
        </is>
      </c>
      <c r="C63" t="inlineStr">
        <is>
          <t>autoLOTO INC.</t>
        </is>
      </c>
      <c r="D63" t="inlineStr">
        <is>
          <t>linkedin</t>
        </is>
      </c>
      <c r="E63" t="inlineStr"/>
      <c r="F63" t="inlineStr"/>
      <c r="G63" t="inlineStr"/>
      <c r="H63" t="inlineStr"/>
      <c r="I63" t="inlineStr">
        <is>
          <t>**About the Company** 
 autoLOTO builds electrical safety software that protects electricians from deadly hazards during data center construction. Our digital twin platform automates Lockout/Tagout (LOTO) procedures—the process of safely isolating hazardous energy before work begins. We're deployed across $20B\+ in capital construction projects, including major hyperscale data centers. We were named "Lockout Tagout Mobile Automation Software of the Year 2025" by Electrical Business Review.
**About the Role** 
 You'll own this problem end\-to\-end. This is a greenfield problem. We have a critical challenge, some initial ideas, and real diagrams to work with—but we're open to any approach that works.
**Responsibilities** 
* Evaluate technical approaches (vision LLMs, OCR \+ rules engines, custom computer vision, hybrid architectures)
* Design and build a solution that balances accuracy with production constraints
* Establish metrics and measurement frameworks
* Ship iteratively, measuring and improving
* Make technical recommendations that account for safety\-critical requirements
**Qualifications** 
 This is not a well\-defined role with a spec to implement. You'll have autonomy to make architectural decisions, direct access to domain experts and end users, and accountability for technical outcomes.
**Required Skills** 
* You've shipped AI/ML systems to production beyond proof\-of\-concept
* You're comfortable with technical ambiguity and first\-principles thinking
* You evaluate trade\-offs systematically and can articulate technical debt decisions
* You establish measurement frameworks before building
* You prioritize shipping working solutions over architectural perfection
* You take safety\-critical systems seriously
**Preferred Skills** 
* You're Probably Not a Fit If
* You need detailed specifications before beginning technical work
* Your ML experience is limited to using existing tools/APIs
* You can't articulate how you'd validate your own work
* You're looking for a clearly scoped role with defined boundaries
* Computer Vision \&amp; OCR
**Pay range and compensation package** 
 Range: $150,000 \- $250,000/year based on qualifications.
**Interview Process** 
* Resume review
* Technical screen (60 min) — Build something, measure it, iterate on it
* System design (90 min) — Architectural approach to this problem
* Team fit (60 min)
 No algorithmic puzzles. We want to see how you approach ambiguous problems and build production systems.
**Equal Opportunity Statement** 
 We are committed to diversity and inclusivity.</t>
        </is>
      </c>
    </row>
    <row r="64">
      <c r="A64" t="inlineStr">
        <is>
          <t>li-4351146078</t>
        </is>
      </c>
      <c r="B64" t="inlineStr">
        <is>
          <t>Senior Machine Learning Engineer</t>
        </is>
      </c>
      <c r="C64" t="inlineStr">
        <is>
          <t>Sphere Digital Recruitment Group</t>
        </is>
      </c>
      <c r="D64" t="inlineStr">
        <is>
          <t>linkedin</t>
        </is>
      </c>
      <c r="E64" t="inlineStr"/>
      <c r="F64" t="inlineStr"/>
      <c r="G64" t="inlineStr">
        <is>
          <t>New York, NY</t>
        </is>
      </c>
      <c r="H64" t="inlineStr"/>
      <c r="I64" t="inlineStr">
        <is>
          <t>**Overview** 
 I have partnered with a leading AI\-driven advertising technology company to hire a Senior Machine Learning Engineer who will play a pivotal role in building and scaling distributed machine learning infrastructure that powers real\-time programmatic decisioning. This role sits at the intersection of proprietary advertiser data, predictive analytics, and large\-scale ML systems, supporting a platform that deploys custom bidding algorithms across major DSPs and walled gardens.
 This is a highly technical, impact\-driven engineering role, not a research\-only or analytics position. You will own the end\-to\-end lifecycle of production ML systems, from distributed training and hyperparameter tuning to batch inference and observability. Working closely with engineering, product, and data science leadership, you will advance core AI products by translating sophisticated models into scalable, reliable systems that directly influence product strategy and business outcomes in the programmatic advertising ecosystem.
**Senior Machine Learning Engineer \- Responsibilities** 
* Design and deploy scalable, distributed ML systems for audience modeling and bid optimization, leveraging PyTorch and Ray on Databricks to support multi\-GPU training, hyperparameter tuning, and champion/challenger model evaluation.
* Own end\-to\-end ML pipelines from feature engineering and model training to batch inference, ensuring automation, reproducibility, fault tolerance, and reliable checkpoint recovery in production environments.
* Build and operate robust MLOps and observability frameworks, implementing model versioning, experiment tracking, drift detection, and performance monitoring (AUC, AUPRC, F1\) using MLflow and modern monitoring stacks.
* Collaborate cross\-functionally with product, data science, and engineering leadership to align ML development with core product strategy and business KPIs across multiple AI\-driven advertising products.
* Provide technical leadership and architectural guidance, driving best practices in distributed ML infrastructure, contributing to shared codebases, documenting systems, and enabling teams to extend and scale the ML platform.
**Senior Machine Learning Engineer \- Requirements** 
* Advanced academic background (MS or PhD) in Computer Science, Statistics, Machine Learning, or a related field, with 5\-10 years of industry experience building and deploying production ML systems at scale.
* Deep expertise in PyTorch and distributed ML training, including custom neural network architectures (embeddings, MLPs, classification heads), multi\-GPU workflows, and batch inference pipelines with robust artifact and schema management.
* Strong production experience on Databricks, leveraging Delta Lake, Unity Catalog, and cluster management to support scalable training, feature engineering, and governed ML lifecycles.
* Proven MLOps and software engineering rigor, encompassing MLflow\-based experiment tracking and model versioning, CI/CD workflows, monitoring and observability, and reproducible ML systems built with Python and PySpark.
* Cloud\-native and collaborative engineering mindset, with hands\-on experience across AWS and modern data platforms, and the ability to partner effectively with Product, Data Science, and Engineering teams to deliver business\-critical ML solutions.
 Sphere Digital Recruitment currently have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If you require any adjustments or additional support during the recruitment process for any reason whatsoever, please let us know.</t>
        </is>
      </c>
    </row>
    <row r="65">
      <c r="A65" t="inlineStr">
        <is>
          <t>li-4354614072</t>
        </is>
      </c>
      <c r="B65" t="inlineStr">
        <is>
          <t>Machine Learning Engineer</t>
        </is>
      </c>
      <c r="C65" t="inlineStr">
        <is>
          <t>Intuitive</t>
        </is>
      </c>
      <c r="D65" t="inlineStr">
        <is>
          <t>linkedin</t>
        </is>
      </c>
      <c r="E65" t="inlineStr"/>
      <c r="F65" t="inlineStr"/>
      <c r="G65" t="inlineStr">
        <is>
          <t>Peachtree Corners, GA</t>
        </is>
      </c>
      <c r="H65" t="inlineStr"/>
      <c r="I65"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**Role**
 We are looking for a talented individual to join our growing machine learning and data science team to help provide creative ways to develop new technology focused on surgical workflow and performance for next generation robotic surgery platforms.
**Responsibilities**
 As a Machine Learning Engineer, you will work at the intersection of machine learning and engineering (i.e., MLOps) to contribute to innovative digital solutions leveraging Surgical AI/ML technologies. Immediate projects and responsibilities may include:
* Integrating machine learning into digital products and services by working cross\-functionally across engineering, data science, and machine learning teams
* Developing automated workflows and tools to curate datasets and facilitate training of deep learning models
* Working closely with Machine Learning and Data/Software Engineering teams to develop efficient processes for model development/deployment for various applications.
* Help support and manage a growing cloud infrastructure for MLOps
**Qualifications**
**What you’ll need to be successful:**
* M.S. or Ph.D. in computer science, electrical and computer engineering, or related fields.
* Minimum 3 years of industry experience developing productionized code in machine learning, data engineering, or related field for AI applications
* Excellent communication skills both written and verbal
* A desire to work in a high\-energy, focused, small\-team environment with a sense of shared responsibility and shared reward
* Interest in early research and development through to product roll\-out in the fields of surgical AI and surgical robotics
* Hands\-on experience with ML frameworks, such as PyTorch, Tensorflow, or similar
* Knowledgeable about MLOps platforms (Domino Data Labs) and/or ML CI/CD workflows to manage datasets and model training, deployment, and monitoring
* Experience with MLOps tools like MLFlow, KubeFlow, W\&amp;B, etc
* Knowledgeable about Kubernetes
* Experience with cloud compute environments such as AWS, GCP, etc
* Experience with both edge and cloud deployments, focused on automation, scalability, and robustness
* Experience with Python and SQL
* Experience with Git e.g github, gitlab, bitbucket, etc
* Ability to travel domestically and internationally (5\-10%)
**Additional Desirable Experience**
* Experience with successfully launching ML models into production
* Experience supporting large multi\-modality dataset including image/video
* Experience within healthcare
* Experience with federated learning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$161,500 \- $232,500
**Base Salary Range Region 2:** 
 $137,400 \- $197,700
**Shift:** 
 Day
**Workplace Type:** 
 Set Schedule \- This job will be onsite weekly, the percentage of onsite work will be defined by the leader.</t>
        </is>
      </c>
    </row>
    <row r="66">
      <c r="A66" t="inlineStr">
        <is>
          <t>li-4330187979</t>
        </is>
      </c>
      <c r="B66" t="inlineStr">
        <is>
          <t>Machine Learning Engineer</t>
        </is>
      </c>
      <c r="C66" t="inlineStr">
        <is>
          <t>Rebel Space Technologies</t>
        </is>
      </c>
      <c r="D66" t="inlineStr">
        <is>
          <t>linkedin</t>
        </is>
      </c>
      <c r="E66" t="inlineStr"/>
      <c r="F66" t="inlineStr"/>
      <c r="G66" t="inlineStr">
        <is>
          <t>Long Beach, CA</t>
        </is>
      </c>
      <c r="H66" t="inlineStr"/>
      <c r="I66" t="inlineStr">
        <is>
          <t>Rebel Space Technologies is seeking a talented and experienced Machine Learning Engineer to join our team.
**Machine Learning Engineer:**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Our technology supercharges space infrastructure, ensuring resilience against evolving threats in an increasingly complex environment. We’re looking for a talented Machine Learning Engineer to join us in pioneering the next generation of space system security.
 As a Machine Learning Engineer at Rebel Space, you’ll design, implement, and optimize ML models for anomaly detection in satellite communications. You’ll help architect secure, scalable infrastructure for ML workloads within demanding government and defense compliance environments. This position is ideal for someone who thrives in dynamic, fast\-paced R\&amp;D environments, is comfortable building systems from the ground up, and has a bias toward elegant, performant, and reliable code.
**Responsibilities:** 
* Develop and maintain machine learning infrastructure that is portable and flexible, supporting deployments both in cloud environments and on edge devices
* Research, prototype, and survey different ML architecture and workflow optimization techniques
* Design and implement proof\-of\-concept custom optimizations, then demonstrate how these optimizations improve the performance of existing machine learning models when applied to actual real\-world datasets.
* Build data collections, labeling pipelines, and evaluation pipelines. Research and develop machine learning models for physical sensor systems.
* Extend existing ML libraries and frameworks.
*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**Basic Qualifications:** 
* Bachelor's degree in Computer Science, Electrical Engineer, Physics or related technical discipline.
* 3\+ years of relevant industry experience in data analytics and machine learning
* Strong expertise in scientific Python (NumPy, SciPy, Pandas) and modern ML frameworks (PyTorch, TensorFlow, JAX, Scikit\-Learn, Keras)
* Proficiency in SQL and experience with relational or time\-series databases
* Proven experience applying statistical modeling, data analysis, and inference to extract actionable insights from large and complex datasets
* Familiarity with overall big data analysis, system backend integration with new ML systems, and large\-scale data processing
* Proficiency in data visualization tools (e.g., Matplotlib, Seaborn, Power BI) to effectively communicate findings
* Excellent understanding of algorithms, data structures, and coding standards
* Strong communication and behavioral skills
* Motivated self\-starter that can work autonomously and as part of a team
**Preferred Qualifications:** 
* PhD, Masters, or equivalent in Computer Science, Electrical Engineer, Physics or related field with 5\+ years of professional experience in machine learning engineering
* Knowledge of experiment tracking, model deployment strategies, data versioning, and monitoring
* Experience with ML infrastructure tools (e.g. MLflow, Kubeflow, Airflow, feature stores, model registries)
* Prior experience with real\-time data processing, prediction systems, or active learning pipelines
* Exposure to synthetic data generation techniques (GANs, simulation platforms).
* Experience designing reliable software through requirements generation, continuous integration, automated testing, issue tracking, and code reviews
* Experience at early\-stage startups and remote\-first organizations
* Passionate about building autonomous systems
**Benefits** 
 :
* Premium Healthcare Benefits: We offer comprehensive medical, dental, and vision plans at little to no cost to you.
* Stock Options: Own meaningful equity in Rebel Space.
* Generous PTO: Includes flexible vacation and company paid holidays.
* Maternity/paternity leave.
* Flexible hybrid work options.
 The estimated salary range for this role is $140,000\-$220,000 \+ equity in the company,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Rebel Space Technologies is an equal\-opportunity employer, and we encourage candidates from all backgrounds to apply. If you are someone passionate to work on problems that matter, we’d love to hear from you.</t>
        </is>
      </c>
    </row>
    <row r="67">
      <c r="A67" t="inlineStr">
        <is>
          <t>li-4196119841</t>
        </is>
      </c>
      <c r="B67" t="inlineStr">
        <is>
          <t>Applied AI Engineer, Enterprise GenAI</t>
        </is>
      </c>
      <c r="C67" t="inlineStr">
        <is>
          <t>Scale AI</t>
        </is>
      </c>
      <c r="D67" t="inlineStr">
        <is>
          <t>linkedin</t>
        </is>
      </c>
      <c r="E67" t="inlineStr"/>
      <c r="F67" t="inlineStr"/>
      <c r="G67" t="inlineStr"/>
      <c r="H67" t="inlineStr"/>
      <c r="I67" t="inlineStr">
        <is>
          <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 Own, plan, and optimize the AI behind our Enterprise customer’s deepest technical problems
* Leverage SGP to build the most advanced AI agents across the industry including multimodal functionality, tool\-calling, and more
* Have experience gathering business requirements and translating them into technical solutions
* Meet regularly with customer teams onsite and virtually, collaborating cross\-functionally with all teams responsible for their data and ML needs
* Push production code in multiple development environments, writing and debugging code directly in both our customer’s and Scale’s codebases.
* Be able and willing to multi\-task and learn new technologies quickly
**Ideally you'd have:**
* A love for solving deeply complex technical problems with ambiguity using state of the art research and AI to accomplish your client’s business goals
* Strong engineering background: a Bachelor’s degree in Computer Science, Mathematics, or another quantitative field or equivalent strong engineering background.
* Deep familiarity with a data\-driven approach when iterating on machine learning models and how changes in datasets can influence model results
* Experience working with cloud technology stack (eg. AWS or GCP) and developing machine learning models in a cloud environment
* Proficiency in Python to write, test and debug code using common libraries (ie numpy, pandas)
**Nice to haves:**
* Strong knowledge of software engineering best practices
* Have built applications taking advantage of Generative AI in real, production use cases
* Familiarity with state of the art LLMs and their strengths/weaknesses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$180,600—$225,750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8">
      <c r="A68" t="inlineStr">
        <is>
          <t>li-4343564455</t>
        </is>
      </c>
      <c r="B68" t="inlineStr">
        <is>
          <t>Senior Machine Learning Engineer</t>
        </is>
      </c>
      <c r="C68" t="inlineStr">
        <is>
          <t>Cisco</t>
        </is>
      </c>
      <c r="D68" t="inlineStr">
        <is>
          <t>linkedin</t>
        </is>
      </c>
      <c r="E68" t="inlineStr"/>
      <c r="F68" t="inlineStr"/>
      <c r="G68" t="inlineStr">
        <is>
          <t>San Jose, CA</t>
        </is>
      </c>
      <c r="H68" t="inlineStr"/>
      <c r="I68"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**Minimum Qualifications**
* Master's degree in computer science or related field and 4\+ years of software engineering experience, or bachelor's degree with 7\+ years of experience.
* Experience designing and building scalable cloud\-based systems (AWS, Azure, or GCP), including container orchestration (e.g., Kubernetes, Docker).
* Experience with API design and frameworks (e.g. OpenAPI, GraphQL, gRPC, REST, etc.)
* Prior working experience in delivering RAG and Agentic products into production
* Expert at using vibe coding tools (Claude Code, Codex, Copilot, Windsurf, Cursor) is a must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9">
      <c r="A69" t="inlineStr">
        <is>
          <t>li-4354583257</t>
        </is>
      </c>
      <c r="B69" t="inlineStr">
        <is>
          <t>Lead AI Engineer</t>
        </is>
      </c>
      <c r="C69" t="inlineStr">
        <is>
          <t>MassMutual</t>
        </is>
      </c>
      <c r="D69" t="inlineStr">
        <is>
          <t>linkedin</t>
        </is>
      </c>
      <c r="E69" t="inlineStr"/>
      <c r="F69" t="inlineStr"/>
      <c r="G69" t="inlineStr">
        <is>
          <t>Boston, MA</t>
        </is>
      </c>
      <c r="H69" t="inlineStr"/>
      <c r="I69"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solutionssupporting various use cases for a large enterpriseusing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70">
      <c r="A70" t="inlineStr">
        <is>
          <t>li-4354584743</t>
        </is>
      </c>
      <c r="B70" t="inlineStr">
        <is>
          <t>Senior Machine Learning Engineer</t>
        </is>
      </c>
      <c r="C70" t="inlineStr">
        <is>
          <t>XSELL Technologies</t>
        </is>
      </c>
      <c r="D70" t="inlineStr">
        <is>
          <t>linkedin</t>
        </is>
      </c>
      <c r="E70" t="inlineStr"/>
      <c r="F70" t="inlineStr"/>
      <c r="G70" t="inlineStr">
        <is>
          <t>Chicago, IL</t>
        </is>
      </c>
      <c r="H70" t="inlineStr"/>
      <c r="I70" t="inlineStr">
        <is>
          <t>**Job Summary** 
 We’re looking for a hands\-on, entrepreneurial
 **Senior Machine Learning Engineer** 
 who has already taken
 **voice\-centric AI systems (TTS, STT, LLM\-driven dialog)** 
 from prototype to
 **planet\-scale production** 
 . You will own the full lifecycle of our ML stack—research, data pipelines, training, evaluation, deployment, and relentless optimisation—so that millions of patients can have natural, sub\-second conversations with our Agentic Voice platform. You’ll collaborate tightly with product, infra, and compliance teams, set a high technical bar for ML excellence
**What sets this role apart:** 
 You'll specialize in creating highly optimized, domain\-specific conversational AI models by fine\-tuning and compressing existing LLMs and specialized conversational architectures for specific use cases. We need someone who can rapidly research, prototype, and deploy smaller, faster, cheaper models that outperform general\-purpose solutions in conversational settings \- achieving 10x speed improvements and 90% cost reductions while building efficient pipelines for intent classification, dialogue management, and text\-based optimization systems that improve conversational quality of our dialogue systems.
**Key Responsibilities** 
**Advanced Model Optimization \&amp; Fine Tuning** 
 Apply LoRA, QLoRA, DPO, RLHF and parameter\-efficient methods to create smaller, faster models optimized for conversational contexts
 Implement quantization, pruning, knowledge distillation to significantly reduce model size while preserving quality
 Work with modern conversational architectures: DeBERTa, SetFit, sentence transformers, lightweight decoder models for domain\-specific use cases
 Rapidly evaluate and adapt latest research for conversational applications
**End\-to\-End ML Engineering** 
 Design, build, and maintain high\-performing STT, TTS, and LLM pipelines that operate at \&lt; 800 ms end\-to\-end latency and thousands of concurrent calls.
 Train and fine\-tune smaller, task specific LLMs optimized for accuracy, latency and cost efficiency in real time applications.
**Inference at Scale** 
 Optimise GPU\- and CPU\-based serving on EKS / Kubernetes using techniques such as dynamic batching, quantisation, speculative decoding, and streaming gRPC / WebSockets.
**Dialogue Management** 
 Implement and extend LangGraph / LangChain flows and Model Context Protocol (MCP) schemas to orchestrate complex multi\-turn healthcare conversations safely and compliantly.
**Data \&amp; Evaluation** 
 Build robust data pipelines (Kafka → Snowflake / S3\) for conversation logs; design offline and online evaluation frameworks for ASR/WER, TTS MOS, and task\-completion metrics.
**Technical Leadership** 
 Establish ML best practices—versioning, monitoring, A/B gating, CICD for models—and mentor engineers on ML ops, audio processing, and prompt engineering.
**Cross\-Functional Collaboration** 
 Work daily with product managers, designers, compliance leads, and customer teams to translate business goals into scalable voice experiences.
**Innovation \&amp; Research** 
 Stay on the cutting edge of open\-source speech and LLM research; run rapid POCs (e.g., Whisper\-v3, Bark), explore efficient fine tuning techniques(e.g. LORA, DPO), and continuously improve model performance in production environments.
**Reliability \&amp; Compliance** 
 Ensure HIPAA\-grade security, auditable PHI handling, guardrails, and fallback strategies to keep conversations safe and reliable 24 × 7\.
**Qualifications** 
**Education** 
* B.S. or M.S. in Computer Science, Machine Learning, or related field.
**Experience** 
* **7\+ years** 
 building production ML systems,
 **2\+** 
 specifically in speech / conversational AI.
* Proven track record shipping
 **voice AI** 
 or
 **large\-scale LLM** 
 products to tens\-of\-millions of users or thousands of concurrent sessions.
**Technical Expertise** 
* **Advanced Fine\-tuning \&amp; Model Compression:**
 Proven experience with parameter\-efficient fine\-tuning techniques (LoRA, QLoRA, adapters) for conversational applications
 Knowledge of few\-shot learning frameworks for conversational tasks with limited data
 Experience with model compression techniques (quantization GPTQ/AWQ, pruning, knowledge distillation) for real\-time inference
* **Speech:** 
 Deep understanding of ASR (e.g., Whisper, NeMo, Kaldi) and TTS (e.g., Tacotron, FastSpeech, VITS) model internals and evaluation.
* **LLMs \&amp; Dialogue:** 
 Experience with GPT\-class models, fine\-tuning, RAG, LangGraph, LangChain, MCP, prompt\-engineering and safety guardrails.
* **Languages:** 
 Expert in Python; proficiency in TypeScript / Node and/or Java is a plus.
* **MLOps \&amp; Infra:** 
 Kubernetes (AWS EKS), Helm, Terraform, MLflow / SageMaker, model\-aware CI/CD, feature stores, GPU scheduling, autoscaling.
* **Data:** 
 Kafka, Redis, Postgres, Snowflake; designing real\-time and batch pipelines for audio and text.
* **Protocols:** 
 gRPC, WebSockets, HTTP/2 streaming, RTP/WebRTC.
* **Security \&amp; Compliance:** 
 Experience securing PHI/PII, HIPAA/HITRUST controls, and SOC2 processes.
**Soft Skills:** 
* **Product Mindset:** 
 Proven ability to make strategic product decisions with a focus on user needs and business impact.
* **Entrepreneurial: Experience taking ideas all the way from ideation to execution. Instead of waiting for tasks, you’re proactively identifying areas of opportunity and building them out.**
* **Leadership Skills:** 
 Demonstrated experience in leading technical teams and mentoring engineers.
* **Problem\-Solving:** 
 Excellent analytical and problem\-solving abilities.
* **Communication:** 
 Strong verbal and written communication skills; ability to articulate complex technical concepts to non\-technical stakeholders.
**How we work:** 
* Small, cross‑functional pods with a
 **tech lead** 
 (Data Science/Engineering owns sprint tickets; product owns the
 **what/why** 
 and outcomes).
* Bias to
 **prototype → validate → build** 
 ; instrument everything; learn fast.
* High autonomy, high bar, candid feedback, low politics.
* **Hybrid:** 
 3 days/week in our
 **West Loop** 
 office; occasional travel for customer meetings and team onsites.
**Compensation \&amp; benefits:** 
 Competitive base \+ equity; comprehensive health benefits; flexible PTO.
 XSELL is committed to a culture of teamwork; where everyone works together to plan, do, learn, and continuously improve. We accomplish that by staying true to our core values.
* **Best Chapter** 
 : Every XSELLer is plugged in and focused on writing their “best chapter yet”, both personally and professionally. We believe in working hard to achieve success, but that success only comes if we are doing it together. We do this with a high level of humility, integrity, and compassion towards our coworkers. We celebrate and recognize each other and have a lot of fun along the way.
* **Know Us By Our Results:** 
 We do what we say and say what we do. Our coworkers and clients will “know us by our results” – we welcome that and embrace transparency and measurement.
* **Do It The XSELL Way:** 
 Together we are building an inclusive culture full of top\-performing, talented people that are striving towards common goals with resilience. People will admire not only the work we do but also that we “do it the XSELL way” – as one team. We do this through strong communication, collaboration, and accountability to each other.
* **Open for Business:** 
 We are always “open for business” – fiercely committed to improving ourselves, our team, and our company. We stay curious and approach every situation as an opportunity to learn and grow.
* **Conversations Happen In the Room:** 
 Feedback is imperative to our collective success. We approach the “conversation in the room” with respect, empathy, and candor. Our dialogue with each other is always open and honest.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We are committed to the full inclusion of all qualified individuals. As part of this commitment, we will ensure that persons with disabilities are provided reasonable accommodations. If reasonable accommodation is needed to participate in the job application or interview process, perform essential job functions, and/or receive other benefits and privileges of employment, please contact us.</t>
        </is>
      </c>
    </row>
    <row r="71">
      <c r="A71" t="inlineStr">
        <is>
          <t>li-4354623123</t>
        </is>
      </c>
      <c r="B71" t="inlineStr">
        <is>
          <t>Lead Machine Learning Engineer</t>
        </is>
      </c>
      <c r="C71" t="inlineStr">
        <is>
          <t>TalentAlly</t>
        </is>
      </c>
      <c r="D71" t="inlineStr">
        <is>
          <t>linkedin</t>
        </is>
      </c>
      <c r="E71" t="inlineStr"/>
      <c r="F71" t="inlineStr"/>
      <c r="G71" t="inlineStr"/>
      <c r="H71" t="inlineStr"/>
      <c r="I71"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PDN\-a0c38a7a\-acce\-4b4e\-8a1f\-a1777223a54e</t>
        </is>
      </c>
    </row>
    <row r="72">
      <c r="A72" t="inlineStr">
        <is>
          <t>li-4330098517</t>
        </is>
      </c>
      <c r="B72" t="inlineStr">
        <is>
          <t>Senior AI Engineer</t>
        </is>
      </c>
      <c r="C72" t="inlineStr">
        <is>
          <t>RENFROE®</t>
        </is>
      </c>
      <c r="D72" t="inlineStr">
        <is>
          <t>linkedin</t>
        </is>
      </c>
      <c r="E72" t="inlineStr"/>
      <c r="F72" t="inlineStr"/>
      <c r="G72" t="inlineStr"/>
      <c r="H72" t="inlineStr"/>
      <c r="I72" t="inlineStr">
        <is>
          <t>We are seeking a highly skilled, hands\-on Senior AI Engineer to help build ClaimSentinel, RENFROE’s next\-generation AI\-driven claims quality assurance platform. This is a foundational role focused on building production\-quality LLM\-powered pipelines from the ground up, integrating AI capabilities into real operational systems, and establishing best practices as we move from MVP to production pilots.
 As one of the first AI engineers on the team, you will have significant ownership over LLM workflows, inference systems, evaluation pipelines, and integration patterns. This role is not research\-focused; it requires building reliable, scalable AI systems that support real claims QA workflows in production.
 You will work closely with AI leadership, product teams, and software engineering to deliver scalable AI features while helping shape the early AI engineering culture. This is a hands\-on engineering role, with most of your time spent designing, building, testing, and deploying production AI systems.
 What You’ll Do
 LLM \&amp; Pipeline Development
* Build and maintain LLM\-driven workflows for text extraction, summarization, classification, reasoning, and automation.
* Develop prompting strategies, evaluation frameworks, guardrails, and validation logic for reliable LLM outputs.
* Build RAG pipelines using embeddings, vector stores, and retrieval models (managed or self\-hosted).
* Fine\-tune or adapt LLMs and integrate third\-party or hosted models.
 AI Engineering
* Build and maintain production inference services and AI\-facing APIs that support ClaimSentinel.
* Implement data preprocessing and feature extraction for text and multimodal datasets.
* Support integration of classical ML or CV components when they complement LLM\-driven workflows.
* Work with large volumes of structured, unstructured, and OCR\-derived documents.
 Infrastructure \&amp; Deployment
* Deploy models via Docker and integrate them into backend services.
* Implement monitoring, logging, and observability for AI components.
* Optimize inference latency, throughput, and cost in cloud environments.
* Ensure secure, reliable, and scalable operation of AI services.
 Technical Collaboration
* Partner closely with software engineering on integration strategies and delivery timelines.
* Work with product leadership to refine requirements and iterate on AI\-driven features.
* Contribute to dataset design, annotation workflows, and overall AI development best practices.
 What We’re Looking For
 Required
* 5\+ years in AI engineering, ML engineering, or adjacent production\-focused roles.
* Strong experience building LLM\-driven applications (prompting, RAG, embeddings, fine\-tuning).
* Proficiency in Python and modern AI/ML frameworks (PyTorch, Hugging Face, LangChain/LlamaIndex, or similar).
* Experience deploying and optimizing model inference services in production.
* Familiarity with model serving approaches, including managed endpoints and model serving frameworks (vLLM, Ray Serve, or similar).
* Solid software engineering fundamentals (testing, CI/CD, version control).
* Experience designing evaluation and monitoring workflows for LLM systems.
* Cloud experience with platforms such as Azure, AWS, or GCP.
* Ability to work independently in a lean team and make thoughtful engineering tradeoffs.
* Strong communication skills and ability to collaborate cross\-functionally.
 Nice to Have
* Experience with computer vision techniques and multimodal models.
* Experience applying classical ML techniques in production systems.
* Experience in insurance, claims, or related regulated industries.
* Experience mentoring engineers or contributing to engineering best practices.
 Why Join RENFROE?
 We believe that success starts with our people. By joining our team, you’ll become part of a culture built on strong values:
* Excellence: We are dedicated to excellence in every aspect of our work. We seek the best minds and talents and provide them with opportunities for professional growth and continuous learning.
* Growth: Growth is the cornerstone of our company’s mission. By driving innovation, expanding our reach, and continuously improving our services, we ensure the company’s progress and success. At the same time, we remain dedicated to supporting the personal growth of our employees, fostering a dynamic and thriving workplace for all.
* Curiosity: We foster curiosity and innovation, encouraging creative thinking and exploration of new ideas to remain at the forefront of our industry.
* Empathy: A supportive and understanding workplace is key to our success. We value empathy and build relationships based on trust and mutual respect.
* Integrity: Transparency and honesty are at the core of our business practices. We uphold the highest ethical standards in all that we do.
* Service: Service is at the heart of our values. We are committed to making a positive impact on our clients, our community, and each other.</t>
        </is>
      </c>
    </row>
    <row r="73">
      <c r="A73" t="inlineStr">
        <is>
          <t>li-4320206719</t>
        </is>
      </c>
      <c r="B73" t="inlineStr">
        <is>
          <t>AI Engineer</t>
        </is>
      </c>
      <c r="C73" t="inlineStr">
        <is>
          <t>Tata Consultancy Services</t>
        </is>
      </c>
      <c r="D73" t="inlineStr">
        <is>
          <t>linkedin</t>
        </is>
      </c>
      <c r="E73" t="inlineStr"/>
      <c r="F73" t="inlineStr"/>
      <c r="G73" t="inlineStr">
        <is>
          <t>Colmar, PA</t>
        </is>
      </c>
      <c r="H73" t="inlineStr"/>
      <c r="I73" t="inlineStr">
        <is>
          <t>**Job Description**
 Strong experience with Generative AI (e.g., LLaMA, Stable Diffusion, LangChain).
 Solid understanding of Traditional AI/ML techniques (e.g., Regression, classification, clustering, NLP, CV).
 Proficiency in Python and ML frameworks like TensorFlow, PyTorch, and Scikit\-learn.
 Hands\-on experience with Azure / AWS cloud services (Azure AI Foundry, AI Hub, Open AI Search, Cosmos DB, Azure Functions, Azure ML etc OR AWS Bedrock, BedrockAgent, Lambda, EC2, ECS, Sagemaker etc) or equivalent.
 Experience in developing APIs and integrating NLP or LLM models into software applications.
 Experience with MLOps tools and practices (CI/CD, model monitoring, versioning).
 Roles \&amp; Responsibilities
 Design, develop, and deploy AI/ML Solutions \&amp; models using both traditional and generative approaches.
 Build and fine\-tune LLMs and GenAI applications (e.g., Understanding context, synthesizing data, Insights, relationships, recommendations, etc..).
 Build and maintain data pipelines and data processing workflows for prompt engineering on LLMs.
 Implement and optimize ML pipelines using Azure / AWS services (Azure Fucntion, Azure ML, ADLS OR Lambda, EC2, S3, Sagemaker etc.).
 Collaborate with data scientists, ML engineers, and product teams to translate business needs into AI solutions.
 Ensure scalability, reliability, and security of AI systems in production environments.
 Monitor model performance and retrain/update models as needed.
 Base Salary Range: $100,000 \- $125,000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4">
      <c r="A74" t="inlineStr">
        <is>
          <t>li-4314088323</t>
        </is>
      </c>
      <c r="B74" t="inlineStr">
        <is>
          <t>Senior Machine Learning Engineer, Fraud Detection</t>
        </is>
      </c>
      <c r="C74" t="inlineStr">
        <is>
          <t>Crunchyroll</t>
        </is>
      </c>
      <c r="D74" t="inlineStr">
        <is>
          <t>linkedin</t>
        </is>
      </c>
      <c r="E74" t="inlineStr"/>
      <c r="F74" t="inlineStr"/>
      <c r="G74" t="inlineStr">
        <is>
          <t>San Francisco, CA</t>
        </is>
      </c>
      <c r="H74" t="inlineStr"/>
      <c r="I74"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In the role of senior machine learning engineer, you will report to the director of data science and machine learning in the Center for Data and Insights, working from Los Angeles or San Francisco area in California.
 In this Machine Learning Engineer role focused on Algorithm Development and End\-to\-End Production at our VOD streaming company, you will lead the creation and deployment of scalable ML models to detect account sharing fraud, drawing from user behavior data like geolocation, concurrent sessions, and device profiles. This position is essential for collaborating with data scientists, product analysts, and data engineers, translating research prototypes into production systems that enhance detection accuracy while minimizing user disruption, aligning with proven strategies from streaming giants to boost subscriber growth.
**Core Areas of Responsibility**
* Design and implement machine learning algorithms, including anomaly detection models, to identify unauthorized account sharing in real\-time.
* Develop end\-to\-end ML pipelines for data preprocessing, model training, evaluation, and deployment using cloud platforms.
* Optimize models for performance, scalability, and efficiency to handle high\-volume streaming data.
* Integrate ML solutions with existing systems via APIs and establish monitoring for model drift and retraining.
* Collaborate on A/B testing and iteration to refine algorithms based on feedback and evolving evasion tactics.
**About You**
* Experience: You bring 5\+ years of hands\-on experience in ML engineering, with a track record in fraud or anomaly detection systems, ideally in online, consumer facing products and services.
* Technical Skills: Expert in Python and frameworks like TensorFlow, PyTorch, or XGBoost, with proficiency in MLOps tools such as MLflow, Docker, and cloud services like AWS SageMaker, Databricks MLFlow, etc. Experience with cloud computing infra and tooling such as AWS/GCP.
* Cross\-Functional Collaborations: Experienced in working with data scientists, engineers, and product teams to deploy models that support business goals like revenue optimization.
* Communication Skills: Strong ability to document technical processes and explain algorithm decisions to diverse stakeholders for seamless integration.
* Education Background: Possess a master's degree in computer science, machine learning, or a related quantitative field, with certifications in cloud ML being a plus.
* Communication Skills: Excellent verbal and written communication skills, with the ability to convey complex technical concepts to non\-technical stakeholders.
**Educational Background:** 
 Graduate degree (MS or PhD) in Computer Science, Statistics, or a related field.
**About The Team**
 Our team is composed of passionate Machine Learning Engineers and Data Scientists who have already made a significant impact across our product offerings, content strategy, and user engagement metrics. As we expand our scope, our team is poised to become the cornerstone of innovation and growth across various business verticals within the company. We are dedicated to leveraging advanced machine learning techniques to continue transforming how users interact with and enjoy our offering of video contents and all other services.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$185,000—$230,000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75">
      <c r="A75" t="inlineStr">
        <is>
          <t>li-4354387141</t>
        </is>
      </c>
      <c r="B75" t="inlineStr">
        <is>
          <t>Distinguished Machine Learning Engineer- Capital One Software (Remote)</t>
        </is>
      </c>
      <c r="C75" t="inlineStr">
        <is>
          <t>TalentAlly</t>
        </is>
      </c>
      <c r="D75" t="inlineStr">
        <is>
          <t>linkedin</t>
        </is>
      </c>
      <c r="E75" t="inlineStr"/>
      <c r="F75" t="inlineStr"/>
      <c r="G75" t="inlineStr"/>
      <c r="H75" t="inlineStr"/>
      <c r="I75" t="inlineStr">
        <is>
          <t>Distinguished Machine Learning Engineer\-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Distinguished Machine Learning Engineer, you'll have the opportunity to be on the forefront of building this business and bring these tools to market.
**Responsibilities:** 
* Build awareness, increase knowledge and drive adoption of modern technologies, sharing consumer and engineering benefits to gain buy\-in
* Collaborate on Capital One's toughest issues, to deliver on business needs that directly impact the lives of our customers and associates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 At least 5 years of experience in Machine Learning Systems and Infrastructure
**Preferred Qualifications:** 
* Masters' Degree
* 7\+ years of experience using Python, Java, Go, and SQL
* 6\+ year of experience deploying machine learning models
* Ability to understand deploying Machine Learning models in production environments at scale
* Experience using Large Language Models (LLMs) to prompt engineering, fine\-tune foundation models and evaluation and alignment of LLMs
* 3\+ years of experience with Kafka, Airflow, Spark, AWS Glue/Kinesis
* 3\+ years of experience with Databricks or Snowflake
* Experience using LLM Ops tooling and practices in model versioning, deployment, cost optimization and latency reduction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$239,900 \- $273,800 for Distinguished Machine Learning Engineer
 Richmond, VA: $239,900 \- $273,800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PDN\-a0c38739\-f3a5\-4c40\-8bbe\-9e088d2fa7c9</t>
        </is>
      </c>
    </row>
    <row r="76">
      <c r="A76" t="inlineStr">
        <is>
          <t>li-4302599380</t>
        </is>
      </c>
      <c r="B76" t="inlineStr">
        <is>
          <t>Staff Machine Learning Engineer (India based, relocation provided)</t>
        </is>
      </c>
      <c r="C76" t="inlineStr">
        <is>
          <t>Agoda</t>
        </is>
      </c>
      <c r="D76" t="inlineStr">
        <is>
          <t>linkedin</t>
        </is>
      </c>
      <c r="E76" t="inlineStr"/>
      <c r="F76" t="inlineStr"/>
      <c r="G76" t="inlineStr">
        <is>
          <t>Los Angeles, CA</t>
        </is>
      </c>
      <c r="H76" t="inlineStr"/>
      <c r="I7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7">
      <c r="A77" t="inlineStr">
        <is>
          <t>li-4313252167</t>
        </is>
      </c>
      <c r="B77" t="inlineStr">
        <is>
          <t>CDS DATA SYSTEMS &amp; AI ENGINEER, Office of the Provost</t>
        </is>
      </c>
      <c r="C77" t="inlineStr">
        <is>
          <t>Boston University</t>
        </is>
      </c>
      <c r="D77" t="inlineStr">
        <is>
          <t>linkedin</t>
        </is>
      </c>
      <c r="E77" t="inlineStr"/>
      <c r="F77" t="inlineStr"/>
      <c r="G77" t="inlineStr">
        <is>
          <t>Boston, MA</t>
        </is>
      </c>
      <c r="H77" t="inlineStr"/>
      <c r="I77" t="inlineStr">
        <is>
          <t>Category
 Charles River Campus \-\-\&gt; Professional
 Job Location
 BOSTON, MA, United States
 Tracking Code
 25500555261009
 Posted Date
 10/9/2025
 Salary Grade
 Grade 51
 Expected Hiring Range Minimum
 $100,000\.00
 Expected Hiring Range Maximum
 $123,000\.00
 The salary of the finalist selected for this role will be set based on a variety of factors, including but not limited to departmental budgets, qualifications, experience, education, licenses, specialty, training and internal pay comparison. The above hiring range represents the University's good faith and reasonable estimate of the range of possible compensation at the time of posting.
 Position Type
 Full\-Time/Regular
 The CDS Data Systems, Software, and AI Engineer will serve as the technical lead on a portfolio of interdisciplinary projects spanning software engineering, data systems, and artificial intelligence. The position will guide individuals and teams in the design, development, deployment, and evaluation of (near) production\-quality systems—whether software platforms, data infrastructures, or AI\-powered solutions—aligned with CDS research, teaching, and operational priorities.
 Working closely with CDS leadership, this role will also be responsible for selecting, scoping, and resourcing projects. The engineer will play a central role in shaping a critical technical function within a pioneering academic unit, with the potential to impact cutting\-edge research, student learning experiences, and the creation of innovative artifacts that advance academic and operational excellence at BU and beyond.
 This position will also serve as a key liaison with BU units involved in software, data, and AI infrastructure development, including IS\&amp;T, BU Spark! Solution Engineers, and BU SAIL. The engineer will supervise student interns and/or soft\-funded research staff working on software, data, or AI engineering projects.
**Specific Duties Include**
**Development of Software, Data, and AI Infrastructures and Solutions – 50%**
 Lead the design and implementation of integrated software systems, scalable data infrastructures, and AI\-powered applications that support faculty research and clinic\-based projects. Standardize development practices across domains by ensuring code quality, data governance, security protocols, and model evaluation. Develop open and extensible artifacts such as modular software platforms, MCP\-based data repositories, and AI components, including large language models and agentic AI systems. Close collaboration with technical and administrative leads is required to deliver tailored solutions that meet both experimental and operational needs. Maintain an online repository of completed projects, datasets, software tools, and AI models to ensure transparency, accessibility, and reuse.
**Experiential Learning Support – 20%**
 Support faculty in delivering high\-quality experiential learning through CDS clinics and BU Spark! practicum offerings, with projects spanning software engineering, data science, and AI development. Responsibilities include assisting in project scoping, student applicant assessment, and quality assurance across technical domains. Provide mentorship and technical guidance to junior staff, student project managers, and interns working on software, data, or AI initiatives. In addition, represent CDS as the senior technical lead in meetings with both internal and external partners.
**Sponsored Research Support – 20%**
 Collaborate with CDS faculty on sponsored research projects that require software prototypes, data pipelines, and AI systems. Support the development and deployment of pilots as well as production\-ready artifacts across software, data, and AI domains. Serve as a liaison to BU departments providing computing resources or technical support, including IS\&amp;T Research Computing, the Hariri Institute’s SAIL, and Medical Campus cores such as BEDAC and the Bioinformatics Core.
**Technical Consultancy – 10%**
 Provide advisory support to faculty, students, and partners on the design and implementation of pilot projects involving software development, data engineering, and AI integration. Guide innovation efforts within CDS clinics, BU Spark! courses, and student\-led initiatives, ensuring technical feasibility and alignment with best practices across all domains.
**Required Skills**
 Bachelor’s degree in Computer Science, Computer Engineering, Computational Sciences, Mathematics, Statistics, or related technical field required. 5\-8 years of relevant experience.
*We are an equal opportunity employer, and all qualified applicants will receive consideration for employment without regard to race, color, natural or protective hairstyle, religion, sex, age, national origin, physical or mental disability, sexual orientation, gender identity, genetic information, military service, pregnancy or pregnancy\-related condition, or because of marital, parental, or veteran status. We are a VEVRAA Federal Contractor.*</t>
        </is>
      </c>
    </row>
    <row r="78">
      <c r="A78" t="inlineStr">
        <is>
          <t>li-4333572737</t>
        </is>
      </c>
      <c r="B78" t="inlineStr">
        <is>
          <t>PhD Audio AI Engineer (Speech Conversion, TTS &amp; ASR)</t>
        </is>
      </c>
      <c r="C78" t="inlineStr">
        <is>
          <t>Zoom</t>
        </is>
      </c>
      <c r="D78" t="inlineStr">
        <is>
          <t>linkedin</t>
        </is>
      </c>
      <c r="E78" t="inlineStr"/>
      <c r="F78" t="inlineStr"/>
      <c r="G78" t="inlineStr">
        <is>
          <t>San Jose, CA</t>
        </is>
      </c>
      <c r="H78" t="inlineStr"/>
      <c r="I78" t="inlineStr">
        <is>
          <t>**Audio AI Engineer**
**What You Can Expect**
 As an Audio AI Engineer, you will research and develop algorithms for accent conversion, voice conversion, speech synthesis, and speech recognition on low\-latency streaming architectures. You’ll prototype and refine end\-to\-end audio models that enhance intelligibility and naturalness while maintaining speaker identity. Working closely with product and platform teams, you’ll help bring these models into real\-time communication systems. You will also evaluate and optimize model performance across dimensions such as quality, latency, and scalability. Staying current with advances in speech processing, you’ll contribute to innovation through patents and internal knowledge sharing.
**About The Team**
 Zoom's Audio team develops real\-time audio features based on AI algorithms. Members of the team are spread worldwide, including the U.S., China and Singapore.
**Responsibilities**
* Researching, designing, and developing algorithms for accent conversion, voice conversion, speech synthesis, and automatic speech recognition, focusing on low\-latency streaming architectures
* Prototyping end\-to\-end audio models that enhance intelligibility and naturalness while preserving speaker identity and expressiveness.
* Collaborating closely with product and platform teams to integrate models into real\-time video and audio communication systems.
* Analyzing and optimizing model performance across speech quality, latency, robustness, and scalability dimensions.
* Staying current with the latest developments in speech processing research, and contribute to the community through patents, and internal knowledge sharing.
**What We’re Looking For**
* Hold a PhD or equivalent experience in a relevant field in Streaming, Voice Conversion, TTS, or ASR.
* Show proficiency in deep learning frameworks like PyTorch or TensorFlow.
* Demonstrate effective programming skills in Python, C/C\+\+, or similar languages.
* Have an understanding of sequence modeling architectures (Transformers, RNNs, diffusion models, or conformers).
* Demonstrate experience developing and deploying low\-latency, real\-time speech or audio models with streaming architectures and optimized pipelines.
* Show familiarity with model compression and acceleration techniques, including quantization, pruning, and distillation.
* Exhibit experience working with real\-time audio systems in networked communication environments.
* Publish in top\-tier conferences such as ICASSP, INTERSPEECH, NeurIPS, and ICLR.
* Must be fluent in Mandarin
**Minimum**
**Salary Range or On Target Earnings:**
 $127,700\.00
**Maximum**
 $255,400\.00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01/12/26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79">
      <c r="A79" t="inlineStr">
        <is>
          <t>li-4320272859</t>
        </is>
      </c>
      <c r="B79" t="inlineStr">
        <is>
          <t>Forward Deployed AI Engineer-Palantir Foundry-Senior Associate</t>
        </is>
      </c>
      <c r="C79" t="inlineStr">
        <is>
          <t>PwC</t>
        </is>
      </c>
      <c r="D79" t="inlineStr">
        <is>
          <t>linkedin</t>
        </is>
      </c>
      <c r="E79" t="inlineStr"/>
      <c r="F79" t="inlineStr"/>
      <c r="G79" t="inlineStr">
        <is>
          <t>New York, NY</t>
        </is>
      </c>
      <c r="H79" t="inlineStr"/>
      <c r="I7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li-4320173021</t>
        </is>
      </c>
      <c r="B80" t="inlineStr">
        <is>
          <t>Forward Deployed AI Engineer-Palantir Foundry-Senior Associate</t>
        </is>
      </c>
      <c r="C80" t="inlineStr">
        <is>
          <t>PwC</t>
        </is>
      </c>
      <c r="D80" t="inlineStr">
        <is>
          <t>linkedin</t>
        </is>
      </c>
      <c r="E80" t="inlineStr"/>
      <c r="F80" t="inlineStr"/>
      <c r="G80" t="inlineStr">
        <is>
          <t>Silicon Valley, CA</t>
        </is>
      </c>
      <c r="H80" t="inlineStr"/>
      <c r="I8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li-4256829083</t>
        </is>
      </c>
      <c r="B81" t="inlineStr">
        <is>
          <t>Senior Delivery Consultant - Senior Machine Learning Engineer, AWS Professional Services, AWS Professional Services</t>
        </is>
      </c>
      <c r="C81" t="inlineStr">
        <is>
          <t>Amazon Web Services (AWS)</t>
        </is>
      </c>
      <c r="D81" t="inlineStr">
        <is>
          <t>linkedin</t>
        </is>
      </c>
      <c r="E81" t="inlineStr"/>
      <c r="F81" t="inlineStr"/>
      <c r="G81" t="inlineStr">
        <is>
          <t>Seattle, WA</t>
        </is>
      </c>
      <c r="H81" t="inlineStr"/>
      <c r="I81" t="inlineStr">
        <is>
          <t>**Description**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 Leading project teams and implementing end\-to\-end AI/ML and GenAI projects, from understanding business needs to data preparation, model development, deployment and monitoring.
* Designing and implementing machine learning pipelines that support high\-performance, reliable, scalable, and secure ML workloads.
* Designing scalable ML solutions and operations (MLOps) using AWS services and leveraging GenAI solutions when applicable.
* Collaborating with cross\-functional teams (Applied Science, DevOps, Data Engineering, Cloud Infrastructure, Applications) to prepare, analyze, and operationalize data and AI/ML models.
* Serving as a trusted advisor to customers on AI/ML and GenAI solutions and cloud architectures
* Sharing knowledge and best practices within the organization through mentoring, training, publication, and creating reusable artifacts.
*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A3017067</t>
        </is>
      </c>
    </row>
    <row r="82">
      <c r="A82" t="inlineStr">
        <is>
          <t>li-4320302780</t>
        </is>
      </c>
      <c r="B82" t="inlineStr">
        <is>
          <t>Forward Deployed AI Engineer-Palantir Foundry-Senior Associate</t>
        </is>
      </c>
      <c r="C82" t="inlineStr">
        <is>
          <t>PwC</t>
        </is>
      </c>
      <c r="D82" t="inlineStr">
        <is>
          <t>linkedin</t>
        </is>
      </c>
      <c r="E82" t="inlineStr"/>
      <c r="F82" t="inlineStr"/>
      <c r="G82" t="inlineStr">
        <is>
          <t>Atlanta, GA</t>
        </is>
      </c>
      <c r="H82" t="inlineStr"/>
      <c r="I8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3">
      <c r="A83" t="inlineStr">
        <is>
          <t>li-4354517695</t>
        </is>
      </c>
      <c r="B83" t="inlineStr">
        <is>
          <t>STAFF APPLIED SCIENTIST</t>
        </is>
      </c>
      <c r="C83" t="inlineStr">
        <is>
          <t>Usermind</t>
        </is>
      </c>
      <c r="D83" t="inlineStr">
        <is>
          <t>linkedin</t>
        </is>
      </c>
      <c r="E83">
        <f>HYPERLINK("https://www.linkedin.com/jobs/view/4354517695", "https://www.linkedin.com/jobs/view/4354517695")</f>
        <v/>
      </c>
      <c r="F83">
        <f>HYPERLINK("https://www.qualtrics.com/careers/us/en/job/7441117/Staff-Applied-Scientist&amp;urlHash=l3OR", "https://www.qualtrics.com/careers/us/en/job/7441117/Staff-Applied-Scientist&amp;urlHash=l3OR")</f>
        <v/>
      </c>
      <c r="G83" t="inlineStr">
        <is>
          <t>Seattle, WA</t>
        </is>
      </c>
      <c r="H83" t="inlineStr"/>
      <c r="I83"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Sign up
 Profile recommendations
 No recommendations found
 Similar Jobs
* $index" data\-ph\-at\-id\="jobs\-list\-item" data\-ps\="2913fba8\-li\-1" v\-phw\-setting\="" au\-target\-id\="1718"\&gt;
 Manager, Machine Learning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Software Engineer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Product Manager \- Agentic // Experience Agents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Software Engineer II \- DSX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Chief of Staff \- Product \&amp; Design (PxE)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Product Operations Leader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Senior Manager, PXE Transformation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Engineering Director, IT Infrastructure and Operations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Senior Manager\- Head of Product PMO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No recommendations found
 Jobseekers Also Viewed
 " key\-aria\-label\="widgetHeadingText" show.bind\="!showLoader \&amp;\&amp; jobResults.length" data\-ps\="0d4ec29e\-div\-2" v\-phw\-setting\="" au\-target\-id\="2226"\&gt;
 Jobseekers Also Viewed
* $index" data\-ph\-at\-id\="jobs\-list\-item" data\-ps\="0d4ec29e\-li\-1" v\-phw\-setting\="" au\-target\-id\="2233"\&gt;
 Manager, Machine Learning
 Location Seattle, Washington, United States Category Engineering, Product, \&amp; UX Design
 At Qualtrics, we create software the world’s best brands use to deliver exceptional frontline experiences, build high\-performing teams, and design products people love. But we are more than a platform
* $index" data\-ph\-at\-id\="jobs\-list\-item" data\-ps\="0d4ec29e\-li\-1" v\-phw\-setting\="" au\-target\-id\="2233"\&gt;
 Experience Management Scientist \- CX Center of Excellence
 Location Provo, Utah, United States Category Corporate Strategy \&amp; Go To Market Operations
 At Qualtrics, we create software the world’s best brands use to deliver exceptional frontline experiences, build high\-performing teams, and design products people love. But we are more than a platform
* $index" data\-ph\-at\-id\="jobs\-list\-item" data\-ps\="0d4ec29e\-li\-1" v\-phw\-setting\="" au\-target\-id\="2233"\&gt;
 Executive Assistant
 Location Provo, Utah, United States Category People
 At Qualtrics, we create software the world’s best brands use to deliver exceptional frontline experiences, build high\-performing teams, and design products people love. But we are more than a platform
 No recommendations found</t>
        </is>
      </c>
    </row>
    <row r="84">
      <c r="A84" t="inlineStr">
        <is>
          <t>li-4354574995</t>
        </is>
      </c>
      <c r="B84" t="inlineStr">
        <is>
          <t>Machine Learning Engineer - AI</t>
        </is>
      </c>
      <c r="C84" t="inlineStr">
        <is>
          <t>Atlassian</t>
        </is>
      </c>
      <c r="D84" t="inlineStr">
        <is>
          <t>linkedin</t>
        </is>
      </c>
      <c r="E84">
        <f>HYPERLINK("https://www.linkedin.com/jobs/view/4354574995", "https://www.linkedin.com/jobs/view/4354574995")</f>
        <v/>
      </c>
      <c r="F84" t="inlineStr"/>
      <c r="G84" t="inlineStr"/>
      <c r="H84" t="inlineStr"/>
      <c r="I84" t="inlineStr">
        <is>
          <t>**About The Company** 
 Atlassian is a leading provider of collaboration software solutions designed to help teams work more effectively and efficiently. With a global presence, Atlassian empowers organizations of all sizes to streamline their workflows, enhance communication, and foster innovation through a suite of innovative products such as Jira, Confluence, Trello, and many others. The company's mission is to unleash the potential of every team by providing tools that facilitate seamless collaboration and productivity. As a distributed\-first organization, Atlassian values flexibility and inclusivity, allowing employees to work from anywhere—whether in an office, from home, or a combination of both. Committed to fostering a diverse and equitable workplace, Atlassian emphasizes continuous learning, innovation, and a strong company culture centered around teamwork and shared success.
**About The Role** 
 We are seeking a highly skilled Principal Machine Learning Scientist to join our Central AI team based in Bellevue, WA. This pivotal role involves leading the development of advanced machine learning algorithms and building robust AI infrastructure that supports various products and services across Atlassian. As a key contributor, you will collaborate closely with product managers, engineering teams, and data analysts to embed AI capabilities into our platform, driving innovation and delivering impactful solutions. Your responsibilities will include designing scalable system architectures, conducting experiments to evaluate model performance, and mentoring emerging ML engineers. The role offers an exciting opportunity to influence the future of AI at Atlassian, ensuring that our AI initiatives are practical, scalable, and aligned with business goals. You will be at the forefront of AI innovation, helping to shape the company's AI strategy and infrastructure to support a wide array of enterprise and consumer applications.
**Qualifications** 
* Bachelor’s or Master’s degree in Computer Science, Data Science, or a related field (PhD preferred)
* 5\+ years of industry experience in data science, machine learning, or AI development
* Proficiency in Python or Java, with the ability to write performant, production\-quality code
* Strong familiarity with SQL, Spark, and cloud data environments such as AWS or Databricks
* Experience building and scaling machine learning models for business applications using large datasets
* Excellent communication skills, with the ability to articulate complex data science concepts to diverse audiences
* Focus on delivering practical, business\-oriented solutions with a high standard of quality
* Agile development mindset, embracing continuous iteration and improvement
**Responsibilities** 
* Lead the design and implementation of advanced machine learning algorithms and models
* Develop scalable AI infrastructure and frameworks to support enterprise\-wide AI initiatives
* Collaborate with cross\-functional teams including product managers, engineers, and data analysts to integrate AI features into Atlassian products
* Conduct rigorous experimentation, model evaluation, and optimization to ensure high performance and reliability
* Mentor and guide junior ML engineers, fostering a culture of innovation and continuous learning
* Stay current with the latest developments in AI and machine learning, applying relevant advancements to enhance our products
* Ensure AI solutions are aligned with business goals, practical, and scalable for enterprise deployment
* Contribute to the development of core shared AI experiences such as search, knowledge discovery, and conversational interfaces
**Benefits** 
* Competitive and equitable compensation packages
* Comprehensive health, dental, and vision insurance coverage
* Paid volunteer days and wellness resources to support personal well\-being and community engagement
* Flexible work arrangements to promote work\-life balance
* Opportunities for professional growth and development within a global organization
* Access to cutting\-edge AI and machine learning tools and resources
* Inclusive and diverse work environment that values every contribution
 Equal Opportunity
 At Atlassian, we are committed to creating an inclusive environment where all employees feel valued and respected. We are an equal opportunity employer and do not discriminate based on race, religion, national origin, gender identity or expression, sexual orientation, age, veteran status, disability, or any other protected characteristic. We support diversity and inclusion in all aspects of our work and recruitment processes.</t>
        </is>
      </c>
    </row>
    <row r="85">
      <c r="A85" t="inlineStr">
        <is>
          <t>li-4351226820</t>
        </is>
      </c>
      <c r="B85" t="inlineStr">
        <is>
          <t>AI Engineer</t>
        </is>
      </c>
      <c r="C85" t="inlineStr">
        <is>
          <t>Lazard</t>
        </is>
      </c>
      <c r="D85" t="inlineStr">
        <is>
          <t>linkedin</t>
        </is>
      </c>
      <c r="E85">
        <f>HYPERLINK("https://www.linkedin.com/jobs/view/4351226820", "https://www.linkedin.com/jobs/view/4351226820")</f>
        <v/>
      </c>
      <c r="F85" t="inlineStr"/>
      <c r="G85" t="inlineStr">
        <is>
          <t>New York, United States</t>
        </is>
      </c>
      <c r="H85" t="inlineStr"/>
      <c r="I85" t="inlineStr">
        <is>
          <t>Americas
 Corporate
 New York
 Lazard is one of the world’s preeminent financial advisory and asset management firms.
 **Our people and culture make the difference** 
 . While global in presence and reach, ours is a close, collaborative community of just over 3,000 professionals. Lazard is a place of continuous knowledge sharing, skill development and relationship building, where professionals grow and succeed together. Our entrepreneurial culture, flat structure and embrace of individual differences, allow creative ideas, original concepts, and unique perspectives to drive our business forward — and for careers to take flight.
 The Lazard Data Analytics Group, composed of data scientists, AI engineers, and software engineers, drives innovation by developing advanced AI and data science solutions that enhance decision\-making across our financial advisory and asset management business lines. This team ensures Lazard stays at the forefront of a data\-driven world, delivering insights that support client engagements and strengthen key partnerships, while keeping the firm competitive and efficient in an evolving financial landscape.
 The AI Engineer at Lazard will work within the AI \&amp; Data Group to design, develop, and deploy advanced AI\-driven applications and solutions to support the Firm’s financial advisory and asset management businesses. The primary responsibility is to build large\-scale AI and machine learning projects that deliver actionable insights and drive innovation. The AI Engineer will collaborate closely with investment bankers, asset managers, data scientists, software engineers, and senior management across the Firm to deliver impactful solutions. Successful candidates will possess advanced technical and domain expertise, along with the ability to effectively communicate complex concepts to non\-technical stakeholders.
**Required Qualifications**
* Bachelor’s or advanced degree in Computer Science, AI, Data Science, Machine Learning, or related fields.
* 1\-3 years of experience developing large scale GenAI applications
* Expertise in Python and frameworks such as TensorFlow, PyTorch, and scikit\-learn.
* Deep knowledge of machine learning algorithms and experience in productionizing AI models.
* Proficiency with frameworks for large language models (LLMs) such as LangChain, LlamaIndex, and VectorDBs.
* Experience developing and deploying AI solutions using cloud platforms like Azure, AWS, or GCP.
* Advanced knowledge of unstructured data processing, including NLP (e.g., sentiment analysis, entity recognition, topic modeling, and retrieval\-augmented generation).
* Proficiency in APIs and microservices frameworks like FastAPI or Flask.
* Demonstrated ability to query and analyze data from relational and NoSQL databases (e.g., PostgreSQL, MongoDB, ElasticSearch).
* Strong communication skills with the ability to translate technical findings into actionable business strategies for bankers, asset managers, and other stakeholders.
* Passion for building innovative, high\-quality AI\-driven products.
* Ability to work both independently and collaboratively.
**It is a bonus to have:**
* Prior experience in the financial industry or a strong interest in finance.
* Familiar with Databricks, Azure AI and Microsoft Copilot ecosystem
* Expertise in building advanced retrieval\-augmented generation (RAG) systems and developing autonomous LLM agent workflows.
* Familiarity with MLOps workflows and tools like MLflow, Kubeflow, or Vertex AI.
* Experience with real\-time AI applications and stream processing frameworks.
* Demonstrated success in delivering AI solutions with measurable business impact.
* Strong knowledge of advanced GenAI and communicating insights to non\-technical audiences.
**What We Offer**
 We strive to enhance the total health and well\-being of our employees through comprehensive, competitive benefits. 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We expect the base salary range for this role to be approximately $110,000 \- $140,000 USD. Various factors contribute to determining the actual base compensation offered, including but not limited to the applicant’s years of relevant experience, career tenure, qualifications, level of education attained, certifications or other professional licenses held, relevant skills for the role. Base salary is one component of Lazard Asset Management’s compensation package, which also includes comprehensive benefits and may include incentive compensation.
**Does this sound like you?**
 Apply! We’ll get in touch and let you know the next steps.
**Representation at Lazard**
 Lazard is an intellectual capital business committed to delivering the best advice and solutions to clients. To achieve these objectives, we focus on attracting, developing and retaining the best talent. We believe that a workforce comprised of people who represent a wide array of backgrounds, experiences and perspectives creates a rich variety of thought that empowers us to challenge conventional wisdom, solve problems creatively and make better decisions.
 Lazard was built on the premise that a multicultural firm can best serve a global clientele. As a global firm that has grown organically from local roots in different countries, we have a deep tradition of respecting and appreciating individual differences. Doing so has been core to our success for over 175 years. We are committed to sustaining an environment where every colleague is supported in their professional pursuits, can maximize their individual potential and contribute to our collective success.</t>
        </is>
      </c>
    </row>
    <row r="86">
      <c r="A86" t="inlineStr">
        <is>
          <t>li-4354586259</t>
        </is>
      </c>
      <c r="B86" t="inlineStr">
        <is>
          <t>MLOps Engineer, Machine Learning Engineer (Remote)</t>
        </is>
      </c>
      <c r="C86" t="inlineStr">
        <is>
          <t>Experian</t>
        </is>
      </c>
      <c r="D86" t="inlineStr">
        <is>
          <t>linkedin</t>
        </is>
      </c>
      <c r="E86">
        <f>HYPERLINK("https://www.linkedin.com/jobs/view/4354586259", "https://www.linkedin.com/jobs/view/4354586259")</f>
        <v/>
      </c>
      <c r="F86" t="inlineStr"/>
      <c r="G86" t="inlineStr"/>
      <c r="H86" t="inlineStr"/>
      <c r="I86"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We are looking for an experienced
 **MLOps Engineer** 
 to build and scale machine learning solutions that address critical challenges in the healthcare revenue cycle. You will report to Experian Health and focus on operationalizing ML models, ensuring deployment pipelines, and maintaining scalable, secure, and ML infrastructure on AWS, collaborate with data scientists, software engineers, and product teams to bring ML products from prototype to production, with a emphasis on automation, monitoring, and continuous improvement.
* You'll have opportunity to:
+ Develop scalable MLOps pipelines for model training, validation, deployment, and monitoring using AWS services
+ Implement infrastructure as code and CI/CD workflows to support rapid experimentation and reliable production releases
+ Collaborate with data scientists to productionize ML models and ensure reproducibility, versioning, and traceability
+ Monitor model performance and data drift in production environments, and implement automated retraining and alerting mechanisms
+ Improve ML workflows using tools such as SageMaker, Airflow, Docker, Kubernetes (EKS), and Step Functions
+ Ensure compliance with healthcare data standards and security best practices (e.g., HIPAA)
**Qualifications**
* Bachelor's degree in Computer Science, Engineering, Data Science, or a related field
* 3\+ years' experience in MLOps, DevOps, or ML engineering roles
* 3\+ years' experience with AWS services for ML (e.g., SageMaker, Lambda, Step Functions, S3, ECR, CloudWatch)
* Proficiency with containerization and orchestration tools (Docker, Kubernetes/EKS).
* 3\+ years' experience with ML lifecycle tools such as MLflow, TensorFlow Serving, or Kubeflow and with CI/CD pipelines, infrastructure as code (e.g., Terraform, CloudFormation), and monitoring/logging tools
* Experience in the healthcare domain, especially with claims or EHR data, and familiarity with standards like ICD and CPT
* Exposure to NLP, Bayesian modeling, or real\-time ML systems
* Familiarity with Agile development methodologies
* AWS certifications (e.g., Machine Learning Specialty, DevOps Engineer)
**Benefits/Perks**
**Additional Information**
* Great compensation package and bonus plan
* Core benefits including medical, dental, vision, and matching 401K
* Flexible work environment, ability to work remote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87">
      <c r="A87" t="inlineStr">
        <is>
          <t>li-4330471206</t>
        </is>
      </c>
      <c r="B87" t="inlineStr">
        <is>
          <t>Machine Learning Engineer</t>
        </is>
      </c>
      <c r="C87" t="inlineStr">
        <is>
          <t>Adobe</t>
        </is>
      </c>
      <c r="D87" t="inlineStr">
        <is>
          <t>linkedin</t>
        </is>
      </c>
      <c r="E87">
        <f>HYPERLINK("https://www.linkedin.com/jobs/view/4330471206", "https://www.linkedin.com/jobs/view/4330471206")</f>
        <v/>
      </c>
      <c r="F87">
        <f>HYPERLINK("https://careers.adobe.com/us/en/job/ADOBUSR163798EXTERNALENUS/Machine-Learning-Engineer?utm_source=linkedin&amp;utm_medium=phenom-feeds&amp;source=LinkedIn&amp;urlHash=jARG", "https://careers.adobe.com/us/en/job/ADOBUSR163798EXTERNALENUS/Machine-Learning-Engineer?utm_source=linkedin&amp;utm_medium=phenom-feeds&amp;source=LinkedIn&amp;urlHash=jARG")</f>
        <v/>
      </c>
      <c r="G87" t="inlineStr">
        <is>
          <t>Waltham, MA</t>
        </is>
      </c>
      <c r="H87" t="inlineStr"/>
      <c r="I8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Challenge
 The Adobe Document Cloud Data Science team is on the lookout for an ambitious Machine Learning Engineer to join our dynamic workforce in Waltham, MA. This outstanding opportunity allows you to apply innovative AI/ML techniques and help us build solutions that will drive the success of our Document Cloud business. By collaborating with various business units, you will develop sophisticated data science models addressing challenging issues such as acquisition, engagement, conversion, and retention. You will have the chance to exercise creativity in problem\-solving, delivering inventive new solutions within our data ecosystem. Join a team of skilled engineers dedicated to elevating our customer experiences to the next level!
 What You’ll Do
* Push the boundaries of online recommendation and optimization systems.
* Develop and implement scalable and efficient models on large\-scale datasets to address various business problems using sophisticated statistical modeling and machine learning techniques.
* Address complex data science challenges such as online learning and reinforcement learning when tackling business problems in digital marketing.
* Gather, synthesize, and interpret disparate quantitative information sources, develop meaningful insights, and communicate these clearly to key partners.
* Collaborate with product management and engineering groups to develop new products and features.
* Compose a winning culture built on collaboration and shared accomplishments – have fun along the way!
 What You Need to Succeed
* Solid expertise in machine learning, deep learning, and reinforcement learning.
* Expertise in applying causal inference and experimentation techniques (e.g., uplift modeling, treatment effect estimation, counterfactual analysis) to measure the true incremental impact of personalization and optimization initiatives.
* Ability to develop and enhance personalization using causal signals and machine learning methods (e.g., contextual bandits, reinforcement learning) to drive engagement, conversion, and retention.
* Proficiency in one or more programming languages such as Python.
* Deep understanding of model serving, orchestration, scaling, and GPU resource management.
* PhD or MS degree in Computer Science, Statistics, Applied Math, Electrical Engineering, Operations Research, Econometrics, or other related fields.
* Excellent communication and relationship skills, and a great teammate.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In Massachusetts, the pay range for this position is $134,000 \- $194,000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88">
      <c r="A88" t="inlineStr">
        <is>
          <t>li-4354328804</t>
        </is>
      </c>
      <c r="B88" t="inlineStr">
        <is>
          <t>ML Engineer</t>
        </is>
      </c>
      <c r="C88" t="inlineStr">
        <is>
          <t>Reddit, Inc.</t>
        </is>
      </c>
      <c r="D88" t="inlineStr">
        <is>
          <t>linkedin</t>
        </is>
      </c>
      <c r="E88">
        <f>HYPERLINK("https://www.linkedin.com/jobs/view/4354328804", "https://www.linkedin.com/jobs/view/4354328804")</f>
        <v/>
      </c>
      <c r="F88" t="inlineStr"/>
      <c r="G88" t="inlineStr"/>
      <c r="H88" t="inlineStr"/>
      <c r="I88" t="inlineStr">
        <is>
          <t>**About The Company**
 Reddit is a vibrant community of communities, built on shared interests, passions, and trust. It serves as one of the largest online platforms for open and authentic conversations, hosting over 100,000 active communities and attracting approximately 116 million daily active visitors. Reddit's mission is to foster community, belonging, and empowerment for everyone worldwide. The platform continuously evolves to provide a delightful and relevant experience for its users and advertisers alike. With a focus on innovation and user engagement, Reddit is dedicated to building best\-in\-class products that connect people through meaningful interactions.
**About The Role**
 We are seeking a highly skilled and experienced Ads Targeting Machine Learning Engineer to join our dynamic team. In this role, you will be instrumental in designing and implementing machine learning systems that enhance targeting products, ensuring relevant audiences are delivered to advertisers within the right context. Your work will involve building large\-scale offline and online retrieval systems to improve behavioral and contextual targeting capabilities. As a key member of the ads targeting quality team, you will own end\-to\-end ML product development, from research and experimentation to deployment and optimization. You will collaborate closely with cross\-functional teams including product managers, engineers, research, and marketing to develop innovative solutions that drive business outcomes and improve user experience. This position offers an exciting opportunity to lead complex projects, influence technical strategy, and mentor junior team members in a fast\-paced, innovative environment.
**Qualifications**
* Tech lead experience in a product\-focused machine learning team, driving research and technical direction to improve business outcomes
* Experience with ads retrieval modeling, ranking, or recommendation systems
* Proficiency with deep learning models for retrieval such as two\-tower architectures, GNNs, transformers, and LLMs
* Minimum of 5\+ years of end\-to\-end experience in training, evaluating, testing, and deploying machine learning models
* At least 2\+ years of hands\-on experience with TensorFlow or PyTorch
* Experience working with large\-scale data processing and pipeline orchestration tools like Spark, Dataflow, Kubeflow, Airflow, and BigQuery
* Knowledge of nearest\-neighbor search systems is highly desirable
* Experience collaborating with cross\-functional stakeholders across research, product, and infrastructure teams
* Familiarity with deep learning, representation learning, or transfer learning techniques
* Previous experience in a technical leadership role within a product team is strongly preferred
**Responsibilities**
* Own the end\-to\-end design, development, and deployment of ML\-based targeting products, including auto targeting and user lookalikes
* Lead research initiatives and define the technical roadmap for complex projects, ensuring alignment with business goals
* Drive day\-to\-day project execution, providing technical guidance and mentorship to team members
* Collaborate with product managers and cross\-functional teams to prioritize features based on data analysis, industry trends, and research findings
* Research, implement, and test innovative model architectures using advanced deep learning techniques to enhance retrieval and targeting accuracy
* Conduct offline and online experiments to evaluate model performance and optimize targeting strategies
* Work on large\-scale data systems and ensure smooth integration of ML models into production environments
* Partner with engineering, research, and marketing teams to translate research insights into scalable products and features
**Benefits**
* Comprehensive healthcare benefits and income replacement programs
* 401(k) plan with employer match
* Support for family planning and gender\-affirming care
* Mental health and coaching services
* Flexible vacation policy and Reddit Global Days off
* Generous paid parental leave
* Paid volunteer time off
 Equal Opportunity
 Reddit is an equal opportunity employer committed to fostering an inclusive environment. We welcome applicants of all backgrounds and are dedicated to providing reasonable accommodations for qualified individuals with disabilities and disabled veterans during the application and interview process. We believe diverse teams drive innovation and success, and we strive to build a workforce that reflects the communities we serve.</t>
        </is>
      </c>
    </row>
    <row r="89">
      <c r="A89" t="inlineStr">
        <is>
          <t>li-4354643581</t>
        </is>
      </c>
      <c r="B89" t="inlineStr">
        <is>
          <t>Applied AI Engineer</t>
        </is>
      </c>
      <c r="C89" t="inlineStr">
        <is>
          <t>Augment Code</t>
        </is>
      </c>
      <c r="D89" t="inlineStr">
        <is>
          <t>linkedin</t>
        </is>
      </c>
      <c r="E89">
        <f>HYPERLINK("https://www.linkedin.com/jobs/view/4354643581", "https://www.linkedin.com/jobs/view/4354643581")</f>
        <v/>
      </c>
      <c r="F89" t="inlineStr"/>
      <c r="G89" t="inlineStr">
        <is>
          <t>Palo Alto, CA</t>
        </is>
      </c>
      <c r="H89" t="inlineStr"/>
      <c r="I89" t="inlineStr">
        <is>
          <t>**About Augment Code**
 Augment Code is the only AI coding assistant built for professional software engineers working in large, production‑grade codebases. Our Context  Engine understands your entire repo, enabling developers to stay in flow while writing, reviewing, and understanding code. Backed by top‑tier investors and trusted by engineering teams at leading tech companies, Augment Code is redefining how modern software is built.
**About The Role**
 We’re looking for an Applied AI Engineer to help bring cutting\-edge AI capabilities into the hands of developers. This is a hands\-on engineering role at the intersection of product, AI, and systems — focused on implementing and integrating LLM\-powered features that enhance developer experience and productivity.
 You’ll collaborate with engineers, researchers, and designers to translate product needs into intuitive, reliable AI\-powered experiences. You’ll also play a key role in shaping how AI is used across our stack — from prompt design to system integration — while staying up to date on emerging AI capabilities.
**Examples Of What You Could Do**
* Implement and integrate AI functionality into key product features
* Craft and iterate on prompts to improve LLM reliability and usefulness
* Build AI\-powered flows that feel intuitive and responsive to developers
* Evaluate and test AI outputs to ensure performance and accuracy
* Work alongside engineers to deliver robust, production\-grade code
* Stay current with LLM tools, APIs, and best practices
**You will…**
* Deliver reliable, high\-quality AI\-powered product experiences
* Translate product needs into technical AI implementations
* Tune and test prompts for real\-world use cases and developer workflows
* Collaborate closely with engineers and researchers
* Contribute across frontend, backend, and integration layers
**Qualifications:**
* Strong coding skills in one or more of: Python, Go, Node.js, JavaScript, TypeScript, React, or Java
* Experience with API integrations and service\-oriented architectures
* Familiarity with prompt engineering for LLMs (e.g. OpenAI, Claude, Gemini)
* Ability to evaluate and optimize AI outputs for reliability and quality
* Strong problem\-solving instincts and attention to detail
* Collaborative mindset and eagerness to learn
**Bonus Points:**
* Experience building product features that incorporate LLMs
* Understanding of best practices for AI reliability and safety
* Background in frontend development or UX\-oriented implementation
* Familiarity with cloud platforms (especially GCP)
* Basic understanding of LLM behavior, strengths, and limitations
**Employee Benefits:**
* Flexible work hours
* Competitive salary \&amp; Equity
* Tools Stipend
* Health, Dental, Vision and Life Insurance
* Short Term and Long Term Disability
* Unlimited Paid Time Off \+ Holidays. We focus on trust and ownership, not time in the chair
* Numerous company social events
 We will do everything we can within reason to make sure that your interview takes place in an environment that fairly and accurately assesses your skills. If you need assistance or accommodation, please contact your recruiter.
 Augment Code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job, the candidate acknowledges and agrees that any personal data contained in their application or supporting materials will be processed in accordance with Augment Code's Applicant Privacy Policy.
**Pay Transparency Notice:** 
*The actual base salary within the stated range will be based on a combination of factors such as an individual's skills, experience level, educational background, and other relevant job\-related considerations.*
 Annual Base Salary Range
 $225,000 \- $300,000 USD</t>
        </is>
      </c>
    </row>
    <row r="90">
      <c r="A90" t="inlineStr">
        <is>
          <t>li-4354604300</t>
        </is>
      </c>
      <c r="B90" t="inlineStr">
        <is>
          <t>Machine Learning Engineer</t>
        </is>
      </c>
      <c r="C90" t="inlineStr">
        <is>
          <t>Quora</t>
        </is>
      </c>
      <c r="D90" t="inlineStr">
        <is>
          <t>linkedin</t>
        </is>
      </c>
      <c r="E90">
        <f>HYPERLINK("https://www.linkedin.com/jobs/view/4354604300", "https://www.linkedin.com/jobs/view/4354604300")</f>
        <v/>
      </c>
      <c r="F90">
        <f>HYPERLINK("https://www.wiraa.com/job-description/us44961B7F570BBA1B78F01B32E670AE10?source=Linkedin&amp;urlHash=7E51", "https://www.wiraa.com/job-description/us44961B7F570BBA1B78F01B32E670AE10?source=Linkedin&amp;urlHash=7E51")</f>
        <v/>
      </c>
      <c r="G90" t="inlineStr"/>
      <c r="H90" t="inlineStr"/>
      <c r="I90" t="inlineStr">
        <is>
          <t>**About The Company** 
 Quora is a privately held, remote‑first company dedicated to fostering knowledge sharing and community engagement across the globe. With a platform that attracts over 300 million monthly unique visitors, Quora facilitates meaningful discussions and insights on a diverse range of topics. In addition to its core Q\&amp;A platform, Quora has expanded its offerings with Poe, a cutting\-edge AI\-powered chat platform that integrates multiple advanced language models such as GPT‑5, Claude Sonnet 4\.5, Grok 4, Veo 3\.1, and Gemini 2\.5 Flash Image, providing users with instant access to the latest AI capabilities.
 Our culture emphasizes transparency, collaboration, and innovation. We believe in empowering our teams to experiment, share ideas, and grow together, creating a dynamic environment where meaningful work leads to a positive impact. Join us on this journey to enhance global knowledge sharing and develop transformative AI solutions that make a difference in people's lives.
**About The Role** 
 We are seeking an experienced Staff Machine Learning Engineer to join our remote‑first engineering team, focusing on our Quora product. This role offers a unique opportunity to influence and advance our recommendation systems, including feeds, notifications, digest emails, and "Ask to Answer" (A2A) features. As a key contributor, you will leverage your expertise to improve existing machine learning models, identify new application areas within the product, and develop tools and abstractions that empower other developers.
 Our small, agile team values continuous learning and experimentation. You will work on challenging problems that require innovative solutions, taking ownership of end\-to\-end machine learning systems—from data pipelines and feature engineering to model training and deployment. Your contributions will directly impact how users discover and engage with content on Quora, enabling us to connect people with relevant information efficiently and effectively.
**Qualifications** 
* 5\+ years of professional software development experience in machine learning
* 3\+ years of experience working on recommendation systems
* Strong understanding of the mathematical foundations of machine learning algorithms
* Experience building end\-to\-end machine learning systems
* Bachelor’s, Master’s, or PhD in Computer Science, Engineering, or a related technical field
* Proficiency in Python or C\+\+ (preferred)
* Experience leading large\-scale, multi\-engineer projects (preferred)
* Excellent communication and interpersonal skills
* Availability to participate in meetings and communication during Quora's coordination hours (Mon‑Fri: 9am\-3pm Pacific Time)
**Responsibilities** 
* Enhance and optimize existing machine learning systems utilizing your core coding skills and ML expertise
* Identify and develop new opportunities to apply machine learning across various components of the Quora platform
* Collaborate with other machine learning engineers to implement efficient algorithms and scalable systems
* Take full ownership of machine learning workflows, including data pipeline development, candidate extraction, feature engineering, model training, and deployment
* Integrate machine learning models seamlessly into production environments ensuring robustness and scalability
* Design and develop tools and abstractions to facilitate the work of other developers and data scientists
* Continuously monitor and improve system performance, accuracy, and relevance of recommendations
**Benefits** 
* Comprehensive medical, dental, and vision coverage
* Equity refreshers and stock options
* Remote work reimbursement and flexible work arrangements
* Paid time off and holidays
* Employee assistance programs and wellness resources
* Opportunities for professional growth and development
 Equal Opportunity
 Quora is committed to creating an inclusive environment and is proud to be an equal opportunity employer. We welcome applicants from all backgrounds, including marginalized or underrepresented groups in tech. We do not discriminate based on race, religion, gender, sexual orientation, age, marital status, veteran status, disability, or any other protected characteristic. We believe that diversity of perspectives fosters innovation and strengthens our community.</t>
        </is>
      </c>
    </row>
    <row r="91">
      <c r="A91" t="inlineStr">
        <is>
          <t>li-4351276984</t>
        </is>
      </c>
      <c r="B91" t="inlineStr">
        <is>
          <t>Junior Machine Learning Engineer-EN</t>
        </is>
      </c>
      <c r="C91" t="inlineStr">
        <is>
          <t>CAE</t>
        </is>
      </c>
      <c r="D91" t="inlineStr">
        <is>
          <t>linkedin</t>
        </is>
      </c>
      <c r="E91">
        <f>HYPERLINK("https://www.linkedin.com/jobs/view/4351276984", "https://www.linkedin.com/jobs/view/4351276984")</f>
        <v/>
      </c>
      <c r="F91" t="inlineStr"/>
      <c r="G91" t="inlineStr">
        <is>
          <t>Tampa, FL</t>
        </is>
      </c>
      <c r="H91" t="inlineStr"/>
      <c r="I91"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92">
      <c r="A92" t="inlineStr">
        <is>
          <t>li-4351246975</t>
        </is>
      </c>
      <c r="B92" t="inlineStr">
        <is>
          <t>Junior Machine Learning Engineer-EN</t>
        </is>
      </c>
      <c r="C92" t="inlineStr">
        <is>
          <t>CAE</t>
        </is>
      </c>
      <c r="D92" t="inlineStr">
        <is>
          <t>linkedin</t>
        </is>
      </c>
      <c r="E92">
        <f>HYPERLINK("https://www.linkedin.com/jobs/view/4351246975", "https://www.linkedin.com/jobs/view/4351246975")</f>
        <v/>
      </c>
      <c r="F92" t="inlineStr"/>
      <c r="G92" t="inlineStr">
        <is>
          <t>Orlando, FL</t>
        </is>
      </c>
      <c r="H92" t="inlineStr"/>
      <c r="I92"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93">
      <c r="A93" t="inlineStr">
        <is>
          <t>li-4351326213</t>
        </is>
      </c>
      <c r="B93" t="inlineStr">
        <is>
          <t>Machine Learning Engineer</t>
        </is>
      </c>
      <c r="C93" t="inlineStr">
        <is>
          <t>SoTalent</t>
        </is>
      </c>
      <c r="D93" t="inlineStr">
        <is>
          <t>linkedin</t>
        </is>
      </c>
      <c r="E93">
        <f>HYPERLINK("https://www.linkedin.com/jobs/view/4351326213", "https://www.linkedin.com/jobs/view/4351326213")</f>
        <v/>
      </c>
      <c r="F93" t="inlineStr"/>
      <c r="G93" t="inlineStr">
        <is>
          <t>Richmond, VA</t>
        </is>
      </c>
      <c r="H93" t="inlineStr"/>
      <c r="I93" t="inlineStr">
        <is>
          <t>**Job Title : Machine Learning Engineer** 
**Location : Richmond, VA** 
**Type : Full Time** 
 Our client is looking for a Machine Learning Engineer who is experienced in designing, building, and deploying machine learning solutions that solve real\-world business challenges at scale.
**What You’ll Do:** 
* Develop and deliver ML models and components in collaboration with Product and Data Science teams.
* Make informed decisions on ML infrastructure, model selection, feature engineering, hyperparameter tuning, and validation.
* Write and test application code, automate deployment, and maintain models in production.
* Build optimized data pipelines and leverage cloud\-based architectures for scalable ML solutions.
* Apply CI/CD best practices, including automated testing and monitoring, for seamless deployment.
* Ensure models follow best practices in Responsible and Explainable AI.
* Work with programming languages like Python, Scala, or Java and ML frameworks such as scikit\-learn, PyTorch, TensorFlow, Spark, or Dask.
**Basic Qualifications:** 
* Bachelor’s degree in Computer Science or related field.
* 4\+ years programming experience (Python, Scala, or Java).
* 3\+ years designing and building data\-intensive solutions using distributed computing.
* 2\+ years hands\-on experience with ML frameworks.
* 1\+ year experience productionizing and monitoring ML models.
**Preferred Qualifications:** 
* Experience building, scaling, and optimizing ML systems.
* Strong background in data preparation and pipeline development.
* Experience deploying ML solutions on AWS, Azure, or GCP.
* Advanced degree (Master’s or Ph.D.) in a technical field.
* Contributions to open\-source ML projects or published research.</t>
        </is>
      </c>
    </row>
    <row r="94">
      <c r="A94" t="inlineStr">
        <is>
          <t>li-4354614072</t>
        </is>
      </c>
      <c r="B94" t="inlineStr">
        <is>
          <t>Machine Learning Engineer</t>
        </is>
      </c>
      <c r="C94" t="inlineStr">
        <is>
          <t>Intuitive</t>
        </is>
      </c>
      <c r="D94" t="inlineStr">
        <is>
          <t>linkedin</t>
        </is>
      </c>
      <c r="E94">
        <f>HYPERLINK("https://www.linkedin.com/jobs/view/4354614072", "https://www.linkedin.com/jobs/view/4354614072")</f>
        <v/>
      </c>
      <c r="F94">
        <f>HYPERLINK("https://careers.intuitive.com/en/jobs/744000101634035/JOB210549/machine-learning-engineer/?source=linkedin&amp;src=LinkedIn&amp;urlHash=A3oZ", "https://careers.intuitive.com/en/jobs/744000101634035/JOB210549/machine-learning-engineer/?source=linkedin&amp;src=LinkedIn&amp;urlHash=A3oZ")</f>
        <v/>
      </c>
      <c r="G94" t="inlineStr">
        <is>
          <t>Peachtree Corners, GA</t>
        </is>
      </c>
      <c r="H94" t="inlineStr"/>
      <c r="I94"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**Role**
 We are looking for a talented individual to join our growing machine learning and data science team to help provide creative ways to develop new technology focused on surgical workflow and performance for next generation robotic surgery platforms.
**Responsibilities**
 As a Machine Learning Engineer, you will work at the intersection of machine learning and engineering (i.e., MLOps) to contribute to innovative digital solutions leveraging Surgical AI/ML technologies. Immediate projects and responsibilities may include:
* Integrating machine learning into digital products and services by working cross\-functionally across engineering, data science, and machine learning teams
* Developing automated workflows and tools to curate datasets and facilitate training of deep learning models
* Working closely with Machine Learning and Data/Software Engineering teams to develop efficient processes for model development/deployment for various applications.
* Help support and manage a growing cloud infrastructure for MLOps
**Qualifications**
**What you’ll need to be successful:**
* M.S. or Ph.D. in computer science, electrical and computer engineering, or related fields.
* Minimum 3 years of industry experience developing productionized code in machine learning, data engineering, or related field for AI applications
* Excellent communication skills both written and verbal
* A desire to work in a high\-energy, focused, small\-team environment with a sense of shared responsibility and shared reward
* Interest in early research and development through to product roll\-out in the fields of surgical AI and surgical robotics
* Hands\-on experience with ML frameworks, such as PyTorch, Tensorflow, or similar
* Knowledgeable about MLOps platforms (Domino Data Labs) and/or ML CI/CD workflows to manage datasets and model training, deployment, and monitoring
* Experience with MLOps tools like MLFlow, KubeFlow, W\&amp;B, etc
* Knowledgeable about Kubernetes
* Experience with cloud compute environments such as AWS, GCP, etc
* Experience with both edge and cloud deployments, focused on automation, scalability, and robustness
* Experience with Python and SQL
* Experience with Git e.g github, gitlab, bitbucket, etc
* Ability to travel domestically and internationally (5\-10%)
**Additional Desirable Experience**
* Experience with successfully launching ML models into production
* Experience supporting large multi\-modality dataset including image/video
* Experience within healthcare
* Experience with federated learning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$161,500 \- $232,500
**Base Salary Range Region 2:** 
 $137,400 \- $197,700
**Shift:** 
 Day
**Workplace Type:** 
 Set Schedule \- This job will be onsite weekly, the percentage of onsite work will be defined by the leader.</t>
        </is>
      </c>
    </row>
    <row r="95">
      <c r="A95" t="inlineStr">
        <is>
          <t>li-4351267133</t>
        </is>
      </c>
      <c r="B95" t="inlineStr">
        <is>
          <t>Junior Machine Learning Engineer-EN</t>
        </is>
      </c>
      <c r="C95" t="inlineStr">
        <is>
          <t>CAE</t>
        </is>
      </c>
      <c r="D95" t="inlineStr">
        <is>
          <t>linkedin</t>
        </is>
      </c>
      <c r="E95">
        <f>HYPERLINK("https://www.linkedin.com/jobs/view/4351267133", "https://www.linkedin.com/jobs/view/4351267133")</f>
        <v/>
      </c>
      <c r="F95">
        <f>HYPERLINK("https://cae.wd3.myworkdayjobs.com/career/job/Tampa/Junior-Machine-Learning-Engineer_119505?source=LinkedIn&amp;urlHash=0ToD", "https://cae.wd3.myworkdayjobs.com/career/job/Tampa/Junior-Machine-Learning-Engineer_119505?source=LinkedIn&amp;urlHash=0ToD")</f>
        <v/>
      </c>
      <c r="G95" t="inlineStr">
        <is>
          <t>Tampa, FL</t>
        </is>
      </c>
      <c r="H95" t="inlineStr"/>
      <c r="I95"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 Assist in the development and testing of machine learning models for real\-world applications under the guidance of senior engineers.
* Support the creation and maintenance of data pipelines and model training workflows using modern tools and frameworks.
* Participate in model evaluation and validation, helping to analyze performance metrics and suggest improvements.
* Help monitor deployed models and contribute to maintaining their reliability and accuracy.
* Contribute to the fine\-tuning and deployment of large language models (LLMs) for tasks such as summarization, question answering, and chatbots.
* Learn and apply tools like ONNX, TensorRT, or vLLM to support efficient model serving.
* Assist in implementing retrieval\-augmented generation (RAG) pipelines using vector databases (e.g., FAISS, Pinecone).
* Collaborate with team members to optimize model inference for performance and cost.
* Work closely with cross\-functional teams to understand project requirements and contribute to ML solutions.
* Stay informed about emerging trends and technologies in machine learning and AI.
* Document work, including model development and evaluation processes, for reproducibility and team knowledge sharing.
**Qualifications And Education Requirements**
* Bachelor’s degree in Computer Science, Machine Learning, or a related field. Master’s degree is a plus.
* 0–2 years of experience in software development or machine learning projects (internships or academic projects count).
* Familiarity with ML frameworks such as PyTorch, TensorFlow, or Scikit\-learn.
* Basic understanding of REST APIs and microservice architecture.
* Exposure to MLOps tools and practices (e.g., MLflow, Airflow) is a plus.
* Experience with Hugging Face Transformers, LangChain, or OpenAI APIs is beneficial but not required.
* Comfortable working with cloud platforms (AWS, GCP, or Azure), Linux, and container tools like Docker.
* Experience with SQL/NoSQL databases such as MySQL or MongoDB is a plus.
* Due to U.S. Government contract requirements, only U.S. citizens are eligible for this role.
**Preferred Skills**
* Exposure to deep learning, NLP, or computer vision through coursework or projects.
* Interest in feature engineering and model interpretability.
* Basic understanding of prompt engineering and optimization.
* Familiarity with multi\-modal models and distributed training concepts is a plus.
* Experience with Git and CI/CD pipelines is helpful.
* Ability to learn quickly and work in a collaborative,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96">
      <c r="A96" t="inlineStr">
        <is>
          <t>li-4351326851</t>
        </is>
      </c>
      <c r="B96" t="inlineStr">
        <is>
          <t>AI Engineer</t>
        </is>
      </c>
      <c r="C96" t="inlineStr">
        <is>
          <t>Marvell Technology</t>
        </is>
      </c>
      <c r="D96" t="inlineStr">
        <is>
          <t>linkedin</t>
        </is>
      </c>
      <c r="E96">
        <f>HYPERLINK("https://www.linkedin.com/jobs/view/4351326851", "https://www.linkedin.com/jobs/view/4351326851")</f>
        <v/>
      </c>
      <c r="F96" t="inlineStr"/>
      <c r="G96" t="inlineStr">
        <is>
          <t>Santa Clara, CA</t>
        </is>
      </c>
      <c r="H96" t="inlineStr"/>
      <c r="I96"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Marvell develops silicon and software for some of the world’s largest companies in the rapidly growing data center, AI, and enterprise markets. If a bit is being processed, moved, secured, or stored in infrastructure equipment, it is likely that Marvell’s products are involved.
**What You Can Expect**
**About the Role**
 We are looking for a full\-time AI Engineer to join our AI team and help build next\-generation AI solutions, tools, and infrastructure across Software and Firmware teams. This is a hands\-on engineering role ideal for someone early in their career who has strong academic foundations, AI/ML project experience, and internships involving AI/ML, computer engineering, or system performance optimization.
 You will work on applied AI systems such as RAG workflows, multi\-agent pipelines, inference acceleration, AI infrastructure, and hardware/software co\-design.
**Key Responsibilities**
**AI/ML Engineering**
* Develop and evaluate ML models \- including LLM\-based, multimodal, classical ML approaches.
* Build components of RAG systems, multi\-agent workflows, and applied AI pipelines.
* Implement preprocessing, feature extraction, vectorization, semantic search, and model evaluation tools.
**AI Systems \&amp; Platform Development**
* Contribute to internal AI platforms for model serving, acceleration, and orchestration.
* Integrate AI workloads into scalable pipelines on GPUs and distributed systems.
* Support adoption of AI capabilities across internal teams through tools, APIs, and automation.
**Performance \&amp; Optimization**
* Profile and optimize AI workloads using CPU, GPU, and hardware acceleration techniques.
* Assist in evaluating inference latency, throughput, and efficiency across hardware/software stacks.
* Apply knowledge of computer architecture to improve model execution and utilization.
**Software Engineering**
* Write production\-quality code in Python, C/C\+\+, and supporting languages.
* Build internal tools, pipelines, APIs, and services that make AI easier to use across teams.
* Collaborate closely with data, infrastructure, and product partners.
**Applied Research \&amp; Innovation**
* Stay current on new AI techniques, including retrieval, agentic workflows, compression, distillation.
* Prototype concepts quickly and transition successful prototypes into production\-ready solutions.
**Required Qualifications**
**What We're Looking For**
* Bachelor’s degree in Computer Engineering/Science, Electrical Engineering, or related field.
* Experience with AI/ML frameworks such as PyTorch or TensorFlow.
* Strong programming skills in Python and C/C\+\+.
* Hands\-on project or experience in at least one of the following:
* RAG systems, LLMs, language model pipelines
* GPU programming, CUDA, or hardware\-accelerated ML
* OCR/computer vision, multimodal AI, or NLP
* Performance profiling of AI workloads
* IoT \+ AI embedded systems
* Solid understanding of computer architecture, data structures, and algorithms.
* Ability to learn quickly, work collaboratively, and communicate effectively.
**Expected Base Pay Range (USD)**
 89,360 \- 133,900,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Marvell is committed to providing exceptional, comprehensive benefits that support our employees at every stage \- from internship to retirement and through life’s most important moments. Our offerings are built around four key pillars: financial well\-being, family support, mental and physical health, and recognition. Highlights include an employee stock purchase plan with a 2\-year look back, family support programs to help balance work and home life, robust mental health resources to prioritize emotional well\-being, and a recognition and service awards to celebrate contributions and milestones. We look forward to sharing more with you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To support fair and authentic hiring practices, candidates are not permitted to use AI tools (such as transcription apps, real\-time answer generators like ChatGPT or Copilot, or automated note\-taking bots) during interviews.
 These tools must not be used to record, assist with, or enhance responses in any way. Our interviews are designed to evaluate your individual experience, thought process, and communication skills in real time. Use of AI tools without prior instruction from the interviewer will result in disqualification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97">
      <c r="A97" t="inlineStr">
        <is>
          <t>li-4288094884</t>
        </is>
      </c>
      <c r="B97" t="inlineStr">
        <is>
          <t>Machine Learning Engineer</t>
        </is>
      </c>
      <c r="C97" t="inlineStr">
        <is>
          <t>Scribd, Inc.</t>
        </is>
      </c>
      <c r="D97" t="inlineStr">
        <is>
          <t>linkedin</t>
        </is>
      </c>
      <c r="E97">
        <f>HYPERLINK("https://www.linkedin.com/jobs/view/4288094884", "https://www.linkedin.com/jobs/view/4288094884")</f>
        <v/>
      </c>
      <c r="F97" t="inlineStr"/>
      <c r="G97" t="inlineStr">
        <is>
          <t>New York, NY</t>
        </is>
      </c>
      <c r="H97" t="inlineStr"/>
      <c r="I9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8">
      <c r="A98" t="inlineStr">
        <is>
          <t>li-4330501199</t>
        </is>
      </c>
      <c r="B98" t="inlineStr">
        <is>
          <t>AI/ML Engineer</t>
        </is>
      </c>
      <c r="C98" t="inlineStr">
        <is>
          <t>Data Capital Incorporation</t>
        </is>
      </c>
      <c r="D98" t="inlineStr">
        <is>
          <t>linkedin</t>
        </is>
      </c>
      <c r="E98">
        <f>HYPERLINK("https://www.linkedin.com/jobs/view/4330501199", "https://www.linkedin.com/jobs/view/4330501199")</f>
        <v/>
      </c>
      <c r="F98" t="inlineStr"/>
      <c r="G98" t="inlineStr">
        <is>
          <t>Bentonville, AR</t>
        </is>
      </c>
      <c r="H98" t="inlineStr"/>
      <c r="I98" t="inlineStr">
        <is>
          <t>**About the Role** 
 We are seeking a highly skilled and motivated
 **AI/ML Engineer** 
 to design, build, and deploy an intelligent chatbot AI Agent that enables
 **merchants to analyze sales performance and make data\-driven decisions** 
 . This role focuses on integrating large language models (LLMs), advanced prompt engineering, and Model Context Protocol (MCP)\-based tools (including FastMCP) to deliver conversational analytics, dynamic data retrieval, and actionable insights from Sam’s Club sales data.
**Required Qualifications:** 
* **Hands\-on experience with LLMs, AI Agents, and Chatbots** 
 , with practical prompt engineering expertise.
* Strong proficiency in
 **Python** 
 and backend development, including FastAPI or similar frameworks.
* Experience building AI agent workflows using
 **LangChain** 
 and
 **LangGraph** 
 .
* Familiarity with MCP tools (e.g., FastMCP) and dynamic data integration strategies.
* Demonstrated ability to fine\-tune, evaluate, and optimize LLM responses for accuracy, relevance, and reduced bias.
* Solid understanding of microservices architecture, REST APIs, and high\-availability systems.
* Experience with
 **Docker** 
 and
 **Kubernetes** 
 for containerization and orchestration.
* Excellent problem\-solving skills and ability to work collaboratively across teams.
* Strong communication skills with the ability to explain complex AI behavior to technical and non\-technical audiences.</t>
        </is>
      </c>
    </row>
    <row r="99">
      <c r="A99" t="inlineStr">
        <is>
          <t>li-4354348994</t>
        </is>
      </c>
      <c r="B99" t="inlineStr">
        <is>
          <t>Gen AI/ML Engineer</t>
        </is>
      </c>
      <c r="C99" t="inlineStr">
        <is>
          <t>Wissen Technology</t>
        </is>
      </c>
      <c r="D99" t="inlineStr">
        <is>
          <t>linkedin</t>
        </is>
      </c>
      <c r="E99">
        <f>HYPERLINK("https://www.linkedin.com/jobs/view/4354348994", "https://www.linkedin.com/jobs/view/4354348994")</f>
        <v/>
      </c>
      <c r="F99" t="inlineStr"/>
      <c r="G99" t="inlineStr">
        <is>
          <t>Alpharetta, GA</t>
        </is>
      </c>
      <c r="H99" t="inlineStr"/>
      <c r="I99" t="inlineStr">
        <is>
          <t>**Gen AI/ML Engineer , Wissen Technology** 
 ,
 **Alpharetta, GA** 
 The Wissen team continues to expand its footprint in the Canada \&amp; USA. More openings to come as we continue to grow the team!
 Please read below for a brilliant career opportunity.
**Role: Gen AI/ML Engineer** 
**Title: Associate** 
**Location: Alpharetta, GA (Day 1 Onsite/Hybrid)** 
**Mode of Work: 3 days per week onsite required** 
**Required experience: 1\+ Years Required** 
 We are looking for an
 **Gen AI/ML Engineer** 
 to design, build, and deploy machine learning models and AI\-driven solutions. The ideal candidate has experience with data processing, model development, and production deployment.
**Key Responsibilities:** 
* Assist in designing, developing, and training machine learning models.
* Implement ML pipelines and support model evaluation, optimization, and deployment.
* Work with data preprocessing tools to clean, transform, and prepare datasets.
* Collaborate with senior engineers and cross\-functional teams to implement ML solutions.
* Document model behavior, experiments, and results.
* Support research activities by exploring new techniques, tools, and frameworks.
**Mandatory Skills:** 
* Proficiency in
 **Python** 
 .
* Working knowledge of
 **TensorFlow or PyTorch** 
 .
* Strong understanding of
 **machine learning algorithms** 
 and concepts.
**Preferred Skills:** 
* Exposure to data preprocessing tools like
 **Pandas** 
 and
 **NumPy** 
 .
* Basic understanding of
 **cloud AI services** 
 (AWS, Azure, or GCP).
**Benefits:** 
* 401K
* Healthcare insurance for you and your family (medical, dental, vision).
* Short / Long term disability insurance.
* Life Insurance.
* Accidental death \&amp; disability Insurance.
* 3 weeks of Paid Time Off.
* Support and fee coverage for immigration needs.
* Remote office set up stipend.
* Support for industry certifications.
* Additional cash incentives.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Perform other duties as needed
**Your Education and Experience:** 
 · We value candidates who can execute on our vision and help us build an industry\-leading organization. Rather than requiring a specific certification or number of years of experience, we ask that you be able to demonstrate your skills in the areas outlined above.
 · Graduate\-level degree in computer science, engineering, or related technical field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stems from the talented professionals we attract. Committed to fostering their growth and providing top\-tier career opportunities, Wissen ensures an outstanding experience and value for our clients and employees. We serve diverse industries, including Banking, E\-commerce, Telecom, Healthcare, Manufacturing, and Energy.
**About Wissen Technology:** 
 Website : www.wissen.com
 LinkedIn: https://www.linkedin.com/company/wissen\-technology
 Wissen Leadership : https://www.wissen.com/company/wissen\-technology\-leadership
 Wissen Live : https://www.linkedin.com/company/wissen\-technology/posts/feedView\=All
 Wissen Thought Leadership : https://www.wissen.com/articles/
 Employee Speak:
 https://www.ambitionbox.com/overview/wissen\-technology\-overview
 https://www.glassdoor.com/Reviews/Wissen\-Infotech\-Reviews\-E287365\.htm
 Great Place to Work:
 https://www.wissen.com/blog/wissen\-is\-a\-great\-place\-to\-work\-says\-the\-great\-place\-to\-work\-institute\-…
 https://www.linkedin.com/posts/wissen\-infotech\_wissen\-leadership\-wissenites\-activity\-69354595461317…
 About Wissen Interview Process:
 https://www.wissen.com/blog/we\-work\-on\-highly\-complex\-technology\-projects\-here\-is\-how\-it\-changes\-wh…
 Latest in Wissen in CIO Insider :
 https://www.cioinsiderindia.com/vendor/wissen\-technology\-setting\-new\-benchmarks\-in\-technology\-consu…
 Job Type: Full\-time
 Schedule:
* Monday to Friday</t>
        </is>
      </c>
    </row>
    <row r="100">
      <c r="A100" t="inlineStr">
        <is>
          <t>li-4327284273</t>
        </is>
      </c>
      <c r="B100" t="inlineStr">
        <is>
          <t>AI/ML Engineer 2</t>
        </is>
      </c>
      <c r="C100" t="inlineStr">
        <is>
          <t>Evergen</t>
        </is>
      </c>
      <c r="D100" t="inlineStr">
        <is>
          <t>linkedin</t>
        </is>
      </c>
      <c r="E100">
        <f>HYPERLINK("https://www.linkedin.com/jobs/view/4327284273", "https://www.linkedin.com/jobs/view/4327284273")</f>
        <v/>
      </c>
      <c r="F100" t="inlineStr"/>
      <c r="G100" t="inlineStr"/>
      <c r="H100" t="inlineStr"/>
      <c r="I100" t="inlineStr">
        <is>
          <t>**Location:** 
 Remote or on\-site at any of our US locations
 Must be legally authorized to work in the U.S. now and in the future without sponsorship
**Annual Bonus Eligibility:** 
 $8,000
 RTI Surgical is now Evergen!
 This rebranding reflects our strategic evolution as a leading CDMO in regenerative medicine and comes at the end of a significant year for the business, including the successful acquisitions of Cook Biotech in IN. and Collagen Solutions, MN. Our new brand identity emphasizes our unique positioning as the only CDMO offering a comprehensive portfolio of allograft and xenograft biomaterials at scale.
 Evergen is a global industry\-leading contract development and manufacturing organization (CDMO) in regenerative medicine. As the only regenerative medicine company that offers a differentiated portfolio of allograft and xenograft biomaterials at scale, Evergen is headquartered in Alachua, FL, and has manufacturing facilities in West Lafayette, IN., Eden Prairie and Glencoe, MN., Neunkirchen, DE., Glasgow, UK., and Marton, NZ.
 Read more about this change and Evergen’s commitment to advancing regenerative medicine here: https://lnkd.in/eMSfVJkM ;
 We are seeking a highly skilled and motivated AI/ML Engineer 2 to lead the design, development, and deployment of end\-to\-end Artificial Intelligence and Machine Learning solutions. This role requires deep expertise in the Data Cloud Architectures, coupled with proficiency in cloud ML services (e.g., Microsoft Azure AI/ML, Snowflake Cortex) and open\-source frameworks (e.g., PyTorch, TensorFlow, Hugging Face). The ideal candidate will be a technical leader capable of architecting scalable, high\-performance, and cost\-efficient AI applications directly integrated within our data ecosystem.
 Join Evergen’s Data Team as an AI/ML Engineer 2 and help build the AI backbone of our organization. You’ll design and deploy scalable machine learning and Generative AI solutions using Snowflake, Azure, and modern open\-source frameworks.
 You’ll work across teams to turn complex problems into automated, intelligent workflows improving decision\-making and driving efficiency in Donor Services, Commercial, QA, Operations, and beyond.
 If you’re excited about building production\-ready ML pipelines, experimenting with LLMs, and shaping the future of AI at a growing life sciences company, this role puts you at the center of it.
 In this role, you will play a central part in delivering innovative AI and Generative AI solutions that power Evergen’s transformation. As part of Evergen’s Data Team, you will work across a modern cloud and data ecosystem Snowflake, Azure, and leading open\-source frameworks to design, build, and operationalize intelligent systems that scale with the business.
 You’ll collaborate with data engineers, architects, and cross\-functional partners to unify and enrich data, automate decision\-making, and develop production\-ready ML and GenAI applications. We’ll rely on you to bring strong technical leadership, hands\-on development skills, and a passion for solving complex problems with elegant, scalable solutions.
 You will spend your time on key responsibilities that include:
* Researching, designing, and implementing scalable AI/ML and Generative AI systems that align with business needs.
* Building and optimizing end\-to\-end ML pipelines using Snowpark, Azure ML, and modern MLOps frameworks.
* Enhancing data pipelines, feature engineering workflows, and storage patterns to ensure accuracy, performance, and reliability.
* Monitoring, evaluating, and improving model performance, quality, and cost\-efficiency.
* Deploying AI solutions into production environments and ensuring they are maintainable, governed, and built for long\-term scalability.
**Required Skills \&amp; Qualifications**
* Bachelor’s or Master’s degree in Computer Science, Data Science, Engineering, or a related technical field (or equivalent industry experience).
* 3\+ years of hands\-on software development experience with strong proficiency in Python and modern ML frameworks.
* 3\+ years of experience building and deploying AI/ML models using cloud platforms such as Snowflake Snowpark/SnowML, Azure ML, or equivalent cloud\-native ML environments.
* Proven experience designing and operationalizing ML pipelines, including data preparation, feature engineering, training, deployment, and monitoring.
* Strong understanding of Generative AI, LLMs, prompt engineering, embeddings, and vector\-based search.
* Experience with MLOps practices and tools (CI/CD, model lifecycle management, versioning, monitoring).
* Solid knowledge of SQL and modern data engineering best practices; ability to work with large, complex datasets.
* Familiarity with Snowflake Native Apps, UDFs, stored procedures, or similar data cloud extensibility frameworks.
* Experience integrating AI/ML capabilities into production applications and enterprise environments.
* Strong problem\-solving skills, with the ability to translate business needs into scalable technical solutions.
* Excellent communication skills and comfort working in a cross\-functional, fast\-moving environment.
**Preferred Skills**
* Experience with Microsoft Azure’s broader AI ecosystem (Cognitive Search, OpenAI Services, etc.).
* Background in life sciences, healthcare, or regulated industries.
* Experience working with Databricks, dbt, or orchestration tools like Dagster or Airflow.
* Familiarity with vector databases, retrieval\-augmented generation (RAG), or advanced GenAI architectures.
**Leadership \&amp; Collaboration**
* Provide technical mentorship and guidance to junior developers and data scientists.
* Collaborate with Data Architects, Data Scientists, and Business Stakeholders to translate complex business requirements into technical AI solutions.
 We’re looking for someone who pairs strong technical expertise with the mindset of a top performer innovative, adaptable, and driven by purpose. You bring a passion for creating meaningful impact through AI, and you thrive in environments where collaboration, clear communication, and forward thinking are essential. Your ability to lead through influence and work seamlessly across teams will set you apart.
**More About Evergen**
 Evergen provides customers across a diverse set of market segments with leading\-edge expertise, scale, and flexibility across end\-to\-end services including design, development, regulatory support, verification and validation, manufacturing, and supply chain management.
 Evergen is rooted in a steadfast commitment to quality, integrity, and patient safety with a focus on five key values:
* Accountable: We own our actions and decisions.
* Agile: We embrace change to stay ahead of the curve and evolve to drive innovation and growth.
* Growth Mindset: We embrace challenges as opportunities for continuous learning.
* Customer\-Centric: We prioritize customers at every touch point.
* Inclusive: We thrive on the richness of our diversity and ensure every voice is heard, respected, and celebrated.
 At Evergen, we are committed to fostering an inclusive workplace where we embrace the richness of our diversity and ensure that every voice is heard, respected, and celebrated. We believe that by embracing diversity and promoting inclusivity, we not only uphold our values but also strengthen our position as the CDMO of Choice in regenerative medicine solutions. We recognize that cultivating a growth mindset is essential to our success, and we are dedicated to continuous learning and improvement in our diversity, equity, and inclusion efforts. Through accountability and action, we strive to create an environment where individuals can thrive, innovate, and contribute their unique perspectives to drive our collective success.
 Montagu Private Equity (“Montagu”), a leading European private equity firm, acquired RTI in 2020 and has supported the transformation of the company to its next level of potential.</t>
        </is>
      </c>
    </row>
    <row r="101">
      <c r="A101" t="inlineStr">
        <is>
          <t>li-4328650829</t>
        </is>
      </c>
      <c r="B101" t="inlineStr">
        <is>
          <t>Senior ML Engineer</t>
        </is>
      </c>
      <c r="C101" t="inlineStr">
        <is>
          <t>Sailplane</t>
        </is>
      </c>
      <c r="D101" t="inlineStr">
        <is>
          <t>linkedin</t>
        </is>
      </c>
      <c r="E101">
        <f>HYPERLINK("https://www.linkedin.com/jobs/view/4328650829", "https://www.linkedin.com/jobs/view/4328650829")</f>
        <v/>
      </c>
      <c r="F101" t="inlineStr"/>
      <c r="G101" t="inlineStr"/>
      <c r="H101" t="inlineStr"/>
      <c r="I101" t="inlineStr">
        <is>
          <t>**About the Company**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(building ML platforms, MLOps tools, data/LLM infrastructure). You will bring a startup mindset, eager to take ownership of projects, navigate ambiguity, and move quickly to solve challenging problems in a fast\-paced environment. As a ML Engineer, you'll lead the build and operations of LLMs in production on\-premise for Sailplane. This is a senior individual contributor role focused on hands\-on coding, systems thinking, and prototyping. You won't manage a team, but you will mentor and amplify those around you. You should be fluent in models, adept at integrating production infrastructure and observability, and lead performance benchmarking. You’re comfortable working in code and in diverse production environments, and you care deeply about correctness and quality. This hybrid position reports to the CEO and is expected to work from our downtown San Francisco office 2 to 3 days per week.
**Responsibilities** 
* Build, deploy, monitor, and operate LLMs in production on\-premises in diverse customer environments
* Implement MLOps best practices (CI/CD pipelines, containerization, continuous monitoring) to ensure reliable performance
* Benchmark performance and recommend solutions to improve customer deployments including hardware sizing for target throughput (tokens per second, concurrent user sessions)
* Experiment and iterate on models by tuning parameters and testing new approaches, continuously improving accuracy and effectiveness through rigorous evaluation
* Document and ensure reproducibility of ML work, track experiments, code, and model versions to foster knowledge sharing and maintain high standards in the team
* Collaborate cross\-functionally with software engineers, customers, and product stakeholders
**Qualifications** 
* 5\+ years of experience in ML engineering, preferably in a VC\-backed startup environment
* Hands\-on experience deploying models at scale, including familiarity with containerization (Docker, Kubernetes) and cloud platforms (AWS, GCP, or Azure) to build and operate ML systems in production.
* Experience with Prometheus, Grafana, distributed tracing, or ML\-specific monitoring (Weights \&amp; Biases, MLflow for production)
* Proficiency in programming (especially Python) and experience with modern ML frameworks/libraries such as TensorFlow, PyTorch, etc.
* Deep understanding of machine learning algorithms and the model development lifecycle (data preprocessing, training, parameter tuning, and evaluation)
* Proven track record of delivering software that creates real value for users
* Excellent communication skills with an ability to explain complex ML concepts to non\-experts, and a collaborative approach to working with cross\-functional teams and partners
**Required Skills** 
* Fluency in models
* Adept at integrating production infrastructure and observability
* Lead performance benchmarking
* Comfortable working in code and diverse production environments
* Strong focus on correctness and quality
**Preferred Skills** 
* Experience in a VC\-backed startup environment
* Familiarity with containerization and cloud platforms
* Experience with ML\-specific monitoring tools
**Pay range and compensation package** 
 Salary \+ Equity (Stock Options) and Full Benefits. Comprehensive Health, Dental, and Vision coverage beginning on the first day for employees and their families, paid 100% by Sailplane. Equity grant participation. Flexible PTO with no accrual or set annual cap, plus 15 paid holidays per year. Health and Wellness stipend ($3,000 annually) to help support your personal health goals. AI tools stipend ($1,200 annually) to encourage hands\-on familiarity with emerging tools. 12 weeks of paid parental leave.
**Equal Opportunity Statement** 
 Sailplane is committed to diversity and inclusivity in the workplace.</t>
        </is>
      </c>
    </row>
    <row r="102">
      <c r="A102" t="inlineStr">
        <is>
          <t>li-4344354585</t>
        </is>
      </c>
      <c r="B102" t="inlineStr">
        <is>
          <t>Applied ML Engineer</t>
        </is>
      </c>
      <c r="C102" t="inlineStr">
        <is>
          <t>Glocomms</t>
        </is>
      </c>
      <c r="D102" t="inlineStr">
        <is>
          <t>linkedin</t>
        </is>
      </c>
      <c r="E102">
        <f>HYPERLINK("https://www.linkedin.com/jobs/view/4344354585", "https://www.linkedin.com/jobs/view/4344354585")</f>
        <v/>
      </c>
      <c r="F102" t="inlineStr"/>
      <c r="G102" t="inlineStr">
        <is>
          <t>New York, NY</t>
        </is>
      </c>
      <c r="H102" t="inlineStr"/>
      <c r="I102" t="inlineStr">
        <is>
          <t>Applied Machine Learning Engineer
 We're seeking an
 **Applied Machine Learning Engineer** 
 to design and deploy intelligent systems that streamline infrastructure workflows. This role involves working hands\-on with advanced technologies\-such as large language models (LLMs), knowledge graphs, and modern retrieval systems\-to build scalable, agent\-based solutions.
 You'll prototype rapidly, experiment with emerging approaches, and take projects from concept through production. If you thrive in dynamic environments and are passionate about applying AI to real\-world challenges, this position is for you.
 What You'll Do
* Design and implement large\-scale machine learning systems that deliver measurable product value.
* Build and maintain end\-to\-end evaluation pipelines using real\-world data.
* Collaborate cross\-functionally to translate business needs into ML\-driven solutions.
* Prototype and iterate quickly, adapting to feedback and evolving requirements.
 What We're Looking For
* **Experience** 
 : 5\+ years in applied machine learning or a related role, ideally in a fast\-paced or high\-growth environment.
* **Technical Skills** 
 :
	+ Strong ML fundamentals: classification/regression, clustering, dimensionality reduction, evaluation, probabilistic modeling.
	+ Expertise in at least one applied ML domain (e.g., NLP, search, statistical modeling).
	+ Proficiency in Python and TypeScript; familiarity with common ML libraries and data engineering tools.
* **Mindset** 
 : Problem\-solving focus, strong communication skills, and comfort with iterative development.
* **Bonus** 
 :
	+ Experience with vector/hybrid search.
	+ Dataset curation or synthetic data generation.
	+ Contributions to open\-source ML tools.
	+ Familiarity with Go or other systems languages.
 Who You Are
* A builder who thrives in collaborative, fast\-paced environments.
* Excited about working in\-person at a modern office.
* Passionate about startups and zero\-to\-one product development.
* Enjoys working with ambitious, systems\-thinking teammates.
 What We Offer
* Competitive compensation and equity.
* Comprehensive health, dental, and vision coverage, plus retirement benefits.
* Unlimited PTO and wellness perks.
* Support for late\-night work and commuting.
* Tools and resources to help you do your best work.
 Interview Process
1. Application Review
2. Introductory Chat
3. Leadership Interview
4. Technical Assessment
5. Onsite Team Interviews
6. Fast Decision</t>
        </is>
      </c>
    </row>
    <row r="103">
      <c r="A103" t="inlineStr">
        <is>
          <t>li-4288096595</t>
        </is>
      </c>
      <c r="B103" t="inlineStr">
        <is>
          <t>Machine Learning Engineer</t>
        </is>
      </c>
      <c r="C103" t="inlineStr">
        <is>
          <t>Scribd, Inc.</t>
        </is>
      </c>
      <c r="D103" t="inlineStr">
        <is>
          <t>linkedin</t>
        </is>
      </c>
      <c r="E103">
        <f>HYPERLINK("https://www.linkedin.com/jobs/view/4288096595", "https://www.linkedin.com/jobs/view/4288096595")</f>
        <v/>
      </c>
      <c r="F103">
        <f>HYPERLINK("https://jobs.ashbyhq.com/scribd/274be712-0a50-4873-a623-0ab4bd0dc47f/application?utm_source=JbD88A8ZW7&amp;urlHash=OoIo", "https://jobs.ashbyhq.com/scribd/274be712-0a50-4873-a623-0ab4bd0dc47f/application?utm_source=JbD88A8ZW7&amp;urlHash=OoIo")</f>
        <v/>
      </c>
      <c r="G103" t="inlineStr">
        <is>
          <t>Seattle, WA</t>
        </is>
      </c>
      <c r="H103" t="inlineStr"/>
      <c r="I10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4">
      <c r="A104" t="inlineStr">
        <is>
          <t>li-4354634525</t>
        </is>
      </c>
      <c r="B104" t="inlineStr">
        <is>
          <t>AI Engineer (NC, CO or FL)</t>
        </is>
      </c>
      <c r="C104" t="inlineStr">
        <is>
          <t>FMI</t>
        </is>
      </c>
      <c r="D104" t="inlineStr">
        <is>
          <t>linkedin</t>
        </is>
      </c>
      <c r="E104">
        <f>HYPERLINK("https://www.linkedin.com/jobs/view/4354634525", "https://www.linkedin.com/jobs/view/4354634525")</f>
        <v/>
      </c>
      <c r="F104">
        <f>HYPERLINK("https://fmicorp.bamboohr.com/careers/153?source=LinkedIn&amp;urlHash=O059", "https://fmicorp.bamboohr.com/careers/153?source=LinkedIn&amp;urlHash=O059")</f>
        <v/>
      </c>
      <c r="G104" t="inlineStr">
        <is>
          <t>Raleigh, NC</t>
        </is>
      </c>
      <c r="H104" t="inlineStr"/>
      <c r="I104" t="inlineStr">
        <is>
          <t>**Overview**
 FMI is seeking a hands\-on, highly collaborative AI Engineer to help design, build, and productionize advanced AI systems that support the firm’s digital transformation. This role will focus on deploying LLM\-powered assistants and intelligent agent workflows that enable FMI’s consultants, investment bankers, and corporate teams to accelerate research, improve information discovery, and streamline day\-to\-day workflows.
 The AI Engineer role is primarily hands\-on, with approximately 80% of time dedicated to technical build, integration, and delivery, and 20% focused on stakeholder alignment, design documentation, and iterative discovery. Reporting to the Chief Information Officer, this role has no direct reports but will lead cross\-functional project teams and influence stakeholders across Corporate Services, Consulting, and Investment Banking.
 This is a regular, full\-time position based in Raleigh, NC, Denver, CO, or Tampa, FL, operating within FMI’s hybrid work model (3 days per week in\-office).
* \*Applicants must be legally authorized to work in the U.S. on a full\-time basis. FMI is unable to provide visa sponsorship—including H\-1B or STEM OPT—at this time.
 Key Responsibilities
* Design, build, and deploy production\-ready LLM\-powered assistants and AI agent workflows that improve research, information discovery, and internal workflows across FMI.
* Develop multi\-step, context\-aware AI agents capable of reasoning, planning, and executing tasks such as market research synthesis, financial modeling support, and document preparation.
* Build and maintain backend infrastructure, APIs, and integrations connecting AI capabilities with FMI platforms (Salesforce, DealCloud, NetSuite, HubSpot, Box) and internal data repositories.
* Improve enterprise search, semantic retrieval, and recommendation systems to surface relevant prior work, benchmarks, and industry data.
* Advance prompt engineering, evaluation, monitoring, and testing practices to ensure reliability, accuracy, scalability, and responsible AI use.
* Author clear design and requirements documentation (PRDs) and collaborate closely with consultants, bankers, and Product Owners to translate business needs into production\-ready AI solutions.
 Success Measures
* Delivery of intuitive AI platforms that improve access to internal knowledge and data.
* Measurable efficiency gains through AI\-enabled workflows, including reduced search and rework time.
* Increased reuse of existing research, benchmarks, and documents across the firm.
* Strong cross\-functional collaboration and alignment across Corporate Services, Consulting, and Investment Banking.
**Qualifications**
* Bachelor’s degree in Computer Science, Data Science, or a related field (or equivalent practical experience).
* 4\+ years of software engineering experience with production systems, preferably in AI, automation, or data\-intensive environments.
* Demonstrated experience delivering production\-grade LLM applications beyond prototypes.
* Experience building multi\-step AI agents, LLM chaining, and workflow automation.
* Strong expertise in prompt engineering and optimization techniques.
* Experience building and integrating APIs across enterprise platforms (e.g., Salesforce, DealCloud, NetSuite, HubSpot, Box).
* Experience deploying and managing AI services in cloud environments (AWS preferred; Azure or GCP acceptable).
* Familiarity with orchestration frameworks such as LangChain, LlamaIndex, or Semantic Kernel.
* Working knowledge of distributed architectures, vector databases, and data pipelines supporting AI workflows.
* Ability to collaborate effectively with consultants, bankers, and corporate teams to translate business needs into practical AI solutions.
* Clear written and verbal communication skills, with the ability to explain technical concepts in business\-relevant terms.
* Comfortable operating in ambiguous environments and iterating quickly with stakeholders.
 Physical \&amp; Work Requirements
* Prolonged periods of computer\-based work.
* Minimal lifting requirements (generally under 10 lbs).
* Up to 10% travel to FMI regional offices (Raleigh, Denver, Houston, Tampa).
* Ability to commute to an FMI office three or more days per week in alignment with the firm’s hybrid work model.
 Base salary starts at $120,000 plus bonus.
*FMI offers a comprehensive benefits package, including fully paid employee medical insurance, life insurance, and long\-term disability coverage, along with additional benefit elections. The package also includes a competitive 401(k) plan, paid time off (PTO), and parental leave.*
*FMI is proud to be an equal opportunity employer. All qualified applicants will receive consideration for employment without regard to race, color, religion, sex, sexual orientation.*</t>
        </is>
      </c>
    </row>
    <row r="105">
      <c r="A105" t="inlineStr">
        <is>
          <t>li-4330470208</t>
        </is>
      </c>
      <c r="B105" t="inlineStr">
        <is>
          <t>Machine Learning Engineer</t>
        </is>
      </c>
      <c r="C105" t="inlineStr">
        <is>
          <t>Children's Hospital of Philadelphia</t>
        </is>
      </c>
      <c r="D105" t="inlineStr">
        <is>
          <t>linkedin</t>
        </is>
      </c>
      <c r="E105">
        <f>HYPERLINK("https://www.linkedin.com/jobs/view/4330470208", "https://www.linkedin.com/jobs/view/4330470208")</f>
        <v/>
      </c>
      <c r="F105">
        <f>HYPERLINK("https://careers.chop.edu/us/en/job/CHOPUS1012391EXTERNALENUS/Machine-Learning-Engineer?utm_source=linkedin&amp;utm_medium=phenom-feeds&amp;urlHash=QBEK", "https://careers.chop.edu/us/en/job/CHOPUS1012391EXTERNALENUS/Machine-Learning-Engineer?utm_source=linkedin&amp;utm_medium=phenom-feeds&amp;urlHash=QBEK")</f>
        <v/>
      </c>
      <c r="G105" t="inlineStr">
        <is>
          <t>Philadelphia, PA</t>
        </is>
      </c>
      <c r="H105" t="inlineStr"/>
      <c r="I105" t="inlineStr">
        <is>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 Brief Overview**
 The Campbell Laboratory at the Children’s Hospital of Philadelphia is seeking a Machine Learning Engineer to help advance our mission to diagnose rare genetic diseases more quickly and accurately. We develop and train large language models (LLMs) to better understand clinical data from the electronic health record (EHR) and to identify ways to facilitate accurate, equitable diagnoses for every child—especially those from historically marginalized backgrounds.
 As a Machine Learning Engineer, you will work closely with data scientists, clinicians, and other researchers to design, implement, and scale state\-of\-the\-art machine learning workflows. You will utilize our on\-premises GPU/SLURM cluster and cloud\-based TPU instances (Google Cloud) to train and deploy LLMs using Hugging Face Transformers, PyTorch, and JAX. This role combines robust software engineering practices with advanced machine learning and natural language processing (NLP) techniques, with a focus on reproducibility and high\-quality code.
 Our innovative and interdisciplinary environment values diversity, fosters professional growth, and drives impactful research that benefits children worldwide. If you are passionate about building robust machine learning systems, enjoy working on high\-impact problems, and thrive in a collaborative research environment, we encourage you to apply.
**What You Will Do**
* Configure and utilize on\-premises SLURM cluster with GPU resources to ensure efficient and reliable job scheduling for large\-scale model training.
* Manage and optimize cloud\-based infrastructures (e.g., TPU Pods on Google Cloud) for distributed model training and evaluation.
* Collaborate with data scientists to implement and fine\-tune LLMs (e.g., Transformer architectures in PyTorch, TensorFlow, or JAX) for clinical and biomedical NLP tasks.
* Develop efficient training pipelines, including data loading, preprocessing, feature extraction, and model deployment.
* Evaluate model performance and optimize hyperparameters, GPU/TPU utilization, and distributed training strategies.
* Collaborate cross\-functionally with clinicians, data scientists, analysts, and IT teams to support and enhance machine learning operations (MLOps).
* Work with relational databases (e.g., Snowflake, BigQuery, Oracle SQL, MySQL) and distributed storage systems to access and manage EHR data.
* Partner with data scientists and domain experts to design data pipelines that integrate with existing hospital systems.
* Write clean, well\-documented, and maintainable code following best practices
* Contribute to shared code repositories using Git, ensuring reproducibility and version control for collaborative projects.
* Develop CI/CD workflows to automate model testing, containerization, and deployment to production environments.
* Monitor deployed models for performance drift, latency, and reliability, and implement automated alerts and feedback loops to refine model behavior.
* Produce clear technical documentation, including system architecture diagrams, training procedures, and user guides for internal stakeholders.
* Present engineering best practices, findings, and process updates to clinicians, researchers, and other non\-technical audiences as needed.
**Education Qualifications**
* Bachelor's Degree Required
* Bachelor's Degree Analytics, Data Science, Statistics, Mathematics, Computer Science or a related field Preferred
* Masters or PhD in Analytics, Data Science, Statistics, Mathematics, Computer Science or a related field Preferred
**Experience Qualifications**
* At least three (3\) years experience with progressively more complex data science, applied statistics, machine learning, or mathematical modeling projects. Required
* At least four (4\) years with progressively more complex data science, applied statistics, machine learning, or mathematical modeling projects Preferred
* At least one year of experience with complex data science, applied statistics, machine learning, or mathematical modeling projects Preferred
* Natural language processing experience, particularly in the biological and medical domains Preferred
* Experience with transformer architecture and associated software (e.g., PyTorch, Tensorflow, JAX) is Preferred
* Experience using distributed computing technologies Preferred
* Experience with cloud virtual machine environments Preferred
* Experience implementing distributed training on GPUs or TPUs in cloud platforms (e.g., Google Cloud, AWS, Azure).
* Experience with prompt engineering, semantic search, or retrieval\-augmented generation (RAG) in a research or production environment.
* Familiarity with MLOps pipelines (CI/CD, containerization, monitoring, and logging frameworks).
* Exposure to healthcare or biomedical data and associated privacy/security regulations (e.g., HIPAA) is a plus.
* Experience with advanced NLP techniques or LLMs in a research or production environment.
**Skills And Abilities**
* Proven software engineering experience, including structured development methods, testing, and version control.
* Hands\-on experience with Python and at least one deep learning framework (e.g., PyTorch, TensorFlow, or JAX).
* Familiarity with relational databases (e.g., Snowflake, BigQuery, Oracle SQL, MySQL).
* Experience with Linux/Unix environments, shell scripting, and cluster computing systems (e.g., SLURM).
**To carry out its mission, CHOP is committed to supporting the health of our patients, families, workforce, and global community. As a condition of employment, CHOP employees who work in patient care buildings or who have patient facing responsibilities must be fully vaccinated against COVID\-19 and receive an annual influenza vaccine. Learn more.
 Employees may request exemptions for valid religious and medical reasons. Start dates may be delayed until candidates are immunized or exemption requests are reviewed.
 EEO / VEVRAA Federal Contractor \| Tobacco Statement**
**SALARY RANGE:**
 $104,600\.00 \- $138,600\.00 Annually
 Salary ranges are shown for full\-time jobs. If you're working part\-time, your pay will be adjusted accordingly.
 At CHOP, we are committed to fair and transparent pay practices. Factors such as skills and experience could result in an offer above the salary range noted in this job posting. Click here for more information regarding CHOP's Compensation and Benefits.</t>
        </is>
      </c>
    </row>
    <row r="106">
      <c r="A106" t="inlineStr">
        <is>
          <t>li-4330109134</t>
        </is>
      </c>
      <c r="B106" t="inlineStr">
        <is>
          <t>Machine Learning Engineer - Large Language Models</t>
        </is>
      </c>
      <c r="C106" t="inlineStr">
        <is>
          <t>ByteDance</t>
        </is>
      </c>
      <c r="D106" t="inlineStr">
        <is>
          <t>linkedin</t>
        </is>
      </c>
      <c r="E106">
        <f>HYPERLINK("https://www.linkedin.com/jobs/view/4330109134", "https://www.linkedin.com/jobs/view/4330109134")</f>
        <v/>
      </c>
      <c r="F106" t="inlineStr"/>
      <c r="G106" t="inlineStr">
        <is>
          <t>San Jose, CA</t>
        </is>
      </c>
      <c r="H106" t="inlineStr"/>
      <c r="I106" t="inlineStr">
        <is>
          <t>**Responsibilities**
 About the Team:
 The Applied Machine Learning Enterprise team combines system engineering and machine learning to develop and operate Large Language Model (LLM) service platform that offers businesses Model\-as\-a\-Service solutions (MaaS) to both the big model vendors and users. The Applied Machine Learning Enterprise US team drives the design, development, and operation of MaaS solutions in US and rest of world overseas of mainland China. We are building full stack end\-to\-end solutions covering text and multi\-modality LLM algorithms, LLM training/finetuning/inference frameworks, heterogeneous hardware architectures, prompting engineering, LLM model alignment, and intelligent agents, etc. We are actively seeking talented Software Development Engineer specializing in Large Language Models (LLM) to join our dynamic team.
 Responsibilities:
 \- lead the creation of next\-generation, high\-capacity LLM platforms and innovative products.
 \- work closely with cross\-functional teams to plan and implement projects harnessing LLMs for diverse purposes and vertical domains.
 \- maintain a deep passion for contributing to the success of large models is essential in this innovative and fast\-paced team environment.
**Qualifications**
 Minimum Qualifications:
 \- Bachelor’s or Master’s degree in Computer Science, Data Science, Mathematics, or a related field (Master’s preferred).
 \- 3–5 years of experience in machine learning, data engineering, or software development, with a track record of delivering end\-to\-end projects from prototype design to production deployment.
 \- Programming: Proficient in Python (core), familiar with Java and ML toolchains (e.g., scikit\-learn).
 \- Familiarity with front\-end frameworks, like React, Angular, or Vue.js
 \- Familiarity with HTML/CSS/JavaScript and responsive design principles, capable of independently developing and optimizing model\-related interfaces.
 \- Strong ability in data structure design, modeling, and visualization (e.g., Matplotlib/Tableau); experience in complex dataset cleaning, feature engineering, and statistical analysis.
 Preferred Qualifications:
 \- Communication \&amp; Collaboration: Excellent cross\-functional communication skills; ability to clearly convey technical value to non\-technical stakeholders and align team objectives.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07">
      <c r="A107" t="inlineStr">
        <is>
          <t>li-4354566971</t>
        </is>
      </c>
      <c r="B107" t="inlineStr">
        <is>
          <t>Senior AI Engineer (Rapid Prototyping &amp; Analytics )</t>
        </is>
      </c>
      <c r="C107" t="inlineStr">
        <is>
          <t>Prompt Health</t>
        </is>
      </c>
      <c r="D107" t="inlineStr">
        <is>
          <t>linkedin</t>
        </is>
      </c>
      <c r="E107">
        <f>HYPERLINK("https://www.linkedin.com/jobs/view/4354566971", "https://www.linkedin.com/jobs/view/4354566971")</f>
        <v/>
      </c>
      <c r="F107" t="inlineStr"/>
      <c r="G107" t="inlineStr"/>
      <c r="H107" t="inlineStr"/>
      <c r="I107" t="inlineStr">
        <is>
          <t>**Job Title: Senior AI Engineer (Rapid Prototyping \&amp; Analytics )**
 Prompt is a mission\-driven startup looking for an experienced Senior AI Engineer to help push forward an ambitious set of AI initiatives in healthcare, with a particular emphasis on speech and language processing.
 Prompt delivers highly automated and modern B2B enterprise software to rehab therapy businesses, their teams, and most importantly the patients they serve. We’ve established ourselves as the go\-to platform in the space and are rapidly growing our market share by delivering software people love.
 As we scale, AI is becoming increasingly central to how we build products
 *and* 
 how we operate internally. We’re looking for a Sr. AI Engineer who can operate broadly across the team, with a particular strength in designing, evaluating, and monitoring end\-to\-end AI systems. Comfort choosing, implementing, and improving outcome metrics is essential. This role will contribute to product\-facing AI as needed, while also playing a key role in rapidly ideating and developing internal AI tools that improve efficiency, decision\-making, and quality across Engineering, Design, Sales, Marketing, Support, Finance, and Operations.
 This is a high\-ownership role focused on iteratively building systems, partnering closely with stakeholders, and ensuring our AI tools deliver real value.
**Responsibilities**
* Drive Prompt’s mission to improve healthcare through modern technology including AI
* Lead AI projects from ideation → architecture → production → iteration until tools are widely adopted and loved!
* Design, build, and deploy end\-to\-end AI systems across both traditional ML and LLM\-based workflows
* Partner with stakeholders across the company to understand workflows, define success criteria, and deliver practical solutions
* Supporting internal as well as product\-facing AI initiatives as needed
* Design and implement evaluation, monitoring, and observability metrics (accuracy, cost, latency, and business impact)
* Build guardrails around LLM pipelines including validation and human\-in\-the\-loop workflows
* Develop rapid proofs\-of\-concept and prototypes, then harden them into reliable systems
* Help grow and lead the AI team, including training and development of junior team members
**Qualifications**
* 4\+ years of experience building AI/ML systems in industry or academia, with meaningful production ownership
* Strong experience building and operating AI systems end\-to\-end, not just models in isolation
* Strong experience with LLM\-based systems (programmatic prompt optimization, evaluation, prompting, structured outputs, RAG, multi\-step workflows)
* Solid understanding of evaluation and measurement for AI systems (offline metrics, online monitoring, regressions, cost tracking)
* Ability to work closely with non\-technical stakeholders to translate workflows into effective AI solutions
* Strong software engineering fundamentals and ability to ship maintainable, production\-grade systems
* Track record of benchmarking and iteratively improving accuracy, cost, and latency
* Excellent communication skills, with the ability to explain complex AI concepts to non\-technical stakeholders
* Python (\&gt;3\.9\)
* Docker (Basics)
* AWS familiarity (S3, RDS, EC2\) preferred
* Strong problem\-solving mindset and ability to operate effectively in ambiguous, fast\-paced settings
* Willingness to learn and deeply understand the healthcare sector, specifically physical therapy, occupational therapy, and speech therapy
* Please only apply if you are interested in a heavy code contribution role; this is not an engineering management position, though growth opportunities exist over time
**Nice\-to\-Haves**
* Experience building internal AI tools or platforms used across multiple business functions
* Experience designing evaluation harnesses for LLM workflows (golden datasets, regression tests, human review loops)
* Experience setting up analytics and dashboards to track AI usage, outcomes, and ROI
* Familiarity with workflow automation and business systems (CRMs, support tools, analytics platforms)
* Experience with FastAPI, Streamlit, Pydantic, SQLAlchemy, PostgreSQL
* Experience with retrieval systems (vector search, hybrid search, grounding and citation strategies)
* Experience building healthcare software and/or data processing pipelines
**Perks \- What you can expect:**
* Competitive salaries
* Remote/hybrid environment
* Potential equity compensation for outstanding performance
* Flexible PTO
* Company\-wide sponsored lunches
* Company paid disability and life insurance benefits
* Company paid family and medical leave
* Medical, dental, and vision insurance benefits
* Discounted pet insurance
* FSA/DCA and commuter benefits
* 401k
* Credits for online fitness classes/gym memberships
* Recovery suite at HQ – includes a cold plunge, sauna, and shower
*Here at Prompt, we are committed to fostering a fair and respectful work environment. As part of this commitment, it is our policy not to hire individuals from Prompt Customers unless they have obtained their current employer's explicit consent. We believe in upholding strong professional relationships and respecting the agreements and commitments our customers have with their employees. We appreciate your understanding and cooperation regarding this policy. If you have any questions or concerns, please don't hesitate to reach out to our People Department.*
*Prompt Therapy Solutions, Inc is an equal opportunity employer, indiscriminate of race, color, religion, ethnicity, ancestry, national origin, sex, gender, gender identity, sexual orientation, age, marital status, veteran status, disability, medical condition, or any other protected characteristic. We celebrate diversity and are committed to creating an inclusive environment for all employees.*
*Prompt Therapy Solutions, Inc is an E\-Verify Employer.*
 Compensation Range: $160K \- $220K</t>
        </is>
      </c>
    </row>
    <row r="108">
      <c r="A108" t="inlineStr">
        <is>
          <t>li-4288096597</t>
        </is>
      </c>
      <c r="B108" t="inlineStr">
        <is>
          <t>Machine Learning Engineer</t>
        </is>
      </c>
      <c r="C108" t="inlineStr">
        <is>
          <t>Scribd, Inc.</t>
        </is>
      </c>
      <c r="D108" t="inlineStr">
        <is>
          <t>linkedin</t>
        </is>
      </c>
      <c r="E108">
        <f>HYPERLINK("https://www.linkedin.com/jobs/view/4288096597", "https://www.linkedin.com/jobs/view/4288096597")</f>
        <v/>
      </c>
      <c r="F108">
        <f>HYPERLINK("https://jobs.ashbyhq.com/scribd/274be712-0a50-4873-a623-0ab4bd0dc47f/application?utm_source=JbD88A8ZW7&amp;urlHash=OoIo", "https://jobs.ashbyhq.com/scribd/274be712-0a50-4873-a623-0ab4bd0dc47f/application?utm_source=JbD88A8ZW7&amp;urlHash=OoIo")</f>
        <v/>
      </c>
      <c r="G108" t="inlineStr">
        <is>
          <t>Denver, CO</t>
        </is>
      </c>
      <c r="H108" t="inlineStr"/>
      <c r="I10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9">
      <c r="A109" t="inlineStr">
        <is>
          <t>li-4354516428</t>
        </is>
      </c>
      <c r="B109" t="inlineStr">
        <is>
          <t>Senior/Lead Gen AI/ML Engineer</t>
        </is>
      </c>
      <c r="C109" t="inlineStr">
        <is>
          <t>Wissen Technology</t>
        </is>
      </c>
      <c r="D109" t="inlineStr">
        <is>
          <t>linkedin</t>
        </is>
      </c>
      <c r="E109">
        <f>HYPERLINK("https://www.linkedin.com/jobs/view/4354516428", "https://www.linkedin.com/jobs/view/4354516428")</f>
        <v/>
      </c>
      <c r="F109" t="inlineStr"/>
      <c r="G109" t="inlineStr">
        <is>
          <t>Alpharetta, GA</t>
        </is>
      </c>
      <c r="H109" t="inlineStr"/>
      <c r="I109" t="inlineStr">
        <is>
          <t>About the job
 The Wissen team continues to expand its footprint in the USA, Canada, UK, Australia, and India. More openings to come as we continue to grow the team!
 Please read below for a brilliant career opportunity.
**Role: Senior/Lead Gen AI/ML Engineer** 
**Title: AVP/VP** 
**Location: Alpharetta, GA (Day 1 Onsite/Hybrid) – Fulltime** 
**Mode of Work: 3 days/week onsite required** 
**Required Experience: 5\+ years** 
 We are seeking a highly skilled
 **AI/ML Engineer** 
 to develop, deploy, and scale machine learning solutions. The ideal candidate will have hands\-on experience in model development and integration, with senior candidates expected to drive architecture, advanced modeling, and AI strategy.
**Key Responsibilities:** 
* Build, train, and deploy machine learning models for various business use cases.
* Integrate ML models into applications through
 **REST APIs** 
 .
* Work with cross\-functional teams to understand data, model requirements, and deployment constraints.
* Develop and optimize ML pipelines for performance, scalability, and reliability.
* Implement best practices for model monitoring, retraining, and lifecycle management.
* Design
 **scalable ML systems** 
 and end\-to\-end machine learning architectures.
* Apply
 **advanced statistical modeling** 
 and algorithmic techniques.
* Provide leadership in
 **AI strategy** 
 , solution design, and technology direction.
* Drive adoption of
 **cutting\-edge AI frameworks** 
 , including Transformers and LLMs.
* Mentor junior team members and guide technical decision\-making.
**Mandatory Skills:** 
* Model development \&amp; deployment
* REST API integration for ML models
* Designing scalable ML systems (expert level)
* Advanced statistical modeling (expert level)
**Preferred Skills:** 
* Experience with
 **NLP** 
 and
 **deep learning** 
 techniques
* Knowledge of
 **cloud ML platforms** 
 (AWS SageMaker, Azure AI, GCP Vertex AI)
* **Leadership in AI strategy** 
 (expert level)
* Experience with
 **cutting\-edge AI frameworks** 
 such as Transformers, LLMs, Diffusion Models
**Benefits:** 
* Healthcare insurance for you and your family (medical, dental, vision).
* Short / Long term disability insurance.
* Life Insurance.
* Accidental death \&amp; disability Insurance.
* 401K.
* 3 weeks of Paid Time Off.
* Support and fee coverage for immigration needs.
* Remote office set up stipend.
* Support for industry certifications.
* Additional cash incentives.
* Re\-skilling opportunities to transition between technologies.
**Schedule:** 
 Monday to Friday
**Work Mode:** 
 Hybrid
**Job Type:** 
 Full\-time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 Perform other duties as needed
**Your Education and Experience:** 
* We value candidates who can execute on our vision and help us build an industry\-leading organization.
* Graduate\-level degree in computer science, engineering, or related technical field
*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diverse industries, including Banking, E\-commerce, Telecom, Healthcare, Manufacturing, and Energy. We help clients build world\-class products. We have offices in the US, India (Bangalore, Hyderabad, Chennai, Gurugram, Mumbai, Pune), UK, Australia, Mexico, Vietnam, and Canada.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 from the talented professionals we attract. Committed to fostering their growth and providing top\-tier career opportunities, Wissen ensures an outstanding experience and value for our clients and employees.
**We Value:** 
* Perfection: Pursuit of excellence through continuous improvement.
* Curiosity: Fostering continuous learning and exploration.
* Respect: Valuing diversity and mutual respect.
* Integrity: Commitment to ethical conduct and transparency.
* Transparency: Open communication and trust.
**Website** 
 : www.wissen.com
**Glassdoor Reviews:** 
 https://www.glassdoor.com/Reviews/Wissen\-Reviews\-E2587444\.htm
**Wissen Thought leadership** 
 : https://www.wissen.com/articles/
**Latest in Wissen in CIO Insider:** 
 https://www.cioinsiderindia.com/vendor/wissen\-technology\-setting\-new\-benchmarks\-in\-technology\-consulting\-cid\-1064\.html
**Employee Speak:** 
 https://www.ambitionbox.com/overview/wissen\-technology\-overview
**LinkedIn** 
 : https://www.linkedin.com/company/wissen\-technology
**About Wissen Interview Process:** 
 https://www.wissen.com/blog/we\-work\-on\-highly\-complex\-technology\-projects\-here\-is\-how\-it\-changes\-whom\-we\-hire/
**Wissen: A Great Place to Work** 
 https://www.wissen.com/blog/wissen\-is\-a\-great\-place\-to\-work\-says\-the\-great\-place\-to\-work\-r\-institute\-india
 https://www.wissen.com/blog/here\-is\-what\-ownership\-and\-commitment\-mean\-to\-wissenites/
 Wissen \| Driving Digital Transformation
 A technology consultancy that drives digital innovation by connecting strategy and execution, helping global clients to strengthen their core technology.</t>
        </is>
      </c>
    </row>
    <row r="110">
      <c r="A110" t="inlineStr">
        <is>
          <t>li-4354584743</t>
        </is>
      </c>
      <c r="B110" t="inlineStr">
        <is>
          <t>Senior Machine Learning Engineer</t>
        </is>
      </c>
      <c r="C110" t="inlineStr">
        <is>
          <t>XSELL Technologies</t>
        </is>
      </c>
      <c r="D110" t="inlineStr">
        <is>
          <t>linkedin</t>
        </is>
      </c>
      <c r="E110">
        <f>HYPERLINK("https://www.linkedin.com/jobs/view/4354584743", "https://www.linkedin.com/jobs/view/4354584743")</f>
        <v/>
      </c>
      <c r="F110" t="inlineStr"/>
      <c r="G110" t="inlineStr">
        <is>
          <t>Chicago, IL</t>
        </is>
      </c>
      <c r="H110" t="inlineStr"/>
      <c r="I110" t="inlineStr">
        <is>
          <t>**Job Summary** 
 We’re looking for a hands\-on, entrepreneurial
 **Senior Machine Learning Engineer** 
 who has already taken
 **voice\-centric AI systems (TTS, STT, LLM\-driven dialog)** 
 from prototype to
 **planet\-scale production** 
 . You will own the full lifecycle of our ML stack—research, data pipelines, training, evaluation, deployment, and relentless optimisation—so that millions of patients can have natural, sub\-second conversations with our Agentic Voice platform. You’ll collaborate tightly with product, infra, and compliance teams, set a high technical bar for ML excellence
**What sets this role apart:** 
 You'll specialize in creating highly optimized, domain\-specific conversational AI models by fine\-tuning and compressing existing LLMs and specialized conversational architectures for specific use cases. We need someone who can rapidly research, prototype, and deploy smaller, faster, cheaper models that outperform general\-purpose solutions in conversational settings \- achieving 10x speed improvements and 90% cost reductions while building efficient pipelines for intent classification, dialogue management, and text\-based optimization systems that improve conversational quality of our dialogue systems.
**Key Responsibilities** 
**Advanced Model Optimization \&amp; Fine Tuning** 
 Apply LoRA, QLoRA, DPO, RLHF and parameter\-efficient methods to create smaller, faster models optimized for conversational contexts
 Implement quantization, pruning, knowledge distillation to significantly reduce model size while preserving quality
 Work with modern conversational architectures: DeBERTa, SetFit, sentence transformers, lightweight decoder models for domain\-specific use cases
 Rapidly evaluate and adapt latest research for conversational applications
**End\-to\-End ML Engineering** 
 Design, build, and maintain high\-performing STT, TTS, and LLM pipelines that operate at \&lt; 800 ms end\-to\-end latency and thousands of concurrent calls.
 Train and fine\-tune smaller, task specific LLMs optimized for accuracy, latency and cost efficiency in real time applications.
**Inference at Scale** 
 Optimise GPU\- and CPU\-based serving on EKS / Kubernetes using techniques such as dynamic batching, quantisation, speculative decoding, and streaming gRPC / WebSockets.
**Dialogue Management** 
 Implement and extend LangGraph / LangChain flows and Model Context Protocol (MCP) schemas to orchestrate complex multi\-turn healthcare conversations safely and compliantly.
**Data \&amp; Evaluation** 
 Build robust data pipelines (Kafka → Snowflake / S3\) for conversation logs; design offline and online evaluation frameworks for ASR/WER, TTS MOS, and task\-completion metrics.
**Technical Leadership** 
 Establish ML best practices—versioning, monitoring, A/B gating, CICD for models—and mentor engineers on ML ops, audio processing, and prompt engineering.
**Cross\-Functional Collaboration** 
 Work daily with product managers, designers, compliance leads, and customer teams to translate business goals into scalable voice experiences.
**Innovation \&amp; Research** 
 Stay on the cutting edge of open\-source speech and LLM research; run rapid POCs (e.g., Whisper\-v3, Bark), explore efficient fine tuning techniques(e.g. LORA, DPO), and continuously improve model performance in production environments.
**Reliability \&amp; Compliance** 
 Ensure HIPAA\-grade security, auditable PHI handling, guardrails, and fallback strategies to keep conversations safe and reliable 24 × 7\.
**Qualifications** 
**Education** 
* B.S. or M.S. in Computer Science, Machine Learning, or related field.
**Experience** 
* **7\+ years** 
 building production ML systems,
 **2\+** 
 specifically in speech / conversational AI.
* Proven track record shipping
 **voice AI** 
 or
 **large\-scale LLM** 
 products to tens\-of\-millions of users or thousands of concurrent sessions.
**Technical Expertise** 
* **Advanced Fine\-tuning \&amp; Model Compression:**
 Proven experience with parameter\-efficient fine\-tuning techniques (LoRA, QLoRA, adapters) for conversational applications
 Knowledge of few\-shot learning frameworks for conversational tasks with limited data
 Experience with model compression techniques (quantization GPTQ/AWQ, pruning, knowledge distillation) for real\-time inference
* **Speech:** 
 Deep understanding of ASR (e.g., Whisper, NeMo, Kaldi) and TTS (e.g., Tacotron, FastSpeech, VITS) model internals and evaluation.
* **LLMs \&amp; Dialogue:** 
 Experience with GPT\-class models, fine\-tuning, RAG, LangGraph, LangChain, MCP, prompt\-engineering and safety guardrails.
* **Languages:** 
 Expert in Python; proficiency in TypeScript / Node and/or Java is a plus.
* **MLOps \&amp; Infra:** 
 Kubernetes (AWS EKS), Helm, Terraform, MLflow / SageMaker, model\-aware CI/CD, feature stores, GPU scheduling, autoscaling.
* **Data:** 
 Kafka, Redis, Postgres, Snowflake; designing real\-time and batch pipelines for audio and text.
* **Protocols:** 
 gRPC, WebSockets, HTTP/2 streaming, RTP/WebRTC.
* **Security \&amp; Compliance:** 
 Experience securing PHI/PII, HIPAA/HITRUST controls, and SOC2 processes.
**Soft Skills:** 
* **Product Mindset:** 
 Proven ability to make strategic product decisions with a focus on user needs and business impact.
* **Entrepreneurial: Experience taking ideas all the way from ideation to execution. Instead of waiting for tasks, you’re proactively identifying areas of opportunity and building them out.**
* **Leadership Skills:** 
 Demonstrated experience in leading technical teams and mentoring engineers.
* **Problem\-Solving:** 
 Excellent analytical and problem\-solving abilities.
* **Communication:** 
 Strong verbal and written communication skills; ability to articulate complex technical concepts to non\-technical stakeholders.
**How we work:** 
* Small, cross‑functional pods with a
 **tech lead** 
 (Data Science/Engineering owns sprint tickets; product owns the
 **what/why** 
 and outcomes).
* Bias to
 **prototype → validate → build** 
 ; instrument everything; learn fast.
* High autonomy, high bar, candid feedback, low politics.
* **Hybrid:** 
 3 days/week in our
 **West Loop** 
 office; occasional travel for customer meetings and team onsites.
**Compensation \&amp; benefits:** 
 Competitive base \+ equity; comprehensive health benefits; flexible PTO.
 XSELL is committed to a culture of teamwork; where everyone works together to plan, do, learn, and continuously improve. We accomplish that by staying true to our core values.
* **Best Chapter** 
 : Every XSELLer is plugged in and focused on writing their “best chapter yet”, both personally and professionally. We believe in working hard to achieve success, but that success only comes if we are doing it together. We do this with a high level of humility, integrity, and compassion towards our coworkers. We celebrate and recognize each other and have a lot of fun along the way.
* **Know Us By Our Results:** 
 We do what we say and say what we do. Our coworkers and clients will “know us by our results” – we welcome that and embrace transparency and measurement.
* **Do It The XSELL Way:** 
 Together we are building an inclusive culture full of top\-performing, talented people that are striving towards common goals with resilience. People will admire not only the work we do but also that we “do it the XSELL way” – as one team. We do this through strong communication, collaboration, and accountability to each other.
* **Open for Business:** 
 We are always “open for business” – fiercely committed to improving ourselves, our team, and our company. We stay curious and approach every situation as an opportunity to learn and grow.
* **Conversations Happen In the Room:** 
 Feedback is imperative to our collective success. We approach the “conversation in the room” with respect, empathy, and candor. Our dialogue with each other is always open and honest.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We are committed to the full inclusion of all qualified individuals. As part of this commitment, we will ensure that persons with disabilities are provided reasonable accommodations. If reasonable accommodation is needed to participate in the job application or interview process, perform essential job functions, and/or receive other benefits and privileges of employment, please contact us.</t>
        </is>
      </c>
    </row>
    <row r="111">
      <c r="A111" t="inlineStr">
        <is>
          <t>li-4338885358</t>
        </is>
      </c>
      <c r="B111" t="inlineStr">
        <is>
          <t>AI Engineer</t>
        </is>
      </c>
      <c r="C111" t="inlineStr">
        <is>
          <t>Euronet</t>
        </is>
      </c>
      <c r="D111" t="inlineStr">
        <is>
          <t>linkedin</t>
        </is>
      </c>
      <c r="E111">
        <f>HYPERLINK("https://www.linkedin.com/jobs/view/4338885358", "https://www.linkedin.com/jobs/view/4338885358")</f>
        <v/>
      </c>
      <c r="F111" t="inlineStr"/>
      <c r="G111" t="inlineStr">
        <is>
          <t>Leawood, KS</t>
        </is>
      </c>
      <c r="H111" t="inlineStr"/>
      <c r="I111" t="inlineStr">
        <is>
          <t>**Description**
 Since 1996, epay, a business segment of Euronet, has been at the center of connecting local and global brands to consumers. Our capabilities, platforms, products, and solutions cater to the changing consumer demand for content and payments in categories such as mobile, gaming, and entertainment.
 We are looking for a pure technical builder\-someone who thrives in a fast\-moving environment and wants to get their hands in the latest AI technology. We’re seeking an AI Engineer with a deep, practical understanding of modern AI. You will be writing code, experimenting with new models, and building production\-grade AI agents. This is a hybrid role located in Leawood, KS.
**What You’ll Do**
* Build \&amp; Deploy: Architect and code end\-to\-end AI applications. You will move beyond simple API calls to build robust systems using RAG (Retrieval\-Augmented Generation), vector databases, and agentic workflows.
* Engineer AI Agents: Develop autonomous agents capable of complex reasoning, tool use, and decision\-making to automate varied business workflows.
* Optimize \&amp; Fine\-Tune: Experiment with prompt engineering strategies, context window management, and model fine\-tuning to maximize performance and accuracy.
* Bridge the Gap: Translate "raw AI" capabilities into reliable software features. You will work with APIs (Flask/FastAPI), databases, and backend logic to integrate AI models into real\-world products.
* Foster Expertise: Act as a technical beacon for AI within the company. While this is not a management role, you will help upskill the engineering team by demonstrating best practices and sharing knowledge on the latest AI advancements.
**Requirements**
* Concrete Experience: Experience building production AI applications.
* Complexity Management: Demonstrated ability to manage high levels of complexity.
* Strong Code: Proficiency in Python and AI frameworks. You should be comfortable writing production\-ready code, managing dependencies, building REST APIs (Flask/FastAPI), etc.
* LLM Native: Hands\-on experience with the modern AI stack. You should know your way around tools like LangChain and the OpenAI/Anthropic APIs.
* Applied AI Skills: You possess a full\-spectrum understanding of AI. While versed in LLM architectures (RAG, Agents, Vector Search), you would also be comfortable with feature engineering and building classic machine learning models (regression, classification, clustering) for structured data. You know how LLMs are trained and may have trained or fine\-tuned a language model yourself.
* Development Background:
* Proficiency with git, docker, experience with cloud compute.
* Background in traditional software engineering is a bonus.
* Local Presence: You must be willing to commute to our Leawood, KS office.
**Benefits**
* 401(k) Plan
* Health/Dental/Vision Insurance
* Employee Stock Purchase Plan
* Company\-paid Life Insurance
* Company\-paid disability insurance
* Tuition Reimbursement
* Paid Time Off
* Paid Volunteer Days
* Paid Holidays
* Casual Office Attire
* Plus many more employee perks \&amp; incentives!
 We are an Equal Opportunity Employer, and all qualified applicants will receive consideration for employment without regard to race, color, religion, gender, sexual orientation, gender identity, or national origin, age, disability status, genetic information, protected veteran status, or any other characteristic protected by law.</t>
        </is>
      </c>
    </row>
    <row r="112">
      <c r="A112" t="inlineStr">
        <is>
          <t>li-4326801900</t>
        </is>
      </c>
      <c r="B112" t="inlineStr">
        <is>
          <t>Staff Machine Learning Engineer</t>
        </is>
      </c>
      <c r="C112" t="inlineStr">
        <is>
          <t>Waymo</t>
        </is>
      </c>
      <c r="D112" t="inlineStr">
        <is>
          <t>linkedin</t>
        </is>
      </c>
      <c r="E112">
        <f>HYPERLINK("https://www.linkedin.com/jobs/view/4326801900", "https://www.linkedin.com/jobs/view/4326801900")</f>
        <v/>
      </c>
      <c r="F112">
        <f>HYPERLINK("https://careers.withwaymo.com/jobs?gh_jid=7442152&amp;gh_src=e2a2625d1us&amp;urlHash=wspn", "https://careers.withwaymo.com/jobs?gh_jid=7442152&amp;gh_src=e2a2625d1us&amp;urlHash=wspn")</f>
        <v/>
      </c>
      <c r="G112" t="inlineStr">
        <is>
          <t>Mountain View, CA</t>
        </is>
      </c>
      <c r="H112" t="inlineStr"/>
      <c r="I11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DUE ML Core team will build and operate scalable machine learning and data systems, simulation workflow and insight tools, improve and speed up the evaluation and onboard developer journeys. It will combine expert human judgements and advanced machine learning models to deliver training and evaluation data for hundreds of metrics and components that make up the Waymo driver. We are looking for researchers and software engineers who are passionate about developing machine learning techniques for the Evaluation systems on our autonomous vehicles, and have an incessant drive to improve the performance of our technology stack.
 In this role, you will
* Lead the development of cutting edge Deep Learning and machine learning models to enhance human\-led triaging and introduce automation for high\-volume workflows
* Design and build Gen AI LLM/VLM solutions for self driving car behavior analysis and anomaly detection
* Proactively monitor and assimilate best practices from within Alphabet and the broader industry to develop a Reinforcement Learning from human preference\-based data collection and evaluation system.
* Enhance User Feedback Analysis, collaborate seamlessly with product and business teams to design and implement tools for multi\-label classifications, sentiment assessment, comment summarization, root cause analysis and trend analysis of rider feedback
* Oversee the production and optimization of machine learning models aiming to assess Waymo's expansive fleet of vehicles that cumulatively travel millions of miles.
* Drive technical direction, and provide technical inputs and guidance to the team.
* Work closely with PMs and TPMs to help define product requirements and align the technical agenda with the company's business objectives.
* Collaborate closely with multiple teams (e.g., Prediction, Planning, Research), other technical leads, and senior leaderships across Waymo to deliver on key strategic efforts.
**At a Minimum We Would Like You To Have**
* B.S. in Computer Science, Robotics, Machine Learning, similar technical field of study, or equivalent practical experience
* Strong coding experience in C\+\+ and/or Python.
* Experience in at least one of: Foundational Models, VLM, Deep Learning
* 5\+ years of experience with hands\-on experience in machine learning projects
* Experience with ML frameworks such as TensorFlow, PyTorch, Hugging Face's transformers, along with expertise in deep learning models and ML deployment at scale
**It's Preferred If You Have**
* M.S. or Ph.D. degree Computer Science or related quantitative field with a specialization of machine learning.
* Deep learning experience with Transformers
* Gen AI LLM/VLM experience
* Experience with building tools for applied machine learning, including MLOps, evaluation/validation techniques, and model performance optimization.
* Large\-scale data processing and analytical skills.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13">
      <c r="A113" t="inlineStr">
        <is>
          <t>li-4328127054</t>
        </is>
      </c>
      <c r="B113" t="inlineStr">
        <is>
          <t>Senior AI Engineer</t>
        </is>
      </c>
      <c r="C113" t="inlineStr">
        <is>
          <t>Business Centric Technology</t>
        </is>
      </c>
      <c r="D113" t="inlineStr">
        <is>
          <t>linkedin</t>
        </is>
      </c>
      <c r="E113">
        <f>HYPERLINK("https://www.linkedin.com/jobs/view/4328127054", "https://www.linkedin.com/jobs/view/4328127054")</f>
        <v/>
      </c>
      <c r="F113" t="inlineStr"/>
      <c r="G113" t="inlineStr">
        <is>
          <t>Dallas, TX</t>
        </is>
      </c>
      <c r="H113" t="inlineStr"/>
      <c r="I113" t="inlineStr">
        <is>
          <t>The Senior AI Engineer will be a core member of the engineering leadership team and a true force multiplier across product and platform pods. They will serve as the AI subject\-matter expert for both technology and business leaders—guiding decisions, evaluating opportunities, and ensuring AI solutions deliver measurable business value. This is a hybrid/remote (Tues\-Thurs onsite) position located in Dallas.
**COMP:** 
 Up to $190K \+ 20% Bonus
**WHAT’S IN IT FOR YOU:** 
* Company\-wide annual bonus program
* Generous paid time off, including vacation accrual, sick leave, volunteer time, and standard and floating holidays
* 401(k) retirement plan with company matching contributions
* Collaborative work environment with a casual dress code
* Regular team events and company gatherings
**WHAT YOU’LL DO:** 
* Lead AI strategy \&amp; execution across the enterprise, integrating real\-world AI solutions into business workflows using platforms like AWS Bedrock, Claude, AWS Comprehend, Rekognition, Salesforce Einstein, AgentForce, etc.
* Partner directly with senior technology and business executives to identify AI opportunities, evaluate vendors, lead POCs, develop recommendations, and guide successful delivery.
* Balance hands\-on engineering with architecture leadership, embedding with delivery pods to guide design, development, and execution of high\-impact initiatives.
* Translate business strategy into scalable, resilient, and future\-ready technical architectures.
* Drive engineering excellence across code quality, deployment velocity, observability, reliability, and recovery.
* Foster strong cross\-functional collaboration, aligning engineering teams and business stakeholders on priorities, scope, and change management.
* Mentor and elevate engineers by sharing knowledge, broadening perspectives, and encouraging thoughtful decision\-making beyond individual domains.
* Identify gaps in engineering practices and lead initiatives to mature capabilities across teams.
* Contribute to Technology Architecture Guild, helping align architectural decisions with long\-term business goals.
* Evaluate, select, and manage technologies and vendors to meet evolving business needs.
* Partner with Security to promote a security\-first mindset, proactively identifying and mitigating risks.
**WHAT YOU’LL BRING:** 
* Bachelor’s degree or equivalent experience
* 10\+ years of software engineering and architecture experience
* 5\+ years in senior or staff\-level engineering leadership roles
* Proven, production\-level experience with AI technologies like LLMs, RAG, MCP \&amp; machine learning models
* Strong prompt engineering skills to maximize LLM effectiveness
* Experience building reusable frameworks, toolkits, and reference architectures
* Deep knowledge of modern software development: RESTful APIs, distributed systems, asynchronous messaging, observability, infrastructure as code
* Expertise in technologies such as JavaScript, Node.js, SQL, and modern cloud platforms
* Strong DevOps mindset with experience supporting mission\-critical systems at scale
* Exceptional verbal and written communication skills—able to influence, persuade, and present with confidence at the executive level
 APPLY TODAY! CP \# 8527</t>
        </is>
      </c>
    </row>
    <row r="114">
      <c r="A114" t="inlineStr">
        <is>
          <t>li-4351226961</t>
        </is>
      </c>
      <c r="B114" t="inlineStr">
        <is>
          <t>Staff Machine Learning Engineer</t>
        </is>
      </c>
      <c r="C114" t="inlineStr">
        <is>
          <t>Venmo</t>
        </is>
      </c>
      <c r="D114" t="inlineStr">
        <is>
          <t>linkedin</t>
        </is>
      </c>
      <c r="E114">
        <f>HYPERLINK("https://www.linkedin.com/jobs/view/4351226961", "https://www.linkedin.com/jobs/view/4351226961")</f>
        <v/>
      </c>
      <c r="F114" t="inlineStr"/>
      <c r="G114" t="inlineStr">
        <is>
          <t>San Jose, CA</t>
        </is>
      </c>
      <c r="H114" t="inlineStr"/>
      <c r="I1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Machine Learning Engineer on Venmo’s Data Science team, you’ll tackle high\-impact challenges that shape how millions of people move and manage money with friends, family, and businesses. Our work spans personalization, retention, trust, discovery, and growth — from predicting churn before it happens to powering Venmo’s search and recommendations, to building smarter fraud and risk models. You’ll leverage Venmo’s unique social graph and financial ecosystem to design ML solutions that drive engagement, safety, and meaningful product experiences.
**Job Description:**
 You’ll be a senior technical leader and thought partner across Venmo—building production\-scale ML solutions that serve millions of users and strengthen the core of our product experience, with a growing focus on agentic AI and its role in shaping the future of commerce. From developing models that personalize interactions to optimizing search and discovery, your work will directly shape the future of how people move money and connect through Venmo.
 You’ll collaborate closely with engineering, product, and operations teams—pushing the boundaries of what’s possible with ML and helping evolve the data science culture at Venmo.
 Key Roles and Responsibilities include:
* Design, build, and deploy production\-grade machine learning models that power personalization, search, ranking, discovery, and other core product experiences.
* Use machine learning to drive monetization and deliver user value—supporting initiatives such as pricing strategy, feature optimization, and behavioral targeting.
* Partner with product managers, engineers, and designers to identify high\-impact opportunities, frame problems as ML tasks, and define measurable success.
* Lead the full lifecycle of model development—from data exploration and feature engineering to validation, deployment, and monitoring in production.
* Conduct rigorous offline evaluations and design online experiments (e.g., A/B tests) to assess model impact and guide iteration.
* Collaborate with data and platform engineering teams to ensure scalable infrastructure, low\-latency serving, and long\-term system maintainability.
* Communicate technical insights and data\-driven recommendations clearly to both technical and non\-technical stakeholders.
* Mentor junior scientists and contribute to the evolution of Venmo’s machine learning strategy, practices, and team culture.
 Basic Requirements:
 Advanced degree (M.S. or Ph.D.) in a quantitative field such as Computer Science, Machine Learning, Statistics, or Applied Mathematics.
* 8\+ years of industry experience applying machine learning to real\-world problems at scale, preferably in product or platform settings.
* Strong proficiency in Python and experience with modern ML libraries (e.g., scikit\-learn, TensorFlow, PyTorch, XGBoost).
* Expertise in supervised and unsupervised learning; experience with NLP, ranking systems, or user behavior modeling is a plus.
* Proficiency in SQL and experience working with large\-scale data systems in cloud\-based environments (e.g., BigQuery, Spark, Airflow).
* Demonstrated success deploying ML models in production, including monitoring, retraining, and debugging.
* Excellent problem\-solving and communication skills, with the ability to translate complex technical ideas into actionable product insights.
* A collaborative mindset with a passion for mentoring, experimentation, and continuous improvement.
**Additional Responsibilities And Preferred Qualifications**
 Nice to Have
* Experience in social platforms, fintech, consumer apps, or payments ecosystems.
* Familiarity with real\-time ML model serving and streaming infrastructure.
* Contributions to research publications or open\-source ML projects.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R0126341</t>
        </is>
      </c>
    </row>
    <row r="115">
      <c r="A115" t="inlineStr">
        <is>
          <t>li-4354368908</t>
        </is>
      </c>
      <c r="B115" t="inlineStr">
        <is>
          <t>Senior AI Engineer</t>
        </is>
      </c>
      <c r="C115" t="inlineStr">
        <is>
          <t>The College Board</t>
        </is>
      </c>
      <c r="D115" t="inlineStr">
        <is>
          <t>linkedin</t>
        </is>
      </c>
      <c r="E115">
        <f>HYPERLINK("https://www.linkedin.com/jobs/view/4354368908", "https://www.linkedin.com/jobs/view/4354368908")</f>
        <v/>
      </c>
      <c r="F115">
        <f>HYPERLINK("https://collegeboard.wd1.myworkdayjobs.com/en-US/Careers/job/Remote\u002d\u002d-USA/Senior-AI-Engineer_REQ002299?source=LinkedIn&amp;urlHash=2DE0", "https://collegeboard.wd1.myworkdayjobs.com/en-US/Careers/job/Remote\u002d\u002d-USA/Senior-AI-Engineer_REQ002299?source=LinkedIn&amp;urlHash=2DE0")</f>
        <v/>
      </c>
      <c r="G115" t="inlineStr"/>
      <c r="H115" t="inlineStr"/>
      <c r="I115" t="inlineStr">
        <is>
          <t>**Senior AI Engineer**
**College Board – Technology –** 
 BigFuture Student
**Location:** 
 This is a fully remote role. Candidates who live near CB offices have the option of being fully remote or hybrid (Tuesday and Wednesday in office).
**Type:** 
 This is a full\-time position
**About The Team**
 BigFuture is committed to empowering all students to take the right first step after high school, reaching over 7 million students each year as the leading free resource for college, scholarship, and career exploration. The BigFuture Student team builds and maintains the full breadth of BigFuture student products like BigFuture School a mobile app \&amp; bigfuture.org including but not limited to College Search, Scholarship Search, Career Search, dashboards, checklists, and community features so that students can confidently discover, define, and pursue their unique paths. We work in an agile, collaborative environment that values creativity, curiosity, and problem\-solving, delivering clean and sustainable solutions that scale to meet the needs of millions while reducing technical debt. Engineers on our team not only code, but also mentor, document, and partner with product and design to shape solutions and influence the direction of our work. We thrive on learning from each other, raising risks early, and finding simplicity in complexity, all while celebrating shared successes and growth. Together, we are mission\-driven technologists who take pride in building products that positively transform the educational and career trajectories of students nationwide.
**About The Opportunity**
 This is a chance to have a direct hand in building the future of BigFuture, the most widely used college and career planning platform for students both in the mobile and web ecosystems. As a Full Stack Engineer on this team, you are a leader, collaborator, and innovator. You have a strong interest in understanding our stakeholders and leveraging new technologies to support them. We’re looking for a
 **Senior AI Engineer** 
 to design and build next\-generation user experiences powered by Generative AI. You’ll work across architecture, data, and product design to implement LLM\-driven tools that personalize, automate, and enhance our users’ journeys. This role blends deep technical expertise with creativity and a product mindset — ideal for someone passionate about applying AI to real\-world impact. From day one, you’ll be encouraged to mentor teammates, influence technical decisions, and help simplify complex problems so that students and educators experience fast, reliable, and meaningful tools. Beyond building products, this role offers you the opportunity to elevate engineering practices, explore emerging technologies like AI, and grow into a trusted technical leader whose work impacts millions of students each year. You are not shy about taking on new work you may not have done before while owning all phases of prototyping including requirements definition and analysis, application design, coding, reviewing, testing, deploying, and support. You are eager to lead by example as well as more formally through peer collaboration, coaching and mentoring.
**In This Role, You Will**
**Design and Development (60%)** 
* Design and deliver high\-quality software that is scalable, secure, and reusable—leveraging modern technologies, proven design patterns, and cloud\-native practices to power BigFuture’s core tools.
* Collaborate with product owners, architects, and stakeholders to uphold the highest engineering standards and translate big ideas into impactful, student\-facing solutions.
* Break down new product capabilities into actionable, verifiable technical changes that move quickly from concept to reality.
* Design and implement solutions to allow rapid testing of innovative concepts using the latest technologies, typically React web apps
* Create sharable documentation, both technical and non\-technical
* Exercise discretion in prototyping: investing time to make sure the most important things work well, and working with the team to mock or minimize less important features
* Maintain clean code and strong engineering standards such that when prototypes are greenlit for further development, the project is easy to build upon
* Continuously develop the skills required to work with this rapidly developing technology
**Team Operations \&amp; Success (30%)** 
* Participate in, or lead Agile SCRUM ceremonies (Sprint Planning, Grooming, Daily SCRUM, Demo) by contributing to team deliverables and driving alignment, focus, and momentum across sprints.
* Elevate team performance by giving and receiving thoughtful code reviews, mentoring peers, and helping solve complex technical challenges.
* Assist in resolving production issues with urgency and precision, ensuring a smooth and reliable user experience.
* Model discipline in adhering to development standards, security practices, and CI/CD principles while helping the team move fast without compromising quality.
* Continuously grow your skills and embrace a poly\-skilled environment where everyone contributes beyond their specialty.
* Serve as an organizational Subject Matter Expert on implementing Generative AI applications
* Work with our Enterprise Architecture team to review and/or establish implementation patterns involving Generative AI tools
* Advise on, and where feasible, create tools and infrastructure that will enable teams to safely deploy Generative AI tools
**Learning \&amp; Sharing (10%)**
* Keep abreast of developments in GenAI capabilities and implementations
* Share knowledge of new developments with the team via chats, meetings, and presentations when appropriate
* Serve as an advisor to internal teams developing staff education around Generative AI
**About You, You Have**
* Hands\-on experience with LLM frameworks and APIs (e.g., OpenAI, Anthropic).
* Experience fine\-tuning or prompting large models for specific user or domain contexts.
* Understanding RAG (Retrieval\-Augmented Generation) architectures, embeddings, and vector databases (e.g., Pinecone, AWS OpenSearch).
* Familiarity with prompt engineering, few\-shot learning, and context management techniques.
* Familiarity with Python skills (FastAPI, Flask, or Django) and comfort working with TypeScript/JavaScript for front\-end integrations.
* 5\+ years of Software engineering experience designing, building, testing, and managing scalable web applications in cloud\-hosted environments
* 2–3\+ years working with LLMs, NLP, or applied ML systems.
* Enthusiasm for learning new technologies, especially in the fast\-moving GenAI space
* Expertise in developing responsive, accessible UIs with JavaScript, TypeScript, CSS, and HTML
* Strong knowledge and hands\-on experience with back\-end technologies such as Node.js and/or Python
* Experience with asynchronous programming and event\-driven messaging patterns
* Strong knowledge of AWS services (e.g., Lambda, SNS, SQS, S3, Step Functions, IAM, KMS, API Gateway, CloudWatch, DynamoDB)
* Experience with relational and NoSQL databases (e.g., PostgreSQL, MySQL, Redshift, DynamoDB)
* Experience working in Agile/Scrum environments
* Strong analytical thinking, structured problem\-solving, and practical decision\-making skills
* Effective communication and documentation skills
* Proficiency in reviewing and improving code structure and architecture for testability, maintainability, and scalability, with hands\-on experience in JavaScript/TypeScript, React, Node.js, Next.js, APIs, and AWS Serverless technologies (Lambdas, DynamoDB, S3, CloudWatch, etc.).
* Strong problem\-solving skills, working collaboratively with team members to identify and resolve issues, and partnering with Product Owners to prioritize backlog.
* Proven ability to pitch new ideas and implement improved systems and processes, delivering excellent results.
* Effective communicator and able to provide actionable feedback, mentor team members, and participate in interviews to evaluate engineering talent.
* Bachelor's degree in computer science, Machine Learning, or related engineering fields
* Ability to travel 3\-5 times a year to our Reston, VA office.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or whiteboarding sessions,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$150,000 to $163,000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Clearing a path for all students to own their future.
**What Guides Us**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116">
      <c r="A116" t="inlineStr">
        <is>
          <t>li-4326800065</t>
        </is>
      </c>
      <c r="B116" t="inlineStr">
        <is>
          <t>Senior Staff Machine Learning Engineer, Simulation</t>
        </is>
      </c>
      <c r="C116" t="inlineStr">
        <is>
          <t>Waymo</t>
        </is>
      </c>
      <c r="D116" t="inlineStr">
        <is>
          <t>linkedin</t>
        </is>
      </c>
      <c r="E116">
        <f>HYPERLINK("https://www.linkedin.com/jobs/view/4326800065", "https://www.linkedin.com/jobs/view/4326800065")</f>
        <v/>
      </c>
      <c r="F116" t="inlineStr"/>
      <c r="G116" t="inlineStr">
        <is>
          <t>San Francisco, CA</t>
        </is>
      </c>
      <c r="H116" t="inlineStr"/>
      <c r="I11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Driver is performing well in more and more cities, with our scale rapidly accelerating. Our team’s job is to ensure that we can continue to evaluate safety and service quality across new cities and countries, each with their unique challenges. We need an experienced, technically hands\-on engineering manager with strong quantitative skills to lead a small team and work with partners to scale eval and ML development by exploring new methods and delivering tools for mining and sampling data.
*In this hybrid role, you will report to the Sr. Staff Manager.*
**In This Role, You Will**
* Develop and drive the end\-to\-end strategy for our next generation of machine learning\-based evaluation metrics, championing scientific and statistical rigor across our embodied AI applications.
* Architect and build scalable systems for training and fine\-tuning large\-scale generative models to produce realistic and evaluate interesting driving behaviors.
* Lead the design, implementation, and iteration of novel RL algorithms, reward functions, and training paradigms tailored for generating high\-fidelity and insightful driving behaviors.
* Lead the development of cutting\-edge Deep Learning models and Generative AI (LLM/VLM) solutions to enhance human\-led triaging, introduce automation for high\-volume workflows, and perform nuanced analysis of self\-driving behavior to detect critical anomalies.
* Proactively monitor and assimilate best practices from within Alphabet and the broader industry to develop a novel Reinforcement Learning from Human Preference (RLHF) based data collection and evaluation system.
* Provide technical mentorship, guidance, and thought leadership to other engineers within the team and across collaborating groups.
* Guide and align multiple teams—including Driver Understanding, Simulation, System Engineering, Research, and Onboard Software—on a cohesive evaluation strategy, ensuring cross\-functional alignment on goals and priorities.
**Minimum Qualifications**
* PhD degree in Computer Science, Machine Learning, Artificial Intelligence, or a related technical field, or equivalent practical experience.
* 7\+ years of hands\-on experience in developing and applying Machine Learning models, with a significant focus on Reinforcement Learning.
* Demonstrated expertise in deep learning, sequence modeling, and generative models.
* Strong publication record or history of impactful project delivery in RL or related areas.
* Proficiency in Python and standard ML frameworks (e.g., JAX, TensorFlow).
* Experience with large\-scale distributed training and data processing.
* Proven ability to lead complex and ambiguous technical projects from conception to completion.
**Preferred Qualifications**
* 10\+ years of relevant experience in ML/RL research and application.
* Experience in the autonomous vehicles domain, robotics, or complex simulation environments.
* Deep understanding of state\-of\-the\-art RL techniques, including those used for fine\-tuning large models (e.g., from human feedback/preferences).
* Familiarity with large\-scale simulation platforms and their integration with ML training workflows.
* Experience designing and using metrics for evaluating complex AI systems.
* Track record of technical leadership, influencing senior stakeholders, and driving innovation across team boundaries.
* Excellent communication skills, with the ability to articulate complex technical concepts clearly.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117">
      <c r="A117" t="inlineStr">
        <is>
          <t>li-4330460801</t>
        </is>
      </c>
      <c r="B117" t="inlineStr">
        <is>
          <t>AI Engineer</t>
        </is>
      </c>
      <c r="C117" t="inlineStr">
        <is>
          <t>Piper Companies</t>
        </is>
      </c>
      <c r="D117" t="inlineStr">
        <is>
          <t>linkedin</t>
        </is>
      </c>
      <c r="E117">
        <f>HYPERLINK("https://www.linkedin.com/jobs/view/4330460801", "https://www.linkedin.com/jobs/view/4330460801")</f>
        <v/>
      </c>
      <c r="F117" t="inlineStr"/>
      <c r="G117" t="inlineStr"/>
      <c r="H117" t="inlineStr"/>
      <c r="I117"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regulated industries such as healthcare.
* Remote.
**Compensation for the AI Engineer** 
**includes:**
* $150,000 – $180,000 annually with a
* Comprehensive benefit: Medical, Dental, Vison, 401k, PTO, holidays, sick leave as required by law.
 This job opens for applications on 1/5/2026\.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118">
      <c r="A118" t="inlineStr">
        <is>
          <t>li-4351287203</t>
        </is>
      </c>
      <c r="B118" t="inlineStr">
        <is>
          <t>Senior Machine Learning Engineer</t>
        </is>
      </c>
      <c r="C118" t="inlineStr">
        <is>
          <t>Zendesk</t>
        </is>
      </c>
      <c r="D118" t="inlineStr">
        <is>
          <t>linkedin</t>
        </is>
      </c>
      <c r="E118">
        <f>HYPERLINK("https://www.linkedin.com/jobs/view/4351287203", "https://www.linkedin.com/jobs/view/4351287203")</f>
        <v/>
      </c>
      <c r="F118" t="inlineStr"/>
      <c r="G118" t="inlineStr">
        <is>
          <t>Maryland, United States</t>
        </is>
      </c>
      <c r="H118" t="inlineStr"/>
      <c r="I11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19">
      <c r="A119" t="inlineStr">
        <is>
          <t>li-4354623123</t>
        </is>
      </c>
      <c r="B119" t="inlineStr">
        <is>
          <t>Lead Machine Learning Engineer</t>
        </is>
      </c>
      <c r="C119" t="inlineStr">
        <is>
          <t>TalentAlly</t>
        </is>
      </c>
      <c r="D119" t="inlineStr">
        <is>
          <t>linkedin</t>
        </is>
      </c>
      <c r="E119">
        <f>HYPERLINK("https://www.linkedin.com/jobs/view/4354623123", "https://www.linkedin.com/jobs/view/4354623123")</f>
        <v/>
      </c>
      <c r="F119" t="inlineStr"/>
      <c r="G119" t="inlineStr"/>
      <c r="H119" t="inlineStr"/>
      <c r="I119"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PDN\-a0c38a7a\-acce\-4b4e\-8a1f\-a1777223a54e</t>
        </is>
      </c>
    </row>
    <row r="120">
      <c r="A120" t="inlineStr">
        <is>
          <t>li-4351146641</t>
        </is>
      </c>
      <c r="B120" t="inlineStr">
        <is>
          <t>Senior AI Engineer/AI Evangelist</t>
        </is>
      </c>
      <c r="C120" t="inlineStr">
        <is>
          <t>Zodiac Solutions, Inc</t>
        </is>
      </c>
      <c r="D120" t="inlineStr">
        <is>
          <t>linkedin</t>
        </is>
      </c>
      <c r="E120">
        <f>HYPERLINK("https://www.linkedin.com/jobs/view/4351146641", "https://www.linkedin.com/jobs/view/4351146641")</f>
        <v/>
      </c>
      <c r="F120" t="inlineStr"/>
      <c r="G120" t="inlineStr">
        <is>
          <t>New York, United States</t>
        </is>
      </c>
      <c r="H120" t="inlineStr"/>
      <c r="I120" t="inlineStr">
        <is>
          <t>**Key Technical and Design Responsibilities**
* Build, deploy, and manage both agentic AI architectures and generative code systems, ensuring scalable and secure integration of technologies like LLMs, code generators, and automation agents within production workflows.
* Oversee technical design, implementation, and code reviews—especially for code created or assisted by AI tools—maintaining high standards of security, performance, and maintainability in Python and other programming languages.
* Develop robust testing and validation protocols for AI\-generated code and agent behavior, including prompt engineering, debugging, and post\-deployment monitoring for unusual failure patterns or compliance issues.
* Lead technical teams, mentor junior engineers, and set excellence in software engineering practices; create documentation and establish guidelines for both human and AI\-driven contributions
* Collaborate with cross\-functional stakeholders (DevOps, security, product, and business leaders) to ensure rapid, safe adoption of agentic and generative AI features
**Essential Qualifications**
* Bachelor’s or master’s degree in computer science, Data Science, Finance, or related field.
* Experience in one or many of the high\-level programming languages like C\+\+, Java, C\#
* Good understanding of Typescript, Node.js and other JS framework for UI development
* Strong hands\-on experience with Python, SQL, and AI/ML frameworks (e.g., TensorFlow, PyTorch) as applied to financial data and workflows
* At least 4\+ years working in AI roles within finance, fintech, or technical consulting, preferably with exposure to regulatory environments.
* Deep knowledge of AI ethics, compliance, Guardrails, data privacy, and compliance trends relevant to the financial sector.
* Excellent communication, stakeholder engagement, and technical storytelling abilities.\[7]\[3]
* Demonstrated ability to manage multiple priorities and projects while maintaining strategic alignment and rigorous attention to detail.
**Desired Traits**
* Passion for driving innovation and adoption of AI in highly regulated settings.
* Effective at stakeholder education—from boardroom to engineering teams.
* Strong problem\-solving mindset, able to translate technical outputs into practical business recommendations.
* Integrity and diligence, with a commitment to both organizational objectives and ethical AI deployment.
**Essential Experience \&amp; Skills:**
* **Advanced Python expertise, plus experience with other major backend languages (e.g., Java, C\+\+, Go) and modern AI/ML toolkits**
* **Demonstrated proficiency in designing, validating, and launching code\-generation systems and agentic workflows, strong familiarity with prompt engineering and AI model deployment**
* **Track record of hands\-on technical leadership within agile teams, overseeing both human and AI\-generated codebases and ensuring auditability, explainability, and compliance at scale**
* **Expertise in code review, automated testing, and documentation standards for mixed human/AI development environments**
**Desired Traits**
 • Analytical mindset with a passion for innovation, experimentation, and best practices in AI\-enhanced software engineering
 • Effective communicator, comfortable translating complex AI behaviors and code\-gen strategies for both technical and business audiences
 • Champion of ethical AI development, security consciousness, and responsible agent operation in critical production settings</t>
        </is>
      </c>
    </row>
    <row r="121">
      <c r="A121" t="inlineStr">
        <is>
          <t>li-4351307173</t>
        </is>
      </c>
      <c r="B121" t="inlineStr">
        <is>
          <t>Senior Machine Learning Engineer</t>
        </is>
      </c>
      <c r="C121" t="inlineStr">
        <is>
          <t>Zendesk</t>
        </is>
      </c>
      <c r="D121" t="inlineStr">
        <is>
          <t>linkedin</t>
        </is>
      </c>
      <c r="E121">
        <f>HYPERLINK("https://www.linkedin.com/jobs/view/4351307173", "https://www.linkedin.com/jobs/view/4351307173")</f>
        <v/>
      </c>
      <c r="F121" t="inlineStr"/>
      <c r="G121" t="inlineStr">
        <is>
          <t>Oregon, United States</t>
        </is>
      </c>
      <c r="H121" t="inlineStr"/>
      <c r="I12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22">
      <c r="A122" t="inlineStr">
        <is>
          <t>li-4330098517</t>
        </is>
      </c>
      <c r="B122" t="inlineStr">
        <is>
          <t>Senior AI Engineer</t>
        </is>
      </c>
      <c r="C122" t="inlineStr">
        <is>
          <t>RENFROE®</t>
        </is>
      </c>
      <c r="D122" t="inlineStr">
        <is>
          <t>linkedin</t>
        </is>
      </c>
      <c r="E122">
        <f>HYPERLINK("https://www.linkedin.com/jobs/view/4330098517", "https://www.linkedin.com/jobs/view/4330098517")</f>
        <v/>
      </c>
      <c r="F122" t="inlineStr"/>
      <c r="G122" t="inlineStr"/>
      <c r="H122" t="inlineStr"/>
      <c r="I122" t="inlineStr">
        <is>
          <t>We are seeking a highly skilled, hands\-on Senior AI Engineer to help build ClaimSentinel, RENFROE’s next\-generation AI\-driven claims quality assurance platform. This is a foundational role focused on building production\-quality LLM\-powered pipelines from the ground up, integrating AI capabilities into real operational systems, and establishing best practices as we move from MVP to production pilots.
 As one of the first AI engineers on the team, you will have significant ownership over LLM workflows, inference systems, evaluation pipelines, and integration patterns. This role is not research\-focused; it requires building reliable, scalable AI systems that support real claims QA workflows in production.
 You will work closely with AI leadership, product teams, and software engineering to deliver scalable AI features while helping shape the early AI engineering culture. This is a hands\-on engineering role, with most of your time spent designing, building, testing, and deploying production AI systems.
 What You’ll Do
 LLM \&amp; Pipeline Development
* Build and maintain LLM\-driven workflows for text extraction, summarization, classification, reasoning, and automation.
* Develop prompting strategies, evaluation frameworks, guardrails, and validation logic for reliable LLM outputs.
* Build RAG pipelines using embeddings, vector stores, and retrieval models (managed or self\-hosted).
* Fine\-tune or adapt LLMs and integrate third\-party or hosted models.
 AI Engineering
* Build and maintain production inference services and AI\-facing APIs that support ClaimSentinel.
* Implement data preprocessing and feature extraction for text and multimodal datasets.
* Support integration of classical ML or CV components when they complement LLM\-driven workflows.
* Work with large volumes of structured, unstructured, and OCR\-derived documents.
 Infrastructure \&amp; Deployment
* Deploy models via Docker and integrate them into backend services.
* Implement monitoring, logging, and observability for AI components.
* Optimize inference latency, throughput, and cost in cloud environments.
* Ensure secure, reliable, and scalable operation of AI services.
 Technical Collaboration
* Partner closely with software engineering on integration strategies and delivery timelines.
* Work with product leadership to refine requirements and iterate on AI\-driven features.
* Contribute to dataset design, annotation workflows, and overall AI development best practices.
 What We’re Looking For
 Required
* 5\+ years in AI engineering, ML engineering, or adjacent production\-focused roles.
* Strong experience building LLM\-driven applications (prompting, RAG, embeddings, fine\-tuning).
* Proficiency in Python and modern AI/ML frameworks (PyTorch, Hugging Face, LangChain/LlamaIndex, or similar).
* Experience deploying and optimizing model inference services in production.
* Familiarity with model serving approaches, including managed endpoints and model serving frameworks (vLLM, Ray Serve, or similar).
* Solid software engineering fundamentals (testing, CI/CD, version control).
* Experience designing evaluation and monitoring workflows for LLM systems.
* Cloud experience with platforms such as Azure, AWS, or GCP.
* Ability to work independently in a lean team and make thoughtful engineering tradeoffs.
* Strong communication skills and ability to collaborate cross\-functionally.
 Nice to Have
* Experience with computer vision techniques and multimodal models.
* Experience applying classical ML techniques in production systems.
* Experience in insurance, claims, or related regulated industries.
* Experience mentoring engineers or contributing to engineering best practices.
 Why Join RENFROE?
 We believe that success starts with our people. By joining our team, you’ll become part of a culture built on strong values:
* Excellence: We are dedicated to excellence in every aspect of our work. We seek the best minds and talents and provide them with opportunities for professional growth and continuous learning.
* Growth: Growth is the cornerstone of our company’s mission. By driving innovation, expanding our reach, and continuously improving our services, we ensure the company’s progress and success. At the same time, we remain dedicated to supporting the personal growth of our employees, fostering a dynamic and thriving workplace for all.
* Curiosity: We foster curiosity and innovation, encouraging creative thinking and exploration of new ideas to remain at the forefront of our industry.
* Empathy: A supportive and understanding workplace is key to our success. We value empathy and build relationships based on trust and mutual respect.
* Integrity: Transparency and honesty are at the core of our business practices. We uphold the highest ethical standards in all that we do.
* Service: Service is at the heart of our values. We are committed to making a positive impact on our clients, our community, and each other.</t>
        </is>
      </c>
    </row>
    <row r="123">
      <c r="A123" t="inlineStr">
        <is>
          <t>li-4351187418</t>
        </is>
      </c>
      <c r="B123" t="inlineStr">
        <is>
          <t>Senior Machine Learning Engineer</t>
        </is>
      </c>
      <c r="C123" t="inlineStr">
        <is>
          <t>Zendesk</t>
        </is>
      </c>
      <c r="D123" t="inlineStr">
        <is>
          <t>linkedin</t>
        </is>
      </c>
      <c r="E123">
        <f>HYPERLINK("https://www.linkedin.com/jobs/view/4351187418", "https://www.linkedin.com/jobs/view/4351187418")</f>
        <v/>
      </c>
      <c r="F123">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123" t="inlineStr">
        <is>
          <t>Washington, United States</t>
        </is>
      </c>
      <c r="H123" t="inlineStr"/>
      <c r="I12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24">
      <c r="A124" t="inlineStr">
        <is>
          <t>li-4351177455</t>
        </is>
      </c>
      <c r="B124" t="inlineStr">
        <is>
          <t>Senior Machine Learning Engineer</t>
        </is>
      </c>
      <c r="C124" t="inlineStr">
        <is>
          <t>Zendesk</t>
        </is>
      </c>
      <c r="D124" t="inlineStr">
        <is>
          <t>linkedin</t>
        </is>
      </c>
      <c r="E124">
        <f>HYPERLINK("https://www.linkedin.com/jobs/view/4351177455", "https://www.linkedin.com/jobs/view/4351177455")</f>
        <v/>
      </c>
      <c r="F124" t="inlineStr"/>
      <c r="G124" t="inlineStr">
        <is>
          <t>Rhode Island, United States</t>
        </is>
      </c>
      <c r="H124" t="inlineStr"/>
      <c r="I12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25">
      <c r="A125" t="inlineStr">
        <is>
          <t>li-4351137450</t>
        </is>
      </c>
      <c r="B125" t="inlineStr">
        <is>
          <t>Senior Machine Learning Engineer</t>
        </is>
      </c>
      <c r="C125" t="inlineStr">
        <is>
          <t>Zendesk</t>
        </is>
      </c>
      <c r="D125" t="inlineStr">
        <is>
          <t>linkedin</t>
        </is>
      </c>
      <c r="E125">
        <f>HYPERLINK("https://www.linkedin.com/jobs/view/4351137450", "https://www.linkedin.com/jobs/view/4351137450")</f>
        <v/>
      </c>
      <c r="F125" t="inlineStr"/>
      <c r="G125" t="inlineStr">
        <is>
          <t>Nevada, United States</t>
        </is>
      </c>
      <c r="H125" t="inlineStr"/>
      <c r="I12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26">
      <c r="A126" t="inlineStr">
        <is>
          <t>li-4351187419</t>
        </is>
      </c>
      <c r="B126" t="inlineStr">
        <is>
          <t>Senior Machine Learning Engineer</t>
        </is>
      </c>
      <c r="C126" t="inlineStr">
        <is>
          <t>Zendesk</t>
        </is>
      </c>
      <c r="D126" t="inlineStr">
        <is>
          <t>linkedin</t>
        </is>
      </c>
      <c r="E126">
        <f>HYPERLINK("https://www.linkedin.com/jobs/view/4351187419", "https://www.linkedin.com/jobs/view/4351187419")</f>
        <v/>
      </c>
      <c r="F126">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126" t="inlineStr">
        <is>
          <t>Colorado, United States</t>
        </is>
      </c>
      <c r="H126" t="inlineStr"/>
      <c r="I126"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27">
      <c r="A127" t="inlineStr">
        <is>
          <t>li-4292460041</t>
        </is>
      </c>
      <c r="B127" t="inlineStr">
        <is>
          <t>Senior Machine Learning Engineer</t>
        </is>
      </c>
      <c r="C127" t="inlineStr">
        <is>
          <t>Scribd, Inc.</t>
        </is>
      </c>
      <c r="D127" t="inlineStr">
        <is>
          <t>linkedin</t>
        </is>
      </c>
      <c r="E127">
        <f>HYPERLINK("https://www.linkedin.com/jobs/view/4292460041", "https://www.linkedin.com/jobs/view/4292460041")</f>
        <v/>
      </c>
      <c r="F127" t="inlineStr"/>
      <c r="G127" t="inlineStr">
        <is>
          <t>New York, NY</t>
        </is>
      </c>
      <c r="H127" t="inlineStr"/>
      <c r="I12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8">
      <c r="A128" t="inlineStr">
        <is>
          <t>li-4323041802</t>
        </is>
      </c>
      <c r="B128" t="inlineStr">
        <is>
          <t>Senior Machine Learning Engineer (Search)</t>
        </is>
      </c>
      <c r="C128" t="inlineStr">
        <is>
          <t>Scribd, Inc.</t>
        </is>
      </c>
      <c r="D128" t="inlineStr">
        <is>
          <t>linkedin</t>
        </is>
      </c>
      <c r="E128">
        <f>HYPERLINK("https://www.linkedin.com/jobs/view/4323041802", "https://www.linkedin.com/jobs/view/4323041802")</f>
        <v/>
      </c>
      <c r="F128" t="inlineStr"/>
      <c r="G128" t="inlineStr">
        <is>
          <t>Jacksonville, FL</t>
        </is>
      </c>
      <c r="H128" t="inlineStr"/>
      <c r="I12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9">
      <c r="A129" t="inlineStr">
        <is>
          <t>li-4351341505</t>
        </is>
      </c>
      <c r="B129" t="inlineStr">
        <is>
          <t>Machine Learning Engineer - NYC- Leading Global Prop Trading Firm</t>
        </is>
      </c>
      <c r="C129" t="inlineStr">
        <is>
          <t>Jobs via eFinancialCareers</t>
        </is>
      </c>
      <c r="D129" t="inlineStr">
        <is>
          <t>linkedin</t>
        </is>
      </c>
      <c r="E129">
        <f>HYPERLINK("https://www.linkedin.com/jobs/view/4351341505", "https://www.linkedin.com/jobs/view/4351341505")</f>
        <v/>
      </c>
      <c r="F129">
        <f>HYPERLINK("https://click.appcast.io/t/rpIsTvBHfkiW51RpKrzGXemInX2tZyUXtMJK6lMxC44=&amp;urlHash=SU4W", "https://click.appcast.io/t/rpIsTvBHfkiW51RpKrzGXemInX2tZyUXtMJK6lMxC44=&amp;urlHash=SU4W")</f>
        <v/>
      </c>
      <c r="G129" t="inlineStr">
        <is>
          <t>New York, NY</t>
        </is>
      </c>
      <c r="H129" t="inlineStr"/>
      <c r="I129"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130">
      <c r="A130" t="inlineStr">
        <is>
          <t>li-4330266385</t>
        </is>
      </c>
      <c r="B130" t="inlineStr">
        <is>
          <t>Lead Generative AI Engineer</t>
        </is>
      </c>
      <c r="C130" t="inlineStr">
        <is>
          <t>Maveric Systems Limited</t>
        </is>
      </c>
      <c r="D130" t="inlineStr">
        <is>
          <t>linkedin</t>
        </is>
      </c>
      <c r="E130">
        <f>HYPERLINK("https://www.linkedin.com/jobs/view/4330266385", "https://www.linkedin.com/jobs/view/4330266385")</f>
        <v/>
      </c>
      <c r="F130" t="inlineStr"/>
      <c r="G130" t="inlineStr">
        <is>
          <t>Irving, TX</t>
        </is>
      </c>
      <c r="H130" t="inlineStr"/>
      <c r="I130" t="inlineStr">
        <is>
          <t>**Job Role\- Lead Generative AI Engineer** 
**Job Type\- Full Time** 
**Location \- Irving, TX** 
**Key Responsibilities** 
* Lead the
 **strategy and execution** 
 of generative AI initiatives across the organization.
* Design and develop
 **generative AI models** 
 for text, image, audio, and multimodal applications.
* Collaborate with product teams to integrate generative AI capabilities into business solutions.
* Ensure
 **ethical AI practices** 
 , compliance, and responsible use of generative technologies.
* Optimize models for
 **performance, scalability, and cost\-efficiency** 
 in production environments.
* Stay updated with the latest research in
 **LLMs** 
 ,
 **transformers** 
 ,
 **GANs** 
 , and
 **diffusion models** 
 .
* Mentor and guide a team of AI engineers and data scientists.
**Required Skills \&amp; Qualifications** 
* **7\+ years** 
 of experience in AI/ML development, with at least
 **2\+ years in generative AI** 
 .
* Strong expertise in
 **deep learning frameworks** 
 (TensorFlow, PyTorch).
* Hands\-on experience with
 **LLMs** 
 (GPT, BERT, etc.),
 **GANs** 
 , and
 **diffusion models** 
 .
* Proficiency in
 **Python** 
 and ML libraries (Transformers, Hugging Face, OpenAI APIs).
* Knowledge of
 **cloud platforms** 
 (AWS, Azure, GCP) and
 **MLOps** 
 practices.
* Strong understanding of
 **data engineering** 
 ,
 **model deployment** 
 , and
 **API integration** 
 .</t>
        </is>
      </c>
    </row>
    <row r="131">
      <c r="A131" t="inlineStr">
        <is>
          <t>li-4351137454</t>
        </is>
      </c>
      <c r="B131" t="inlineStr">
        <is>
          <t>Senior Machine Learning Engineer</t>
        </is>
      </c>
      <c r="C131" t="inlineStr">
        <is>
          <t>Zendesk</t>
        </is>
      </c>
      <c r="D131" t="inlineStr">
        <is>
          <t>linkedin</t>
        </is>
      </c>
      <c r="E131">
        <f>HYPERLINK("https://www.linkedin.com/jobs/view/4351137454", "https://www.linkedin.com/jobs/view/4351137454")</f>
        <v/>
      </c>
      <c r="F131" t="inlineStr"/>
      <c r="G131" t="inlineStr">
        <is>
          <t>North Dakota, United States</t>
        </is>
      </c>
      <c r="H131" t="inlineStr"/>
      <c r="I13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32">
      <c r="A132" t="inlineStr">
        <is>
          <t>li-4330390445</t>
        </is>
      </c>
      <c r="B132" t="inlineStr">
        <is>
          <t>AI/ML Engineer</t>
        </is>
      </c>
      <c r="C132" t="inlineStr">
        <is>
          <t>Jobs via Dice</t>
        </is>
      </c>
      <c r="D132" t="inlineStr">
        <is>
          <t>linkedin</t>
        </is>
      </c>
      <c r="E132">
        <f>HYPERLINK("https://www.linkedin.com/jobs/view/4330390445", "https://www.linkedin.com/jobs/view/4330390445")</f>
        <v/>
      </c>
      <c r="F132">
        <f>HYPERLINK("https://click.appcast.io/t/lNUTHCZn5HlGape-1Ykka_Kqp_bX53UomopxPbcN-jc=&amp;urlHash=yhJY", "https://click.appcast.io/t/lNUTHCZn5HlGape-1Ykka_Kqp_bX53UomopxPbcN-jc=&amp;urlHash=yhJY")</f>
        <v/>
      </c>
      <c r="G132" t="inlineStr">
        <is>
          <t>Dallas, TX</t>
        </is>
      </c>
      <c r="H132" t="inlineStr"/>
      <c r="I132" t="inlineStr">
        <is>
          <t>Dice is the leading career destination for tech experts at every stage of their careers. Our client, Avance Consulting, is seeking the following. Apply via Dice today!
**Google Cloud AI /ML Engineer\- Vertex AI \&amp; CCAI Chat Virtual Agent Expert**
**Dallas, TX (Day1 Onsite)**
 We seek an experienced developer to design, build, and deploy advanced conversational AI solutions on Google Cloud. You will leverage Vertex AI, CCAI, and Dialogflow to create intelligent, scalable chatbots that enhance digital customer engagement.
**Key Responsibilities:**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Dialogflow CX/ES, including implementation of advanced intent detection, context management, slot filling, and rich fulfillment.
* Demonstrated ability to leverage state\-of\-the\-art NLP, LLM, and GenAI models on Vertex AI to enhance chatbot capabilities, such as complex intent handling, summarization, entity extraction, and response generation.
* Hands\-on experience building and maintaining cloud\-native chat Virtual Agent solutions using Google Cloud Platform services including CCAI, Vertex AI, Pub/Sub, Cloud Functions, Cloud Run, Cloud Storage, and BigQuery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gRPC, and JSON\-based communication for seamless system integration.
**Required Qualifications:**
* 6\+ years in software development (4\+ in NLP/NLU for chat).
* Advanced Python skills; experience with ML/NLP libraries (Hugging Face, TensorFlow, PyTorch).
* Proven success building conversational agents with Vertex AI and Dialogflow CX/ES.
* Proficiency in Google Cloud Platform services and cloud\-native architectures.
* Solid MLOps understanding (Docker, Kubernetes, CI/CD, Git). Experience with Agent Assist functionality is a plus.
* Experience with Agent Assist functionality is a plus.
**Preferred Qualifications:**
 Master s/PhD in Computer Science, AI/ML, or related field.
 Google Cloud Platform certifications (e.g., Google Cloud Certified Professional ML Engineer).
 Experience with GenAI frameworks (PaLM, Gemini).
 Integration with CRM, knowledge bases, and live agent systems.
 Knowledge of security and compliance in chat AI.
**Soft Skills:**
* Excellent communication and collaboration.
* Strong ownership and end\-to\-end project delivery.
* Leadership in cross\-functional environments.
* Team Leading and Management.</t>
        </is>
      </c>
    </row>
    <row r="133">
      <c r="A133" t="inlineStr">
        <is>
          <t>li-4351127577</t>
        </is>
      </c>
      <c r="B133" t="inlineStr">
        <is>
          <t>Senior Machine Learning Engineer</t>
        </is>
      </c>
      <c r="C133" t="inlineStr">
        <is>
          <t>Zendesk</t>
        </is>
      </c>
      <c r="D133" t="inlineStr">
        <is>
          <t>linkedin</t>
        </is>
      </c>
      <c r="E133">
        <f>HYPERLINK("https://www.linkedin.com/jobs/view/4351127577", "https://www.linkedin.com/jobs/view/4351127577")</f>
        <v/>
      </c>
      <c r="F133" t="inlineStr"/>
      <c r="G133" t="inlineStr">
        <is>
          <t>Idaho, United States</t>
        </is>
      </c>
      <c r="H133" t="inlineStr"/>
      <c r="I13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34">
      <c r="A134" t="inlineStr">
        <is>
          <t>li-4292447751</t>
        </is>
      </c>
      <c r="B134" t="inlineStr">
        <is>
          <t>Senior Machine Learning Engineer</t>
        </is>
      </c>
      <c r="C134" t="inlineStr">
        <is>
          <t>Scribd, Inc.</t>
        </is>
      </c>
      <c r="D134" t="inlineStr">
        <is>
          <t>linkedin</t>
        </is>
      </c>
      <c r="E134">
        <f>HYPERLINK("https://www.linkedin.com/jobs/view/4292447751", "https://www.linkedin.com/jobs/view/4292447751")</f>
        <v/>
      </c>
      <c r="F134" t="inlineStr"/>
      <c r="G134" t="inlineStr">
        <is>
          <t>Washington, DC</t>
        </is>
      </c>
      <c r="H134" t="inlineStr"/>
      <c r="I13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35">
      <c r="A135" t="inlineStr">
        <is>
          <t>li-4351177454</t>
        </is>
      </c>
      <c r="B135" t="inlineStr">
        <is>
          <t>Senior Machine Learning Engineer</t>
        </is>
      </c>
      <c r="C135" t="inlineStr">
        <is>
          <t>Zendesk</t>
        </is>
      </c>
      <c r="D135" t="inlineStr">
        <is>
          <t>linkedin</t>
        </is>
      </c>
      <c r="E135">
        <f>HYPERLINK("https://www.linkedin.com/jobs/view/4351177454", "https://www.linkedin.com/jobs/view/4351177454")</f>
        <v/>
      </c>
      <c r="F135" t="inlineStr"/>
      <c r="G135" t="inlineStr">
        <is>
          <t>Montana, United States</t>
        </is>
      </c>
      <c r="H135" t="inlineStr"/>
      <c r="I13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36">
      <c r="A136" t="inlineStr">
        <is>
          <t>li-4330360753</t>
        </is>
      </c>
      <c r="B136" t="inlineStr">
        <is>
          <t>Senior AI/ML Engineer, Applied Machine Learning - (Security Clearance)</t>
        </is>
      </c>
      <c r="C136" t="inlineStr">
        <is>
          <t>Red Cell Partners</t>
        </is>
      </c>
      <c r="D136" t="inlineStr">
        <is>
          <t>linkedin</t>
        </is>
      </c>
      <c r="E136">
        <f>HYPERLINK("https://www.linkedin.com/jobs/view/4330360753", "https://www.linkedin.com/jobs/view/4330360753")</f>
        <v/>
      </c>
      <c r="F136" t="inlineStr"/>
      <c r="G136" t="inlineStr"/>
      <c r="H136" t="inlineStr"/>
      <c r="I136" t="inlineStr">
        <is>
          <t>**About Us**
 Red Cell Partners is an incubation firm building and investing in rapidly scalable technology\-led companies that are bringing revolutionary advancements to market in three distinct practice areas: healthcare, cyber, and national security. United by a shared sense of duty and deep belief in the power of innovation, Red Cell is developing powerful tools and solutions to address our Nation’s most pressing problems.
**About Trase**
 Co\-founded in 2023 by Joe Laws and Grant Verstandig, Trase Systems is AI, Uncomplicated. Trase empowers enterprise leaders to harness the full potential of AI without the associated complexity and risks. We are an end\-to\-end solution for deploying, managing, and optimizing AI in the enterprise. Our platform specializes in bridging the “last mile” of AI adoption, unlocking AI's full potential while driving efficiency and significant cost savings. Trase is at the forefront of
 *AI Agent* 
 innovation, topping the Hugging Face GAIA Leaderboard for Generalized AI Assistants, ahead of industry giants such as Google, Meta, Microsoft, and OpenAI. We are leveraging our cutting\-edge technologies to develop mission\-critical agentic applications in complex industries such as Healthcare, Oil \&amp; Gas, and National Security.
**About The Role**
 Are you passionate about developing and refining machine learning systems? Do you thrive in architecting and optimizing ML models that drive innovation and results? If so, we have an exciting opportunity for you as a Senior Machine Learning Engineer at Trase Systems.
 In this role, you will be instrumental in advancing our ML systems, focusing on model training, pipeline development, and the fine\-tuning of large language models (LLMs) to ensure peak performance. As part of our team, you will contribute directly to the continuous improvement of our ML models, working to maximize impact and align with evolving business needs.
**Responsibilities:**
* Architect, Build, and Optimize ML Systems: Develop and deploy robust ML models that deliver high\-impact results for real\-world applications.
* Training Pipeline Development: Design and implement efficient, scalable pipelines to train and retrain ML models, ensuring they meet business needs.
* Fine\-Tuning Large Language Models (LLMs): Continuously fine\-tune LLMs to align with specific enterprise requirements, enhancing accuracy, relevance, and performance.
* Feedback Systems Design: Implement and refine feedback loops to iteratively improve the effectiveness of ML models over time.
* Cross\-Functional Collaboration: Work closely with product and business teams to understand and translate requirements into ML solutions that provide tangible outcomes.
* Stay Current with ML Advancements: Keep up with the latest in ML research and best practices, applying insights to our ML infrastructure to ensure it remains at the cutting edge.
* Mentorship and Knowledge Sharing: Guide and mentor junior team members, fostering a culture of continuous improvement and technical growth.
* Technical Communication: Clearly and effectively communicate ML methodologies, results, and insights to non\-technical stakeholders.
**Requirements:**
* ML Systems Expertise: Proven experience in developing, optimizing, and deploying ML systems in production environments.
* Model Training and Pipeline Mastery: Strong background in building and managing end\-to\-end training pipelines for ML models.
* LLM Fine\-Tuning: Extensive knowledge and hands\-on experience in fine\-tuning large language models for specific use cases and optimizing them for targeted outcomes.
* Framework Proficiency: Skilled in ML frameworks such as TensorFlow, PyTorch, or similar tools used in ML model development.
* Programming Skills: Proficient in Python with a focus on writing efficient, clean, and maintainable code for ML applications.
* Clear Communicator: Ability to distill complex ML concepts for both technical and non\-technical audiences.
* Educational Background: Bachelor’s or Master’s degree in Machine Learning, Computer Science, Data Engineering, or a related field.
* Impactful ML Solutions: A track record of delivering and implementing machine learning solutions that have successfully driven value in real\-world applications.
* Active Secret or Top Secret Clearance
**Benefits:**
* 100% employer\-paid, comprehensive health care including medical, dental, and vision for you and your family.
* Paid maternity and paternity for 14 weeks at employees' normal pay.
* Unlimited PTO, with management approval.
* Opportunities for professional development and continued learning with educational reimbursements.
* Optional 401K, FSA, and equity incentives available.
* Mental health benefits through TARA Mind.
 If you want to be on the cutting edge of technology, building AI solutions for the future, and are up for a challenge, let’s talk!
**Salary Range:** 
 $175,000\-$225,000\. This represents the typical salary range for this position based on experience, skills, and other factors.
 We’re an Equal Opportunity Employer: You’ll receive consideration for employment without regard to race, sex, color, religion, sexual orientation, gender identity, national origin, protected veteran status, or on the basis of disability.</t>
        </is>
      </c>
    </row>
    <row r="137">
      <c r="A137" t="inlineStr">
        <is>
          <t>li-4330500017</t>
        </is>
      </c>
      <c r="B137" t="inlineStr">
        <is>
          <t>Gen AI Engineer</t>
        </is>
      </c>
      <c r="C137" t="inlineStr">
        <is>
          <t>Reval Recruiting</t>
        </is>
      </c>
      <c r="D137" t="inlineStr">
        <is>
          <t>linkedin</t>
        </is>
      </c>
      <c r="E137">
        <f>HYPERLINK("https://www.linkedin.com/jobs/view/4330500017", "https://www.linkedin.com/jobs/view/4330500017")</f>
        <v/>
      </c>
      <c r="F137" t="inlineStr"/>
      <c r="G137" t="inlineStr"/>
      <c r="H137" t="inlineStr"/>
      <c r="I137" t="inlineStr">
        <is>
          <t>**This is a role posted by Reval Recruiting on behalf of a client** 
**Gen AI Engineer** 
**﻿**
**Location:** 
 San Francisco, CA (On\-Site)
**This role is posted on behalf of the following client:** 
 They are a pioneering force in artificial intelligence, redefining how developers and organizations build with large language models. They provide the agent engineering platform and frameworks for developers to ship reliable agents fast, enabling teams to transform LLM systems into dependable production experiences. Receiving 100 million downloads per month and growing lightning\-fast, they are looking to add an elite AI engineer to the team!
**Role Overview**
 They are looking for an Gen AI Engineer to help build AI agents that power every part of the company from Marketing and GTM to Recruiting, Support, Internal Tools, and their Core Product. In this role you will own a problem space and work closely with that function to design, build, and deploy production\-grade agents, workflows, and applications that transform operations. Your work will accelerate the mission to make intelligent, autonomous software a reality both internally and for their customers. Some of these projects will be open source and set new standards for how companies build with AI. If you are passionate about putting AI agents into real production use cases and seeing them drive measurable business impact, this role is for you!
**What You'll Do**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open\-source ecosystem, including open source components, documentation, and shared tools.
**Who You Are**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Compensation
* Salary: $175,000 \- $190,000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2026-01-05T22:41:38Z</dcterms:created>
  <dcterms:modified xsi:type="dcterms:W3CDTF">2026-01-05T22:41:38Z</dcterms:modified>
</cp:coreProperties>
</file>