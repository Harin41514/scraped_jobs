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in-b9c9316f7d27558e</t>
        </is>
      </c>
      <c r="B2" t="inlineStr">
        <is>
          <t>Senior Data Engineer</t>
        </is>
      </c>
      <c r="C2" t="inlineStr">
        <is>
          <t>ATPCO</t>
        </is>
      </c>
      <c r="D2" t="inlineStr">
        <is>
          <t>indeed</t>
        </is>
      </c>
      <c r="E2" t="inlineStr"/>
      <c r="F2" t="inlineStr"/>
      <c r="G2" t="inlineStr">
        <is>
          <t>Herndon, VA, US</t>
        </is>
      </c>
      <c r="H2" s="2" t="n">
        <v>46027</v>
      </c>
      <c r="I2" t="inlineStr">
        <is>
          <t>**Company Description**  
ATPCO is the world's primary source for air fare content, holding over 200 million fares across 160 countries. Every day, the travel industry relies on ATPCO's technology and data solutions to help millions of travelers reach their destinations efficiently. Join us and contribute to the development of innovative applications that power global travel. ATPCO is everywhere people buy flights.
We’re not just shaping the future of air travel– we’re redefining how and where great work happens. At ATPCO, we believe in flexibility, trust, and a culture where your wellbeing comes first
**Why Join Us?**
✅ Remote\-First Culture – Flexibility to work from home in your country of hire
✅ “Leave Your Way” PTO– Take the time you need, when you need it
✅ 401(k) with Generous Employer Match– Invest in your future
✅ Comprehensive Benefits– Medical, dental, vision, \&amp; mental health
✅ Global Tuition and Gym Reimbursement– Learn and grow on us
✅ Standby Flight Program– Explore the world
✅ Inclusive, Collaborative Culture– Be seen, heard, and valued
**Our Culture:**
We’ve built a remote\-first culture rooted in trust, transparency, and belonging. With open\-door leadership, weekly 1:1s, and real\-time recognition, we keep our people connected and valued—no matter where they work.
Our cultural pillars of Collaboration, Empowerment, Innovation, Learning, Transparency, and Trust guide how we show up for one another and grow together.
 **Job Description**  
As a Senior Data Engineer, you will be responsible for building and optimizing data pipelines, managing data storage and processing systems, and ensuring the availability, scalability, and reliability of our data platform. You will collaborate with cross\-functional teams, including data scientists, software engineers, and business stakeholders to understand data requirements and deliver efficient high\-quality data solutions. We are seeking an accomplished individual to join our esteemed team of ATPCO data engineers, dedicated to tackling intricate data processing challenges within the Airline industry. This role offers an opportunity to work on cutting\-edge solutions that involve handling hundreds of terabytes of data daily, leveraging the latest AWS services.
You Will:
* Collaborate with data scientists, analysts, and other stakeholders to understand data requirements and design data models and schemas that facilitate data analysis and reporting
* Design, develop, and maintain scalable and efficient data pipelines and ETL processes to ingest, process, and transform large volumes of data from various sources into usable formats
* Build and optimize data storage and processing systems, including data warehouses, data lakes, and big data platforms, using AWS services such as Amazon Redshift, AWS Glue, AWS EMR, AWS S3, and AWS Lambda, to enable efficient data retrieval and analysis
* Implement and manage real\-time data streaming architectures using AWS services like Amazon Kinesis or Apache Kafka to enable real\-time data processing and analytics
* Perform data profiling, data cleansing, and data transformation tasks to prepare data for analysis and reporting
* Implement data security and privacy measures to protect sensitive and confidential data using AWS security services and features
* Design and implement data architectures following Data Mesh principles within the AWS environment, including domain\-oriented data ownership, self\-serve data infrastructure, and federated data governance
* Provide technical guidance and mentorship to junior data engineers, reviewing their work and ensuring adherence to best practices and standards
Qualifications:
* Strong programming skills in languages like Python, Java, or Scala, with experience in data manipulation and transformation frameworks
* Proven experience as a data engineer, with experience in designing and building large\-scale data processing systems
* Strong understanding of data modeling concepts and data management principles
* In\-depth knowledge of SQL and experience working with relational and non\-relational databases
* Knowledge of Data Mesh principles and experience designing and implementing data architectures following Data Mesh concepts within the AWS ecosystem
* Experience with real\-time data streaming architectures using AWS services like Amazon Kinesis or Apache Kafka
* Familiarity with AWS cloud services, such as AWS Glue, AWS Lambda, AWS EMR, AWS S3, Amazon Redshift, and their data\-related features and functionalities
* Familiarity with AWS security services and features for data security and privacy
* Bachelor's or Master's degree in Computer Science, Information Systems, or a related field
 **Salary Range**: $110,572 – $145000
\*The disclosed range estimate has not been adjusted for applicable geographic differential associated with the location\*
 **Additional Information**  
At ATPCO, we are deeply committed to diversity, equity, and inclusion. Our supportive policies promote work\-life balance through flexible work arrangements, and we cultivate a workplace where every employee feels valued, respected, and a true sense of belonging.
We consider qualified applicants for employment without regard to race, gender, age, color, religion, national origin, citizenship status, marital status, disability, sexual orientation, protected military/veteran status, gender identity or expression, genetic information, marital status, medical condition, or any other legally protected factor
All your information will be kept confidential according to EEO guidelines.</t>
        </is>
      </c>
    </row>
    <row r="3">
      <c r="A3" t="inlineStr">
        <is>
          <t>in-d0090d62d2cfab66</t>
        </is>
      </c>
      <c r="B3" t="inlineStr">
        <is>
          <t>Data Platform Engineer - AI &amp; ML startup - NYC's fastest growing</t>
        </is>
      </c>
      <c r="C3" t="inlineStr">
        <is>
          <t>Relentless Talent</t>
        </is>
      </c>
      <c r="D3" t="inlineStr">
        <is>
          <t>indeed</t>
        </is>
      </c>
      <c r="E3" t="inlineStr"/>
      <c r="F3" t="inlineStr"/>
      <c r="G3" t="inlineStr">
        <is>
          <t>New York, NY, US</t>
        </is>
      </c>
      <c r="H3" s="2" t="n">
        <v>46027</v>
      </c>
      <c r="I3" t="inlineStr">
        <is>
          <t>Hi, New York City's fastest growing data platform startup is hiring several key engineers to focus on Data Platform Engineering and Machine Learning team. These are two different teams.
Engineers should have proven experience writing clean, not over engineered, efficient code.
Strong ability to problem solve \&amp; be incredibly detailed oriented
You will work with alternative datasets that are private, public and petabyte\-scale data ( larger than chatgbt )
The core tech stack is Python, SQL, Snowflake and AWS
Experience should have engineering exp with: design patterns, OOP, and concurrency along with strong software engineering fundamentals: system design, algorithms, data structures \&amp; data storage principles
Data Platform Engineer duties:
strong experience with high level systems architecture \&amp; pushing it into a go live production environment \- you also have the ability to talk about architecture decisions you have made that did not perform as well as planned \&amp; discuss what you learned
build distributed systems supporting complex transformations
design, implement, and maintain production cloud data pipelines for complex datasets
build ETL pipelines
Machine Learning Engineer duties:
Experience building and implementing complex machine learning models in a production environment \&amp; strong experience using data built tools
Ideally you have a strong scientific background with heavy experience in statistics
You have built complex intuitive Language Learning Models in a complex production environment for large data processing environments
The ability to partner with internal Applied Scientists working on rapid experimentation for new product initiatives!
In this role you will work directly with the Founder / CTO \- you will be building the machine learning environment for growth!
Please note: This role is Hybrid and located in Midtown NYC. You will be joining a rocket ship of a growth company, a team that has grown to 30, a profitable startup building in stealth! And you will be a key hire for the next phase of growth!
Job Type: Full\-time
Pay: $175,000\.00 \- $225,000\.00 per year
Benefits:
* 401(k)
* Dental insurance
* Flexible schedule
* Health insurance
* Paid time off
* Vision insurance
Work Location: Hybrid remote in New York City, NY 10118</t>
        </is>
      </c>
    </row>
    <row r="4">
      <c r="A4" t="inlineStr">
        <is>
          <t>in-260ae48349ffd467</t>
        </is>
      </c>
      <c r="B4" t="inlineStr">
        <is>
          <t>Data Engineer</t>
        </is>
      </c>
      <c r="C4" t="inlineStr">
        <is>
          <t>Klaxontech</t>
        </is>
      </c>
      <c r="D4" t="inlineStr">
        <is>
          <t>indeed</t>
        </is>
      </c>
      <c r="E4" t="inlineStr"/>
      <c r="F4" t="inlineStr"/>
      <c r="G4" t="inlineStr">
        <is>
          <t>Robstown, TX, US</t>
        </is>
      </c>
      <c r="H4" s="2" t="n">
        <v>46027</v>
      </c>
      <c r="I4" t="inlineStr">
        <is>
          <t>**Job Description: Senior Data Engineer (W2 Only)**
Klaxontech Inc. seeks a Senior Data Engineer with 10\+ years of experience for immediate W2 contract opportunities across the US.​
Key Requirements
* 10\+ years in data engineering, including ETL pipelines, Spark, Hadoop, and Kafka.
* Proficiency in SQL/NoSQL databases, Python/Scala, and cloud platforms (AWS Glue, Azure Synapse, GCP Dataflow).
* Open to full relocation anywhere in the US; H1B transfers welcome.​
Responsibilities
* Build and optimize scalable data pipelines for big data processing.
* Design data architectures and ensure data quality/integrity.
* Collaborate with data scientists and analysts on analytics platforms.
Preferred Qualifications
* Experience with Airflow, Snowflake, or Databricks; strong in data modeling.
* W2 employment only (no C2C/1099\);
Job Type: Contract
Pay: $80,514\.72 \- $96,963\.97 per year
Work Location: In person</t>
        </is>
      </c>
    </row>
    <row r="5">
      <c r="A5" t="inlineStr">
        <is>
          <t>in-b4feac3502fb80ea</t>
        </is>
      </c>
      <c r="B5" t="inlineStr">
        <is>
          <t>Data Engineer (Requires Top Secret Clearance)</t>
        </is>
      </c>
      <c r="C5" t="inlineStr">
        <is>
          <t>OST Inc</t>
        </is>
      </c>
      <c r="D5" t="inlineStr">
        <is>
          <t>indeed</t>
        </is>
      </c>
      <c r="E5" t="inlineStr"/>
      <c r="F5" t="inlineStr"/>
      <c r="G5" t="inlineStr">
        <is>
          <t>Huntsville, AL, US</t>
        </is>
      </c>
      <c r="H5" s="2" t="n">
        <v>46027</v>
      </c>
      <c r="I5" t="inlineStr">
        <is>
          <t>**Required Skills:**
* **Clearance: Top Secret with the ability to sit for the CI Poly**
* Requires BS or BA degree.
* Eight Years of total IT experience required.
* The engineer will work with specified open\-source technologies, as well as Commercial Off\-The\-Shelf (COTS) and Government Off\-The\-Shelf (GOTS) technologies, to create an application that generates manageable and actionable intelligence from streams of structured and semi\-structured data.
* Responsible for carrying out engineering tasks to deliver an advanced visual analytic application to include: developing data analytics for desktop and web\-developed visual analytic software; facilitating the bulk analysis of relational information utilizing advanced graphics, visualization, and high\-performance computing, as well as using the specified open source, COTS, and GOTS technologies; and establishing an application that produces manageable, actionable intelligence from streams of a structured and semi\-structured data.
* Design strategies for enterprise database systems and set standards for operations, programming, and security.
* Design and construct large relational databases.
* Integrate new systems with existing warehouse structure and refine system performance and functionality.
**Experience Required**:
* At least 8 years in a data architect or data engineer role
* Experience with developing ETL processes/pipelines
* Experience with modeling complex data structures of varied formats
* Ability to develop scripts and programs for converting various types of data into usable formats and support project team to scale, monitor and operate data platforms
Job Type: Full\-time
Pay: $150,000\.00 per year
Security clearance:
* Top Secret (Required)
Work Location: In person</t>
        </is>
      </c>
    </row>
    <row r="6">
      <c r="A6" t="inlineStr">
        <is>
          <t>in-6b72207425ab65c6</t>
        </is>
      </c>
      <c r="B6" t="inlineStr">
        <is>
          <t>Senior Data Engineer</t>
        </is>
      </c>
      <c r="C6" t="inlineStr">
        <is>
          <t>Active RPO</t>
        </is>
      </c>
      <c r="D6" t="inlineStr">
        <is>
          <t>indeed</t>
        </is>
      </c>
      <c r="E6" t="inlineStr"/>
      <c r="F6" t="inlineStr"/>
      <c r="G6" t="inlineStr">
        <is>
          <t>Palo Alto, CA, US</t>
        </is>
      </c>
      <c r="H6" s="2" t="n">
        <v>46027</v>
      </c>
      <c r="I6" t="inlineStr">
        <is>
          <t>We are hiring a **Data Engineer** for a fast\-growing startup that is building an **AI\-powered platform**. The company recently raised **$30M from top venture investors**.
The platform helps businesses find the **right customers at the right time** by collecting and analyzing large amounts of real\-time sales and market data. By bringing data collection, data enrichment, and analysis into one system, teams can work faster and reach customers when they are ready to buy.
This is a **core role** in the company. You will build and manage the data pipelines that support both analytics and AI models. You’ll work closely with **machine learning engineers** to run reliable systems at large scale.
Why this role is exciting:
* Own and build data pipelines for an AI\-driven platform
* Work with modern tools like **Spark, Airflow, BigQuery, and GCP Dataproc**
* Join a well\-funded startup with strong growth plans
* Get hands\-on exposure to **AI, ML models, and LLM systems**
* Competitive salary, equity, and benefits
* Supportive, engineering\-focused team culture
What we’re looking for:
* **3\+ years** of experience in data engineering
* Strong experience building **ETL pipelines** using **PySpark or Scala (Spark)**
* Advanced **SQL** skills, especially with **BigQuery**
* Experience with databases like **MongoDB, Elasticsearch, and PostgreSQL**
* Experience scheduling and managing workflows using **Airflow**
* Hands\-on experience with **GCP Dataproc** and optimizing clusters
* Comfortable working with **very large datasets (terabytes of data)**
* Focus on performance, reliability, and data quality
* Experience working closely with ML teams on production systems
Nice to have:
* Experience working at a startup
* Exposure to **machine learning or LLM\-based systems**, such as supporting models, deployments, or AI data pipelines
Job Type: Full\-time
Pay: $200,307\.67 \- $223,746\.86 per year
Benefits:
* 401(k)
* 401(k) matching
* Dental insurance
* Health insurance
* Life insurance
* Paid time off
* Vision insurance
Work Location: On the road</t>
        </is>
      </c>
    </row>
    <row r="7">
      <c r="A7" t="inlineStr">
        <is>
          <t>in-81994a46c6797bef</t>
        </is>
      </c>
      <c r="B7" t="inlineStr">
        <is>
          <t>Senior Data Engineer</t>
        </is>
      </c>
      <c r="C7" t="inlineStr">
        <is>
          <t>Fidelity Investments</t>
        </is>
      </c>
      <c r="D7" t="inlineStr">
        <is>
          <t>indeed</t>
        </is>
      </c>
      <c r="E7" t="inlineStr"/>
      <c r="F7" t="inlineStr"/>
      <c r="G7" t="inlineStr">
        <is>
          <t>Smithfield, RI, US</t>
        </is>
      </c>
      <c r="H7" s="2" t="n">
        <v>46026</v>
      </c>
      <c r="I7" t="inlineStr">
        <is>
          <t>### **Job Description:**
The FI Data Solutions team is looking for a highly motivated Senior Data Engineer responsible for designing, building, and maintaining the operational and analytical capability in FI's data platforms. The work involves solution design, data analysis, end to end development, production rollout, and production support activities using Java Spring Batch, Python, AWS, Oracle, and Snowflake. The role will be involved in projects centered around maintaining and improving the quality of financial product information brought into our data ecosystem that will provide value to our compensation, sales, and reporting users. The role will be positioned as a more senior developer within a single squad.
 **The Expertise and Skills You Bring**
* Bachelor's or Master's Degree in a technology related field (e.g. Engineering, Computer Science, etc.) required with 5\-7 years of working experience
* 5\+ years of Java development utilizing Spring frameworks. Experience writing batch jobs with Spring Batch is a must
* 2\+ years of experience developing batch / backend applications that run in AWS, with focus on AWS Batch and S3
* 3\+ years working with SQL (ANSI SQL, Oracle, Snowflake)
* 2\+ years of Python development
* Experience with Unix shell scripting (bash, ksh) and scheduling / orchestration tools (Control\-M)
* Strong data modeling skills with experience working with 3NF and Star Schema data models
* Proven data analysis skills; not afraid to work in a complex data ecosystem
* Hands\-on experience on SQL query optimization and tuning to improve performance is desirable
* Experience with DevOps, Continuous Integration and Continuous Delivery (Jenkins, Terraform, CloudFormation)
* Experience in Agile methodologies (Kanban and SCRUM)
* Experience building and deploying containerized applications using Docker
* Work experience in the financial services industry is a plus
* Proven track record to handle ambiguity and work in a fast\-paced environment, either independently or in a collaborative manner
* Good interpersonal skills to work with multiple teams within the business unit and across the organization
* Proven experience developing solution architecture diagrams and design documents that help guide developers and analysts on how to implement and maintain our systems and applications
* Proven history of mentoring other developers to their fullest potential
 **The Value You Deliver**
* Passion and intellectually curiosity to learn new technologies and business areas
* Working with our business partners to enhance their user experience and provide them curated data to help them drive business results more effectively
* Enhancing data quality of financial product information in our systems that has a huge impact on sales, compensation, and reporting usecases
### **Certifications:**
### **Category:**
Information Technology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8">
      <c r="A8" t="inlineStr">
        <is>
          <t>in-462405dcf1554425</t>
        </is>
      </c>
      <c r="B8" t="inlineStr">
        <is>
          <t>Data Engineer 2</t>
        </is>
      </c>
      <c r="C8" t="inlineStr">
        <is>
          <t>Zelis Healthcare</t>
        </is>
      </c>
      <c r="D8" t="inlineStr">
        <is>
          <t>indeed</t>
        </is>
      </c>
      <c r="E8" t="inlineStr"/>
      <c r="F8" t="inlineStr"/>
      <c r="G8" t="inlineStr">
        <is>
          <t>Galaxy, SC, US</t>
        </is>
      </c>
      <c r="H8" s="2" t="n">
        <v>46026</v>
      </c>
      <c r="I8" t="inlineStr">
        <is>
          <t>About Us
Zelis is modernizing the healthcare financial experience in the United States (U.S.) across payers, providers, and healthcare consumers. We serve more than 750 payers, including the top five national health plans, regional health plans, TPAs and millions of healthcare providers and consumers across our platform of solutions. Zelis sees across the system to identify, optimize, and solve problems holistically with technology built by healthcare experts – driving real, measurable results for clients.
Why We Do What We Do
In the U.S., consumers, payers, and providers face significant challenges throughout the healthcare financial journey. Zelis helps streamline the process by offering solutions that improve transparency, efficiency, and communication among all parties involved. By addressing the obstacles that patients face in accessing care, navigating the intricacies of insurance claims, and the logistical challenges healthcare providers encounter with processing payments, Zelis aims to create a more seamless and effective healthcare financial system.
Zelis India plays a crucial role in this mission by supporting various initiatives that enhance the healthcare financial experience. The local team contributes to the development and implementation of innovative solutions, ensuring that technology and processes are optimized for efficiency and effectiveness. Beyond operational expertise, Zelis India cultivates a collaborative work culture, leadership development, and global exposure, creating a dynamic environment for professional growth. With hybrid work flexibility, comprehensive healthcare benefits, financial wellness programs, and cultural celebrations, we foster a holistic workplace experience. Additionally, the team plays a vital role in maintaining high standards of service delivery and contributes to Zelis’ award\-winning culture.
Position Overview
Data Engineer 2
Key Responsibilities* At least 5 years of experience in designing and developing Data Pipelines \&amp; Assets.
* Must have experience with at least one Columnar MPP Cloud data warehouse (Snowflake/Azure Synapse/Redshift) for at least 3 years.
* Experience in ETL tools like Azure Data factory, Fivetran / DBT for 2 years.
* Experience with Git and Azure DevOps.
* Experience in Agile, Jira, and Confluence.
* Solid understanding of programming SQL objects (procedures, triggers, views, functions) in SQL Server. Experience optimizing SQL queries a plus.
* Working Knowledge of Azure Architecture, Data Lake. Willingness to contribute to documentation (e.g., mapping, defect logs).
Qualifications* Bachelor's degree in Computer Science, Statistics, or a related field.
* Self starter \&amp; learner
* Able to understand and probe for requirements
* Generate functional specs for code migration or ask right questions thereof
* Hands on programmer with a thorough understand of performance tuning techniques
* Handling large data volume transformations (order of 100 GBs monthly)
* Able to create solution / data flows to suit requirements
* Produce timely documentation e.g., mapping, UTR, defect / KEDB logs etc.
* Tech experience expected
* Primary: Snowflake, DBT (development \&amp; testing)
* Secondary: Python, ETL or any data processing tool
* Nice to have \- Domain experience in Healthcare
* Experience range \- 4 \- 6 yrs
Commitment to Diversity, Equity, Inclusion, and Belonging
At Zelis, we champion diversity, equity, inclusion, and belonging in all aspects of our operations. We embrace the power of diversity and create an environment where people can bring their authentic and best selves to work. We know that a sense of belonging is key not only to your success at Zelis, but also to your ability to bring your best each day.  
Equal Employment Opportunity
Zelis is proud to be an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Accessibility Support
We are dedicated to ensuring our application process is accessible to all candidates. If you are a qualified individual with a disability and require reasonable accommodation with any part of the application and/or interview process, please email talentacquisition@zelis.com.</t>
        </is>
      </c>
    </row>
    <row r="9">
      <c r="A9" t="inlineStr">
        <is>
          <t>in-8f868009a1612638</t>
        </is>
      </c>
      <c r="B9" t="inlineStr">
        <is>
          <t>Data engineer</t>
        </is>
      </c>
      <c r="C9" t="inlineStr">
        <is>
          <t>Stacklogy</t>
        </is>
      </c>
      <c r="D9" t="inlineStr">
        <is>
          <t>indeed</t>
        </is>
      </c>
      <c r="E9" t="inlineStr"/>
      <c r="F9" t="inlineStr"/>
      <c r="G9" t="inlineStr">
        <is>
          <t>US</t>
        </is>
      </c>
      <c r="H9" s="2" t="n">
        <v>46026</v>
      </c>
      <c r="I9"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10">
      <c r="A10" t="inlineStr">
        <is>
          <t>in-4622f24b5c5635a4</t>
        </is>
      </c>
      <c r="B10" t="inlineStr">
        <is>
          <t>Staff R&amp;D Data Engineer</t>
        </is>
      </c>
      <c r="C10" t="inlineStr">
        <is>
          <t>Shifamed LLC</t>
        </is>
      </c>
      <c r="D10" t="inlineStr">
        <is>
          <t>indeed</t>
        </is>
      </c>
      <c r="E10" t="inlineStr"/>
      <c r="F10" t="inlineStr"/>
      <c r="G10" t="inlineStr">
        <is>
          <t>Los Gatos, CA, US</t>
        </is>
      </c>
      <c r="H10" s="2" t="n">
        <v>46026</v>
      </c>
      <c r="I10" t="inlineStr">
        <is>
          <t>Supira Medical, a clinical\-stage Shifamed Portfolio Company, is developing a low\-profile, high continuous flow percutaneous ventricular assist device (pVAD) to provide temporary mechanical circulatory support in high risk percutaneous coronary interventional (HRPCI) procedures as well as patients suffering from cardiogenic shock. To learn more about Supira Medical, please visit www.supiramedical.com.
ABOUT SHIFAMED
Founded in 2009 by serial entrepreneur Amr Salahieh, Shifamed LLC is a privately held medical device innovation hub focused on the development of novel medical products to address clinical needs in the rapidly evolving fields of cardiology and ophthalmology.
Description:
We are looking for a hands\-on and collaborative Staff R\&amp;D Data Engineer with experience in developing, maintaining, and managing both backend and frontend systems for collecting, storing, and analyzing large amounts of medical device data. This position represents an exciting opportunity to join the Supira team as we expand the clinical usage of and commercialize the Supira mechanical circulatory support system. This is a full time on\-site position and will require reporting to our offices located in Los Gatos, CA.
Responsibilities, Skills \&amp; Hands\-On Experience:
* Develop, maintain, and manage the growth of the Supira data platform used for the storage and analysis of all system performance and patient hemodynamic data.
* Develop \&amp; validate new methods for data collection and automated test reporting.
* Maintain existing pipelines while transitioning to new ones, as needed.
* Manage the growth, scale, and architecture; forecast, formulate, and execute plans based on future platform needs.
* Work with a diverse team of research and development, manufacturing, quality, clinical, and regulatory personnel to ensure the data platform enables secure, meaningful, and regulatory compliant data to end\-users.
* Contribute to the intellectual property position of the company.
Education \&amp; Work Experience:
* B.S. Degree in a technical field such as computer science, data science, engineering, mathematics, or similar.
* 8\+ years of experience developing and maintaining a data capture and analysis platform having both backend (in a primary role) and frontend (in a limited role)
* Experience in a highly regulated environment (medical, aerospace, autonomous vehicle, etc.) or supporting a commercial application.
* Demonstrated experience with:
* ETL pipelines for relational databases (i.e., Postgres), writing SQL queries, and medallion architecture
* Python\-based data analysis \&amp; visualization pipelines (i.e., Pandas, Quarto, Airflow, DataHub, Superset, etc.)
* Continuous integration and delivery (CI/CD) pipelines relevant to data platforms: (i.e., GIT / Bitbucket, Jenkins, Docker)
* Standard cybersecurity practices for all pipelines including role\-based data and analysis access, data lineage, usage logging, etc.
* Basic frontend development (i.e., FastAPI)
* Basic utilization of AI\-based coding tools (e.g., Claude, Copilot, etc.)
* Self\-motivated and independent worker that is still able to work collaboratively with a cross\-functional team. Executes tasks with attention to detail in a timely manner.
Our salary ranges are calculated by role, level, and location. Please note that your position within that range will be determined by your job\-related knowledge, location, skills, experience, relevant education, and training/certifications. The base salary range for this full\-time position is between $170,000 \- $200,000 \+ equity \+ benefits.
NOTICE TO CANDIDATES: Please be aware that Shifamed and its portfolio companies do not conduct interviews or extend offers through mobile web chat applications. Please report any such occurrences to hr@shifamed.com.</t>
        </is>
      </c>
    </row>
    <row r="11">
      <c r="A11" t="inlineStr">
        <is>
          <t>in-686ee788b2b1e0ed</t>
        </is>
      </c>
      <c r="B11" t="inlineStr">
        <is>
          <t>Senior Digital Experience Specialist (Data Engineer)</t>
        </is>
      </c>
      <c r="C11" t="inlineStr">
        <is>
          <t>Compassion International</t>
        </is>
      </c>
      <c r="D11" t="inlineStr">
        <is>
          <t>indeed</t>
        </is>
      </c>
      <c r="E11" t="inlineStr"/>
      <c r="F11" t="inlineStr"/>
      <c r="G11" t="inlineStr">
        <is>
          <t>Remote, US</t>
        </is>
      </c>
      <c r="H11" s="2" t="n">
        <v>46026</v>
      </c>
      <c r="I11" t="inlineStr">
        <is>
          <t>The expected salary range for this position is $120,230\.00 \- $144,797\.60\. Employees in specific high cost of labor locations in the United States (such as San Francisco, CA and Seattle, WA) may qualify for a geographic differential. Compassion International is not responsible for third parties who omit this information when copying and re\-posting job openings.
**Overview**
As a Senior Digital Experience Specialist (Data Engineer) you will develop and manage digital experience delivery through a broad spectrum of different media to enhance Compassion's brand and provide supporters with best\-in\-class digital interactions. You will drive a digital audience from general awareness to active advocacy on behalf of children in poverty using Compassion's diverse digital media channels. At this level you will collaborate on major, complex projects and initiatives. You will also often coach and oversee the work of other specialists and related staff.
**What will you do?**
* Maintain a personal relationship with Jesus Christ. Be a consistent witness for Jesus Christ, maintaining a courteous, Christ\-like attitude in dealing with people within and outside of Compassion, and faithfully uphold Compassion’s ministry in prayer.
* Act as an advocate to raise the awareness of the needs of children. Understand Christ’s mandate to protect children. Commit to and prioritizes child protection considerations in all decision\-making, tasks and activities across the ministry. Abide by all behavioral expectations in Compassion’s Statement of Commitment to Child Protection and Code of Conduct. Report any concerns of abuse, neglect or exploitation of children through Compassion’s internal reporting process and appropriately support responses to incidents if they occur.
* Uphold and engage in Compassion’s core **Cultural Behaviors** .
* Analyze, execute, or instruct, on the delivery of best\-in\-class, omni\-channel, digital experiences; actively contributing to the long\-term sustainability, and enhancement of Compassion's brand and overall supporter experience.
* Speak into the design and utilization of performance metrics, journey maps, and persona insights to lead the design, and execution of complex, multi\-faceted neighbor specific digital experiences. In doing so, collaborates with core business leaders and functions across technology, fundraising, analytics, experience design, and operations teams, as well as external resources.
* Drive testing (A/B, Multi\-variant), reporting, optimization and analysis in channel performance to identify key levers and opportunities for improvements. Monitor trends in experience, acquisition and retention, best practices, technologies and techniques to evolve and develop the experience across digital channels.
* Negotiate with internal, and external leaders and stakeholders in the development of new growth strategies, campaigns, content, and servicing, in support of Compassion’s ministry goals.
* Serve as a subject matter expert on digital marketing capability strategies, trends, and technologies needed for delivering best\-in\-class, omni\-channel experiences; actively contributing to the long\-term sustainability, and enhancement of Compassion’s holistic digital experience.
* Coach and provide expertise, and may oversee the work of other professionals and support staff in the Digital experience discipline.
**What do you bring?**
* Bachelor's Degree Business, Marketing, Data Science or related discipline or equivalent experience.
* 10 years of relevant work experience (managing data and technical analytics and implementation)
* Experience working with digital analytics software, developing actionable dashboards, and providing data\-driven recommendations.
* Preferred: Experience with obtaining, analyzing and visualizing data from digital media platforms (Google ads, Facebook ads, Microsoft ads, etc.)
**Why work here?**
* **The mission:** Join a team that is motivated to release children from poverty in Jesus’ name.
* **Our benefits** : Receive generous paid time off, 10% contribution to a 403(b) retirement fund on top of your salary, excellent healthcare coverage, free short\-term professional counseling, and **more** .
* **Spiritual growth:** Participate in regular chapel services, prayer groups, and department devotionals.
\#LI\-HJ \#LI\-REMOTE</t>
        </is>
      </c>
    </row>
    <row r="12">
      <c r="A12" t="inlineStr">
        <is>
          <t>in-07181572d3d4959d</t>
        </is>
      </c>
      <c r="B12" t="inlineStr">
        <is>
          <t>Senior Software AI Data Engineer</t>
        </is>
      </c>
      <c r="C12" t="inlineStr">
        <is>
          <t>Oracle</t>
        </is>
      </c>
      <c r="D12" t="inlineStr">
        <is>
          <t>indeed</t>
        </is>
      </c>
      <c r="E12" t="inlineStr"/>
      <c r="F12" t="inlineStr"/>
      <c r="G12" t="inlineStr">
        <is>
          <t>Pleasanton, CA, US</t>
        </is>
      </c>
      <c r="H12" s="2" t="n">
        <v>46013</v>
      </c>
      <c r="I12" t="inlineStr">
        <is>
          <t>This position is onsite in Pleasanton, CA \- Remote is not an option. Visa sponsorship is not available
Oracle Analytics is used by customers across the world to discover deep insights about their business, improve collaboration around a single view by securely including all relevant data, and increase agility by quickly spotting patterns and powering data\-driven decisions with AI and machine learning.
Oracle Fusion Data Intelligence platform (FDI) is the next generation of Oracle Fusion Analytics Warehouse built for Oracle Fusion Cloud Applications, bringing together business data, ready\-to\-use analytics, and prebuilt AI and machine learning (ML) models to deliver deeper insights and accelerate the decision\-making process into actionable results.
The backbone of FDI is the lights\-out data pipeline that manages the data warehouse for all the customers. For details about the product, visit http://docs.oracle.com/pls/topic/lookup?ctx\=faw\-latest\&amp;id\=FAWAG\-GUID\-18E9C0C0\-EC07\-4E7D\-95EE\-EAD8D0CA2771
As part of Data Pipeline AI Engineering team, you will design, model data solutions and build AI agents to support analytics, machine learning and task automation. The role is a full stack engineer role focused on various technologies related to Data Engineering and Web applications.  
**Qualifications**
* 6\+ years of hands\-on Software Design, Development of highly scalable data applications
* Proficient in AI Technologies \- LLM, NLP, Prompts, RAG, Embeddings, Graph Store, Vector Store, Cluster Store, MCP, LangChain, LangGraph
* Proficient in Data Engineering technologies like Spark, Airflow, dbt, ETL pipelines
* Proficient in technologies Java, Spring Boot, Python, JPA, Database, SQL \&amp; RDBMS Design
* Web UI technologies like Oracle JET, JavaScript, TypeScript, CSS, HTML5
* Deep knowledge of all aspects of Cloud native distributed system development such as Oracle Cloud Infrastructure (OCI), AWS, Google Cloud
* Expert in tools like Jenkins, TeamCity, Docker, and Kubernetes
* Working knowledge of Data Warehouse, Data Lakes and Data Modeling techniques
* Bachelors degree in Computer Science, Computer Engineering or equivalent, Masters is preferred
Developing AI Application: Design, Build different AI Agents, Chatbots, Workflows to support various data pipeline configurations.
Developing Data Solutions: Implement and enhance data\-driven solutions to integrate massive amounts of data in real\-time/batch mode from various data producing systems using state\-of\-the\-art tools such as OCI Data Flow, OCI Data Integration, Spark and Kafka. Embrace modern data architecture philosophies including data products, data contracts, and data mesh to ensure a decentralized approach to data management. Expert in Advanced SQL and PL/SQL for data analysis and testing data gaps \&amp; data quality
Data Pipeline Development: Develop and optimize high\-performance, batch and real\-time data pipelines employing advanced streaming technologies like Kafka, NoSQL and Oracle ETL Tools to address challenges associated with large\-scale data processing and analysis.
Cloud Data Management: Implement and oversee cloud\-specific data services including Autonomous Data Warehouse, OCI Object Storage with Parquet and Delta\-Tables and OCI Streams. Leverage cloud architectures to improve data sharing and interoperability across different business pillars
Security and Compliance: Ensure all data practices comply with security policies and regulations, embedding security by design in the data infrastructure.
Incorporate tools and methodologies recommended for data security and compliance, ensuring robust protection and governance of data assets. Ensure data governance, security, and compliance: lineage, cataloguing, DQ checks, PII protection, and privacy‑by‑design
Collaboration: Work with onsite and offshore development and QA teams, cross functional teams to define interfaces, build integrations, implement highly scalable, high quality features</t>
        </is>
      </c>
    </row>
    <row r="13">
      <c r="A13" t="inlineStr">
        <is>
          <t>in-79bf81893fe7a5fb</t>
        </is>
      </c>
      <c r="B13" t="inlineStr">
        <is>
          <t>Data Engineer</t>
        </is>
      </c>
      <c r="C13" t="inlineStr">
        <is>
          <t>Amazon.com</t>
        </is>
      </c>
      <c r="D13" t="inlineStr">
        <is>
          <t>indeed</t>
        </is>
      </c>
      <c r="E13" t="inlineStr"/>
      <c r="F13" t="inlineStr"/>
      <c r="G13" t="inlineStr">
        <is>
          <t>Seattle, WA, US</t>
        </is>
      </c>
      <c r="H13" s="2" t="n">
        <v>46001</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in-3c26ad9e94d86e30</t>
        </is>
      </c>
      <c r="B14" t="inlineStr">
        <is>
          <t>Data Engineer</t>
        </is>
      </c>
      <c r="C14" t="inlineStr">
        <is>
          <t>Amazon.com</t>
        </is>
      </c>
      <c r="D14" t="inlineStr">
        <is>
          <t>indeed</t>
        </is>
      </c>
      <c r="E14" t="inlineStr"/>
      <c r="F14" t="inlineStr"/>
      <c r="G14" t="inlineStr">
        <is>
          <t>San Francisco, CA, US</t>
        </is>
      </c>
      <c r="H14" s="2" t="n">
        <v>46001</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in-1dc00398ecbb6685</t>
        </is>
      </c>
      <c r="B15" t="inlineStr">
        <is>
          <t>Delivery Consultant - Data Engineer, Data and Machine Learning, WWPS US Federal</t>
        </is>
      </c>
      <c r="C15" t="inlineStr">
        <is>
          <t>Amazon Web Services</t>
        </is>
      </c>
      <c r="D15" t="inlineStr">
        <is>
          <t>indeed</t>
        </is>
      </c>
      <c r="E15" t="inlineStr"/>
      <c r="F15" t="inlineStr"/>
      <c r="G15" t="inlineStr">
        <is>
          <t>Arlington, VA, US</t>
        </is>
      </c>
      <c r="H15" s="2" t="n">
        <v>45991</v>
      </c>
      <c r="I15"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in-087d20c938dbf2f8</t>
        </is>
      </c>
      <c r="B16" t="inlineStr">
        <is>
          <t>Delivery Consultant - Data Engineer, Data and Machine Learning, WWPS US Federal</t>
        </is>
      </c>
      <c r="C16" t="inlineStr">
        <is>
          <t>Amazon Web Services</t>
        </is>
      </c>
      <c r="D16" t="inlineStr">
        <is>
          <t>indeed</t>
        </is>
      </c>
      <c r="E16" t="inlineStr"/>
      <c r="F16" t="inlineStr"/>
      <c r="G16" t="inlineStr">
        <is>
          <t>Herndon, VA, US</t>
        </is>
      </c>
      <c r="H16" s="2" t="n">
        <v>45991</v>
      </c>
      <c r="I16"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in-ba661ab231a1c5a4</t>
        </is>
      </c>
      <c r="B17" t="inlineStr">
        <is>
          <t>Data Engineer III, ITA</t>
        </is>
      </c>
      <c r="C17" t="inlineStr">
        <is>
          <t>Amazon.com</t>
        </is>
      </c>
      <c r="D17" t="inlineStr">
        <is>
          <t>indeed</t>
        </is>
      </c>
      <c r="E17" t="inlineStr"/>
      <c r="F17" t="inlineStr"/>
      <c r="G17" t="inlineStr">
        <is>
          <t>Arlington, VA, US</t>
        </is>
      </c>
      <c r="H17" s="2" t="n">
        <v>45893</v>
      </c>
      <c r="I17"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in-c278fcb46a162769</t>
        </is>
      </c>
      <c r="B18" t="inlineStr">
        <is>
          <t>Data Engineer III, ITA</t>
        </is>
      </c>
      <c r="C18" t="inlineStr">
        <is>
          <t>Amazon.com</t>
        </is>
      </c>
      <c r="D18" t="inlineStr">
        <is>
          <t>indeed</t>
        </is>
      </c>
      <c r="E18" t="inlineStr"/>
      <c r="F18" t="inlineStr"/>
      <c r="G18" t="inlineStr">
        <is>
          <t>Seattle, WA, US</t>
        </is>
      </c>
      <c r="H18" s="2" t="n">
        <v>45893</v>
      </c>
      <c r="I18"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in-09b147a7a7ad002e</t>
        </is>
      </c>
      <c r="B19" t="inlineStr">
        <is>
          <t>Data Engineer II</t>
        </is>
      </c>
      <c r="C19" t="inlineStr">
        <is>
          <t>The Standard Insurance</t>
        </is>
      </c>
      <c r="D19" t="inlineStr">
        <is>
          <t>indeed</t>
        </is>
      </c>
      <c r="E19" t="inlineStr"/>
      <c r="F19" t="inlineStr"/>
      <c r="G19" t="inlineStr">
        <is>
          <t>Portland, OR, US</t>
        </is>
      </c>
      <c r="H19" s="2" t="n">
        <v>46026</v>
      </c>
      <c r="I19" t="inlineStr">
        <is>
          <t>**The next part of your journey is right around the corner — with The Standard.**
A genuine desire to make a difference in the lives of others is the foundation for everything we do. With a customer\-first mindset and an intentional focus on building strong teams, we’ve been able to uphold our legacy of financial stability while investing in new, innovative technologies that support the needs of our customers. Our high\-performance culture focused on operational excellence thrives thanks to remarkable people united by compassion and a customer\-first commitment. Are you ready to make a difference?
**Job Summary**This role is responsible for designing, developing, and optimizing data solutions that support business applications and analytics. The Data Engineer will model relational and non‑relational data structures, build and tune database code, develop ETL pipelines, and support data services across modern technology stacks. The position blends database engineering, data integration, analytics, and general software engineering to enable scalable, secure, and high‑quality data environments. Success in this role requires strong systems thinking, the ability to work across multiple technologies, and comfort operating in collaborative, multi‑vendor environments.
**Key Responsibilities*** Design and communicate conceptual, logical, and physical data models for transactional and analytical systems.
* Develop and optimize SQL, PL/SQL, and NoSQL queries and database code.
* Build and maintain ETL pipelines using tools such as SSIS or DataStage.
* Support data services using REST/SOAP and Java‑based middleware.
* Monitor, tune, and optimize large‑scale SQL Server and Oracle environments.
* Ability to work effectively in a multi‑vendor, offshore delivery model is a requirement of the role. \*
**Skills and Background You’ll Need****Must‑Have*** Minimum 2 years of experience in data engineering, database development, or related field.
* Hands‑on experience with SQL Server or Oracle, including performance tuning and query optimization.
* Experience developing ETL processes using SSIS, DataStage, or similar tools.
* Strong understanding of data modeling concepts for transactional and analytical systems.
* Ability to work effectively in a multi‑vendor, offshore delivery model.
**Preferred*** Experience with NoSQL platforms (e.g., MongoDB, Cassandra, DynamoDB).
* Familiarity with Hadoop/Spark or other big‑data technologies.
* Exposure to semantic modeling and analytics tools such as SSAS.
* Knowledge of Java middleware (e.g., JBoss) and modern JavaScript frameworks (e.g., AngularJS, Backbone.js, Ember.js).
* Understanding of data quality, data security, and encryption best practices.
**Education*** B.Sc. in Software Engineering, Computer Science, Information Systems, or equivalent experience.
**Key Behaviors of a Successful Candidate*** **Systems Thinking:** Connects data, processes, and technology components to understand end‑to‑end impacts and opportunities.
* **Collaboration:** Works effectively within cross‑functional, multi‑vendor teams and contributes to shared outcomes.
* **Adaptability:** Adjusts quickly to changing priorities, technologies, and business needs while maintaining high‑quality output.
**Why Join The Standard?**
==========================
We have built an enduring legacy of stability, financial strength and exceptional customer service through the contributions of the service\-oriented people who choose to work at The Standard. To ensure we can attract and retain the best talent, when you join The Standard you can expect:
* A rich benefits package including medical, dental, vision and a 401(k) plan with matching company contributions
* An annual incentive bonus plan
* Generous paid time off including 11 holidays, 2 wellness days, and 8 volunteer hours annually — PTO increases with tenure
* A supportive, responsive management approach and opportunities for career growth and advancement
* Paid parental leave and adoption/surrogacy assistance
* An employee giving program that double matches your donations to eligible nonprofits and schools
In addition to the competitive salary range below, our employee\-focused benefits support work\-life balance. Learn more about *working at The Standard.*
* *Eligibility to participate in an incentive program is subject to the rules governing the program and plan. Any award depends on a variety of factors including individual and organizational performance.*
The actual compensation for this role will be based on a combination of education and experience, knowledge and skills, position budget, internal equity, and market data.
Salary Range:
$82,250\.00 \- $140,250\.00
Positions will be posted for at least 5 days from original posting date.
Standard Insurance Company, The Standard Life Insurance Company of New York, Standard Retirement Services, Inc., StanCorp Mortgage Investors, LLC, StanCorp Investment Advisers, Inc., and American Heritage Life Insurance Company and American Heritage Service Company, marketed as The Standard, are Affirmative Action/Equal Opportunity employers. All qualified applicants will receive consideration for employment without regard to race, religion, color, sex, national origin, gender identity, sexual orientation, age, disability or veteran status or any other condition protected by federal, state or local law. Except where precluded by state or federal law, The Standard will consider for employment qualified applicants with arrest and conviction records pursuant to the San Francisco Fair Chance Ordinance. The Standard offers a drug\- and alcohol\-free work environment where possession, manufacture, transfer, offer, use of or being impaired by an illegal substance while on The Standard's property, or in other cases which the company believes might affect operations, safety or reputation of the company is prohibited. The Standard requires a criminal background investigation and employment, education and licensing verification as a condition of employment. After any conditional offer of employment is made, the background check will include an individualized assessment based on the applicant’s specific record and the duties and requirements of the specific job. Applicants will be provided an opportunity to explain and correct background information. All employees of The Standard must be bondable.</t>
        </is>
      </c>
    </row>
    <row r="20">
      <c r="A20" t="inlineStr">
        <is>
          <t>in-5c0934e4db1506e9</t>
        </is>
      </c>
      <c r="B20" t="inlineStr">
        <is>
          <t>Mid-Level SQL Server &amp; Data Engineering Support</t>
        </is>
      </c>
      <c r="C20" t="inlineStr"/>
      <c r="D20" t="inlineStr">
        <is>
          <t>indeed</t>
        </is>
      </c>
      <c r="E20">
        <f>HYPERLINK("https://www.indeed.com/viewjob?jk=5c0934e4db1506e9", "https://www.indeed.com/viewjob?jk=5c0934e4db1506e9")</f>
        <v/>
      </c>
      <c r="F20">
        <f>HYPERLINK("http://www.indeed.com/job/mid-level-sql-server-data-engineering-support-5c0934e4db1506e9", "http://www.indeed.com/job/mid-level-sql-server-data-engineering-support-5c0934e4db1506e9")</f>
        <v/>
      </c>
      <c r="G20" t="inlineStr">
        <is>
          <t>Louisville, KY, US</t>
        </is>
      </c>
      <c r="H20" s="3" t="n">
        <v>46027</v>
      </c>
      <c r="I20" t="inlineStr">
        <is>
          <t>COMPANY OVERVIEW
eNhanceCCM is a healthcare revenue recovery company specializing in Government Revenue Recovery (GRR) case generation. We process complex healthcare billing data from hospital systems nationwide, helping healthcare organizations identify and recover revenue opportunities. Our data engineering team transforms raw healthcare data into actionable insights that directly impact our clients' financial health.
POSITION SUMMARY
We are seeking a Mid\-Level SQL Server and Data Engineer to support our healthcare ETL data loading processes. This role is critical to our mission of transforming client onboarding from a multi\-week manual process into an automated, scalable workflow. You will maintain and enhance our SQL Server stored procedures, nightly jobs, and data validation framework that processes millions of healthcare billing records daily.
In addition to core data engineering responsibilities, this role provides Tier 2 support for our eValidateTool web application – a healthcare claims recovery management system built on ASP.NET Web Forms. This includes troubleshooting production issues, investigating bugs, and collaborating with development on fixes.
The ideal candidate has hands\-on experience with SQL Server administration, ETL development, and data quality validation in a fast\-paced environment. Healthcare or billing data experience is a strong plus but not required.
KEY RESPONSIBILITIESETL Pipeline Management
* Maintain and optimize SQL Server stored procedures that process healthcare billing data across many schemas and target tables
* Execute and monitor nightly ETL jobs that load staged Parquet/CSV data into SQL Server production databases
* Troubleshoot data loading failures, identifying root causes in source data, transformation logic, or database constraints
* Implement the mandatory processing sequence: Patients → Encounters → Detail Tables to ensure referential integrity
* Support schema\-specific configurations across multiple client schemas
Data Quality \&amp; Validation
* Execute comprehensive data quality validation scripts to ensure data meets GRR submission standards
* Monitor critical coverage thresholds: ≥95% ICD code coverage, ≥90% charge record coverage, ≥98% DRG codes for inpatient encounters using stored procedures, validation scripts in SQL Server
* Investigate and resolve NULL PID, MRN, and EncounterID issues that prevent case generation
* Validate TaxID and NPI population for data issues; identify and remediate gaps using NPI reference tables
* Perform orphan detection to ensure all detail records have matching parent encounters via INNER JOINs
* Generate and analyze data quality scorecards tracking completeness, uniqueness violations, and referential integrity
Database Administration
* Create and maintain SQL Server Agent jobs for automated nightly data processing
* Develop and optimize views that support downstream case generation and reporting
* Implement proper indexing strategies for tables handling 1M\-50M\+ records per client
* Monitor database performance, identify bottlenecks, and implement optimization strategies
* Maintain audit trails including MergeDate, MergeOperation, and filename tracking for compliance
Web Application Data Troubleshooting \&amp; Support
* Query and analyze SQL Server databases to identify data\-related bugs affecting the web application
Analyze stored procedure calls and parameterized query execution to diagnose data retrieval problems
* Review error logs and exception handling patterns to identify failure points
* Collaborate with developers to document bugs and propose database\-level fixes
Problem Resolution \&amp; Support
* Respond to production issues with nightly jobs, stored procedures, and data integrity problems
* Investigate encounters without specific data records that prevent SQL Job completions
* Resolve duplicate key violations across unique constraints in staging and production tables
* Collaborate with data engineering team to implement fixes for schema mapping issues
* Document recurring issues and implement preventive solutions
REQUIRED QUALIFICATIONSTechnical Skills
* 3\-5 years of hands\-on experience with SQL Server (2016 or later)
* Strong proficiency in T\-SQL including complex JOINs, CTEs, window functions, and MERGE statements
* Experience in debugging views, stored procedures and SQL Server scheduled jobs.
* Experience creating and maintaining stored procedures, triggers, and user\-defined functions
* Proficiency with SQL Server Agent jobs, scheduling, and monitoring
* Understanding of ETL concepts and data pipeline architectures
* Familiarity with Python scripting for automation and orchestration
* Working knowledge of Git version control
Data Engineering Support Skills
* Experience with data quality frameworks and validation methodologies
* Understanding of referential integrity, primary/foreign key relationships, and constraint management
* Ability to analyze source data schemas and map to target data models
* Experience handling large datasets (millions of records) with performance optimization
* Knowledge of Parquet file format and columnar storage concepts (preferred)
Web Application Support Skills (preferred)
* Basic understanding of ASP.NET Web Forms architecture and page lifecycle
* Ability to read and interpret VB.NET code for debugging purposes (development not required)
* Familiarity with ADO.NET patterns: SqlConnection, SqlCommand, SqlDataReader, and parameterized queries
* Understanding of web application session state and how it relates to database connections
* Experience querying SQL Server to trace data issues reported from web application users
* Ability to interpret error messages, stack traces, and exception handling in .NET applications
* Understanding of stored procedure debugging and execution plan analysis
* Familiarity with IIS logs and application event logs for troubleshooting
* Knowledge of Azure DevOps pipelines for understanding deployment workflows (CI/CD awareness)
Soft Skills
* Strong analytical and problem\-solving abilities
* Excellent written and verbal communication skills
* Ability to work independently and prioritize tasks in a fast\-paced environment
* Detail\-oriented mindset critical for healthcare data accuracy
* Collaborative approach to working with cross\-functional teams
PREFERRED QUALIFICATIONS
* Healthcare industry experience, particularly with billing data (claims, charges, diagnoses, procedures)
* Familiarity with healthcare coding systems: ICD\-10, CPT, HCPCS, DRG, Revenue Codes
* Experience with DuckDB or similar analytical databases (preferred)
* Knowledge of YAML\-based configuration management
* Understanding of Government Revenue Recovery (GRR) or healthcare revenue cycle
* Experience with cloud platforms (Azure preferred)
* Microsoft SQL Server certifications (MCSA, MCSE, or Azure equivalents)
WHAT YOU'LL WORK ON
Your day\-to\-day will include supporting our automated ETL pipeline that processes healthcare data from multiple hospital systems. You'll ensure data quality thresholds are met for GRR submissions, maintain stored procedures that handle millions of records, and troubleshoot issues when nightly jobs fail. You'll work with a three\-tier directory structure (Raw/Merged/Staged) and help scale our platform to support aggressive growth from 5\-10 current clients to 180\+ clients.
Provider Validation
GROWTH OPPORTUNITY
This role offers significant growth potential as we scale our data engineering capabilities. You'll have the opportunity to contribute to our automated schema mapping system using Pydantic and AI\-assisted configuration, which aims to reduce client onboarding time by 94\-96%. As we grow to 180\+ clients, there will be opportunities to advance into senior data engineering or team lead positions.
COMPENSATION \&amp; BENEFITS
* Competitive salary commensurate with experience
* Health, dental, and vision insurance
* Professional development and certification support
* Flexible work arrangements
* Opportunity to make direct impact on healthcare revenue recovery
HOW TO APPLY
Submit your resume along with a brief cover letter highlighting your SQL Server experience and any healthcare data background. Please include examples of complex ETL projects you've worked on and how you approached data quality challenges.
Pay: $67,576\.98 \- $87,000\.00 per year
Benefits:
* Dental insurance
* Flexible schedule
* Health insurance
* Paid time off
Work Location: Hybrid remote in Louisville, KY 40243</t>
        </is>
      </c>
    </row>
    <row r="21">
      <c r="A21" t="inlineStr">
        <is>
          <t>in-8654d7ff2096360c</t>
        </is>
      </c>
      <c r="B21" t="inlineStr">
        <is>
          <t>Data Engineer (AWS)</t>
        </is>
      </c>
      <c r="C21" t="inlineStr">
        <is>
          <t>Adroit Innovative Solutions</t>
        </is>
      </c>
      <c r="D21" t="inlineStr">
        <is>
          <t>indeed</t>
        </is>
      </c>
      <c r="E21">
        <f>HYPERLINK("https://www.indeed.com/viewjob?jk=8654d7ff2096360c", "https://www.indeed.com/viewjob?jk=8654d7ff2096360c")</f>
        <v/>
      </c>
      <c r="F21">
        <f>HYPERLINK("http://www.indeed.com/job/data-engineer-aws-8654d7ff2096360c", "http://www.indeed.com/job/data-engineer-aws-8654d7ff2096360c")</f>
        <v/>
      </c>
      <c r="G21" t="inlineStr">
        <is>
          <t>California City, CA, US</t>
        </is>
      </c>
      <c r="H21" s="3" t="n">
        <v>46027</v>
      </c>
      <c r="I21" t="inlineStr">
        <is>
          <t>**Position:** Data Engineer  
**Experience:** 8\+ Years  
**Location:** California / Boston  
**Relocation:** Open  
**Client:** Infosys  
**Rate:** $50/hr on C2C  
**Visa:** GC / USC only
**Required Skills**
* Strong experience in **AWS** (S3, EC2, Glue, Lambda, Redshift, EMR)
* Proficiency in **Python**
* Hands\-on experience with **PySpark**
* Strong knowledge of **SQL**
* Experience in building and optimizing **data pipelines**
* Experience with **ETL/ELT processes**
* Knowledge of data warehousing and big data concepts
* Ability to work with large\-scale datasets
* Strong problem\-solving and communication skills
**Responsibilities**
* Design, develop, and maintain scalable data pipelines on AWS
* Process structured and unstructured data using PySpark
* Optimize SQL queries for performance
* Collaborate with cross\-functional teams to deliver data solutions
* Ensure data quality, security, and performance best practices
Pay: $1\.00 per hour
Expected hours: 40\.0 per week
Work Location: In person</t>
        </is>
      </c>
    </row>
    <row r="22">
      <c r="A22" t="inlineStr">
        <is>
          <t>in-ee853b93c4714a54</t>
        </is>
      </c>
      <c r="B22" t="inlineStr">
        <is>
          <t>DevOps Data Engineer</t>
        </is>
      </c>
      <c r="C22" t="inlineStr">
        <is>
          <t>Reef Capital Partners</t>
        </is>
      </c>
      <c r="D22" t="inlineStr">
        <is>
          <t>indeed</t>
        </is>
      </c>
      <c r="E22">
        <f>HYPERLINK("https://www.indeed.com/viewjob?jk=ee853b93c4714a54", "https://www.indeed.com/viewjob?jk=ee853b93c4714a54")</f>
        <v/>
      </c>
      <c r="F22">
        <f>HYPERLINK("https://www.applicantpro.com/openings/reefcp/jobs/3951752-799472", "https://www.applicantpro.com/openings/reefcp/jobs/3951752-799472")</f>
        <v/>
      </c>
      <c r="G22" t="inlineStr">
        <is>
          <t>Lehi, UT, US</t>
        </is>
      </c>
      <c r="H22" s="3" t="n">
        <v>46027</v>
      </c>
      <c r="I22" t="inlineStr">
        <is>
          <t>**Job Title:** DevOps Data Engineer
**Company:** Reef Capital
**Salary:** $150,000\-$170,000
**Location:** Lehi, UT; On\-site
* **Please note that we cannot offer relocation or visa sponsorship for this position**
 **About Reef:**
Reef Capital is a Utah\-based vertically integrated investment and development firm founded in 2005, with three primary lines of business: Investments, Real Estate, and Lifestyle. Reef's team is currently involved in some of the most prominent development transactions in Utah and other targeted geographies across the United States.
Built on two decades of success, our investment approach combines proven expertise with purposeful innovation. Reef's team has completed more than 500 transactions across all lines of business. In addition to our real estate investment strategy, Reef and/or affiliates own and operate various businesses that add significant long\-term value to its projects. We have grown rapidly, growing from about 25 employees to well over 400, with managed assets on behalf of over 750 institutional and individual partners worldwide.
With the motto "Expect the Best," Reef's most prominent developments include Black Desert Resort, a $2 billion luxury resort in Ivins, Utah; Marcella, a luxury private golf community in Park City, Utah; Tributer Resort, Virginia's newest premier private lakeside golf destination; Cornerstone Club, a 5,000\-acre residential community, private club, and resort in Telluride, Colorado; Sweetens Cove, a renowned and evolving golf destination nestled in the Tennessee Valley; and the restoration of the historic Coco Palms Resort in Wailua, on the island of Kauai, Hawaii.
At Reef, our mission is to recruit, develop, and retain entrepreneurial individuals who desire to build and create something long\-lasting and meaningful. Our business enables bright, committed people to work in high\-performing teams within an environment that allows each person to achieve their professional objectives. Reef values a strong culture dedicated to the health and well\-being of our employees.
**Position Summary:**
Reef is seeking an experienced and highly motivated DevOps Data Engineer to design, build, and maintain scalable data infrastructure, pipelines, and integrations that support enterprise analytics, reporting, and data\-driven decision\-making. This role is essential for centralizing data from multiple sources, ensuring data quality and accessibility, while automating processes and aligning data solutions with business objectives. The ideal candidate will combine expertise in data pipelines, cloud platforms, scripting, and integration with strong project collaboration skills.
**Key Responsibilities:**
**Data Infrastructure and Pipelines**
* Design, build, and maintain data lakes (e.g., using AWS Lake Formation, S3, Snowflake, or similar platforms like Microsoft Fabric) for centralized data storage, ingestion from multiple sources, and governance.
* Implement and optimize data pipelines for ETL (Extract, Transform, Load) processes, ensuring data quality, security, compliance, and handling large\-scale enterprise data volumes from SaaS applications.
**Data Migration and Optimization**
* Plan and execute data migrations with a focus on preserving data integrity and minimizing downtime.
* Optimize data flows and storage for advanced analytics, reporting, and real\-time syncing.
**Integrations and Automation**
* Lead integration projects to enable interoperability across enterprise applications (e.g., Salesforce, Microsoft 365, HubSpot).
* Develop scripts in Python and PowerShell for custom data ingestion, transformation, automation, and system efficiency tasks.
* Identify automation opportunities to reduce manual data handling and enhance integrated environments.
**Analytics and Reporting Support**
* Build custom reports and visualizations using tools like Microsoft SQL scripting, Power BI, or SharePoint.
* Support data governance, security best practices, and documentation.
**Project Management and Collaboration**
* Collaborate with cross\-functional teams to translate business needs into technical data solutions.
* Lead data\-related projects, including migrations, pipeline deployments, and technology initiatives.
* Research and recommend emerging technologies (e.g., cloud\-native data tools) to support data\-driven growth.
**Qualifications**
* Bachelor's degree in Computer Science, Information Systems, or a related field.
* 5\+ years of experience in data engineering, system administration, or a similar role.
* Expertise with enterprise applications like Microsoft 365, Salesforce, HubSpot, Adobe, and Docusign.
* Hands\-on experience with data platforms (e.g., Snowflake, AWS services) and ETL processes.
* Strong knowledge of SSO, API integrations, and data interoperability.
* Advanced scripting skills in PowerShell (including O365 modules) and Python (mandatory).
* Proficiency in Microsoft SQL scripting, reporting, and SharePoint.
* Experience with data migrations, pipeline optimization, and IT/data projects.
* Ability to manage multiple priorities, timelines, and stakeholders effectively.
* Excellent problem\-solving, analytical thinking, communication, and collaboration skills.
* Detail\-oriented with a proactive approach to identifying and addressing challenges.
**Company Benefits:**
* 401(k) Plan with Company Match
* Generous Health Plan with HSA Match
* Flexible Paid Time\-off
* Daily Company Lunches
* Cell Phone Service Allowance
* Discounts at Company\-owned Resorts and Golf Courses</t>
        </is>
      </c>
    </row>
    <row r="23">
      <c r="A23" t="inlineStr">
        <is>
          <t>in-ad189a4255209e62</t>
        </is>
      </c>
      <c r="B23" t="inlineStr">
        <is>
          <t>Sr. Data Engineer (USC &amp; GC only - No C2C)</t>
        </is>
      </c>
      <c r="C23" t="inlineStr">
        <is>
          <t>Lenmar Consulting</t>
        </is>
      </c>
      <c r="D23" t="inlineStr">
        <is>
          <t>indeed</t>
        </is>
      </c>
      <c r="E23">
        <f>HYPERLINK("https://www.indeed.com/viewjob?jk=ad189a4255209e62", "https://www.indeed.com/viewjob?jk=ad189a4255209e62")</f>
        <v/>
      </c>
      <c r="F23">
        <f>HYPERLINK("https://jobs.smartrecruiters.com/LenmarConsultingInc/744000101710955-sr-data-engineer-usc-gc-only-no-c2c-", "https://jobs.smartrecruiters.com/LenmarConsultingInc/744000101710955-sr-data-engineer-usc-gc-only-no-c2c-")</f>
        <v/>
      </c>
      <c r="G23" t="inlineStr">
        <is>
          <t>Charlotte, NC, US</t>
        </is>
      </c>
      <c r="H23" s="3" t="n">
        <v>46027</v>
      </c>
      <c r="I23" t="inlineStr">
        <is>
          <t>**Company Description**  
Food Service
 **Job Description**  
US Citizen and GC only at this time on W2 – No C2C
**Key skills include strong Snowflake expertise, advanced SQL proficiency, data extraction from APIs using Python and AWS Lambda, and experience with ETL/ELT processes. Workflow automation using AWS Airflow is essential, and experience with Fivetran and DBT is a plus.**
**Job Summary:**  
We are looking for a hands\-on Senior Data Engineer with expertise in developing data ingestion pipelines. This role is crucial in designing, building, and maintaining our data infrastructure, focusing on creating scalable pipelines, ensuring data integrity, and optimizing performance.  
**Job Responsibilities:**
* Design, build, test, and implement scalable data pipelines using Python and SQL.
* Maintain and optimize our Snowflake data warehouse’s performance, including data ingestion and query optimization.
* Extract data from APIs using Python and AWS Lambda and automate workflows with AWS Airflow.
* Perform analysis and critical thinking to troubleshoot data\-related issues and implement checks/scripts to enhance data quality.
* Collaborate with other data engineers and architect to develop new pipelines and/or optimize existing ones.
* Maintain code via CI/CD processes as defined in our Azure DevOps platform.
**Job Qualifications:**
* 7\+ years of experience in Data Engineering roles, with a focus on building and implementing scalable data pipelines for data ingestion.
* Expertise in Snowflake, including data ingestion and performance optimization.
* Strong SQL skills for writing efficient queries and optimizing existing ones.
* Proficiency in Python for data extraction from APIs using AWS Lambda, Glue, etc.
* Experience with AWS services such as Lambda, Airflow, Glue, S3, SNS, etc.
* Highly self\-motivated and detail\-oriented with strong communication skills.
* Familiarity with ETL/ELT processes.
* Experience with Fivetran and DBT is a plus.
**Additional Information**  
All your information will be kept confidential according to EEO guidelines.</t>
        </is>
      </c>
    </row>
    <row r="24">
      <c r="A24" t="inlineStr">
        <is>
          <t>in-bc904895ea616dbb</t>
        </is>
      </c>
      <c r="B24" t="inlineStr">
        <is>
          <t>Data Engineer</t>
        </is>
      </c>
      <c r="C24" t="inlineStr">
        <is>
          <t>NBCUniversal</t>
        </is>
      </c>
      <c r="D24" t="inlineStr">
        <is>
          <t>indeed</t>
        </is>
      </c>
      <c r="E24">
        <f>HYPERLINK("https://www.indeed.com/viewjob?jk=bc904895ea616dbb", "https://www.indeed.com/viewjob?jk=bc904895ea616dbb")</f>
        <v/>
      </c>
      <c r="F24">
        <f>HYPERLINK("https://jobs.smartrecruiters.com/NBCUniversal3/744000101677984-data-engineer", "https://jobs.smartrecruiters.com/NBCUniversal3/744000101677984-data-engineer")</f>
        <v/>
      </c>
      <c r="G24" t="inlineStr">
        <is>
          <t>New York, NY, US</t>
        </is>
      </c>
      <c r="H24" s="3" t="n">
        <v>46027</v>
      </c>
      <c r="I24" t="inlineStr">
        <is>
          <t>**Company Description**  
NBCUniversal is one of the world's leading media and entertainment companies.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Comcast NBCUniversal has announced its intent to create a new publicly traded company ('Versant') comprised of most of NBCUniversal's cable television networks, including USA Network, CNBC, MSNBC, Oxygen, E!, SYFY and Golf Channel along with complementary digital assets Fandango, Rotten Tomatoes, GolfNow, GolfPass, and SportsEngine. The well\-capitalized company will have significant scale as a pure\-play set of assets anchored by leading news, sports and entertainment content. The spin\-off is expected to be completed during 2025\.
 **Job Description**  
Our Media Group portfolio is a powerhouse collection of consumer\-first brands, supported by media industry leaders, Comcast, NBCUniversal, and Sky. When you join our team, you’ll work across our dynamic portfolio including Peacock, NOW, Fandango, SkyShowtime, Showmax, and TV Everywhere, powering streaming across more than 70 countries globally. And the evolution doesn’t stop there. With an unequaled scale, our teams make the most out of every opportunity to collaborate and learn from one another. We’re always looking for ways to innovate faster, accelerate our growth, and consistently offer the very best in the consumer experience. But most of all, we’re backed by a culture of respect. We embrace authenticity and inspire people to thrive.
As part of the Media Group Decision Sciences team, the Data Engineer will be responsible for creating a connected data ecosystem that unleashes the power of our streaming data with a focus on international propositions. We gather data from across all customer/prospect journeys in near real\-time, to allow fast feedback loops across territories; combined with our strategic data platform, this data ecosystem is at the core of being able to make intelligent customer and business decisions.  
In this role, the Data Engineer will share responsibilities in the development and maintenance of optimized and highly available data pipelines that facilitate deeper analysis and reporting by the business, as well as support ongoing operations related to the Media Group data ecosystem.
**Responsibilities include, but are not limited to:**
* Develop and maintain batch and streaming data pipelines according to business and technical requirements.
* Deliver observable, reliable and secure software, embracing “you build it, you run it” mentality, and focus on automation.
* Continually work on improving the codebase and have active participation in all aspects of the team, including agile ceremonies.
* Take an active role in story definition, assisting business stakeholders with acceptance criteria.
* Work with Principal Engineers and Architects to share and contribute to the broader technical vision.
* Practice and champion best practices, striving towards excellence and raising the bar within the department.
* Operationalize data processing systems (DevOps) and system observability (SRE)
 **Qualifications** **Qualifications**
* 1\+ years relevant experience in Data Engineering
* Experience of near Real Time \&amp; Batch Data Pipeline development in a similar Big Data Engineering role.
* Programming skills with an OOP language (e.g., Java, C\+\+)
* Proficient with SQL
* Experience working in a cloud environment such as Google Cloud Platform or AWS
* Hands on programming experience of the following (or similar) technologies:
	+ Kubernetes, Docker
	+ Apache Beam, Apache Flink, Apache Spark
	+ Google BigQuery, Snowflake
	+ Google BigTable
	+ Google Pub/Sub, Kafka
	+ Apache Airflow
* Experience implementing observability around data pipelines using SRE best practices.
* Experience in processing structured and unstructured data into a form suitable for analysis and reporting with integration with a variety of data metric providers ranging from advertising, web analytics, and consumer devices.
* Bachelors’ degree with a specialization in Computer Science, Engineering, Physics, other quantitative field or equivalent industry experience.
**Desired Characteristics**
* Strong Test\-Driven Development background, with understanding of levels of testing required to continuously deliver value to production.
* Experience with large\-scale video assets
* Ability to work effectively across functions, disciplines, and levels
* Team\-oriented and collaborative approach with a demonstrated aptitude, enthusiasm and willingness to learn new methods, tools, practices, and skills
* Ability to recognize discordant views and take part in constructive dialogue to resolve them
* Pride and ownership in your work and confident representation of your team to other parts of the business
**Additional Requirements**
* Hybrid: This position has been designated as hybrid, which currently requires contributing from the office a minimum of three days per week. Beginning January 5, 2026, hybrid employees will be required to work from the office a minimum of four days per week. The Company reserves the right to change in\-office requirements at any time.
*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$100,000 \- $135,000\.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25">
      <c r="A25" t="inlineStr">
        <is>
          <t>in-7363a3610d175276</t>
        </is>
      </c>
      <c r="B25" t="inlineStr">
        <is>
          <t>Data Engineer</t>
        </is>
      </c>
      <c r="C25" t="inlineStr"/>
      <c r="D25" t="inlineStr">
        <is>
          <t>indeed</t>
        </is>
      </c>
      <c r="E25">
        <f>HYPERLINK("https://www.indeed.com/viewjob?jk=7363a3610d175276", "https://www.indeed.com/viewjob?jk=7363a3610d175276")</f>
        <v/>
      </c>
      <c r="F25">
        <f>HYPERLINK("https://recruiting.paylocity.com/recruiting/jobs/Details/3791834/TELYRX-DALLAS-LLC/Data-Engineer?source=Indeed_Feed", "https://recruiting.paylocity.com/recruiting/jobs/Details/3791834/TELYRX-DALLAS-LLC/Data-Engineer?source=Indeed_Feed")</f>
        <v/>
      </c>
      <c r="G25" t="inlineStr">
        <is>
          <t>Irving, TX, US</t>
        </is>
      </c>
      <c r="H25" s="3" t="n">
        <v>46026</v>
      </c>
      <c r="I25" t="inlineStr">
        <is>
          <t>Description:
**Description**
At TelyRx, we're revolutionizing access to essential medications by combining cutting\-edge
technology with a patient\-centered approach. Inspired by our mission of "A Faster Way to
Wellness," we strive to simplify healthcare and provide seamless, hassle\-free access to the
medications people need.
As a Data Engineer, you will be responsible for designing, building, and maintaining the data
infrastructure that powers our analytics and business intelligence capabilities. You'll work closely
with our analytics team to ensure reliable, scalable, and efficient data pipelines that support
marketing attribution, customer analytics, and operational reporting across the organization.
This role offers the opportunity to own critical data infrastructure, work with modern cloud\-based
tools, and directly impact how we leverage data to improve patient outcomes and business
performance.
**Key Responsibilities**
* Design, build, and maintain scalable ETL/ELT pipelines to ingest data from multiple sources including advertising platforms (Google Ads, Facebook Ads, Bing Ads), CRM systems, and operational databases
* Manage and optimize our Snowflake data warehouse, including schema design, query performance tuning, and cost optimization
* Configure and maintain Fivetran connectors and data integrations, ensuring data quality and timely syncs across all platforms
* Develop and maintain data transformation layers using SQL and dbt to create clean, reliable datasets for analytics consumption
* Build and manage automated workflows and Snowflake tasks for scheduled data refreshes and reporting
* Partner with the analytics team to understand data requirements and translate them into robust technical solutions
* Implement data quality monitoring, alerting, and validation frameworks to ensure accuracy and completeness
* Document data models, pipelines, and processes to maintain institutional knowledge
* Support HIPAA\-compliant data handling practices and maintain appropriate access controls
* Troubleshoot data issues and perform root cause analysis when discrepancies arise
Requirements:
**Basic Qualifications**
* B.S. in Computer Science, Data Engineering, Information Systems, or related technical field
* 5\+ years of experience in data engineering, analytics engineering, or related roles
* Expert\-level SQL skills with experience writing complex queries and optimizing performance
* Hands\-on experience with cloud data warehouses, preferably Snowflake
* Experience with ETL/ELT tools and data integration platforms (Fivetran, Stitch, Airbyte, or similar)
* Proficiency in Python for data processing and automation
* Experience with data transformation tools such as dbt
* Strong understanding of data modeling concepts (dimensional modeling, star schemas)
* Familiarity with version control (Git) and CI/CD practices for data pipelines
* Experience working with marketing and advertising data (Google Ads, Facebook Ads APIs) is a plus
* Strong problem\-solving skills and attention to detail
* Excellent communication skills and ability to collaborate with non\-technical stakeholders
**Preferred Qualifications**
* Experience in healthcare, digital health, or e\-commerce industries
* Familiarity with HIPAA compliance requirements for data handling
* Experience with workflow orchestration tools (Airflow, Dagster, Prefect)
* Knowledge of BI tools such as Sigma Computing, Tableau, or Looker
* Experience with GA4 data exports and BigQuery
* Understanding of marketing attribution models and customer analytics data requirements
* Snowflake certifications or equivalent cloud data platform experience
**Benefits**
* Health Coverage: Comprehensive health, dental, and vision insurance
* Retirement: 401(k) plan
* Time Off: Generous paid time off policy
* Career Growth: Opportunities to grow within a rapidly expanding company
* Mission\-Driven Work: Be part of an organization focused on healthcare accessibility and innovation
If you're eager for the freedom to take ownership of our analytics strategy, develop innovative
optimization solutions, and thrive while being given the room to build and lead a world\-class
analytics organization, this is the perfect opportunity for you. We're looking for someone driven
to make an impact through data, take initiative in establishing best practices, and grow
alongside our company as we tackle new analytical challenges together.</t>
        </is>
      </c>
    </row>
    <row r="26">
      <c r="A26" t="inlineStr">
        <is>
          <t>in-be5e921a69b57e1d</t>
        </is>
      </c>
      <c r="B26" t="inlineStr">
        <is>
          <t>Data Engineer</t>
        </is>
      </c>
      <c r="C26" t="inlineStr">
        <is>
          <t>ALTEN</t>
        </is>
      </c>
      <c r="D26" t="inlineStr">
        <is>
          <t>indeed</t>
        </is>
      </c>
      <c r="E26">
        <f>HYPERLINK("https://www.indeed.com/viewjob?jk=be5e921a69b57e1d", "https://www.indeed.com/viewjob?jk=be5e921a69b57e1d")</f>
        <v/>
      </c>
      <c r="F26">
        <f>HYPERLINK("https://grnh.se/oh9ott8d7us", "https://grnh.se/oh9ott8d7us")</f>
        <v/>
      </c>
      <c r="G26" t="inlineStr">
        <is>
          <t>Greensboro, NC, US</t>
        </is>
      </c>
      <c r="H26" s="3" t="n">
        <v>46026</v>
      </c>
      <c r="I26" t="inlineStr">
        <is>
          <t>We're ALTEN Technology USA, an engineering company helping clients bring groundbreaking ideas to life—from advancing space exploration and life\-saving medical devices to building autonomous electric vehicles. With 3,000\+ experts across North America, we partner with leading companies in aerospace, medical devices, robotics, automotive, commercial vehicles, EVs, rail, and more.
As part of the global ALTEN Group—57,000\+ engineers in 30 countries—we deliver across the entire product development cycle, from consulting to full project outsourcing.
When you join ALTEN Technology USA, you'll collaborate on some of the world's toughest engineering challenges, supported by mentorship, career growth opportunities, and comprehensive benefits. We take pride in fostering a culture where employees feel valued, supported, and inspired to grow.
We are seeking a Data Engineer to join a high\-impact, execution\-focused project supporting a Pharma manufacturing site. The goal is to replace legacy tools (Statistica, Spotfire, enterprise PI) with a new Snowflake\-based data pipeline that integrates MES Werum, PI Historian, LIMS, and MDE systems. You will design, build, and validate production\-ready ETL pipelines in Python, map data sources, create discrete and time\-series datasets, and configure PI event frames, all under GxP\-compliant processes. The end goal is to build production\-ready data pipelines and datasets in Snowflake to support Manufacturing Science engineers (trending, CPV, troubleshooting).
**Responsibilities:**
* Design, develop, and deploy ETL pipelines in Snowflake using Python to integrate MES Werum, PI Historian, LIMS, and MDE data sources.
* Create mapping documents, perform data validation, and ensure complete and accurate ingestion of all required product datasets.
* Build discrete data tables and time\-series datasets to meet Manufacturing Science engineers' trending and reporting needs.
* Configure PI event frames for process event tracking and align with Snowflake architecture.
* Maintain version\-controlled code in GitHub; follow CI and code review best practices.
* Collaborate with engineering teams for dataset validation, troubleshooting, and weekly progress updates.
* Deliver all work in compliance with GxP standards and within security and infrastructure framework (VPN/VDI).
**Qualifications:**
* 3–5 years hands\-on data engineering experience.
* Snowflake: schema design, performance tuning, loading strategies (staging, bulk/CDC patterns).
* Python: production ETL experience (pandas, pyarrow, db connectors, scripting, scheduling).
* GitHub: branching, PRs, CI basics, code reviews.
* Direct experience integrating at least one of: PI Historian (OSIsoft/AVEVA PI), MES (Werum), LIMS, ideally in a regulated environment.
* Strong SQL skills for complex queries, data transformations, and optimizations. Ability to design discrete \&amp; time\-series tables.
* Experience working under GxP / pharma compliance or similar regulated data governance.
**Bonus Qualifications:**
* Ability to run Python notebooks in cloud environments.
* Experience with Dataiku, Power BI, or homegrown front\-ends.
* Knowledge of CPV (Continued Process Verification) dataset requirements.
* Experience creating PI event frames or working with PI AF.
* Familiarity with Werum MES data models (or similar MES schemas) and LIMS sample metadata.
* Docker / basic infrastructure\-as\-code (helpful, not required).
**Salary Range: $80,000 \- $90,000**
The actual salary offered is dependent on various factors including, but not limited to, location, the candidate's combination of job\-related knowledge, qualifications, skills, education, training, and experience.
ALTEN Technology is an Equal Opportunity Employer. Our Policy is to extend opportunities to qualified applicants and employees on an equal basis regardless of an individual's age, race, color, sex, religion, national origin, disability, sexual orientation, gender identity/expression or veteran status.
***Please beware of job seeker scams and see this*** ***important notice*** ***on our careers page for more information about our recruiting process.***
**Compliance Notice:** Alten USA is a federal contractor subject to the requirements of the Vietnam Era Veterans' Readjustment Assistance Act (VEVRAA) and Executive Order 11246\. We are an Equal Opportunity Employer and consider all qualified applicants without regard to race, color, religion, sex, sexual orientation, gender identity, national origin, disability, or veteran status.
**Drug Screening Requirement:** As a federal contractor, Alten USA maintains a drug\-free workplace. All candidates selected for employment will be required to successfully complete a pre\-employment drug screening as a condition of hire.</t>
        </is>
      </c>
    </row>
    <row r="27">
      <c r="A27" t="inlineStr">
        <is>
          <t>in-9145be7cc6b2e87a</t>
        </is>
      </c>
      <c r="B27" t="inlineStr">
        <is>
          <t>Sr. Data Engineer III (6283)</t>
        </is>
      </c>
      <c r="C27" t="inlineStr">
        <is>
          <t>Metrostar Systems</t>
        </is>
      </c>
      <c r="D27" t="inlineStr">
        <is>
          <t>indeed</t>
        </is>
      </c>
      <c r="E27">
        <f>HYPERLINK("https://www.indeed.com/viewjob?jk=9145be7cc6b2e87a", "https://www.indeed.com/viewjob?jk=9145be7cc6b2e87a")</f>
        <v/>
      </c>
      <c r="F27">
        <f>HYPERLINK("https://grnh.se/rpf0svpb3us", "https://grnh.se/rpf0svpb3us")</f>
        <v/>
      </c>
      <c r="G27" t="inlineStr">
        <is>
          <t>Remote, US</t>
        </is>
      </c>
      <c r="H27" s="3" t="n">
        <v>46026</v>
      </c>
      <c r="I27" t="inlineStr">
        <is>
          <t>As **Sr. Data Engineer III**, you'll be responsible for the design, integrity, and performance of the data layer supporting C2SET integrations, federation, and model driven behavior analysis. This role combines deep database and data engineering expertise with advanced analytics capabilities to ensure that simulation data, schemas, and decision logic remain accurate, interoperable, and operationally realistic across distributed environments.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maintain, and validate data schemas supporting federation and integration between C2SET and external systems
* Build and support SQL and Python based ETL pipelines for operational, simulation, and analytics data
* Ensure data integrity, correctness, and performance across distributed and multi tier data sources
* Troubleshoot data mismatches, malformed messages, schema drift, and integration issues
* Partner with modeling and simulation engineers to analyze simulation outputs and support tuning of behaviors and decision logic
* Design and execute data driven experiments to evaluate model changes and operational impacts
* Develop datasets, scripts, and tooling to support repeatable validation and performance analysis
* Support Government analysts and integrators by delivering timely, reliable data refreshes and analysis
* Perform database performance tuning and optimization for operational workloads
* Maintain data documentation, metadata repositories, and data governance artifacts
* Act as a functional lead for data engineering and analytics activities within the integrations team
**What you'll need to succeed:**
* An active U.S. Government issued Secret security clearance
* Bachelor's degree in Computer Science, Data Engineering, Information Systems, Mathematics, or a related technical field, or equivalent experience
* More than ten years of experience in data engineering, database engineering, database administration, or applied analytics
* Strong hands on experience with SQL and Python, including building and maintaining ETL pipelines
* Proven experience designing, implementing, and maintaining complex data schemas and data models
* Experience working with structured and semi structured data formats such as JSON and XML
* Ability to design, validate, and troubleshoot data exchanges across distributed or federated systems
* Experience with database performance tuning, indexing strategies, and query optimization
* Experience analyzing large or complex data sets and translating results into actionable technical recommendations
* Ability to collaborate effectively with software engineers, modeling and simulation engineers, and Government stakeholders
**SALARY RANGE:** $138,000 – $147,000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28">
      <c r="A28" t="inlineStr">
        <is>
          <t>in-c534ca06c76654bf</t>
        </is>
      </c>
      <c r="B28" t="inlineStr">
        <is>
          <t>Data Engineer</t>
        </is>
      </c>
      <c r="C28" t="inlineStr">
        <is>
          <t>Jellyvision</t>
        </is>
      </c>
      <c r="D28" t="inlineStr">
        <is>
          <t>indeed</t>
        </is>
      </c>
      <c r="E28">
        <f>HYPERLINK("https://www.indeed.com/viewjob?jk=c534ca06c76654bf", "https://www.indeed.com/viewjob?jk=c534ca06c76654bf")</f>
        <v/>
      </c>
      <c r="F28">
        <f>HYPERLINK("https://grnh.se/9h5ilvxw2us", "https://grnh.se/9h5ilvxw2us")</f>
        <v/>
      </c>
      <c r="G28" t="inlineStr">
        <is>
          <t>Chicago, IL, US</t>
        </is>
      </c>
      <c r="H28" s="3" t="n">
        <v>46026</v>
      </c>
      <c r="I28" t="inlineStr">
        <is>
          <t>**Data Engineer I**
**Who we are**
Jellyvision ALEX®, is on a mission to improve lives by helping people choose and use their benefits. We are raising the bar—for benefits and the employee experience (for our employees and those of the customers we serve) – by scaling personalization, compassion and an earnest intent to be helpful in all that we do.
Jellyvision people are a group of creative problem solvers who use good judgment, give each other honest feedback, engage in real debate, and snack frequently. We are curious, hungry, and humble—because we know this is how we'll continue to make an impact. We're kind, biased towards action, and sweat the details to create great experiences for those we serve.
We are an inclusive, human\-first workplace. Respect and trust for each other are foundational, and our equitable total rewards offerings support the lives and holistic well\-being of our unique people. At Jellyvision, expect career experiences that challenge you, empower you to have a direct impact on our mission, and enable you to learn, try, and do while having fun along the way.
**What's the role?**
As a Data Engineer I, you'll help build and maintain the data infrastructure that enables our teams to personalize benefits for millions of users. This is an early\-career role focused on developing strong data engineering fundamentals \- building pipelines, designing storage structures, and modeling data that power products, client analytics, and strategic decisions. You'll work closely with the rest of our data team to deliver reliable, well\-structured data across the organization.
**What you'll do to be successful**
**1\.) Build and maintain data pipelines and storage**
* Build, test, and deploy Airflow DAGs in MWAA following team standards
* Write clean, production\-ready Parquet files using PyArrow or Spark with proper compression and partitioning
* Implement ETL/ELT pipelines from source landing transformed layers
* Help maintain S3 storage structures following existing partitioning, lifecycle, and access policies
* Assist with dimensional modeling—turn normalized data into star\-schema facts and dimensions under senior guidance
* Implement basic data quality checks using Python
* Troubleshoot failing DAGs, rerun backfills, and respond to alerts
* Participate in on\-call support rotation
* Update and maintain pipeline documentation
***KPIs:*** *pipeline reliability, on\-time deliver, code quality*
**2\.) Learn, collaborate, and help grow our data platform**
* Participate in code reviews to learn best practices and improve code quality
* Partner with Senior Data Engineers and Analytics Engineers on architecture alignment
* Work with analytics and product teams to understand and deliver data requirements
* Document troubleshooting procedures and platform patterns
* Contribute to sprint planning and technical discussions
***KPIs:*** *documentation quality, responsiveness to feedback, stakeholder satisfaction*
**Experience \&amp; skills you'll need**
**Required:**
* 2\+ years of practical experience (professional, internship, and bootcamps count)
* Solid Python and working SQL proficiency
* Familiarity with cloud platforms (AWS/GCP/Azure) and modern data tooling (e.g Airflow, dbt, Spark, Snowflake, Databricks, Redshift)
* Understanding of data modeling concepts (e.g., star schema, normalization) and ETL/ELTdesign practices
* Experience reading/writing Parquet
* Ability to write and run basic Airflow DAGs
* Docker fundamentals
* Git fundamentals, agile development and CI/CD practices
* Demonstrated curiosity
* Genuine tinkerer energy: you've built personal data projects for fun, tried random tools (Polars, DuckDB, Ollama, local LLMs, MotherDuck, etc.), and probably have a messy but awesome docker\-compose.yml on your machine
**Nice to Have:**
* Experience with AI coding assistants
* Exposure to AI tools (MCP servers, Ollama, local LLMs)
* Knowledge of Delta Lake or Snowflake clustering
* Basic Terraform experience
* Simple data\-quality tooling
**The Details**
* **Location**: Remote, Chicago\-based preferred for occasional in\-office days.
* **Starting Salary:** $95,000 \- $110,000
**What Jellyvision will give** ***you***
**Check out our benefits** **here****!**
Jellyvision is committed to continuous evolution and fostering a more diverse and inclusive workplace where everyone is welcomed, valued, and respected. It doesn't matter your race, ethnicity, religion, age, disability, sexual orientation, gender, gender identity/expression, country of origin, genetic information, veteran status, marital status, pregnancy or related condition (including breastfeeding), criminal histories consistent with legal requirements or any other basis protected by law...we just want amazing people who are willing to grow along with us.
Although we have a Chicago\-based HQ that employees are welcome to work out of whether they're local or just visiting, this position is also eligible for work by a remote employee out of CA, CO, FL, GA, IL, IN, KY, MI, MN, NC, NY, OH, OR, PA, SC, TN, TX, UT, VA, WA or WI.</t>
        </is>
      </c>
    </row>
    <row r="29">
      <c r="A29" t="inlineStr">
        <is>
          <t>in-0e85d624800c5069</t>
        </is>
      </c>
      <c r="B29" t="inlineStr">
        <is>
          <t>Senior Analyst, Analytics Engineer</t>
        </is>
      </c>
      <c r="C29" t="inlineStr">
        <is>
          <t>HarbourVest</t>
        </is>
      </c>
      <c r="D29" t="inlineStr">
        <is>
          <t>indeed</t>
        </is>
      </c>
      <c r="E29">
        <f>HYPERLINK("https://www.indeed.com/viewjob?jk=0e85d624800c5069", "https://www.indeed.com/viewjob?jk=0e85d624800c5069")</f>
        <v/>
      </c>
      <c r="F29">
        <f>HYPERLINK("https://harbourvest.wd5.myworkdayjobs.com/en-US/HVP/job/Boston/Senior-Analyst--Analytics-Engineer_R2097", "https://harbourvest.wd5.myworkdayjobs.com/en-US/HVP/job/Boston/Senior-Analyst--Analytics-Engineer_R2097")</f>
        <v/>
      </c>
      <c r="G29" t="inlineStr">
        <is>
          <t>Boston, MA, US</t>
        </is>
      </c>
      <c r="H29" s="3" t="n">
        <v>46026</v>
      </c>
      <c r="I29" t="inlineStr">
        <is>
          <t>Job Description Summary
For over forty years, HarbourVest has been home to a committed team of professionals with an entrepreneurial spirit and a desire to deliver impactful solutions to our clients and investing partners. As our global firm grows, we continue to add individuals who seek a collaborative, open\-door culture that values diversity and innovative thinking.
In our collegial environment that’s marked by low turnover and high energy, you’ll be inspired to grow and thrive. Here, you will be encouraged to build on your strengths and acquire new skills and experiences.
We are committed to fostering an environment of inclusion that promotes mutual respect among all employees. Understanding and valuing these differences optimizes the potential of both the individual and the firm.
HarbourVest is an equal opportunity employer.
This position will be a hybrid work arrangement. You will receive 18 remote workdays per quarter to use at your discretion, subject to manager approval. For example, you may choose to work in the office 4 days per week and take one remote day weekly (typically 13 weeks per quarter), leaving 5 additional remote days to be used as needed.
This position belongs to the Analytics Engineering \&amp; Data Science team. The team applies and develops our strategic data platform to provide applications and solutions that align directly with business objectives. You will compose and build all facets of data solutions, including datasets, web applications, and dashboards, while encouraging positive relationships with business collaborators. Success in this role requires outstanding communication skills and a passion for developing solutions using an evolving toolkit.
Ideal Candidate* Demonstrated proficiency in building data solutions.
* A motivated self\-learner who quickly masters new tools and technologies.
* Ability to translate business requirements into actionable product roadmaps.
* Comfortable working in cloud\-based environments (e.g., Azure Synapse, Snowflake).
* Understands analytics development principles and applies software engineering guidelines (modularity, testing, version control) to data workflows.
What You Will Do* Develop data products in both code\-based environments (e.g., Streamlit, Python, etc.) and traditional BI tools (e.g., Power BI, Alteryx).
* Model datasets for downstream applications and analytics.
* Partner with business collaborators to define requirements and build production\-ready solutions.
* Collaborate with data engineering teams on pipeline requirements.
* Maintain and enhance existing production content.
* Perform data validation, testing, and ensure observability of solutions.
Time Allocation* Application \&amp; Solution Development: \~50% (Building data assets in code\-based and BI environments)
* Data Modeling \&amp; Pipeline Collaboration: \~30% (Crafting datasets and working with the data engineering team.)
* Maintenance \&amp; Quality Assurance: \~20% (Validating data, testing, and maintaining production content)
What You Bring* Strong proficiency in SQL and Python, with experience in modern data platforms (e.g., Snowflake, Azure).
* Familiarity with cloud solutions (Azure, AWS, GCP) and their implementation in production environments.
* Deep understanding of data modeling techniques (e.g., star and snowflake schemas).
* Experience with data visualization tools and solution development.
* Knowledge of version control systems (e.g., Git) and CI/CD workflows.
* Solid grasp of REST APIs and JSON.
Education* Bachelor’s degree in a STEM field or equivalent experience preferred.
* A Master’s degree is beneficial but not required; relevant experience will be considered.
Experience* Proven ability in analytics engineering, BI development, or data pipeline design.
* Prior experience in financial services or working with investment data is a plus.
\#LIHybrid
Salary Range
$77,000\.00 \- $123,000\.00
This USD base salary range represents only one component of total compensation for this role and is provided in accordance with local requirements. This role is eligible for a discretionary annual bonus, which is determined based on individual and overall firm performance. In addition to salary and bonus, total compensation may include eligibility for long\-term reward programs and a comprehensive total rewards package that may include retirement, health, insurance, paid time off, and wellness programs. Our total rewards offerings are influenced by several business factors, and eligibility for certain components will vary by position and geography. Please note the posted ranges do not apply outside the U.S. and should not be converted to other currencies as a proxy for compensation in other countries.</t>
        </is>
      </c>
    </row>
    <row r="30">
      <c r="A30" t="inlineStr">
        <is>
          <t>in-f17515e8fb6b28fe</t>
        </is>
      </c>
      <c r="B30" t="inlineStr">
        <is>
          <t>Lead Azure Data Engineer</t>
        </is>
      </c>
      <c r="C30" t="inlineStr">
        <is>
          <t>MetLife</t>
        </is>
      </c>
      <c r="D30" t="inlineStr">
        <is>
          <t>indeed</t>
        </is>
      </c>
      <c r="E30">
        <f>HYPERLINK("https://www.indeed.com/viewjob?jk=f17515e8fb6b28fe", "https://www.indeed.com/viewjob?jk=f17515e8fb6b28fe")</f>
        <v/>
      </c>
      <c r="F30">
        <f>HYPERLINK("https://www.metlifecareers.com/en_US/ml/JobDetail/Lead-Azure-Data-Engineer/14492", "https://www.metlifecareers.com/en_US/ml/JobDetail/Lead-Azure-Data-Engineer/14492")</f>
        <v/>
      </c>
      <c r="G30" t="inlineStr">
        <is>
          <t>Cary, NC, US</t>
        </is>
      </c>
      <c r="H30" s="3" t="n">
        <v>46026</v>
      </c>
      <c r="I30" t="inlineStr">
        <is>
          <t>Location(s)
* Posting Location: Cary, North Carolina
* Posting Location: Bridgewater, New Jersey
* Posting Location: New York, New York
* Posting Location: Tampa, Florida
* Posting Location: Greenville, South Carolina
City/Cities
Bridgewater, Cary, Greenville, New York, Tampa
Country
United States
Working Schedule
Full\-Time
Work Arrangement
Hybrid
Relocation Assistance Available
No
Posted Date
05\-Jan\-2026
Job ID
14492
### **Description and Requirements**
**Role Value Proposition:**
Join MetLife’s Marketing Data Engineering team, building and operating the Marketing Data Platform (MDP) on Azure and Databricks. We curate audience and measurement datasets, automate campaign\-ready outputs, and integrate enterprise, MarTech, and third\-party data to enable repeatable campaign activation and performance measurement across channels. **The Opportunity:**
As a Lead Data Engineer, you will own core platform architecture, data pipelines, and automation that power segmentation, activation, and measurement. You will help standardize how campaigns are executed and measured—reducing ad\-hoc work, improving data quality, and accelerating insight\-to\-action for Marketing.  
Success in this role requires strong Azure/Databricks engineering depth and the ability to translate marketing objectives into durable platform capabilities. The Lead Data Engineer is responsible for end\-to\-end delivery of the platform and pipelines that support both activation and measurement. You’ll collaborate closely with the Data and Analytics team, MarTech/Marketing Ops, BI developers, and platform governance partners in an environment where every contribution is respected, and every perspective is heard **Key Responsibilities:*** Own Azure\-based MDP architecture and operations (security, reliability, performance, cost).
* Build reusable ETL/ELT pipelines in ADF \+ Databricks/Delta for curated audience and measurement data products.
* Enable campaign activation by operationalizing segmentation logic and producing campaign\-ready extracts for activation platforms.
* Deliver measurement datasets for performance, engagement, and attribution; support efficient refresh and reporting patterns.
* Implement governance: RBAC, encryption, auditing, lineage/metadata; ensure compliance with internal policies.
* Drive DevOps/IaC for data workflows (CI/CD, source control, automated deployments, monitoring).
* Partner with Marketing Analytics, MarTech/Ops, and BI to prioritize backlog and deliver outcomes in Agile.
 **Essential Business Experience and Technical Skills:****Required:*** Bachelor’s or master’s degree in computer science, Engineering, Information Systems, or a related field experience.
* 5\+ years in data engineering/architecture; 2\+ years in Azure environments.
* Expertise in Azure Data Factory, Azure Databricks, Azure SQL, and/or Azure Synapse.
* Strong SQL and/or Python; performance tuning for pipelines and queries.
* Git and CI/CD (Azure DevOps or GitHub Actions).
Knowledge of customer/audience data models and campaign lifecycles (activation measurement* optimization).
 **Preferred:*** Azure certifications (Solutions Architect / Data Engineer Associate).
* Terraform/YAML Infrastructure as Code for Azure deployments.
* Marketing/MarTech integrations (Adobe, Salesforce, Marketo, CDPs) via APIs/REST.
* Third\-party data onboarding and governance for marketing use cases.
* Streaming/real\-time architectures (Event Hubs, Kafka, Stream Analytics).
 **At MetLife, we’re leading the global transformation of an industry we’ve long defined. United in purpose, diverse in perspective, we’re dedicated to making a difference in the lives of our customers.**
Location Expectation: This is a hybrid role **requiring a minimum of 3 days per week** in office.
The expected salary range for this position is $115,000 to $158,000\.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$115,000 to $158,000</t>
        </is>
      </c>
    </row>
    <row r="31">
      <c r="A31" t="inlineStr">
        <is>
          <t>in-c356ca87a09b18b3</t>
        </is>
      </c>
      <c r="B31" t="inlineStr">
        <is>
          <t>Senior Data Engineer</t>
        </is>
      </c>
      <c r="C31" t="inlineStr">
        <is>
          <t>LifeStance Health</t>
        </is>
      </c>
      <c r="D31" t="inlineStr">
        <is>
          <t>indeed</t>
        </is>
      </c>
      <c r="E31">
        <f>HYPERLINK("https://www.indeed.com/viewjob?jk=c356ca87a09b18b3", "https://www.indeed.com/viewjob?jk=c356ca87a09b18b3")</f>
        <v/>
      </c>
      <c r="F31">
        <f>HYPERLINK("https://lifestance.wd5.myworkdayjobs.com/Careers/job/USA-Remote/Senior-Data-Engineer_JR104526-1", "https://lifestance.wd5.myworkdayjobs.com/Careers/job/USA-Remote/Senior-Data-Engineer_JR104526-1")</f>
        <v/>
      </c>
      <c r="G31" t="inlineStr">
        <is>
          <t>Scottsdale, AZ, US</t>
        </is>
      </c>
      <c r="H31" s="3" t="n">
        <v>46026</v>
      </c>
      <c r="I31" t="inlineStr">
        <is>
          <t>At LifeStance Health, we strive to help individuals, families, and communities with their mental health needs. Everywhere. Every day. It’s a lofty goal; we know. But we make it happen with the best team in mental healthcare.
Thank you for taking the time to explore a career with us. As the fastest growing mental health practice group in the country, now is the perfect time to join our team!
*LifeStance Health Values*
* Belonging: We cultivate a space where everyone can show up as their authentic self.
* Empathy: We seek out diverse perspectives and listen to learn without judgment.
* Courage: We are all accountable for doing the right thing \- even when it's hard \- because we know it's worth it.
* One Team: We realize our full potential when we work together towards our shared purpose.
*Benefits*  
As a full\-time employee of LifeStance Health, the following benefits are offered: medical, dental, vision, AD\&amp;D, short and long\-term disability, and life insurance. Additional benefits include a 401k retirement savings with employer match, paid parental leave, paid time off, holiday pay and an Employee Assistance Program.
**Role Overview:**
The Senior Data Engineer will play a key role in building, maintaining, and optimizing cloud\-based data solutions that support data\-driven decision\-making at LifeStance. This role requires expertise in AWS data services (Glue, Redshift, Lambda, S3, Kinesis), SQL, Python, Apache Spark, and PostgreSQL, with a focus on scalability, performance optimization, and real\-time processing.
You will work closely with data analysts, business intelligence teams, and software engineers to ensure data integrity, governance, and efficiency, while also serving as a production support lead for troubleshooting and maintaining high availability of our data infrastructure.
**Compensation:** $110,000 \- 135,000/annually, plus annual bonus potential
**Challenges \&amp; Opportunities:**
* Scalable Data Infrastructure – Design and optimize AWS\-based data pipelines for structured and unstructured data processing.
* Real\-time \&amp; Batch Processing – Develop robust ETL/ELT pipelines leveraging Apache Spark, AWS Glue, and Kinesis.
* Production Support \&amp; Issue Resolution – Lead real\-time monitoring, troubleshooting, and optimization of data pipelines.
* Data Warehousing \&amp; Performance Optimization – Optimize PostgreSQL, Redshift, and S3\-based data lakes for high performance.
* Cost\-efficient Data Engineering – Improve cost\-efficiency and scalability of cloud data infrastructure.
* Data Governance \&amp; Compliance – Implement security, compliance, and governance frameworks aligned with HIPAA, GDPR, and SOC2\.
**Responsibilities:**
Production Support \&amp; Issue Resolution
* Provide primary data engineer for real\-time production support, ensuring minimal downtime of mission\-critical data pipelines. Rotate the role and on call requirements.
* Monitor, troubleshoot, and optimize data pipeline failures, query performance bottlenecks, and data discrepancies using AWS CloudWatch, Redshift, and PostgreSQL.
* Automate Root Cause Analysis (RCA) reporting, reducing resolution time by 30%\+ through proactive alerting and system monitoring.
* Implement best practices in IAM roles, encryption, and regulatory compliance (HIPAA, GDPR) to ensure data security and governance.
Data Engineering \&amp; Platform Optimization
* Design, develop, and maintain scalable ETL pipelines using AWS Glue, Lambda, Redshift, S3, and PostgreSQL.
* Optimize query performance through partitioning, indexing, query tuning, and materialized views, achieving significant performance improvements.
* Implement CI/CD pipelines for automated deployments using AWS CodePipeline, Terraform, and CloudFormation to improve system stability and deployment efficiency.
* Support streaming data pipelines using Kafka, Kinesis, or Spark Streaming for real\-time data ingestion and processing.
* Assist in scaling, performance tuning, and automation to optimize data platform efficiency.
Data Analytics \&amp; Business Insights
* Collaborate with business intelligence teams and analysts to develop high\-quality data models that support analytics and decision\-making.
* Build interactive dashboards and reports using Power BI, Tableau, or Looker to enable real\-time insights for stakeholders.
* Automate data validation, cleansing, and quality checks, ensuring 99\.9%\+ data accuracy across critical business functions.
**Skills \&amp; Experience:**
* 5\+ years of experience in data engineering, cloud\-based data platforms, and big data processing.
* Bachelor’s degree in Computer Science, Data Engineering, or a related field.
* Expertise in AWS services, including Glue, Lambda, Redshift, S3, CloudFormation, IAM, and CloudWatch.
* Strong SQL \&amp; Python experience for data transformations, query optimization, and automation.
* Deep knowledge of PostgreSQL, including performance tuning, indexing, query optimization, and schema design.
* Experience with Apache Spark for big data processing and real\-time analytics.
* Expertise in ETL frameworks and data modeling (Star Schema, Snowflake Schema, OLAP/OLTP optimization).
* Hands\-on experience with Infrastructure as Code (IaC) tools like Terraform, CloudFormation.
* CI/CD expertise with AWS CodePipeline, Jenkins, or GitHub Actions for data pipeline deployments.
* Data security \&amp; governance expertise including IAM roles, encryption, and HIPAA/GDPR compliance.
* Proven track record in troubleshooting production issues, conducting root cause analysis (RCA), and improving system performance.
* Experience working in cross\-functional teams with business analysts, data scientists, and DevOps engineers.
**Preferred Qualifications:**
* Master’s degree in Computer Science, Data Engineering, or a related field preferred but not required.
* Experience with streaming data frameworks (Kafka, Kinesis, Spark Streaming).
* Familiarity with advanced analytics frameworks and ML pipelines (MLflow, SageMaker, Feature Stores).
* Certifications: AWS Certified Data Analytics, Google Cloud Professional Data Engineer, or Databricks Certified Data Engineer Associate.
**Additional Requirements:**
* Must be legally authorized to be employed in the United States.
* LifeStance is an EEO/Affirmative Action Employer. We do not discriminate on the basis of age, race, color, religion, gender, sexual orientation, gender identity, gender expression, national origin, protected veteran status, disability, or any other legally protected status.
* Demonstrates awareness, inclusivity, sensitivity, humility, and experience working with individuals from diverse ethnic backgrounds, socioeconomic statuses, sexual orientations, gender identities, and other various aspects of culture.
LifeStance is an equal opportunity employer. We celebrate diversity and are fully committed to creating an inclusive work environment for all our employees. Learn more about Diversity, Equity and Inclusion at LifeStance.</t>
        </is>
      </c>
    </row>
    <row r="32">
      <c r="A32" t="inlineStr">
        <is>
          <t>in-f998de7a37963a07</t>
        </is>
      </c>
      <c r="B32" t="inlineStr">
        <is>
          <t>Data Platform Engineer</t>
        </is>
      </c>
      <c r="C32" t="inlineStr">
        <is>
          <t>ECS</t>
        </is>
      </c>
      <c r="D32" t="inlineStr">
        <is>
          <t>indeed</t>
        </is>
      </c>
      <c r="E32">
        <f>HYPERLINK("https://www.indeed.com/viewjob?jk=f998de7a37963a07", "https://www.indeed.com/viewjob?jk=f998de7a37963a07")</f>
        <v/>
      </c>
      <c r="F32">
        <f>HYPERLINK("https://recruiting.adp.com/srccsh/public/RTI.home?r=5001171569106&amp;c=2201039&amp;d=ExternalCareerSite&amp;rb=INDEED&amp;idUnique=5001171569106", "https://recruiting.adp.com/srccsh/public/RTI.home?r=5001171569106&amp;c=2201039&amp;d=ExternalCareerSite&amp;rb=INDEED&amp;idUnique=5001171569106")</f>
        <v/>
      </c>
      <c r="G32" t="inlineStr">
        <is>
          <t>Fairfax, VA, US</t>
        </is>
      </c>
      <c r="H32" s="3" t="n">
        <v>46026</v>
      </c>
      <c r="I32" t="inlineStr">
        <is>
          <t>ECS is seeking a ***Data Platform Engineer*** to work in our ***Fairfax, VA***office.  
**Position Overview**
ECS is seeking a Data Platform Engineer to support the operation and sustainment of enterprise data platforms used to support advanced analytics and AI/ML workflows. This role works closely with the Project Manager and Technical Lead to support platforms operating across IL5 and IL6 environments.
The Data Platform Engineer focuses on platform administration and operational support, serving as a technical bridge between data platform and data engineering teams.
This is a hybrid position with onsite support in Fairfax, VA and Springfield, VA approximately three days per week, with adjustments based on project needs.
**Position Description**
The Data Platform Engineer will primarily support a Databricks platform operating in an IL5 environment and will also provide limited support to an existing analytics platform operating in an IL6 environment. The role supports platform operations, integrations, and sustainment, enabling data engineers and data scientists to focus on data pipeline development and data preparation activities.
**Responsibilities include:**
* Administering and operating a Databricks platform, including workspace configuration, cluster management, and job operations
* Providing limited operational support to an analytics platform in an IL6 environment
* Supporting platform monitoring, troubleshooting, and performance tuning
* Assisting with interfaces between data platforms and internal systems
* Supporting mechanisms for sharing curated datasets vendor environments
* Assisting with DevSecOps and CI/CD activities supporting the platform
* Supporting security and compliance requirements
Requirements:
* ***U.S. Citizenship***
* ***Active Secret security clearance with ability to obtain TS/SCI with CI Poly***
* ***Bachelor's Degree in a related field***
* Security\+ certification or other IAT Level II certification
* 5\+ years of experience supporting cloud\-based or analytics platforms
* Hands\-on experience administering Databricks workspaces (clusters, jobs, notebooks)
* Familiarity with Apache Spark
* Experience in Linux\-based environments
* Experience with AWS
* Strong communication skills and ability to work across matrixed teams
Req Benefits:
https://ecstech.com/careers/benefits/"\&gt;https://ecstech.com/careers/benefits/</t>
        </is>
      </c>
    </row>
    <row r="33">
      <c r="A33" t="inlineStr">
        <is>
          <t>in-5b99656cf21fc836</t>
        </is>
      </c>
      <c r="B33" t="inlineStr">
        <is>
          <t>IT Data &amp; Analytics Platform Data Engineer</t>
        </is>
      </c>
      <c r="C33" t="inlineStr">
        <is>
          <t>Consumers Energy</t>
        </is>
      </c>
      <c r="D33" t="inlineStr">
        <is>
          <t>indeed</t>
        </is>
      </c>
      <c r="E33">
        <f>HYPERLINK("https://www.indeed.com/viewjob?jk=5b99656cf21fc836", "https://www.indeed.com/viewjob?jk=5b99656cf21fc836")</f>
        <v/>
      </c>
      <c r="F33">
        <f>HYPERLINK("https://careers.consumersenergy.com/job/JACKSON-IT-Data-&amp;-Analytics-Platform-Data-Engineer-MI/1353118700/", "https://careers.consumersenergy.com/job/JACKSON-IT-Data-&amp;-Analytics-Platform-Data-Engineer-MI/1353118700/")</f>
        <v/>
      </c>
      <c r="G33" t="inlineStr">
        <is>
          <t>Jackson, MI, US</t>
        </is>
      </c>
      <c r="H33" s="3" t="n">
        <v>46026</v>
      </c>
      <c r="I33" t="inlineStr">
        <is>
          <t>**IT Data \&amp; Analytics Platform Data Engineer**
===============================================
Location:
JACKSON, MI, US
Company: Consumers Energy
*Consumers Energy is Michigan’s largest energy provider, providing natural gas and/or electricity to 6\.8 million of the state’s 10 million residents in all 68 Lower Peninsula counties. Consumers Energy knows job number one is to keep the lights on for customers. We are committed to delivering reliable, clean, and affordable energy to our customers 24/7\.*
This position is not eligible for immigration sponsorship, e.g., H\-1B, TN, etc. Please do not apply if you will need immigration sponsorship for a work visa now or in the future, including sponsorship for H\-1B, TN, etc., now or in the future. We are unable to hire individuals with CPT, OPT, or STEM OPT for this position as the position is not eligible for participation in the H\-1B lottery program and is not eligible for current or future immigration sponsorship for a work visa.
**Location**: This is a hybrid (virtual/onsite) position with required onsite days on Monday, Tuesday and Thursday assigned to One Energy Plaza located in Jackson, MI. The selected candidate must be within a commutable distance or willing to relocate (relocation package is available for those that qualify).
**General Summary of Job Responsibilities**
-------------------------------------------
The Platform Data Engineer plays a crucial role in designing, implementing, and maintaining our data platform using Databricks and other technologies within Microsoft Azure cloud. The incumbant will be responsible for data pipeline design and implementation, data storage solutions, data quality, performance optimization, and automation. Provides implementation, management of 2nd and 3rd Level technical support services to staff and customers on hardware and software platforms. Troubleshoots difficult infrastructure and application platform problems which can involve other groups such as server, network, and information security. Utilize automation to remove wasted effort and improve overall experience. The Platform Engineer responds and follows\-up on internal and external customer support problems.
**Essential Duties and Responsibilities**
-----------------------------------------
* Design, implement, and optimize scalable data pipelines that integrate structured and unstructured data from diverse sources \-including API's, databases, and third\-party platforms
* Collaborate with development teams to support cloud\-native applications
* Able to do moderately complex troubleshooting and incident resolution
* Ensure security and compliance best practices are followed in infrastructure and platform design and configuration
* Document system configurations and operational
* Support infrastructure and/or application platform operations, performance monitoring and alerting
* Assist in deploying and managing application or infrastructure components in an on premise or cloud environment
* Automate infrastructure provisioning and/or application deployment processes
* Learn and implement best practices for security and compliance
**Knowledge/Skills/Abilities**
------------------------------
* Experience developing and maintaining Azure Data Factory Pipelines and Data Flows
* Experience in Microsoft Azure and Databricks
* Knowledge of data catalog tools (e.g., Microsoft Purview)
* Proficiency in data processing languages, including SQL, Powershell, and PySpark
* Technical Expertise
* Platform Maintenance
* Technical Troubleshooting
* Problem Solving
* Root Cause Analysis
**Education \&amp; Experience**
---------------------------
* Bachelor's Degree in in a technical field and 2 \- 4 years of experience in Supporting hardware or software platforms.
* \[OR] Associate's Degree in in a technical field and 4 \- 6 years of experience in Supporting hardware or software platforms.
* \[OR] High School Diploma and 6 \- 8 years of experience in Supporting hardware or software platforms.
**Working conditions**
----------------------
* Indoor \&amp; Outdoor
**Why should you join our team?**
At Consumers Energy, we offer more than just a place to work. We foster a culture that supports career development, growth, and stability, and we take pride in offering our co\-workers excellent benefits and compensation packages. We are deliberately creating an inclusive culture that makes our diverse team of co\-workers feel valued, supported, and empowered every day. We're a company made up of thousands of people, all with different stories to share and work to do, but we stand united in our company purpose: world class performance delivering hometown service.
**What we offer:**
* Competitive compensation packages
* Medical, Dental and Vision
* 401k with company match
* Paid parental leave
* Up to 13 paid Holidays
* Paid time off
* Educational Assistance Program
**Diversity, Equity \&amp; Inclusion:**
We, at CMS Energy, value Diversity, Equity, \&amp; Inclusion. It is part of our DNA. We treat our employees with respect, we treat each other fairly and we value the opinions of others. We are passionate about building and nurturing an environment where everyone feels included. We don’t discriminate. We seek to learn about each other and better understand our unique differences. Our uniqueness makes us authentic. We create safe spaces where everyone can be who they truly are. We invite difficult conversations and uncomfortable topics. We value diverse perspectives; this is what makes us great together. We harbor an inclusive environment where employees feel empowered to share their backgrounds, experiences, and ideas. Our Employee Resource Groups, Women in Energy (WE), Minority Advisory Panel (MAP), Pride Alliance of Consumers Energy (PACE), GENERGY, capABLE, Interfaith and Veterans Advisory Panel (VAP) are key enablers to living the values of our company culture: Caring, Empowered, Deliberate, Agility, and Ownership.
*All qualified applicants will not be discriminated against and will receive consideration for employment without regard to protected veteran status, disability, race, color, religion, sex, age, sexual orientation, gender identity or national origin.*
**Job Segment:** Cloud, Pipeline, SQL, Database, Information Security, Technology, Energy</t>
        </is>
      </c>
    </row>
    <row r="34">
      <c r="A34" t="inlineStr">
        <is>
          <t>in-0390ccd97ef9bf49</t>
        </is>
      </c>
      <c r="B34" t="inlineStr">
        <is>
          <t>Data Engineer</t>
        </is>
      </c>
      <c r="C34" t="inlineStr">
        <is>
          <t>Advanced Composites</t>
        </is>
      </c>
      <c r="D34" t="inlineStr">
        <is>
          <t>indeed</t>
        </is>
      </c>
      <c r="E34">
        <f>HYPERLINK("https://www.indeed.com/viewjob?jk=0390ccd97ef9bf49", "https://www.indeed.com/viewjob?jk=0390ccd97ef9bf49")</f>
        <v/>
      </c>
      <c r="F34">
        <f>HYPERLINK("https://secure7.saashr.com/ta/6206512.careers?ShowJob=570896970", "https://secure7.saashr.com/ta/6206512.careers?ShowJob=570896970")</f>
        <v/>
      </c>
      <c r="G34" t="inlineStr">
        <is>
          <t>Nashville, TN, US</t>
        </is>
      </c>
      <c r="H34" s="3" t="n">
        <v>46026</v>
      </c>
      <c r="I34" t="inlineStr">
        <is>
          <t>**Advanced Composites: Driving Innovation in the Automotive Industry**
At Advanced Composites, we’re proud to be the leading supplier of TPOs (Thermoplastic Olefins) and Polypropylene Compounds to the North American automotive sector. Our proprietary formulations are designed to meet the unique needs of OEM applications, serving both domestic and transplant OEMs, along with their Tier 1 and Tier 2 suppliers. We lead market change by improving not just products, but also technologies and systems—driving quality, cost efficiency, and outstanding results.
**Join Our Team as a Data Engineer**
At Advanced Composites, we treat each other like family. We foster a supportive and inclusive culture where everyone feels valued and respected. As a Data Engineer, you’ll play a critical role in shaping our data architecture and enabling data\-driven decision\-making across the organization. You’ll work closely with cross\-functional teams to ensure our data is structured, integrated, and accessible for analytics, reporting, and machine learning.
**What You’ll Do**
* Design and implement enterprise data architecture strategies and frameworks.
* Develop and maintain conceptual, logical, and physical data models.
* Define and support data governance policies, standards, and best practices.
* Build and maintain robust ETL/ELT pipelines for batch and real\-time processing.
* Optimize data models and databases for performance and scalability.
* Collaborate with business leaders to translate requirements into technical solutions.
* Provide SAP report expertise and guide users on data access.
* Write complex SQL queries for data extraction and analysis.
* Stay current with trends in data management, Power BI, and cloud technologies.
* Support safety, environmental, and quality assurance initiatives.
**What We’re Looking For**
* A **Strategic Thinker** with deep expertise in data architecture and modeling.
* A **Collaborator** who thrives in cross\-functional environments.
* A **Problem Solver** with strong analytical and troubleshooting skills.
* A **Self\-Starter** who can work independently with minimal oversight.
**Requirements**
5–10\+ years of experience in data engineering, analytics, and SAP environments. Bachelor’s degree in IT, Computer Science, Business Administration, or related field. Expertise in SQL, Python, Snowflake, ETL/ELT tools, and Azure cloud services. Knowledge of data governance, metadata management, and data security. Experience with Power BI, Azure Purview, and SAP S/4 (preferred). Occasional travel between Sidney, OH and Nashville, TN.
**Work Environment**
This role operates on a **hybrid work model**, offering flexibility with remote and in\-office work. Our in\-office environment is professional and collaborative, while remote employees are expected to maintain a dedicated and productive home office setup.
**Eligibility Requirement:**  
Applicants **must be U.S. citizens** and legally authorized to work in the United States. We are unable to consider candidates who do not meet this requirement.</t>
        </is>
      </c>
    </row>
    <row r="35">
      <c r="A35" t="inlineStr">
        <is>
          <t>in-78a8c57002204a4c</t>
        </is>
      </c>
      <c r="B35" t="inlineStr">
        <is>
          <t>Data Engineer - Lunar Permanence</t>
        </is>
      </c>
      <c r="C35" t="inlineStr">
        <is>
          <t>Blue Origin</t>
        </is>
      </c>
      <c r="D35" t="inlineStr">
        <is>
          <t>indeed</t>
        </is>
      </c>
      <c r="E35">
        <f>HYPERLINK("https://www.indeed.com/viewjob?jk=78a8c57002204a4c", "https://www.indeed.com/viewjob?jk=78a8c57002204a4c")</f>
        <v/>
      </c>
      <c r="F35">
        <f>HYPERLINK("https://blueorigin.wd5.myworkdayjobs.com/en-US/BlueOrigin/job/Greater-Seattle-Area/Data-Engineer---Lunar-Permanence_R57260-1", "https://blueorigin.wd5.myworkdayjobs.com/en-US/BlueOrigin/job/Greater-Seattle-Area/Data-Engineer---Lunar-Permanence_R57260-1")</f>
        <v/>
      </c>
      <c r="G35" t="inlineStr">
        <is>
          <t>Seattle, WA, US</t>
        </is>
      </c>
      <c r="H35" s="3" t="n">
        <v>46026</v>
      </c>
      <c r="I35"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the Lunar Permanence business unit, which develops Blue Origin’s Blue Moon landers and related products. To further Blue Origin's mission of millions of people living and working in space for the benefit of Earth, we are building sustainable infrastructure for our transport of crew and cargo from Earth to the lunar surface.
As a Lunar Data Engineer, you are responsible for building the data infrastructure and pipelines that power analytics, AI agents, and operational dashboards helping Blue Origin build a road to the Moon. Within the Lunar business operations organization, we build relationships spanning from budget owners to technical design teams that cover the design, build, and operate lifecycle. Our team accelerates program operations by ensuring high\-quality, accessible data enables both human decision\-making and AI\-powered automation across modern aerospace operations.
We are looking for someone to apply technical expertise, systems thinking, and dedication to quality to positively impact safe human spaceflight through robust data engineering.  
A successful candidate demonstrates:* Ownership of data pipelines from source system through delivery to end users
* Systems thinking \- Understands how data flows through complex processes and designs for reliability and scale
* Strong problem\-solving \- Debugs data quality issues, optimizes performance bottlenecks, and architects solutions for ambiguous requirements
* Quality\-first mindset \- Implements automated testing, monitoring, and validation to ensure data reliability
* Clear technical communication \- Writes documentation that enables analysts, engineers, and AI systems to leverage our data products
* Thrives in dynamic environments where new data sources and requirements emerge as Lunar programs evolve
Key Responsibilities:* Creates robust data pipelines to accelerate teams across engineering, supply chain, configuration management, production, and operations
* Maintains Lunar’s Databricks environment including workspace configuration, implementing data pipeline best practices, and contributing to data governance
* Designs data schemas optimized for data reporting, analytical tools, and AI/ML solutions
* Manages data quality via validation, monitoring, and alerting to ensure reliable results
* Partners with data users to understand requirements and create performant models
* Contributes to data architecture and technical standards for the Lunar data platform
Minimum Qualifications:* Passion For Our Mission: Millions of people living and working in space!
* 2\+ years data engineering experience building data pipelines using SQL and Python
* Proficiency with Python for data processing (pandas, PySpark, or similar)
* Experience with SQL optimization and working with large datasets
* Experience with ETL/ELT and orchestration frameworks (e.g., Airflow, dbt, Databricks Jobs)
* Demonstrated ability to debug complex data issues and implement solutions independently
* Demonstrated ability to implement data quality, testing, and validation practices
* Experience working with customers to gather requirements and present data solutions
Preferred Qualifications:* 3\+ years building data pipelines with Databricks (especially Certified Data Engineer Associate or Professional)
* Experience with Databricks Delta Lake, Unity Catalog, and workflows
* Hands\-on experience with Spark for large\-scale data processing
* Experience building data platforms that support AI/ML workloads
* Proficiency with AWS data services (S3, Glue, Athena, Lambda)
* Experience with CI/CD for data pipelines (GitLab CI, automated testing, deployment automation)
* Experience with API development and integration for data access
* Understanding of hierarchical and graph data structures common in engineering systems (Bill of Materials, requirements, production plans)
* Exposure to LLM/AI agent architectures and their data infrastructure requirements
* Domain knowledge in engineering, supply chain, manufacturing, and/or aerospace
Compensation Range for:
WA applicants is $115,707\.00 \- $161,988\.75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36">
      <c r="A36" t="inlineStr">
        <is>
          <t>in-afb4cfc01e045999</t>
        </is>
      </c>
      <c r="B36" t="inlineStr">
        <is>
          <t>Sr Data Automation Architect / Analytics Engineer</t>
        </is>
      </c>
      <c r="C36" t="inlineStr">
        <is>
          <t>RedCloud Consulting</t>
        </is>
      </c>
      <c r="D36" t="inlineStr">
        <is>
          <t>indeed</t>
        </is>
      </c>
      <c r="E36">
        <f>HYPERLINK("https://www.indeed.com/viewjob?jk=afb4cfc01e045999", "https://www.indeed.com/viewjob?jk=afb4cfc01e045999")</f>
        <v/>
      </c>
      <c r="F36">
        <f>HYPERLINK("https://careerportal.redcloudconsulting.com/#/jobs/1934", "https://careerportal.redcloudconsulting.com/#/jobs/1934")</f>
        <v/>
      </c>
      <c r="G36" t="inlineStr">
        <is>
          <t>Redmond, WA, US</t>
        </is>
      </c>
      <c r="H36" s="3" t="n">
        <v>46026</v>
      </c>
      <c r="I36" t="inlineStr">
        <is>
          <t>RedCloud Consulting is a business and IT consulting company with local Puget Sound Enterprise and Mid\-sized clients. RedCloud seeks a **Senior Data Automation Architect / Analytics Engineer** to support immediate client operations. Seattle Business Magazine has recognized us, ranked \#1 on their "Best Companies to Work for in Washington" for Mid\-Sized Businesses list, awarded \#1 Fastest Growing Company in Washington by Puget Sound Business Journal, and named on the Inc. 500/5000 list.  
**Overview:**  
We are seeking a highly hands\-on Data Automation Architect / Analytics Engineer to modernize and automate an existing analytics framework that is currently heavily dependent on manual processes. This individual will partner closely with senior stakeholders to identify automation opportunities, redesign workflows, and evolve the solution into a scalable, self\-service model that can be replicated across teams.  
This role requires someone who came up through development and data engineering, can operate as a peer to senior technical leads, and is comfortable questioning assumptions, interrogating data pipelines, and proposing more efficient architectures—not simply executing predefined tasks.  
**Responsibilities include but are not limited to:**
* Analyze and automate manual data\-scraping and reporting workflows currently driven by human processes.
* Design parameterized, business\-controlled automation patterns that reduce reliance on manual intervention.
* Evaluate existing data pipelines, queries, endpoints, and refresh processes to identify inefficiencies and redesign for scale.
* Partner with stakeholders to understand current workflows, interpret how data is sourced and transformed, and propose improved approaches.
* Architect solutions that enable self\-service parameter management for business owners (e.g., CSA Leads), including:
	+ Configurable inputs
	+ Audit trails of changes
	+ Improved refresh cadence (e.g., moving from monthly to weekly)
* Enhance and evolve Power BI reporting solutions, with a forward\-looking approach toward Microsoft Fabric (Lakehouse, Pipelines, Dataflows, and other related analytics services).
* Serve as a technical thought partner to the broader team—reviewing existing implementations, challenging mechanical approaches, and asking “why” and “why not.”
* Contribute to a long\-term architecture that can act as a repeatable model for other Microsoft teams.
**Required Knowledge, Skills, and Abilities:**
* Strong SQL expertise (must\-have).
* Hands\-on experience with Power BI (must\-have).
* Experience with Microsoft Fabric or willingness to quickly ramp up on Fabric ecosystem (Lakehouse, Dataflows, Pipelines).
* Understanding of cloud\-based data architectures (Azure Data Lake, Synapse Analytics, Kusto).
* Deep comfort working with databases, data models, and analytics pipelines.
* Experience automating analytics workflows and reducing manual operational overhead.
* Ability to independently perform discovery: reading pipelines, reviewing queries, interpreting endpoints, and synthesizing findings.
* Strong analytical mindset—able to identify better data sources, question existing logic, and surface insights the team may not have considered.
* Familiarity with Microsoft analytics capabilities, including Fabric, Lakehouse, and related services.
* Experience applying automation, analytics, or AI techniques to operational reporting.
* Ability to communicate effectively with both technical and non\-technical stakeholders (business partnership skills are a plus, but not required).
Compensation range for position is $ 148,500 – 165,000 DOE.
Benefits and bonus information can be found at **https://www.redcloudconsulting.com/careers**
RedCloud requires employees have the legal ability to work in the United States during their employment period. During onboarding, proof of eligibility to work in the United States will be requested. RedCloud does not provide visa sponsorship.  
**About Us:**  
RedCloud is a boutique, business and technology consulting firm providing local companies with expert\-level support for over two decades. Whether it’s to solve a specific business challenge or to provide additional support for an ambitious project, we can help bring even the most visionary endeavors to fruition.  
Anchored by a foundation of "integrity\-based consulting", the RedCloud team of subject matter experts collaborate closely with clients to develop and implement high\-level solutions, bringing stability, growth, and innovation together for long\-term success. We provide a broad array of business and technology consulting services through RedCloud’s core practices: Data \&amp; AI, Delivery Excellence, Digital Solutions, Marketing \&amp; Sales, Privacy, Security, and Strategy \&amp; Transformation.  
Visit **http://www.redcloudconsulting.com/** for more info.
\#LI\-Remote</t>
        </is>
      </c>
    </row>
    <row r="37">
      <c r="A37" t="inlineStr">
        <is>
          <t>in-6c5687eb622a831c</t>
        </is>
      </c>
      <c r="B37" t="inlineStr">
        <is>
          <t>Data Engineer</t>
        </is>
      </c>
      <c r="C37" t="inlineStr">
        <is>
          <t>Intellitech llc</t>
        </is>
      </c>
      <c r="D37" t="inlineStr">
        <is>
          <t>indeed</t>
        </is>
      </c>
      <c r="E37">
        <f>HYPERLINK("https://www.indeed.com/viewjob?jk=6c5687eb622a831c", "https://www.indeed.com/viewjob?jk=6c5687eb622a831c")</f>
        <v/>
      </c>
      <c r="F37">
        <f>HYPERLINK("https://intellitech.applytojob.com/apply/260253285f017c5a5177697f035758674105260e3e2d4878130a3b3e700f3f197d7d5e/Data-Engineer?sid=Lm1wm1NoaEYK1ghRq6yVshz0QRytBLfP4Oh&amp;source=INDE&amp;~", "https://intellitech.applytojob.com/apply/260253285f017c5a5177697f035758674105260e3e2d4878130a3b3e700f3f197d7d5e/Data-Engineer?sid=Lm1wm1NoaEYK1ghRq6yVshz0QRytBLfP4Oh&amp;source=INDE&amp;~")</f>
        <v/>
      </c>
      <c r="G37" t="inlineStr">
        <is>
          <t>Remote, US</t>
        </is>
      </c>
      <c r="H37" s="3" t="n">
        <v>46026</v>
      </c>
      <c r="I37" t="inlineStr">
        <is>
          <t>IntelliTech is seeking experienced Data Engineers to join our team. As a Data Engineer, you will play a crucial role in designing, developing, and maintaining our client's data infrastructure and systems. Your expertise in Python, and SQL along with experience working with data integration tools and frameworks like Databricks, Apache Spark, and other ETL tools will be essential in ensuring efficient data processing and analysis.  
**Responsibilities:*** Collaborate with cross\-functional teams are also important, as the role involves working closely with data scientists, analysts, and software developers.
* Developing, maintain, and optimize data pipelines that connect various systems and databases.
* Design, implement, and troubleshoot data integration solutions to meet the data needs.
**Requirements:*** **DoD Secret clearance is required**;
* Minimum of 4 years of demonstrated experience with data integration tools like Databricks, or similar platforms to design and manage data pipelines.
* Strong coding skills in languages such as Python, Java, or SQL to develop and maintain data connection scripts, transformations, and data manipulation.
* Solid understanding of various database systems (relational and NoSQL), data modeling, and query optimization techniques
* Minimum of 4 years of demonstrated experience with ETL processes, including data extraction from various sources, data cleansing and loading into destination systems.
* Familiarity with working with APIs to connect and exchange data between different systems and applications.
* Proficiency in cloud platforms like AWS, Azure, or Google Cloud for setting up and managing data pipelines in a cloud environment.
* Knowledge of version control systems like Git to manage and track changes to code and configurations.
* Understanding of data security best practices and experience implementing encryption, authentication, and authorization mechanisms in data connections
* Ability to diagnose and resolve issues in data pipelines, including identifying bottlenecks, data quality problems, and performance optimization.
* Skill in setting up monitoring and logging systems to track the health and performance of data pipelines and detect anomalies.
* Effective communication and teamwork skills to collaborate with data scientists, analysts, and software engineers in cross\-functional projects.
* Strong problem\-solving skills to identify root causes of data integration challenges and devise effective solutions.
* Experience with automating data integration processes and managing them through continuous integration and continuous deployment (CI/CD) pipelines.
* Basic project management skills to plan, prioritize and execute data connection projects efficiently.
* Ability to learn and adapt to new technologies, tools, and techniques as the field of data engineering evolves.
* Excellent communication and collaboration skills, with the ability to work effectively with cross\-functional teams.
* Detail\-oriented mindset with a commitment to delivering high\-quality results.
* Must be in the Washington D.C Metro Area 2\-3 days per week or on an as\-needed basis.
**Nice to Have:*** Recent DoD or IC\-related experience.
**Interview Requirements**:* Video Interview – Yes (may include technical assessment)
**Interview Prep:*** Candidates should be prepared to clearly articulate their experience creating data\-related software applications from scratch (Recent evidence of this should be easily identifiable in their resume).
* Candidates should be prepared to clearly articulate data problems that their applications have solved in their past.
* Candidates should be prepared to discuss what technologies they have hands\-on experience with and demonstrate in\-depth understanding of those technologies during the technical assessment.
* Candidates should be prepared to clearly articulate their experience working with very large data sets/Big Data, like that of large federal agency.
* Candidates should be prepared to clearly articulate their proficiency with data and software\-related programming languages and explain their thought processes related to problem solving.
* Candidates should be prepared to discuss their availability to travel to the Washington, D.C, Metro Area.
**Fully Remote Option:**
* Fully remote work schedules are not available at this time.
**Clearance Sponsorship:*** We will only consider candidates that currently possess an active interim Secret security clearance or higher at this time.
* Must be a U.S. Citizen.
**Pay Range and Benefits:**
IntelliTech is committed to fair and equitable compensation practices. Actual compensation packages are based on several factors that are unique to each candidate, including but not limited to job\-related skills, depth of experience, relevant certifications and training, and specific work location. Based on the factors above, IntelliTech utilizes the full width of the range.
IntelliTech provides comprehensive benefits and perks that meet the needs of our employees, including comprehensive insurance, 401(k) matching, paid time off, professional development opportunities, and flexible work arrangements to support work\-life balance.
**About IntelliTech:**
IntelliTech is a dynamic and forward\-thinking small, disadvantaged minority\-owned business specializing in Full Stack Engineering, Data Analytics, Cloud Solutions, and DevSecOps services. Our unwavering mission is to empower both government and commercial clients to overcome their most complex technical hurdles. With a dedication to innovation and excellence, we're here to make the impossible possible for our clients.
**Equal Opportunity Statement:**
At IntelliTech, we are committed to creating a diverse and inclusive workplace. We believe that a variety of perspectives and backgrounds leads to stronger teams and better solutions. IntelliTech is an Equal Opportunity Employer and does not discriminate on the basis of race, religion, gender, age, disability, or veteran status. We encourage all qualified candidates to apply.
aTSwV632Sv</t>
        </is>
      </c>
    </row>
    <row r="38">
      <c r="A38" t="inlineStr">
        <is>
          <t>in-fb3da4e9a2fc73d4</t>
        </is>
      </c>
      <c r="B38" t="inlineStr">
        <is>
          <t>Jr. Analytics Engineer</t>
        </is>
      </c>
      <c r="C38" t="inlineStr">
        <is>
          <t>CIBC</t>
        </is>
      </c>
      <c r="D38" t="inlineStr">
        <is>
          <t>indeed</t>
        </is>
      </c>
      <c r="E38">
        <f>HYPERLINK("https://www.indeed.com/viewjob?jk=fb3da4e9a2fc73d4", "https://www.indeed.com/viewjob?jk=fb3da4e9a2fc73d4")</f>
        <v/>
      </c>
      <c r="F38">
        <f>HYPERLINK("https://cibc.wd3.myworkdayjobs.com/en-US/search/job/Chicago-IL/Jr-Analytics-Engineer_2523930", "https://cibc.wd3.myworkdayjobs.com/en-US/search/job/Chicago-IL/Jr-Analytics-Engineer_2523930")</f>
        <v/>
      </c>
      <c r="G38" t="inlineStr">
        <is>
          <t>Chicago, IL, US</t>
        </is>
      </c>
      <c r="H38" s="3" t="n">
        <v>46026</v>
      </c>
      <c r="I38" t="inlineStr">
        <is>
          <t>We’re building a relationship\-oriented bank for the modern world. We need talented, passionate professionals who are dedicated to doing what’s right for our clients.
At CIBC, we embrace your strengths and your ambitions, so you are empowered at work. Our team members have what they need to make a meaningful impact and are truly valued for who they are and what they contribute.
To learn more about CIBC, please visit CIBC.com
What You'll Be Doing* Data modeling and transformation
	+ Maintain dimensional and semantic models that support self\-serve analytics and BI.
	+ Establish and govern a consistent metrics layer to ensure a single source of truth.
* Data quality, observability, and governance
	+ Implement testing, data contracts, and monitoring to proactively detect and resolve data issues.
	+ Partner with data engineering to enforce SLAs, lineage, and change management.
	+ Uphold data privacy and security best practices appropriate for regulated environments.
* Pipeline orchestration and reliability
	+ Maintain, schedule, and optimize workflows for performance and cost.
	+ Streamline deployments and validations
* Business partnership and enablement
	+ Collaborate with analysts and stakeholders to translate business logic into reusable models and metrics.
	+ Build scalable, audited datasets for dashboards, self\-serve, and analytical use cases.
	+ Provide guidance on data definitions, documentation, and analytics best practices.
* Continuous improvement
	+ Identify opportunities to simplify the stack, reduce technical debt, and improve developer experience.
	+ Contribute to standards for coding, documentation, and peer review.
* Please include links or examples that showcase your data models, dbt projects, testing approach, and documentation.
* If applicable, indicate experience with financial services datasets or regulated data environments.
How you'll succeed* Trusted, documented, and testable data models power critical dashboards and analyses.
* A governed metrics layer reduces duplicative logic and conflicting KPIs.
* Robust pipeline monitoring and CI/CD reduce incidents and accelerate releases.
* Clear runbooks, documentation, and developer standards improve team velocity.
* Positive feedback from stakeholders on data reliability, transparency, and usability.
Who you are* You know that details matter. You notice things that others don't. Your critical thinking skills help to inform your decision making.
* You're motivated by collective success. You know that teamwork can transform a good idea into a great one. You know that an inclusive team that enjoys working together can bring a vision to life.
* You're digitally savvy. You seek out innovative solutions and embrace evolving technologies. You can easily adapt to new tools and trends.
* You give meaning to data. You enjoy investigating complex problems and making sense of information. You communicate detailed information in a meaningful way.
* You have a degree/diploma in Business and/or a related field of study.
* Values matter to you. You bring your real self to work and you live our values \- trust, teamwork, and accountability.
What CIBC offers
At CIBC, our people are our greatest asset. You’ll become part of a diverse community that acknowledges everyone’s unique talents, and empowers teams to do what’s right for the client and to do it well. As part of our team, you will:* Thrive: Benefit from an open and approachable culture that provides the flexibility and support you need to integrate your life at work and home.
* Connect: Work in a place where the right technology and infrastructure foster innovation, collaboration, and creativity.
* Develop: Grow your skills and career through our best\-in\-class onboarding experience, ongoing learning opportunities, individual development planning, and comprehensive product training.
* Prosper: Share in our collective success with a competitive salary, incentive pay, banking benefits, health benefits programs, retirement savings, and more.
The anticipated start date for this role is early June 2026\.*At CIBC, we offer a competitive total rewards package. This role has an expected salary of* *$72,500* *for the market based on experience, qualifications, and location of the position. The successful candidate may be eligible to participate in the relevant business unit’s incentive compensation plan, which may also include a discretionary bonus component. CIBC offers a full range of benefits and programs to meet our employee’s needs; including Medical, Dental, Vision, Health Savings Account, Life Insurance, Disability, and Other Insurance Plans, Paid Time Off (including Sick Leave, Parental Leave and Vacation), Holidays and 401(k), in addition to other special perks reserved for our team members.**This position does not offer visa sponsorship.*
California residents — your privacy rights regarding your actual or prospective employment  
California Residents: CCPA Employee Privacy Rights \| CIBC US
As a California resident, you have certain rights with respect to the personal information that CIBC collects. Learn more about the CPPA for employment.
\#LI\-TA
What CIBC Offers
At CIBC, your goals are a priority. We start with your strengths and ambitions as an employee and strive to create opportunities to tap into your potential. We aspire to give you a career, rather than just a paycheck.* We work to recognize you in meaningful, personalized ways including a competitive salary, incentive pay, banking benefits, a benefits program\*, a vacation offering, wellbeing support, and MomentMakers, our social, points\-based recognition program.
* Our spaces and technological toolkit will make it simple to bring together great minds to create innovative solutions that make a difference for our clients.
* We cultivate a culture where you can express your ambition through initiatives like Purpose Day; a paid day off dedicated for you to use to invest in your growth and development.
* Subject to plan and program terms and conditions
What you need to know* CIBC is committed to creating an inclusive environment where all team members and clients feel like they belong. We seek applicants with a wide range of abilities and we provide an accessible candidate experience. If you need accommodation, please contact Mailbox.careers\-carrieres@cibc.com
* You need to be legally eligible to work at the location(s) specified above and, where applicable, must have a valid work or study permit.
* We may ask you to complete an attribute\-based assessment and other skills tests (such as simulation, coding, MS Office). Our goal for the application process is to get to know more about you, all that you have to offer, and give you the opportunity to learn more about us.
Job Location
IL\-70 W Madison St, 8th Fl
Employment Type
Regular
Weekly Hours
40
Skills
Analytics, Application Configuration, Business Logic, Data Engineering, Data Modeling, Infrastructure Management (IM), Project Coordination, Semantics, Technical Support, Use Cases</t>
        </is>
      </c>
    </row>
    <row r="39">
      <c r="A39" t="inlineStr">
        <is>
          <t>in-ff023983eac29ee5</t>
        </is>
      </c>
      <c r="B39" t="inlineStr">
        <is>
          <t>Data Engineer Supply Chain Planning - IT - Hormel Foods (Austin, MN)</t>
        </is>
      </c>
      <c r="C39" t="inlineStr">
        <is>
          <t>Hormel Foods</t>
        </is>
      </c>
      <c r="D39" t="inlineStr">
        <is>
          <t>indeed</t>
        </is>
      </c>
      <c r="E39">
        <f>HYPERLINK("https://www.indeed.com/viewjob?jk=ff023983eac29ee5", "https://www.indeed.com/viewjob?jk=ff023983eac29ee5")</f>
        <v/>
      </c>
      <c r="F39">
        <f>HYPERLINK("https://click.appcast.io/t/KJM_yU6TLLGam0uF-8tJ5F1YZ8QyA3yKE8EbugUsyP4=", "https://click.appcast.io/t/KJM_yU6TLLGam0uF-8tJ5F1YZ8QyA3yKE8EbugUsyP4=")</f>
        <v/>
      </c>
      <c r="G39" t="inlineStr">
        <is>
          <t>Austin, MN, US</t>
        </is>
      </c>
      <c r="H39" s="3" t="n">
        <v>46022</v>
      </c>
      <c r="I39" t="inlineStr">
        <is>
          <t>**DATA ENGINEER SUPPLY CHAIN PLANNING – IT \- CORPORATE OFFICE (AUSTIN, MN)**
To save time applying, Hormel Foods does not offer sponsorship of job applicants for employment\-based visas for this position at this time.
**Hormel Foods Corporation**
**ABOUT HORMEL FOODS —** ***Inspired People. Inspired Food.™***
Hormel Foods Corporation, based in Austin, Minnesota, is a global branded food company with approximately $12 billion in annual revenue across more than 80 countries worldwide. Its brands include Planters®, *Skippy**®*, *SPAM*®, *Hormel**®* *Natural Choice**®**, Applegate**®**, Justin’s**®**, Wholly**®**, Hormel**®* *Black Label**®**, Columbus**®*, *Jennie\-O®* and more than 30 other beloved brands. The company is a member of the S\&amp;P 500 Index and the S\&amp;P 500 Dividend Aristocrats, was named one of the best companies to work for by U.S. News \&amp; World Report, one of America’s most responsible companies by Newsweek, recognized by TIME magazine as one of the World’s Best Companies, and has received numerous other awards and accolades for its corporate responsibility and community service efforts. The company lives by its purpose statement — *Inspired People. Inspired Food.™* — to bring some of the world’s most trusted and iconic brands to tables across the globe. For more information, visit www.hormelfoods.com.
**Summary:**
Join Hormel Foods in transforming supply chain analytics through data engineering excellence. Your work will directly impact operational efficiency, sustainability, and customer satisfaction, while supporting various transform and modernize initiatives.
We are looking for a Data Engineer specializing in supply chain planning within our Data and Analytics team. This is an exciting opportunity to help grow and modernize analytics at Hormel Foods! Individuals interested in this position will need strong communication skills, communicating up, down and across the organization. You will be responsible for managing simultaneous initiatives that require innovative problem solving.
This role is critical in enabling data\-driven decisions across supply planning and demand planning, helping the organization optimize inventory, reduce waste, and improve service levels. It also offers opportunities for growth into data architecture, advanced analytics, and leadership roles within the Data \&amp; Analytics team.
You will use tools such as Google Cloud Platform, SQL, Python, Incorta, Oracle Business Intelligence, Tableau, and Informatica ETL to engineer data pipelines and data models to enhance enterprise reporting and analytics. Additionally, you will engineer reports, dashboards and visualizations using enterprise business intelligence tools (Oracle and Tableau).
**Specific Competencies Include:**
* Data Structures and Models – Designs and develops the overall database/data warehouse structure based on functional and technical requirements. Designs and develops data collection frameworks for structured and unstructured data.
* Data Pipelines and ELT – Designs and applies data extraction, loading and transformation techniques in order to connect large data sets from a variety of sources.
* Data Performance – Troubleshoots and fixes for data performance issues that come with querying and combining large volumes of data. Adjusts performance for solution accordingly during initial development.
* Visualizations and Dashboards – Gathers requirements, designs and develops reports and dashboards with multiple sources that meet business needs. Leverages visualizations when possible to increase speed to identifying an insight. Walks business through definitions of data.
**Responsibilities:**
* Works closely with Supply Chain Planning functions, data scientists, BI analysts, and other stakeholders to understand data needs and deliver solutions.
* Engineers physical and logical data models for dimensions and facts within the staging, warehouse and semantic layer of our enterprise data warehouses and platforms.
* Engineers and performance tunes SQL, Python, Incorta or Informatica ETLs and pipelines as well as Google BigQuery Dataprocs to move data from a variety of source systems and file types to fit into dimensional data models.
* Utilizes SQL within Google BigQuery, Informatica ETLs, Incorta pipelines or Oracle SQL Views when necessary to achieve proper metric calculations or derive dimension attributes.
* Engineers schedule and orchestration for batch and mini\-batch data loads into the enterprise data warehouses and platforms.
* Provide issue resolution and maintenance for a variety of business unit solutions already existing in the enterprise data warehouses and platforms.
* Use tools such as SQL, Oracle Business Intelligence, Tableau, Google Cloud Platform, Python, Incorta and Informatica ETL to engineer data pipelines and data models to enhance enterprise reporting and analytics.
* Engineers dashboards within the enterprise business intelligence platforms containing reports and visualization that have intelligent user interface design and flow for the business including adequate performance.
* Ensure data quality, lineage, and governance standards are upheld across all engineered solutions.
**Required Qualifications:**
* A bachelor's degree in Computer Science, MIS, or related area and significant experience with business intelligence, data engineering and data modeling.
* 5\+ years of experience with reading and writing SQL.
* 5\+ years of experience engineering within a data warehouse or related experience with dimensional data modeling.
* 5\+ years of experience designing and developing ETLs/pipelines in Python, Google BigQuery Dataprocs and/or Informatica ETL.
* 3\+ years of experience with data enablement for a Supply Chain Planning platform, preferably o9 solutions.
* Excellent written and verbal communication skills.
* Proven ability to gather detailed technical requirements to design and develop data structures supporting business intelligence report solutions from beginning to end.
* Excellent organizational and time management skills.
* Tested problem\-solving and decision\-making skills.
* A strong pattern of initiative.
* Highly developed interpersonal and leadership skills.
* Applicants must not now, or at any time in the future, require employer sponsorship for a work visa.
* Applicants must be authorized to work in the United States for any employer.
**Preferred Qualifications:**
* Experience with Supply Chain data, including logistics, inventory, procurement, and manufacturing.
* Familiarity with ERP systems and supply chain planning tools.
* 3\+ years of experience designing and developing within a business intelligence/reporting tool like Oracle Business Intelligence, Tableau or Google Cloud Platform.
* Experience with Incorta Data Delivery Platform connecting to Oracle Fusion Cloud applications.
* Experience working within Google Cloud Platform with services like Dataflow, Datafusion, Pub/Sub, Cloud SQL, Cloud Storage.
* Experience with Oracle SQL including advanced functions like analytical functions.
* Experience tuning SQL and ETLs.
* Experience within a core metadata model (RPD) including the physical, logical and presentation layers for the enterprise business intelligence platform (OBIEE – Oracle Business Intelligence Enterprise Edition).
* Experience working in Agile environments and familiarity with CI/CD pipelines, version control (Git), and automated testing frameworks is a plus.
**LOCATION:** Austin, MN – Global Headquarters (preferred); Eden Prairie, MN (office location)
**TRAVEL REQUIREMENTS**: Travel may be necessary 10% of the time.
**BENEFITS:** Hormel Foods offers an excellent benefits package. Competitive base salary plus target incentive, discretionary annual merit increase, annual performance review, medical, dental, vision, non\-contributory pension, profit sharing, 401(k), stock purchase plan, paid personal time off (PTO), FREE two\-year community or technical college tuition for children of employees, relocation assistance and more. On\-the\-job training, certifications and opportunities to expand skill sets.
At Hormel Foods, base pay is one part of our total compensation package and is determined within a range. The base hiring pay range for this role is between $98,100\-$137,300 per year, and your actual base pay within that range will depend upon a variety of factors including, but not limited to, job\-related knowledge, skill set, level of experience, and geographic market location.
At Hormel we invite difference and diversity in all aspects. We offer a space of support, understanding, and community. We are committed to the journey! Learn more about our progress here: https://www.hormelfoods.com/about/diversity\-and\-inclusion/
Hormel Foods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40">
      <c r="A40" t="inlineStr">
        <is>
          <t>in-f691dd6c9d1c527c</t>
        </is>
      </c>
      <c r="B40" t="inlineStr">
        <is>
          <t>Data Engineer</t>
        </is>
      </c>
      <c r="C40" t="inlineStr">
        <is>
          <t>Amazon.com</t>
        </is>
      </c>
      <c r="D40" t="inlineStr">
        <is>
          <t>indeed</t>
        </is>
      </c>
      <c r="E40">
        <f>HYPERLINK("https://www.indeed.com/viewjob?jk=f691dd6c9d1c527c", "https://www.indeed.com/viewjob?jk=f691dd6c9d1c527c")</f>
        <v/>
      </c>
      <c r="F40">
        <f>HYPERLINK("https://www.amazon.jobs/jobs/3141339/data-engineer?cmpid=DA_INAD200785B", "https://www.amazon.jobs/jobs/3141339/data-engineer?cmpid=DA_INAD200785B")</f>
        <v/>
      </c>
      <c r="G40" t="inlineStr">
        <is>
          <t>Seattle, WA, US</t>
        </is>
      </c>
      <c r="H40" s="3" t="n">
        <v>46001</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in-49f8d135e388b4f8</t>
        </is>
      </c>
      <c r="B41" t="inlineStr">
        <is>
          <t>Data Engineer</t>
        </is>
      </c>
      <c r="C41" t="inlineStr">
        <is>
          <t>Amazon.com</t>
        </is>
      </c>
      <c r="D41" t="inlineStr">
        <is>
          <t>indeed</t>
        </is>
      </c>
      <c r="E41">
        <f>HYPERLINK("https://www.indeed.com/viewjob?jk=49f8d135e388b4f8", "https://www.indeed.com/viewjob?jk=49f8d135e388b4f8")</f>
        <v/>
      </c>
      <c r="F41">
        <f>HYPERLINK("https://www.amazon.jobs/jobs/3141339/data-engineer?cmpid=DA_INAD200785B", "https://www.amazon.jobs/jobs/3141339/data-engineer?cmpid=DA_INAD200785B")</f>
        <v/>
      </c>
      <c r="G41" t="inlineStr">
        <is>
          <t>San Francisco, CA, US</t>
        </is>
      </c>
      <c r="H41" s="3" t="n">
        <v>46001</v>
      </c>
      <c r="I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in-1d67b997c085335f</t>
        </is>
      </c>
      <c r="B42" t="inlineStr">
        <is>
          <t>Delivery Consultant - Data Engineer, Data and Machine Learning, WWPS US Federal</t>
        </is>
      </c>
      <c r="C42" t="inlineStr">
        <is>
          <t>Amazon Web Services</t>
        </is>
      </c>
      <c r="D42" t="inlineStr">
        <is>
          <t>indeed</t>
        </is>
      </c>
      <c r="E42">
        <f>HYPERLINK("https://www.indeed.com/viewjob?jk=1d67b997c085335f", "https://www.indeed.com/viewjob?jk=1d67b997c085335f")</f>
        <v/>
      </c>
      <c r="F42">
        <f>HYPERLINK("https://www.amazon.jobs/jobs/3134583/delivery-consultant--data-engineer-data-and-machine-learning-wwps-us-federal?cmpid=DA_INAD200785B", "https://www.amazon.jobs/jobs/3134583/delivery-consultant--data-engineer-data-and-machine-learning-wwps-us-federal?cmpid=DA_INAD200785B")</f>
        <v/>
      </c>
      <c r="G42" t="inlineStr">
        <is>
          <t>Arlington, VA, US</t>
        </is>
      </c>
      <c r="H42" s="3" t="n">
        <v>45991</v>
      </c>
      <c r="I42"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in-6654e9b454fc6999</t>
        </is>
      </c>
      <c r="B43" t="inlineStr">
        <is>
          <t>Delivery Consultant - Data Engineer, Data and Machine Learning, WWPS US Federal</t>
        </is>
      </c>
      <c r="C43" t="inlineStr">
        <is>
          <t>Amazon Web Services</t>
        </is>
      </c>
      <c r="D43" t="inlineStr">
        <is>
          <t>indeed</t>
        </is>
      </c>
      <c r="E43">
        <f>HYPERLINK("https://www.indeed.com/viewjob?jk=6654e9b454fc6999", "https://www.indeed.com/viewjob?jk=6654e9b454fc6999")</f>
        <v/>
      </c>
      <c r="F43">
        <f>HYPERLINK("https://www.amazon.jobs/jobs/3134583/delivery-consultant--data-engineer-data-and-machine-learning-wwps-us-federal?cmpid=DA_INAD200785B", "https://www.amazon.jobs/jobs/3134583/delivery-consultant--data-engineer-data-and-machine-learning-wwps-us-federal?cmpid=DA_INAD200785B")</f>
        <v/>
      </c>
      <c r="G43" t="inlineStr">
        <is>
          <t>Herndon, VA, US</t>
        </is>
      </c>
      <c r="H43" s="3" t="n">
        <v>45991</v>
      </c>
      <c r="I43"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in-ad97ba702a77709c</t>
        </is>
      </c>
      <c r="B44" t="inlineStr">
        <is>
          <t>Sr. AI Platform Data Engineer, Ring Decision Science</t>
        </is>
      </c>
      <c r="C44" t="inlineStr">
        <is>
          <t>Amazon.com</t>
        </is>
      </c>
      <c r="D44" t="inlineStr">
        <is>
          <t>indeed</t>
        </is>
      </c>
      <c r="E44">
        <f>HYPERLINK("https://www.indeed.com/viewjob?jk=ad97ba702a77709c", "https://www.indeed.com/viewjob?jk=ad97ba702a77709c")</f>
        <v/>
      </c>
      <c r="F44">
        <f>HYPERLINK("https://www.amazon.jobs/jobs/3152458/sr-ai-platform-data-engineer-ring-decision-science?cmpid=DA_INAD200785B", "https://www.amazon.jobs/jobs/3152458/sr-ai-platform-data-engineer-ring-decision-science?cmpid=DA_INAD200785B")</f>
        <v/>
      </c>
      <c r="G44" t="inlineStr">
        <is>
          <t>Hawthorne, CA, US</t>
        </is>
      </c>
      <c r="H44" s="3" t="n">
        <v>45991</v>
      </c>
      <c r="I44" t="inlineStr">
        <is>
          <t>**DESCRIPTION**
---------------
We seek an AI Platform Builder—a Data Engineer focused on developing Platforms and Agentic AI solution—who embraces prompt\-driven development with strong technical, analytical, communication, and stakeholder management skills. This role sits at the intersection of data engineering, business intelligence, and platform engineering—requiring partnership with software development engineers, scientists, data analysts, and business stakeholders across various verticals. You will design, evangelize, and implement platform features and curated datasets that power Artificial Intelligence/Machine Learning (AI/ML) initiatives and self\-service analytics, helping us provide a great neighbor experience at greater velocity.  
This role requires a first\-principles approach to leveraging AI at every layer of the data stack—from using AI agents to write and optimize code, to building AI\-powered platforms that serve AI models, to deploying intelligent agents that make data accessible. You will use AI to build AI infrastructure, automate the automation, and create self\-improving systems that continuously enhance data quality, discoverability, and usability.  
Key job responsibilities  
You will build and maintain efficient, scalable, and privacy/security\-compliant data pipelines, curated datasets for AI/ML consumption, and AI\-native self\-service data platforms using an AI\-first development methodology. As a trusted technical partner to business stakeholders and data science teams, you'll deliver well\-modeled, easily discoverable data optimized for specific use cases while leveraging AI\-powered solutions and agentic frameworks to build continuously improving systems.  
A day in the life  
* Lead AI\-assisted stakeholder engagement sessions across verticals like Subscriptions, Security, Sales, and Marketing
* Design and build curated datasets leveraging AI code generation and Agentic AI tools
* Build and maintain data pipelines using AI\-assisted development with AWS services and internal Amazon tools
This Role will:  
* Implement AI\-powered self\-service platforms with natural language interfaces
* Create intelligent governance systems for data classification, PII detection, and lineage tracking
* Facilitate AI\-augmented workshops for stakeholders to explore data capabilities collaboratively
About the team  
The Analytics \&amp; Science team for Decision Sciences is at the forefront of Ring's transformation into an AI\-powered organization. We address cross\-organizational data models, develop governance frameworks, provide direct Business Intelligence (BI) support across multiple teams, and build customer\-facing and internal AI tools that fundamentally improve how effectively and quickly the organization makes decisions.**BASIC QUALIFICATIONS**
------------------------
* 5\+ years of data engineering experience
* 3\+ years of data querying languages (e.g. SQL), scripting languages (e.g. Python) or statistical/mathematical software (e.g. R, SAS, Matlab, etc.) experience
* Experience developing, deploying and managing AI products at scale
* Experience with data modeling, warehousing and building Extract, Transform, and Load (ETL) pipelines for both analytics and ML use cases
* Experience building datasets or features for machine learning models or self\-service analytics
* Extensive hands\-on experience with Generative AI (GenAI) enhanced development pipelines, AI coding assistants, and prompt engineering
* Demonstrated ability to build tools, frameworks, or platforms that enable others
**PREFERRED QUALIFICATIONS**
----------------------------
* Experience with non\-relational databases / data stores (object storage, document or key\-value stores, graph databases, column\-family databases)
* Experience with AWS technologies like Redshift, S3, AWS Glue, EMR, Kinesis, FireHose, Lambda, and IAM roles and permissions
* Experience in at least one modern scripting or programming language, such as Python, Java, Scala, or NodeJS
* Experience building multi\-agent systems, LangChain/LangGraph applications, or custom AI agent frameworks
* Experience with prompt engineering, Retrieval\-Augmented Generation (RAG) systems, and Large Language Model (LLM) fine\-tuning
* Experience with BI tools (QuickSight, Tableau, Looker) and designing datasets for analytical consumption
* Experience building or contributing to AI\-native self\-service data platforms, feature stores, or intelligent data cataloging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in-a15af938012396bd</t>
        </is>
      </c>
      <c r="B45" t="inlineStr">
        <is>
          <t>Data Engineer III, ITA</t>
        </is>
      </c>
      <c r="C45" t="inlineStr">
        <is>
          <t>Amazon.com</t>
        </is>
      </c>
      <c r="D45" t="inlineStr">
        <is>
          <t>indeed</t>
        </is>
      </c>
      <c r="E45">
        <f>HYPERLINK("https://www.indeed.com/viewjob?jk=a15af938012396bd", "https://www.indeed.com/viewjob?jk=a15af938012396bd")</f>
        <v/>
      </c>
      <c r="F45">
        <f>HYPERLINK("https://www.amazon.jobs/jobs/3071316/data-engineer-iii-ita?cmpid=DA_INAD200785B", "https://www.amazon.jobs/jobs/3071316/data-engineer-iii-ita?cmpid=DA_INAD200785B")</f>
        <v/>
      </c>
      <c r="G45" t="inlineStr">
        <is>
          <t>Seattle, WA, US</t>
        </is>
      </c>
      <c r="H45" s="3" t="n">
        <v>45893</v>
      </c>
      <c r="I45"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in-c083e809d93aee1c</t>
        </is>
      </c>
      <c r="B46" t="inlineStr">
        <is>
          <t>Data Engineer III, ITA</t>
        </is>
      </c>
      <c r="C46" t="inlineStr">
        <is>
          <t>Amazon.com</t>
        </is>
      </c>
      <c r="D46" t="inlineStr">
        <is>
          <t>indeed</t>
        </is>
      </c>
      <c r="E46">
        <f>HYPERLINK("https://www.indeed.com/viewjob?jk=c083e809d93aee1c", "https://www.indeed.com/viewjob?jk=c083e809d93aee1c")</f>
        <v/>
      </c>
      <c r="F46">
        <f>HYPERLINK("https://www.amazon.jobs/jobs/3071316/data-engineer-iii-ita?cmpid=DA_INAD200785B", "https://www.amazon.jobs/jobs/3071316/data-engineer-iii-ita?cmpid=DA_INAD200785B")</f>
        <v/>
      </c>
      <c r="G46" t="inlineStr">
        <is>
          <t>Arlington, VA, US</t>
        </is>
      </c>
      <c r="H46" s="3" t="n">
        <v>45893</v>
      </c>
      <c r="I46"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li-4351135821</t>
        </is>
      </c>
      <c r="B2" t="inlineStr">
        <is>
          <t>Senior Data Engineer</t>
        </is>
      </c>
      <c r="C2" t="inlineStr">
        <is>
          <t>ATPCO</t>
        </is>
      </c>
      <c r="D2" t="inlineStr">
        <is>
          <t>linkedin</t>
        </is>
      </c>
      <c r="E2" t="inlineStr"/>
      <c r="F2" t="inlineStr"/>
      <c r="G2" t="inlineStr">
        <is>
          <t>Herndon, VA</t>
        </is>
      </c>
      <c r="H2" t="inlineStr"/>
      <c r="I2" t="inlineStr">
        <is>
          <t>ATPCO is the world's primary source for air fare content, holding over 200 million fares across 160 countries. Every day, the travel industry relies on ATPCO's technology and data solutions to help millions of travelers reach their destinations efficiently. Join us and contribute to the development of innovative applications that power global travel. ATPCO is everywhere people buy flights.
 We’re not just shaping the future of air travel– we’re redefining how and where great work happens. At ATPCO, we believe in flexibility, trust, and a culture where your wellbeing comes first
**Why Join Us?**
 ✅ Remote\-First Culture – Flexibility to work from home in your country of hire
 ✅ “Leave Your Way” PTO– Take the time you need, when you need it
 ✅ 401(k) with Generous Employer Match– Invest in your future
 ✅ Comprehensive Benefits– Medical, dental, vision, \&amp; mental health
 ✅ Global Tuition and Gym Reimbursement– Learn and grow on us
 ✅ Standby Flight Program– Explore the world
 ✅ Inclusive, Collaborative Culture– Be seen, heard, and valued
**Our Culture:**
 We’ve built a remote\-first culture rooted in trust, transparency, and belonging. With open\-door leadership, weekly 1:1s, and real\-time recognition, we keep our people connected and valued—no matter where they work.
 Our cultural pillars of Collaboration, Empowerment, Innovation, Learning, Transparency, and Trust guide how we show up for one another and grow together.
**Job Description**
 As a Senior Data Engineer, you will be responsible for building and optimizing data pipelines, managing data storage and processing systems, and ensuring the availability, scalability, and reliability of our data platform. You will collaborate with cross\-functional teams, including data scientists, software engineers, and business stakeholders to understand data requirements and deliver efficient high\-quality data solutions. We are seeking an accomplished individual to join our esteemed team of ATPCO data engineers, dedicated to tackling intricate data processing challenges within the Airline industry. This role offers an opportunity to work on cutting\-edge solutions that involve handling hundreds of terabytes of data daily, leveraging the latest AWS services.
 You Will:
* Collaborate with data scientists, analysts, and other stakeholders to understand data requirements and design data models and schemas that facilitate data analysis and reporting
* Design, develop, and maintain scalable and efficient data pipelines and ETL processes to ingest, process, and transform large volumes of data from various sources into usable formats
* Build and optimize data storage and processing systems, including data warehouses, data lakes, and big data platforms, using AWS services such as Amazon Redshift, AWS Glue, AWS EMR, AWS S3, and AWS Lambda, to enable efficient data retrieval and analysis
* Implement and manage real\-time data streaming architectures using AWS services like Amazon Kinesis or Apache Kafka to enable real\-time data processing and analytics
* Perform data profiling, data cleansing, and data transformation tasks to prepare data for analysis and reporting
* Implement data security and privacy measures to protect sensitive and confidential data using AWS security services and features
* Design and implement data architectures following Data Mesh principles within the AWS environment, including domain\-oriented data ownership, self\-serve data infrastructure, and federated data governance
* Provide technical guidance and mentorship to junior data engineers, reviewing their work and ensuring adherence to best practices and standards
 Qualifications:
* Strong programming skills in languages like Python, Java, or Scala, with experience in data manipulation and transformation frameworks
* Proven experience as a data engineer, with experience in designing and building large\-scale data processing systems
* Strong understanding of data modeling concepts and data management principles
* In\-depth knowledge of SQL and experience working with relational and non\-relational databases
* Knowledge of Data Mesh principles and experience designing and implementing data architectures following Data Mesh concepts within the AWS ecosystem
* Experience with real\-time data streaming architectures using AWS services like Amazon Kinesis or Apache Kafka
* Familiarity with AWS cloud services, such as AWS Glue, AWS Lambda, AWS EMR, AWS S3, Amazon Redshift, and their data\-related features and functionalities
* Familiarity with AWS security services and features for data security and privacy
* Bachelor's or Master's degree in Computer Science, Information Systems, or a related field
**Salary Range** 
 : $110,572 – $145000
 \*The disclosed range estimate has not been adjusted for applicable geographic differential associated with the location\*
**Additional Information**
 At ATPCO, we are deeply committed to diversity, equity, and inclusion. Our supportive policies promote work\-life balance through flexible work arrangements, and we cultivate a workplace where every employee feels valued, respected, and a true sense of belonging.
 We consider qualified applicants for employment without regard to race, gender, age, color, religion, national origin, citizenship status, marital status, disability, sexual orientation, protected military/veteran status, gender identity or expression, genetic information, marital status, medical condition, or any other legally protected factor
 All your information will be kept confidential according to EEO guidelines.</t>
        </is>
      </c>
    </row>
    <row r="3">
      <c r="A3" t="inlineStr">
        <is>
          <t>li-4354621447</t>
        </is>
      </c>
      <c r="B3" t="inlineStr">
        <is>
          <t>Data Engineer – Corporate Technology Data Engineering &amp; Analytics</t>
        </is>
      </c>
      <c r="C3" t="inlineStr">
        <is>
          <t>MassMutual</t>
        </is>
      </c>
      <c r="D3" t="inlineStr">
        <is>
          <t>linkedin</t>
        </is>
      </c>
      <c r="E3" t="inlineStr"/>
      <c r="F3" t="inlineStr"/>
      <c r="G3" t="inlineStr">
        <is>
          <t>New York, NY</t>
        </is>
      </c>
      <c r="H3" t="inlineStr"/>
      <c r="I3" t="inlineStr">
        <is>
          <t>**The Opportunity**
 Join our dynamic team as a Data Engineer – Corporate Technology Data Engineering \&amp; Analytics, where you'll play a pivotal role in driving the execution of our data and technology strategy. This role is crucial in driving digital transformation and operational efficiency across Investment Management. As part of this role, you will engage in building data solutions including streaming and batch pipelines, data marts \&amp; data warehouse. You will be responsible for establishing robust data collection and processing pipelines to fulfill Investment Management business requirements.
**The Team**
 You’ll be an integral part of our esteemed Corporate Technology Team, focused on Data Engineering \&amp; Analytics. Our team operates on a global scale, driving innovation and excellence across diverse areas of expertise. As a Data Engineer, you'll play a critical role in high impact Corporate Technology Investment Initiatives, ensuring alignment with organizational objectives and driving impactful outcomes. This is an opportunity to collaborate closely with Corporate Technology Data and Analytics team and Investment management business stakeholders. Our team thrives on collaboration, innovation, and a shared commitment to excellence. Together, we're shaping the future of technology within our organization and making a lasting impact on a global scale. Join us and be part of a dynamic team where your contributions will be valued and your potential unleashed.
**The Impact**
* Design, build, and measure complex ELT jobs to process disparate data sources and form a high integrity, high quality, clean data asset.
* Executes and provides feedback for data modeling policies, procedure, processes, and standards.
* Assists with capturing and documenting system flow and other pertinent technical information about data, database design, and systems.
* Develop comprehensive data quality standards and implement effective tools to ensure data accuracy and reliability.
* Collaborate with various Investment Management departments to gain a better understanding of new data patterns.
* Collaborate with Data Analysts, Data Architects, and BI developers to ensure design and development of scalable data solutions aligning with business goals.
* Translate high\-level business requirements into detailed technical specs.
**The Minimum Qualifications**
* Bachelor’s degree in Computer Science, Engineering, Information Systems or related technical field.
* 8\+ years of experience with data analytics, data modeling, and database design.
* 5\+ years experience with ELT methodologies and tools.
* 5\+ years experience in designing, developing, tuning and troubleshooting SQL.
* 3\+ years of coding and scripting (Python, Java, Scala) and design experience.
* 2\+ years of experience with Spark framework.
**The Ideal Qualifications**
* Knowledge of Informatica Power center and Informatica IDMC.
* Knowledge of distributed, column\- orientated technology to create high\-performant database technologies like \- Vertica, Snowflake.
* Strong data analysis skills for extracting insights from financial data
* Proficiency in reporting tools (e.g., Power BI, Tableau).
* Domain knowledge of Investment Management operations including Security Masters, Securities Trade and Recon Operations, Reference data management, Pricing.
* Familiarity with regulatory requirements and compliance standards in the investment management industry.
* Experience with IBOR’s such as Blackrock Alladin, CRD, Eagle STAR (ABOR), Eagle Pace, and Eagle DataMart.
* Familiarity with investment data platforms such as GoldenSource, FINBOURNE, NeoXam, RIMES, and JPM Fusion.
* Strong analytical and problem\-solving abilities.
* Exceptional communication and interpersonal skills.
* Ability to influence and motivate teams without direct authority.
* Excellent time management and organizational skills, with the ability to prioritize multiple initiatives.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4">
      <c r="A4" t="inlineStr">
        <is>
          <t>li-4333358567</t>
        </is>
      </c>
      <c r="B4" t="inlineStr">
        <is>
          <t>Lead Analytics Engineer</t>
        </is>
      </c>
      <c r="C4" t="inlineStr">
        <is>
          <t>CLEAR</t>
        </is>
      </c>
      <c r="D4" t="inlineStr">
        <is>
          <t>linkedin</t>
        </is>
      </c>
      <c r="E4" t="inlineStr"/>
      <c r="F4" t="inlineStr"/>
      <c r="G4" t="inlineStr">
        <is>
          <t>New York, NY</t>
        </is>
      </c>
      <c r="H4" t="inlineStr"/>
      <c r="I4" t="inlineStr">
        <is>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As CLEAR continues to scale, we’re deepening our investment in the data ecosystem that powers our decision\-making. We’re looking for a Lead Analytics Engineer to own the presentation layer of our data stack. This is a hands\-on, senior individual contributor role for someone who blends exquisite data modeling craft, deep familiarity with tools like dbt and Looker, a knowledge of the state of the art, and a passion for designing data structures that enable intuitive self\-service. 
 You’ll define the semantic and analytical layers that drive clarity across the business, transforming complex data into clear, trusted metrics and models that everyone at CLEAR can rely on.
***What You'll Do:***
* Own and evolve the presentation and semantic layers: design, build, and optimize data models that serve as the foundation for Analytics at CLEAR. Develop metrics that drive a consistent, opinionated view of business performance across Finance, Product, Marketing, and Operations teams.
* Partner with data engineering teams to define the transformation logic (via dbt or similar frameworks) that connects raw data to consumable business views, optimize pipelines to improve query performance, and ensure models align with best practices.
* Own a roadmap for enabling AI\-powered analytics driving improved data documentation and a path for exposing our semantic layer to AI models.
* Improve self\-service rates by building intuitive data structures, reusable views, and clear metric definitions that empower teams to answer their own questions.
* Mentor analysts and analytics engineers, guiding them in data modeling best practices, BI design, and stakeholder engagement.
***What You Bring:***
* 7\+ years of experience working in analytics engineering, BI engineering, or data engineering roles within a modern cloud data warehouse environment. Today we use Snowflake, dbt, Dagster, and Looker.
* Expert\-level SQL: you can structure models for clarity, reuse, and performance at scale.
* Deep experience with BI tools including semantic layer design, metric standardization, and the enablement of AI\-driven analytics.
* Strong understanding of dimensional modeling and data warehousing principles. You are always thinking about performance and scalability.
* Demonstrated ability to balance technical rigor with business impact designing models that are as intuitive for stakeholders as they are efficient under the hood.
* Track record of driving BI and self\-service, creating environments where data users can confidently explore and analyze on their own.
* Strong communication and influence skills, able to partner effectively across technical and business domains to align on data strategy and definitions.
* Proactive ownership and curiosity, always seeking opportunities to simplify, standardize, and scale how data is modeled and delivered.
***Why You’ll Love This Role:***
* High\-impact: You’ll build the analytics foundations that will guide decision\-making across CLEAR.
* Craft and influence: This role blends technical ownership with the opportunity to shape how data is understood company\-wide.
* Mission\-driven culture: You’ll help build experiences that make life simpler and more secure for millions.
* Autonomy: You’ll own and lead initiatives end\-to\-end, mentor others, and establish best practices that scale with the company.
* Culture that moves: We are a team that values curiosity, iteration, direct feedback, and risk taking.
* Great benefits \&amp; growth: Competitive compensation, liquid equity, catered lunches, and good vibes.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
 The base salary range for this role is $165,000\-$200,000,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t>
        </is>
      </c>
    </row>
    <row r="5">
      <c r="A5" t="inlineStr">
        <is>
          <t>li-4354573716</t>
        </is>
      </c>
      <c r="B5" t="inlineStr">
        <is>
          <t>Data Engineer – Corporate Technology Data Engineering &amp; Analytics</t>
        </is>
      </c>
      <c r="C5" t="inlineStr">
        <is>
          <t>MassMutual</t>
        </is>
      </c>
      <c r="D5" t="inlineStr">
        <is>
          <t>linkedin</t>
        </is>
      </c>
      <c r="E5" t="inlineStr"/>
      <c r="F5" t="inlineStr"/>
      <c r="G5" t="inlineStr">
        <is>
          <t>Springfield, MA</t>
        </is>
      </c>
      <c r="H5" t="inlineStr"/>
      <c r="I5" t="inlineStr">
        <is>
          <t>**The Opportunity**
 Join our dynamic team as a Data Engineer – Corporate Technology Data Engineering \&amp; Analytics, where you'll play a pivotal role in driving the execution of our data and technology strategy. This role is crucial in driving digital transformation and operational efficiency across Investment Management. As part of this role, you will engage in building data solutions including streaming and batch pipelines, data marts \&amp; data warehouse. You will be responsible for establishing robust data collection and processing pipelines to fulfill Investment Management business requirements.
**The Team**
 You’ll be an integral part of our esteemed Corporate Technology Team, focused on Data Engineering \&amp; Analytics. Our team operates on a global scale, driving innovation and excellence across diverse areas of expertise. As a Data Engineer, you'll play a critical role in high impact Corporate Technology Investment Initiatives, ensuring alignment with organizational objectives and driving impactful outcomes. This is an opportunity to collaborate closely with Corporate Technology Data and Analytics team and Investment management business stakeholders. Our team thrives on collaboration, innovation, and a shared commitment to excellence. Together, we're shaping the future of technology within our organization and making a lasting impact on a global scale. Join us and be part of a dynamic team where your contributions will be valued and your potential unleashed.
**The Impact**
* Design, build, and measure complex ELT jobs to process disparate data sources and form a high integrity, high quality, clean data asset.
* Executes and provides feedback for data modeling policies, procedure, processes, and standards.
* Assists with capturing and documenting system flow and other pertinent technical information about data, database design, and systems.
* Develop comprehensive data quality standards and implement effective tools to ensure data accuracy and reliability.
* Collaborate with various Investment Management departments to gain a better understanding of new data patterns.
* Collaborate with Data Analysts, Data Architects, and BI developers to ensure design and development of scalable data solutions aligning with business goals.
* Translate high\-level business requirements into detailed technical specs.
**The Minimum Qualifications**
* Bachelor’s degree in Computer Science, Engineering, Information Systems or related technical field.
* 8\+ years of experience with data analytics, data modeling, and database design.
* 5\+ years experience with ELT methodologies and tools.
* 5\+ years experience in designing, developing, tuning and troubleshooting SQL.
* 3\+ years of coding and scripting (Python, Java, Scala) and design experience.
* 2\+ years of experience with Spark framework.
**The Ideal Qualifications**
* Knowledge of Informatica Power center and Informatica IDMC.
* Knowledge of distributed, column\- orientated technology to create high\-performant database technologies like \- Vertica, Snowflake.
* Strong data analysis skills for extracting insights from financial data
* Proficiency in reporting tools (e.g., Power BI, Tableau).
* Domain knowledge of Investment Management operations including Security Masters, Securities Trade and Recon Operations, Reference data management, Pricing.
* Familiarity with regulatory requirements and compliance standards in the investment management industry.
* Experience with IBOR’s such as Blackrock Alladin, CRD, Eagle STAR (ABOR), Eagle Pace, and Eagle DataMart.
* Familiarity with investment data platforms such as GoldenSource, FINBOURNE, NeoXam, RIMES, and JPM Fusion.
* Strong analytical and problem\-solving abilities.
* Exceptional communication and interpersonal skills.
* Ability to influence and motivate teams without direct authority.
* Excellent time management and organizational skills, with the ability to prioritize multiple initiatives.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6">
      <c r="A6" t="inlineStr">
        <is>
          <t>li-3970356046</t>
        </is>
      </c>
      <c r="B6" t="inlineStr">
        <is>
          <t>Data Engineer</t>
        </is>
      </c>
      <c r="C6" t="inlineStr">
        <is>
          <t>Figma</t>
        </is>
      </c>
      <c r="D6" t="inlineStr">
        <is>
          <t>linkedin</t>
        </is>
      </c>
      <c r="E6" t="inlineStr"/>
      <c r="F6" t="inlineStr"/>
      <c r="G6" t="inlineStr"/>
      <c r="H6" t="inlineStr"/>
      <c r="I6"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loves solving problems. You’ll have a good sense for when it makes sense to build fast, scrappy solutions to unblock a key stakeholder vs. when to push back or bring in an outside service. The ideal candidate will be a great communicator who can help coordinate across multiple internal and external teams and takes pride in building end\-to\-end projects.
 This is a full time role that can be held from one of our US hubs or remotely in the United States.
**What you'll do at Figma** 
**:**
* Own, build, and maintain scalable data pipelines that connect various cloud data sources.
* Develop a deep understanding of Figma’s core data models and optimize data pipelines for scale.
*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 Establish best practices for the development of specialized data sets for analytics and modeling.
 We'd love to hear from you if you have:
* 4\+ years in a relevant field.
* Fluency with both SQL and Python.
* Familiarity with Snowflake, dbt, Dagster, and ETL/reverse ETL tools.
* Excellent judgment and creative problem solving skills.
* A self\-starting mindset along with strong communication and collaboration skills.
 While not required, it’s an added plus if you also have:
* Knowledge in data modeling methodologies to design and build robust data architectures for insightful analytics.
* Experience with business systems such as Salesforce,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$164,000—$338,000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7">
      <c r="A7" t="inlineStr">
        <is>
          <t>li-3970352584</t>
        </is>
      </c>
      <c r="B7" t="inlineStr">
        <is>
          <t>Data Engineer</t>
        </is>
      </c>
      <c r="C7" t="inlineStr">
        <is>
          <t>Figma</t>
        </is>
      </c>
      <c r="D7" t="inlineStr">
        <is>
          <t>linkedin</t>
        </is>
      </c>
      <c r="E7" t="inlineStr"/>
      <c r="F7" t="inlineStr"/>
      <c r="G7" t="inlineStr">
        <is>
          <t>New York, NY</t>
        </is>
      </c>
      <c r="H7" t="inlineStr"/>
      <c r="I7"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loves solving problems. You’ll have a good sense for when it makes sense to build fast, scrappy solutions to unblock a key stakeholder vs. when to push back or bring in an outside service. The ideal candidate will be a great communicator who can help coordinate across multiple internal and external teams and takes pride in building end\-to\-end projects.
 This is a full time role that can be held from one of our US hubs or remotely in the United States.
**What you'll do at Figma** 
**:**
* Own, build, and maintain scalable data pipelines that connect various cloud data sources.
* Develop a deep understanding of Figma’s core data models and optimize data pipelines for scale.
*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 Establish best practices for the development of specialized data sets for analytics and modeling.
 We'd love to hear from you if you have:
* 4\+ years in a relevant field.
* Fluency with both SQL and Python.
* Familiarity with Snowflake, dbt, Dagster, and ETL/reverse ETL tools.
* Excellent judgment and creative problem solving skills.
* A self\-starting mindset along with strong communication and collaboration skills.
 While not required, it’s an added plus if you also have:
* Knowledge in data modeling methodologies to design and build robust data architectures for insightful analytics.
* Experience with business systems such as Salesforce,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$164,000—$338,000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8">
      <c r="A8" t="inlineStr">
        <is>
          <t>li-4351125885</t>
        </is>
      </c>
      <c r="B8" t="inlineStr">
        <is>
          <t>Data Engineer</t>
        </is>
      </c>
      <c r="C8" t="inlineStr">
        <is>
          <t>SoTalent</t>
        </is>
      </c>
      <c r="D8" t="inlineStr">
        <is>
          <t>linkedin</t>
        </is>
      </c>
      <c r="E8" t="inlineStr"/>
      <c r="F8" t="inlineStr"/>
      <c r="G8" t="inlineStr">
        <is>
          <t>Richmond, VA</t>
        </is>
      </c>
      <c r="H8" t="inlineStr"/>
      <c r="I8" t="inlineStr">
        <is>
          <t>**Job Title: Data Engineer** 
**Location: Richmond, VA** 
**Type: Full Time** 
 Join our team and help design and build scalable data solutions that power next\-generation digital experiences.
**What You’ll Do:** 
* Design, develop, and implement data pipelines and ETL processes for large\-scale systems.
* Work with big data technologies like Hadoop, Spark, Kafka, and distributed computing frameworks.
* Build and optimize data models using SQL, NoSQL databases (MongoDB, Cassandra), and cloud data warehouses such as Redshift and Snowflake.
* Collaborate with cross\-functional teams to deliver real\-time streaming solutions and cloud\-native architectures.
* Ensure data quality, performance tuning, and reliability through rigorous testing and reviews.
* Stay ahead of emerging technologies and contribute to best practices in data engineering.
**What We’re Looking For:** 
* Bachelor’s degree in Computer Science, Engineering, or related field.
* 3\+ years of experience in data engineering or application development.
* Hands\-on experience with Python, SQL, Scala, or Java.
* Strong knowledge of public cloud platforms (AWS, Azure, GCP).
* Experience with data warehousing, real\-time streaming, and Agile practices.
* Familiarity with Linux/Unix and shell scripting.
**Preferred Skills:** 
* Expertise in distributed data systems, big data frameworks, and cloud\-based data solutions.</t>
        </is>
      </c>
    </row>
    <row r="9">
      <c r="A9" t="inlineStr">
        <is>
          <t>li-4354367303</t>
        </is>
      </c>
      <c r="B9" t="inlineStr">
        <is>
          <t>Data Engineer</t>
        </is>
      </c>
      <c r="C9" t="inlineStr">
        <is>
          <t>Stelvio Inc.</t>
        </is>
      </c>
      <c r="D9" t="inlineStr">
        <is>
          <t>linkedin</t>
        </is>
      </c>
      <c r="E9" t="inlineStr"/>
      <c r="F9" t="inlineStr"/>
      <c r="G9" t="inlineStr">
        <is>
          <t>Phoenix, AZ</t>
        </is>
      </c>
      <c r="H9" t="inlineStr"/>
      <c r="I9" t="inlineStr">
        <is>
          <t>**Data Engineer** 
**Hybrid \- 2\-3 days on site** 
**Phoenix, AZ** 
**$110\-117k** 
 We’re looking for a Data Engineer to help build the cloud\-native data pipelines that power critical insights across our organization. You’ll work with modern technologies, solve real\-world data challenges, and support analytics and reporting systems that drive smarter decision\-making in the transportation space.
**What You’ll Do** 
* Build and maintain data pipelines using Databricks, Azure Data Factory, and Microsoft Fabric
* Implement incremental and real\-time ingestion using medallion architecture
* Develop and optimize complex SQL and Python transformations
* Support legacy platforms (SSIS, SQL Server) while contributing to modernization efforts
* Troubleshoot data quality and integration issues
* Participate in proof\-of\-concepts and recommend technical solutions
**What You Bring** 
* 5\+ years designing and building data solutions
* Strong SQL and Python skills
* Experience with ETL pipelines and Data Lake architecture
* Ability to collaborate and adapt in a fast\-moving environment
**Preferred:** 
 Azure services, cloud ETL tools, Power BI/Tableau, event\-driven systems, NoSQL databases
**Bonus:** 
 Experience with Data Science or Machine Learning
**Benefits** 
 Medical, dental, and vision from day one · PTO \&amp; holidays · 401(k) with match · Lifestyle account · Tuition reimbursement · Voluntary benefits · Employee Assistance Program · Well\-being \&amp; culture programs · Professional development support</t>
        </is>
      </c>
    </row>
    <row r="10">
      <c r="A10" t="inlineStr">
        <is>
          <t>li-4354385591</t>
        </is>
      </c>
      <c r="B10" t="inlineStr">
        <is>
          <t>Analytics Engineer</t>
        </is>
      </c>
      <c r="C10" t="inlineStr">
        <is>
          <t>James Search Group</t>
        </is>
      </c>
      <c r="D10" t="inlineStr">
        <is>
          <t>linkedin</t>
        </is>
      </c>
      <c r="E10" t="inlineStr"/>
      <c r="F10" t="inlineStr"/>
      <c r="G10" t="inlineStr"/>
      <c r="H10" t="inlineStr"/>
      <c r="I10" t="inlineStr">
        <is>
          <t>Analytics Engineer I / II (Remote\-First)
**James Search Group** 
 is partnering with a high\-growth, data\-driven
 **Property \&amp; Casualty Insurance carrier** 
 to hire an
 **Analytics Engineer I / II** 
 to support their expanding analytics enablement function.
 This role is
 **remote\-first** 
 , with the option to work hybrid or on\-site from any of
 **12 U.S. office locations** 
 .
**Compensation:** 
**$100,000–$120,000 base** 
 \+ bonus \+ 401(k) match \+ health benefits \+ additional perks
 About the Role
 As an Analytics Engineer I / II, you’ll play a hands\-on role in building, modeling, and maintaining high\-quality analytics\-ready data assets. Working closely with senior analytics engineers and analysts, you’ll help transform curated data into reliable models that power reporting, dashboards, and decision\-making across the business.
 This role is ideal for someone early in their analytics engineering career who has strong SQL fundamentals, growing dbt experience, and a desire to learn best practices for building scalable, production\-grade data models in a modern cloud environment.
 What You’ll Do
* Build and maintain analytics\-ready data models using
 **dbt**
* Develop well\-documented, reusable datasets to support reporting and insights
* Partner with analytics engineering and data teams to align with existing data layers
* Write clean, efficient SQL to transform and validate data
* Implement dbt tests to ensure data accuracy and reliability
* Support business teams including
 **Underwriting, Claims, Finance, and Product**
* Contribute to version\-controlled analytics workflows using Git
 What We’re Looking For
* **1–4 years** 
 of experience in data analytics or analytics engineering
* Strong SQL skills and hands\-on experience with
 **dbt**
* Exposure to
 **Databricks** 
 or similar cloud data platforms
* Familiarity with modern data modeling concepts and analytics workflows
* Experience working in collaborative, Git\-based environments
* Curiosity, attention to detail, and eagerness to learn and grow
 Nice to Have
* Experience supporting insurance or financial services analytics
* Familiarity with medallion architecture concepts
* Exposure to BI or analytics tools (e.g., dashboards, notebooks)
* Interest in improving data quality, documentation, and usability
 Interested in Applying? If you’re looking to grow your analytics engineering skills while contributing to meaningful, business\-critical data products, we’d love to connect.
**Apply directly or reach out to the James Search Group team** 
 to learn more about this opportunity.</t>
        </is>
      </c>
    </row>
    <row r="11">
      <c r="A11" t="inlineStr">
        <is>
          <t>li-4330157791</t>
        </is>
      </c>
      <c r="B11" t="inlineStr">
        <is>
          <t>Data Engineer</t>
        </is>
      </c>
      <c r="C11" t="inlineStr">
        <is>
          <t>AARATECH</t>
        </is>
      </c>
      <c r="D11" t="inlineStr">
        <is>
          <t>linkedin</t>
        </is>
      </c>
      <c r="E11" t="inlineStr"/>
      <c r="F11" t="inlineStr"/>
      <c r="G11" t="inlineStr"/>
      <c r="H11" t="inlineStr"/>
      <c r="I11"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2">
      <c r="A12" t="inlineStr">
        <is>
          <t>li-4330217307</t>
        </is>
      </c>
      <c r="B12" t="inlineStr">
        <is>
          <t>Data Engineer</t>
        </is>
      </c>
      <c r="C12" t="inlineStr">
        <is>
          <t>AARATECH</t>
        </is>
      </c>
      <c r="D12" t="inlineStr">
        <is>
          <t>linkedin</t>
        </is>
      </c>
      <c r="E12" t="inlineStr"/>
      <c r="F12" t="inlineStr"/>
      <c r="G12" t="inlineStr"/>
      <c r="H12" t="inlineStr"/>
      <c r="I12" t="inlineStr">
        <is>
          <t>Job Title: Data Engineer – Cloud \&amp; Big Data
 🏢 Company: Aaratech Inc
 🛑 Eligibility: Only U.S. Citizens and Green Card holders are eligible.
 Please note that we do not offer visa sponsorship.
 Job Summary:
 Aaratech Inc. is seeking an experienced
 **Data Engineer – Cloud \&amp; Big Data** 
 to design and manage large\-scale data platforms. This role focuses on cloud\-based data engineering solutions that support advanced analytics and business intelligence.
 Key Responsibilities:
 🔹 Big Data \&amp; Cloud Engineering
 Design and maintain cloud\-based data pipelines and architectures.
 Work with large\-scale datasets and distributed systems.
 🔹 Data Platform Management
 Build and optimize data lakes and data warehouses.
 Ensure scalability and reliability.
 🔹 Data Quality \&amp; Performance
 Implement monitoring, validation, and optimization strategies.
 🔹 Collaboration
 Work with analytics, data science, and engineering teams.
 🔹 Tools \&amp; Technologies
 Use SQL, Python, Spark, cloud services, and ETL frameworks.
 Qualifications:
 ✅ Bachelor’s degree in Computer Science, Engineering, or related field
 ✅ Minimum 2 years of Data Engineering experience
 ✅ Strong SQL and Python skills
 ✅ Experience with cloud and big data technologies
 ✅ Strong problem\-solving and communication skills</t>
        </is>
      </c>
    </row>
    <row r="13">
      <c r="A13" t="inlineStr">
        <is>
          <t>li-4354356328</t>
        </is>
      </c>
      <c r="B13" t="inlineStr">
        <is>
          <t>Data Engineer – Corporate Technology Data Engineering &amp; Analytics</t>
        </is>
      </c>
      <c r="C13" t="inlineStr">
        <is>
          <t>MassMutual</t>
        </is>
      </c>
      <c r="D13" t="inlineStr">
        <is>
          <t>linkedin</t>
        </is>
      </c>
      <c r="E13" t="inlineStr"/>
      <c r="F13" t="inlineStr"/>
      <c r="G13" t="inlineStr">
        <is>
          <t>Hartford, CT</t>
        </is>
      </c>
      <c r="H13" t="inlineStr"/>
      <c r="I13" t="inlineStr">
        <is>
          <t>**The Opportunity**
 Join our dynamic team as a Data Engineer – Corporate Technology Data Engineering \&amp; Analytics, where you'll play a pivotal role in driving the execution of our data and technology strategy. This role is crucial in driving digital transformation and operational efficiency across Investment Management. As part of this role, you will engage in building data solutions including streaming and batch pipelines, data marts \&amp; data warehouse. You will be responsible for establishing robust data collection and processing pipelines to fulfill Investment Management business requirements.
**The Team**
 You’ll be an integral part of our esteemed Corporate Technology Team, focused on Data Engineering \&amp; Analytics. Our team operates on a global scale, driving innovation and excellence across diverse areas of expertise. As a Data Engineer, you'll play a critical role in high impact Corporate Technology Investment Initiatives, ensuring alignment with organizational objectives and driving impactful outcomes. This is an opportunity to collaborate closely with Corporate Technology Data and Analytics team and Investment management business stakeholders. Our team thrives on collaboration, innovation, and a shared commitment to excellence. Together, we're shaping the future of technology within our organization and making a lasting impact on a global scale. Join us and be part of a dynamic team where your contributions will be valued and your potential unleashed.
**The Impact**
* Design, build, and measure complex ELT jobs to process disparate data sources and form a high integrity, high quality, clean data asset.
* Executes and provides feedback for data modeling policies, procedure, processes, and standards.
* Assists with capturing and documenting system flow and other pertinent technical information about data, database design, and systems.
* Develop comprehensive data quality standards and implement effective tools to ensure data accuracy and reliability.
* Collaborate with various Investment Management departments to gain a better understanding of new data patterns.
* Collaborate with Data Analysts, Data Architects, and BI developers to ensure design and development of scalable data solutions aligning with business goals.
* Translate high\-level business requirements into detailed technical specs.
**The Minimum Qualifications**
* Bachelor’s degree in Computer Science, Engineering, Information Systems or related technical field.
* 8\+ years of experience with data analytics, data modeling, and database design.
* 5\+ years experience with ELT methodologies and tools.
* 5\+ years experience in designing, developing, tuning and troubleshooting SQL.
* 3\+ years of coding and scripting (Python, Java, Scala) and design experience.
* 2\+ years of experience with Spark framework.
**The Ideal Qualifications**
* Knowledge of Informatica Power center and Informatica IDMC.
* Knowledge of distributed, column\- orientated technology to create high\-performant database technologies like \- Vertica, Snowflake.
* Strong data analysis skills for extracting insights from financial data
* Proficiency in reporting tools (e.g., Power BI, Tableau).
* Domain knowledge of Investment Management operations including Security Masters, Securities Trade and Recon Operations, Reference data management, Pricing.
* Familiarity with regulatory requirements and compliance standards in the investment management industry.
* Experience with IBOR’s such as Blackrock Alladin, CRD, Eagle STAR (ABOR), Eagle Pace, and Eagle DataMart.
* Familiarity with investment data platforms such as GoldenSource, FINBOURNE, NeoXam, RIMES, and JPM Fusion.
* Strong analytical and problem\-solving abilities.
* Exceptional communication and interpersonal skills.
* Ability to influence and motivate teams without direct authority.
* Excellent time management and organizational skills, with the ability to prioritize multiple initiatives.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14">
      <c r="A14" t="inlineStr">
        <is>
          <t>li-4354632123</t>
        </is>
      </c>
      <c r="B14" t="inlineStr">
        <is>
          <t>BI Engineer (Tableau / SQL)</t>
        </is>
      </c>
      <c r="C14" t="inlineStr">
        <is>
          <t>Agility Partners</t>
        </is>
      </c>
      <c r="D14" t="inlineStr">
        <is>
          <t>linkedin</t>
        </is>
      </c>
      <c r="E14" t="inlineStr"/>
      <c r="F14" t="inlineStr"/>
      <c r="G14" t="inlineStr">
        <is>
          <t>Columbus, Ohio Metropolitan Area</t>
        </is>
      </c>
      <c r="H14" t="inlineStr"/>
      <c r="I14" t="inlineStr">
        <is>
          <t>A Little About This Gig:
 Join a newly formed analytics team focused on a large\-scale initiative to rebuild a client reporting platform. The goal is to create a self\-service portal where clients can access all their data in one place. As a BI Engineer, you’ll be responsible for building modern, cohesive dashboards and partnering with business stakeholders to turn complex data into actionable insights.
 Responsibilities:
* Collaborate with stakeholders and business partners to gather reporting requirements and translate them into scalable Tableau solutions.
* Develop, maintain, and optimize Tableau dashboards that consolidate data from multiple sources into one unified view.
* Partner with Data Engineers to leverage data housed in Snowflake and other cloud\-based warehouse environments.
* Write and maintain SQL queries to support dashboard datasets and validate data accuracy.
* Present insights to business leaders with clarity and executive\-level communication.
* Contribute to ongoing efforts to establish a semantic layer supporting modernization and AI\-readiness initiatives.
 The Perfect Candidate:
 The ideal candidate would bring the following:
* Strong experience developing interactive dashboards in Tableau (preferably enterprise\-scale).
* Proven ability to gather requirements from non\-technical business partners and communicate findings effectively.
* Exposure to Snowflake or other cloud\-based data warehouse infrastructures.
* Intermediate SQL proficiency (comfortable explaining CTEs, window functions, joins).
* Excellent communication skills and professional presence — must be confident working with leadership\-level stakeholders.
* Familiarity with ETL tools or data integration processes.
* Experience with semantic layer modeling or dashboard enablement frameworks.
 Reasons to Love It:
* Medical, Dental, and Vision Insurance
* 401(k)
* Life Insurance
* Disability Coverage
* Greenfield development within a brand\-new data and analytics team.
* High visibility and direct impact on client's modernization strategy.
* Collaborative, fast\-paced environment focused on innovation and ownership.</t>
        </is>
      </c>
    </row>
    <row r="15">
      <c r="A15" t="inlineStr">
        <is>
          <t>li-4330088212</t>
        </is>
      </c>
      <c r="B15" t="inlineStr">
        <is>
          <t>Data Engineer</t>
        </is>
      </c>
      <c r="C15" t="inlineStr">
        <is>
          <t>AARATECH</t>
        </is>
      </c>
      <c r="D15" t="inlineStr">
        <is>
          <t>linkedin</t>
        </is>
      </c>
      <c r="E15" t="inlineStr"/>
      <c r="F15" t="inlineStr"/>
      <c r="G15" t="inlineStr">
        <is>
          <t>New York, NY</t>
        </is>
      </c>
      <c r="H15" t="inlineStr"/>
      <c r="I15"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16">
      <c r="A16" t="inlineStr">
        <is>
          <t>li-4354564776</t>
        </is>
      </c>
      <c r="B16" t="inlineStr">
        <is>
          <t>Data Engineer</t>
        </is>
      </c>
      <c r="C16" t="inlineStr">
        <is>
          <t>Valzo Soft Solutions</t>
        </is>
      </c>
      <c r="D16" t="inlineStr">
        <is>
          <t>linkedin</t>
        </is>
      </c>
      <c r="E16" t="inlineStr"/>
      <c r="F16" t="inlineStr"/>
      <c r="G16" t="inlineStr">
        <is>
          <t>Texas, United States</t>
        </is>
      </c>
      <c r="H16" t="inlineStr"/>
      <c r="I16" t="inlineStr">
        <is>
          <t>**Job Title:** 
 Data Engineer
**Location:** 
 Texas (Hybrid Work Model)
**Experience:** 
 3 – 8\+ Years
**Employment Type:** 
 Full\-Time / Contract(60\-95$/Hr)
**Job Summary** 
 We are seeking an experienced
 **Data Engineer** 
 to design, build, and maintain scalable data pipelines and platforms. The ideal candidate will have strong hands\-on experience with data engineering tools, cloud platforms, and large\-scale data systems, and will work closely with analytics and business teams.
**Roles \&amp; Responsibilities** 
* Design, develop, and maintain
 **ETL/ELT pipelines** 
 for large datasets
* Build and manage
 **data warehouses, data lakes, and data platforms**
* Optimize and tune data pipelines for performance and reliability
* Work with structured and unstructured data sources
* Develop and optimize complex
 **SQL queries**
* Collaborate with Data Analysts, Data Scientists, and stakeholders
* Ensure data quality, governance, and security standards
* Support production issues and provide timely resolutions
* Document data flows, architecture, and processes
**Required Skills** 
* 3–8\+ years of hands\-on experience as a
 **Data Engineer**
* Strong expertise in
 **SQL** 
 and data modeling
* Hands\-on experience with
 **ETL tools** 
 and data integration frameworks
* Strong programming skills in
 **Python / Scala / Java**
* Experience with
 **Big Data technologies** 
 (Spark, Hadoop, Hive)
* Experience with
 **Cloud platforms – AWS / Azure / GCP**
* Knowledge of
 **Data Warehousing concepts**
* Strong analytical and communication skills
**Preferred Skills** 
* Experience with
 **Snowflake / Redshift / BigQuery**
* Experience with
 **Airflow / Databricks / Kafka**
* Knowledge of
 **CI/CD, Git, Docker**
* Experience in enterprise\-scale data environments</t>
        </is>
      </c>
    </row>
    <row r="17">
      <c r="A17" t="inlineStr">
        <is>
          <t>li-4330107996</t>
        </is>
      </c>
      <c r="B17" t="inlineStr">
        <is>
          <t>Data Engineer</t>
        </is>
      </c>
      <c r="C17" t="inlineStr">
        <is>
          <t>AARATECH</t>
        </is>
      </c>
      <c r="D17" t="inlineStr">
        <is>
          <t>linkedin</t>
        </is>
      </c>
      <c r="E17" t="inlineStr"/>
      <c r="F17" t="inlineStr"/>
      <c r="G17" t="inlineStr">
        <is>
          <t>Texas, United States</t>
        </is>
      </c>
      <c r="H17" t="inlineStr"/>
      <c r="I17"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18">
      <c r="A18" t="inlineStr">
        <is>
          <t>li-4343569773</t>
        </is>
      </c>
      <c r="B18" t="inlineStr">
        <is>
          <t>Data Engineer</t>
        </is>
      </c>
      <c r="C18" t="inlineStr">
        <is>
          <t>BeaconFire Inc.</t>
        </is>
      </c>
      <c r="D18" t="inlineStr">
        <is>
          <t>linkedin</t>
        </is>
      </c>
      <c r="E18" t="inlineStr"/>
      <c r="F18" t="inlineStr"/>
      <c r="G18" t="inlineStr">
        <is>
          <t>New York, United States</t>
        </is>
      </c>
      <c r="H18" t="inlineStr"/>
      <c r="I18" t="inlineStr">
        <is>
          <t>**Junior Data Engineer** 
**DESCRIPTION:** 
 BeaconFire is based in Central NJ, specializing in Software Development, Web Development, and Business Intelligence; looking for candidates who are good communicators and self\-motivated. You will play a key role in building, maintaining, and operating integrations, reporting pipelines, and data transformation systems.
**Qualifications:** 
* Passion for data and a deep desire to learn.
* Master’s Degree in Computer Science/Information Technology, Data Analytics/Data
* Science, or related discipline.
* Intermediate Python. Experience in data processing is a plus. (Numpy, Pandas, etc)
* Experience with relational databases (SQL Server, Oracle, MySQL, etc.)
* Strong written and verbal communication skills.
* Ability to work both independently and as part of a team.
**Responsibilities:** 
* Collaborate with the analytics team to find reliable data solutions to meet the business needs.
* Design and implement scalable ETL or ELT processes to support the business demand for data.
* Perform data extraction, manipulation, and production from database tables.
* Build utilities, user\-defined functions, and frameworks to better enable data flow patterns.
* Build and incorporate automated unit tests, participate in integration testing efforts.
* Work with teams to resolve operational \&amp; performance issues.
* Work with architecture/engineering leads and other teams to ensure quality solutions are implemented, and engineering best practices are defined and adhered to.
**Compensation:** 
 $65,000\.00 to $80,000\.00 /year
***BeaconFire is an e\-verified company. Work visa sponsorship is available.***</t>
        </is>
      </c>
    </row>
    <row r="19">
      <c r="A19" t="inlineStr">
        <is>
          <t>li-4351185718</t>
        </is>
      </c>
      <c r="B19" t="inlineStr">
        <is>
          <t>Data Engineer (IBM Cloud Pak for Data) (Remote)</t>
        </is>
      </c>
      <c r="C19" t="inlineStr">
        <is>
          <t>Stage 4 Solutions</t>
        </is>
      </c>
      <c r="D19" t="inlineStr">
        <is>
          <t>linkedin</t>
        </is>
      </c>
      <c r="E19" t="inlineStr"/>
      <c r="F19" t="inlineStr"/>
      <c r="G19" t="inlineStr"/>
      <c r="H19" t="inlineStr"/>
      <c r="I19" t="inlineStr">
        <is>
          <t>We are seeking a Data Engineer (IBM Cloud Pak for Data) to join a leading global aerospace company. In this role, you will operate, manage, and support the IBM Cloud Pak for Data platform—including installation, configuration, performance tuning, upgrades, and troubleshooting—ensuring stable, secure, and scalable data operations across Kubernetes/OpenShift environments.
 This is a 10 \-month contract (extensions likely), 40\-hour\-per\-week role (4\-day 10\-hour shifts per week), and this is a remote role in the US.
 This is a W\-2 role as a Stage 4 Solutions employee. Health benefits and a 401K are offered.
**Responsibilities**
* Proven ability to work with stakeholders, architects, vendors to resolve complex issues with mass adopted large scale enterprise application (IBM CloudPak for Data)
* Experience in installing, configuring and operating large scale enterprise class applications.
* Demonstrated experience with applications deployed in Kubernetes, Red Hat\-OpenShift environments
* Understanding IBM Cloudpak (CP4D) Services architecture plus security.
* Perform backups, restores and administrative tasks on IBM cloud Pak for data.
* Ability to operate application landscapes, solutions for deployment within LM
* Strong background in application performance tuning, scaling, security and overall cloud based infrastructure components on which application runs.
* AWS cloud experience with core services like \- S3, EC2, IAM, EBS Storage etc.
* Ability to upgrade and patch software, database components in an OpenShift/Kubernetes environment.
* Ability to lead testing efforts for load/performance testing and regression testing etc.
* Ability to learn and lead sustainment of IBM products like IBM Knowledge Catalog, Watson Query, Watson Studio, DataStage, WatsonX.Data and Cognos.
* Foundational understanding and experience with any one relational database (DB2, SQL Server, Postgres etc.)
* Knowledge and experience of delivering CI/CD and DevOps, Github capabilities in a data environment
* Strong expertise with scripting languages e.g. Python. RHEL scripting, Shells Bash, Ksh etc.
* Ability to interpret systems metrics for diagnosing and resolving problems
* Be able to work in Agile (Scrum/Jira) fast paced environment
* Strong communication and problem solving skills
**Desired Skills**
* Candidate needs to be a U.S. citizen
* 10\+ years of experience in IT systems
* Minimum Bachelor's degree in Computer Science, Bachelor's or STEM discipline.
 Please submit your resume to our network at http://www.stage4solutions.com/careers/(Please apply to the Data Engineer (IBM Cloud Pak for Data) (Remote) role).
 Please feel free to forward this opportunity to others who may be interested.
 Stage 4 Solutions is an equal\-opportunity employer. We celebrate diversity and are committed to providing employees with an inclusive environment that is free of discrimination and harassment. All employment decisions are based on the job requirements and candidates’ qualifications, without regard to race, color, religion/belief, national origin, gender identity, age, disability, marital status, genetic information or other applicable legally protected characteristics.
 Compensation: $70 \- $85/hr</t>
        </is>
      </c>
    </row>
    <row r="20">
      <c r="A20" t="inlineStr">
        <is>
          <t>li-4351145873</t>
        </is>
      </c>
      <c r="B20" t="inlineStr">
        <is>
          <t>Senior Data Engineer</t>
        </is>
      </c>
      <c r="C20" t="inlineStr">
        <is>
          <t>SoTalent</t>
        </is>
      </c>
      <c r="D20" t="inlineStr">
        <is>
          <t>linkedin</t>
        </is>
      </c>
      <c r="E20" t="inlineStr"/>
      <c r="F20" t="inlineStr"/>
      <c r="G20" t="inlineStr">
        <is>
          <t>New York, United States</t>
        </is>
      </c>
      <c r="H20" t="inlineStr"/>
      <c r="I20" t="inlineStr">
        <is>
          <t>**Job Title : Senior Data Engineer** 
**Location : New York, United States (Remote)** 
**Type : Full Time** 
 Our client, a leading technology\-driven organization, is seeking a Distinguished Data Engineer to help shape and scale next\-generation data platforms. This role is designed for a senior technical leader who is passionate about modern data technologies, engineering excellence, and building solutions that deliver meaningful business impact.
**Key Responsibilities** 
* Champion modern data and platform technologies, driving awareness, adoption, and measurable value across engineering and product teams
* Partner with cross\-functional leaders to solve complex, high\-impact business challenges that directly influence customer and employee experiences
* Provide deep technical leadership while fostering an inclusive environment where diverse ideas are encouraged and elevated
* Promote a culture of engineering excellence by enabling reuse, standardization, and inner\-sourcing of solutions
* Communicate effectively and influence stakeholders at all levels of the organization to guide technical strategy and execution
* Serve as a trusted advisor within a defined data technology or platform domain, shaping consistent and scalable use cases
* Mentor and develop internal engineering talent while contributing to the growth of a high\-performing data engineering community
* Support hiring and talent development initiatives to build future\-ready data engineering capabilities
**Basic Qualifications** 
* Bachelor’s degree or equivalent practical experience
* 7\+ years of experience in data engineering
* 5\+ years of experience in data architecture and platform design
**Preferred Qualifications** 
* Master’s degree in a relevant discipline
* 7\+ years of hands\-on experience with Python, Java, Go, and SQL
* 3\+ years of experience with data streaming, orchestration, and big data technologies (Kafka, Airflow, Spark, Glue, Kinesis)
* 3\+ years of experience with modern data platforms such as Databricks or Snowflake
* Experience deploying and supporting machine learning models in production environments</t>
        </is>
      </c>
    </row>
    <row r="21">
      <c r="A21" t="inlineStr">
        <is>
          <t>li-4330227044</t>
        </is>
      </c>
      <c r="B21" t="inlineStr">
        <is>
          <t>Data Engineer</t>
        </is>
      </c>
      <c r="C21" t="inlineStr">
        <is>
          <t>AARATECH</t>
        </is>
      </c>
      <c r="D21" t="inlineStr">
        <is>
          <t>linkedin</t>
        </is>
      </c>
      <c r="E21" t="inlineStr"/>
      <c r="F21" t="inlineStr"/>
      <c r="G21" t="inlineStr">
        <is>
          <t>California, United States</t>
        </is>
      </c>
      <c r="H21" t="inlineStr"/>
      <c r="I21" t="inlineStr">
        <is>
          <t>Job Title: Data Engineer – Banking \&amp; Finance
 🏢 Company: Aaratech Inc
 🛑 Eligibility: Only U.S. Citizens and Green Card holders are eligible.
 Please note that we do not offer visa sponsorship.
 Job Summary:
 Aaratech Inc. is seeking a reliable
 **Data Engineer – Banking \&amp; Finance** 
 to support financial data platforms and analytics initiatives. This role focuses on building secure, scalable data pipelines for transactional and financial datasets.
 Key Responsibilities:
 🔹 Data Pipeline Development
 Build and maintain ETL pipelines for banking and financial data.
 Ensure timely and accurate data ingestion.
 🔹 Data Architecture
 Design data warehouse schemas optimized for reporting and analytics.
 Support regulatory and compliance reporting needs.
 🔹 Data Quality \&amp; Security
 Ensure data accuracy, integrity, and security standards.
 Implement data validation and reconciliation processes.
 🔹 Collaboration
 Work with analysts, compliance, and engineering teams.
 Support downstream analytics and reporting.
 🔹 Tools \&amp; Technologies
 Use SQL, Python, cloud platforms, and ETL tools.
 Qualifications:
 ✅ Bachelor’s degree in Computer Science, Engineering, or related field
 ✅ 2\+ years of Data Engineering experience
 ✅ Strong SQL and Python skills
 ✅ Experience with data warehousing and cloud platforms
 ✅ Knowledge of financial data preferred
 ✅ Strong analytical and communication skills</t>
        </is>
      </c>
    </row>
    <row r="22">
      <c r="A22" t="inlineStr">
        <is>
          <t>li-4354594180</t>
        </is>
      </c>
      <c r="B22" t="inlineStr">
        <is>
          <t>Senior Data Engineer</t>
        </is>
      </c>
      <c r="C22" t="inlineStr">
        <is>
          <t>EDO</t>
        </is>
      </c>
      <c r="D22" t="inlineStr">
        <is>
          <t>linkedin</t>
        </is>
      </c>
      <c r="E22" t="inlineStr"/>
      <c r="F22" t="inlineStr"/>
      <c r="G22" t="inlineStr">
        <is>
          <t>San Francisco, CA</t>
        </is>
      </c>
      <c r="H22" t="inlineStr"/>
      <c r="I22" t="inlineStr">
        <is>
          <t>**Who We Are** 
 EDO is the TV outcomes company. Our leading measurement platform connects convergent TV airings to the ad\-driven consumer behaviors most predictive of future sales. EDO empowers the advertising industry to maximize media impact, optimize creative performance, and know the fair value of every impression — across linear and streaming for an increasingly programmatic world. By combining immediate engagement signals with world\-class decision science and vertical AI, EDO equips industry leaders with syndicated, investment\-grade data that aligns media to business results — with detailed competitive, category, and historical insights. Leading brands, agencies, networks, streamers, and studios trust EDO’s TV intelligence to know what works.
 EDO is headquartered in New York City and Los Angeles with an office space in San Francisco.
 We recognize the benefits of hybrid working, and want to create the best balance to ensure we can continue working together effectively. We have a hybrid work policy of three days in the office and two remote work days.
 To learn more about the work we do at EDO, please visit
 **EDO Press** 
 .
**The Role** 
 As a Senior Data Engineer at EDO, you will join a team of talented Data Engineers working closely with Data Scientists to build out our next generation Ad EnGage data pipeline. This pipeline measures and optimizes the effectiveness of advertising by combining and analyzing dozens of sources of advertising occurrence data, advertising outcome data, identity resolution data, and various other types of data. Our clients use these insights to make critical business decisions about their advertising strategy. You will work with large data sets (trillions of rows and hundreds of TB of data) using a modern tech stack centered on AWS, Airflow, DBT, and Snowflake.
**What We Are Looking For** 
* Production experience building complex data pipelines.
* A self\-driven individual who eagerly takes ownership of projects in a startup environment.
* Good working knowledge of data warehousing platforms (such as Snowflake, Redshift, etc), cloud computing (such as AWS), and ETL/data pipeline technologies (such as Airflow, DBT).
* A minimum of 5 years of software engineering experience, including at least 2 years of data engineering experience.
* Proficiency with SQL and a scripting language such as Python or Ruby.
* A strong understanding of software engineering practices, principles, and fundamentals.
* Able to balance engineering considerations with business considerations.
* Previous industry experience working with TV or other advertising data is a plus.
**Compensation and Benefits** 
 EDO offers a competitive compensation package. Components of compensation include:
* Mid\-stage equity and competitive salary
* Flexible Time Off
* Medical, dental and vision coverage: EDO provides full coverage for individual medical plans and partial coverage for dependent or family plans.
* 401(k) plan, FSA, HSA
* Commuter Benefits
* When in an office, employee meals, snacks, and more
 In compliance with New York and California Pay Transparency Law, the salary range for this position is $165,000 to $190,000 plus equity. We note the salary information as a general guideline only, as actual compensation may vary from posting. We will consider various factors to determine the offer for this role, including the scope and responsibilities of the position, relevant work experience, key skills, training, and business considerations.
 EDO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All your information will be kept confidential according to EEO guidelines.</t>
        </is>
      </c>
    </row>
    <row r="23">
      <c r="A23" t="inlineStr">
        <is>
          <t>li-4174166138</t>
        </is>
      </c>
      <c r="B23" t="inlineStr">
        <is>
          <t>Senior Data Engineer</t>
        </is>
      </c>
      <c r="C23" t="inlineStr">
        <is>
          <t>D.A. Davidson Companies</t>
        </is>
      </c>
      <c r="D23" t="inlineStr">
        <is>
          <t>linkedin</t>
        </is>
      </c>
      <c r="E23" t="inlineStr"/>
      <c r="F23" t="inlineStr"/>
      <c r="G23" t="inlineStr">
        <is>
          <t>Irvine, CA</t>
        </is>
      </c>
      <c r="H23" t="inlineStr"/>
      <c r="I23" t="inlineStr">
        <is>
          <t>D.A. Davidson Companies is an independent, employee\-owned company with a rich history spanning more than 80 years. We are dedicated to conducting our business in accordance with the highest standards of integrity and ethics, and delivering outstanding service to our clients and each other. We support a friendly, open and supportive culture, and encourage candid communication and productive engagement that make our companies and each of us better. Just as we work to improve our clients’ financial well\-being, we also work to strengthen local communities—and giving back is one of our core values. You can learn more about our company culture and impact in our latest annual report.
**Summary:**
 Senior Data Engineer is responsible for expanding and optimizing our data and data pipeline architecture, as well as monitoring, troubleshooting and performance tuning data flows used in the collection, integration, and provisioning of data. This role requires experience building data pipelines and optimizing entire data systems as well as greenfield opportunities. This role works alongside other software development teams, database architects, data analysts and end users on complex data initiatives, and ensures our data delivery architecture is consistent with best practices. A Senior Data Engineer oversees the development of junior team members through mentorship, training, guidance, and direct management. A Senior Data Engineer contributes to data architecture and technology roadmaps to support strategic growth and team development. Preferred location Western states, Midwest, or Hybrid.
**Company Overview:**
 D.A. Davidson Companies is an independent, employee\-owned company with a rich history spanning more than 80 years. We are dedicated to conducting our business in accordance with the highest standards of integrity and ethics, while delivering outstanding service to our clients and coworkers. We support a friendly, open and adaptive culture, and encourage candid communication and productive collaboration across throughout the firm. Just as we work to improve our clients and employees’ well\-being, we also work to strengthen local communities—and giving back is one of our core values.
**Qualifications:**
* 7 or more years of Data Engineering experience in an oversight capacity
* Extensive domain\-specific experience in the Financial Services industry
* Experience with Microsoft cloud\-based technologies in a hybrid architecture
* Advanced working TSQL knowledge and experience working with relational databases, query authoring, stored procedure development, end\-to\-end data pipeline development
* Experience performing operational analysis on internal and external data and processes to uncover failure points and identify opportunities for improvement
* Strong analytic skills related to working with complex, multi\-layered data pipelines and dependent datasets
* Holistic awareness of processes supporting data preparation, metadata, dependencies, lineages, compliance and workload management
* Understanding of data modeling concepts like:
* Conceptual data modeling
* Logical data modeling
* Relational data modeling
* Dimensional and multi\-dimensional data modeling
* Understanding of meta\-model and metadata management requirements
* Specific skills include:
* Extensive experience with SQL\-based syntax
* Extensive experience designing and implementing data structures and interfaces for applications and business processes
* Experience with relational database platforms: preferably MS SQLServer
* Experience with data pipeline tools such as: SSIS
* Experience using orchestration tools such as: ActiveBatch
* Experience with web services and API integrations
* Experience with scripting languages such as: Python and Powershell
* Experience with Agile, DevOps and DataOps methods and technologies: Source Code Control, Versioning, Test Automation, Continuous Integration, Automated Deployment, Recoverability, Telemetry, etc
* Familiarity with data visualization technologies such as: Tableau, PowerBI
**Job Responsibilities:**
* Design, implement and maintain a robust, efficient and compliant data pipeline architecture
* Oversee and review the work of other engineers through peer reviews, code reviews and process reviews
* Identify, design, and implement internal process improvements: automating manual processes, optimizing data delivery, re\-designing infrastructure for greater scalability, etc
* Research and analyze new technologies, methodologies and architectures for viability
* Build and maintain a service\-based architecture for the publication of consumable data and information objects
* Work with data architects and data analysts to enhance and evolve the data environment
* Work with Business and IT stakeholders to assist with data\-related technical issues and support their data and information requirements
* Define and develop frameworks, guidelines, best practices and examples to ensure data structures and integration processes are accurate, compliant and secure
* Facilitate the development and implementation of data quality standards, data protection standards and adoption requirements across the enterprise
* Define indicators of performance and quality metrics and ensure compliance with data related policies, standards, roles and responsibilities, and adoption requirements
**What we offer:**
 Competitive salary plus excellent benefits and perks including, but not limited to:
* Medical, Dental and Vision
* Company 401(k)and ESOP contribution
* Generous sick, vacation, and maternity/parental leave
* Paid holidays
* Professional Development Opportunities
* Tuition Reimbursement ($15,000 lifetime cap)
* Discounted personal insurance including home, auto and recreational vehicles
* Charitable gift\-matching program
* Davidson Day of Giving – Our tradition of positively impacting communities in which we live and work
 The potential pay range for this role is $110,000 – 150,000\. The compensation offered will be determined on a case\-by\-case basis considering a variety of factors including, but not limited to, the skills, relevant work experience, and geographic location of each specific candidate. Additional incentive compensation may be earned based on performance.
 At D.A. Davidson, we are committed to fostering a diverse environment that supports the development and inclusivity of all employees.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Please answer all questions carefully: incomplete or inaccurate answers may impact your potential employment. By clicking Submit Application, you declare that all statements in this application are truthful to the best of your knowledge. California applicants please see D.A. Davidson's California Resident Privacy Policy.</t>
        </is>
      </c>
    </row>
    <row r="24">
      <c r="A24" t="inlineStr">
        <is>
          <t>li-4330137264</t>
        </is>
      </c>
      <c r="B24" t="inlineStr">
        <is>
          <t>Senior Data Engineer</t>
        </is>
      </c>
      <c r="C24" t="inlineStr">
        <is>
          <t>Flybridge Staffing</t>
        </is>
      </c>
      <c r="D24" t="inlineStr">
        <is>
          <t>linkedin</t>
        </is>
      </c>
      <c r="E24" t="inlineStr"/>
      <c r="F24" t="inlineStr"/>
      <c r="G24" t="inlineStr">
        <is>
          <t>Palm Beach Gardens, FL</t>
        </is>
      </c>
      <c r="H24" t="inlineStr"/>
      <c r="I24" t="inlineStr">
        <is>
          <t>Flybridge Staffing is currently searching for a Data Engineer for a client located in the Palm Beach Gardens area. This is a direct\-hire position that will work off a hybrid schedule of 2 days remote. This person will design systems that supply high\-performance datasets for advanced analytics.
**Experience:** 
* BA degree and 5\+ years of Data Engineering experience.
* Strong experience building ETL data pipelines for on\-premises SQL Server 2017 or newer.
* Deep understanding of the development of data pipelines with either SSIS or Python.
* Experience building data pipelines using third\-party external data sources.
* Broad experience with SQL Server, including Columnstore, etc.
* Extensive experience using SSMS and T\-SQL to create and maintain SQL Server tables, views, functions, stored procedures, and user\-defined table types.
* Experience with data modeling indexes, Temporal tables, CLR, and Service Broker.
* Experience in partitioning tables and indexes, and performance improvement with Query Analyzer.
* Experience writing C\#, PowerShell, and Python.
* Experience with source control integration with GitHub, BitBucket, and Azure DevOps.
* Experience working in an Agile and Kanban SDLC.
* Experience with cloud\-based data management solutions such as Snowflake, Redshift.
* Experience with Python programming is a plus. Libraries such as Pandas, Numpy, csv, Traceback, JSON, PyODBC, Math\-Are nice to have.
* Experience writing design documentation such as ERDs, Data Flow Diagrams, and Process Flow Diagrams.
* Experience with open\-source database engines such as Clickhouse, ArcticDB, and PostGreSQL is a plus.
**Responsibilities:** 
* Collaborate effectively with Stakeholders, Project Managers, Software Engineers, Data Analysts, QA Analysts, DBAs, and Data Engineers.
* Build and maintain data pipelines based on functional and non\-functional requirements.
* Proactively seek out information and overcome obstacles to deliver projects efficiently.
* Ensure that data pipelines incorporate best practices related to performance, scaling, extensibility, fault tolerance, instrumentation, and maintainability.
* Ensure that data pipelines are kept simple and not overly engineered.
* Produce and maintain design and operational documentation.
* Analyze complex data problems and engineer elegant solutions.
 \*\*\*\*NO SPONSORSHIP AVAILABLE\*\*\*\* US Citizen, GC, EAD only please. If your background aligns with the above details and you would like to learn more, please submit your resume to jobs@flybridgestaffing.com
 or on our website, www.flybridgestaffing.com and one of our recruiters will be in touch with you ASAP.
 Follow us on LinkedIn to keep up with all our latest job openings and referral program</t>
        </is>
      </c>
    </row>
    <row r="25">
      <c r="A25" t="inlineStr">
        <is>
          <t>li-4321923049</t>
        </is>
      </c>
      <c r="B25" t="inlineStr">
        <is>
          <t>Data Engineer</t>
        </is>
      </c>
      <c r="C25" t="inlineStr">
        <is>
          <t>Digital Turbine</t>
        </is>
      </c>
      <c r="D25" t="inlineStr">
        <is>
          <t>linkedin</t>
        </is>
      </c>
      <c r="E25" t="inlineStr"/>
      <c r="F25" t="inlineStr"/>
      <c r="G25" t="inlineStr">
        <is>
          <t>Durham, NC</t>
        </is>
      </c>
      <c r="H25" t="inlineStr"/>
      <c r="I25" t="inlineStr">
        <is>
          <t>At Digital Turbine, we make mobile advertising experiences more meaningful and rewarding for users, app publishers, and advertisers — intelligently connecting people in more ways, across more devices. We provide app publishers and advertisers with powerful ads and experiences that captivate consumers, fuel performance, and help telecoms and OEMs supercharge awareness, acquisition, and monetization. In a rapidly evolving industry, we are constantly innovating and creating better paths of discovery to connect consumers, publishers, and advertisers across the mobile ecosystem.
***Please note that Digital Turbine is a hybrid work environment\-only candidates local to the posting location will be considered.***
**About The Data Engineer**
* Develop and implement new features for core systems leveraging our central data lake house
* Automate critical data workflows and manual tasks to enhance team productivity and operational efficiency
* Collaborate with Platform Engineering to support deployment processes and address infrastructure requirements
* Work closely with cross\-functional technology teams to identify, understand, and fulfill infrastructure and data\-related needs
**About You As The Data Engineer**
* 3 years of experience working with open source databases
* 3 years of experience working with ETL and related data pipeline technologies
* Proficient in GitLab and automating GL pipelines.
* Previous work with SQL and Python
* Java and Scala experience is a plus
* Demonstrable experience with cloud\-based ETL tools, Spark on K8s or Databricks
* Ability to manage data platform with Terraform
* Experience with distributed data stores, with demonstrable experience using data lakes and with optimizing query performance
* Solid understanding of data structures and schema design
* Prior work with AWS or GCP ecosystems (GCP preferred)
* Exceptional analytical, organizational, interpersonal, and communication (both oral and written) skills
* Self\-motivated, driven, resourceful
* Enjoy working in fast\-paced, collaborative, Agile environments
* The ability to adapt and learn quickly is a fundamental necessity
* Bachelor’s Degree in Computer Science or related field
**About Digital Turbine**
 Digital Turbine (NASDAQ: APPS) powers superior mobile consumer experiences and results for the world’s leading telcos, advertisers and publishers. Our end\-to\-end platform uniquely simplifies the ability to supercharge awareness, acquisition and monetization — connecting our partners to more consumers, in more ways, across more devices.
 The company is headquartered in Austin, Texas, with global offices in New York, Los Angeles, San Francisco, London, Berlin, Singapore, Tel Aviv, and other cities around the world, serving top agency, app developer, and advertising markets.
 We are honored to have achieved numerous awards as an employer of choice, around the world, including: BuiltIn's Best Places to Work Awards in 2022, 2023 and 2024, DUNS 100 Best Places to Work in Tech for 2023 and 2024, and BDICode's 100 Best Companies to Work in 2024\.
 Digital Turbine is an equal opportunity employer committed to exemplifying diversity and inclusion around the world. We welcome people of different backgrounds, experiences, abilities, and perspectives. We embed diversity in our mindset, products, and teams to empower an inclusive, equitable, and culturally fluent environment. Building and continuously fostering this culture within our teams makes us better collaborators, partners, and innovators.
 Digital Turbine will process the information you provide during the application process in accordance with the Digital Turbine Global Recruitment Privacy Notice.</t>
        </is>
      </c>
    </row>
    <row r="26">
      <c r="A26" t="inlineStr">
        <is>
          <t>li-4337108653</t>
        </is>
      </c>
      <c r="B26" t="inlineStr">
        <is>
          <t>Data Platform Engineer</t>
        </is>
      </c>
      <c r="C26" t="inlineStr">
        <is>
          <t>Thomson Keene</t>
        </is>
      </c>
      <c r="D26" t="inlineStr">
        <is>
          <t>linkedin</t>
        </is>
      </c>
      <c r="E26" t="inlineStr"/>
      <c r="F26" t="inlineStr"/>
      <c r="G26" t="inlineStr"/>
      <c r="H26" t="inlineStr"/>
      <c r="I26" t="inlineStr">
        <is>
          <t>Our client, a Tier 1 Investment Bank, is looking for mid\- and senior\-level AWS Data Engineers to build the platform for front office quant and strat teams to develop, deploy, and productionize next\-generation trading models. This is a greenfield role that aims to resolve challenges around the creation of data pipelines.
 Applicants should have:
* 5\-10\+ years in AWS data engineering technologies, particularly PySpark and Databricks
* Strong Python programming and data processing/analysis skills
* Experience engineering within Front Office and/or Capital Markets environments</t>
        </is>
      </c>
    </row>
    <row r="27">
      <c r="A27" t="inlineStr">
        <is>
          <t>li-4354376776</t>
        </is>
      </c>
      <c r="B27" t="inlineStr">
        <is>
          <t>Senior Data Engineer</t>
        </is>
      </c>
      <c r="C27" t="inlineStr">
        <is>
          <t>EDO</t>
        </is>
      </c>
      <c r="D27" t="inlineStr">
        <is>
          <t>linkedin</t>
        </is>
      </c>
      <c r="E27" t="inlineStr"/>
      <c r="F27" t="inlineStr"/>
      <c r="G27" t="inlineStr">
        <is>
          <t>New York, NY</t>
        </is>
      </c>
      <c r="H27" t="inlineStr"/>
      <c r="I27" t="inlineStr">
        <is>
          <t>**Who We Are** 
 EDO is the TV outcomes company. Our leading measurement platform connects convergent TV airings to the ad\-driven consumer behaviors most predictive of future sales. EDO empowers the advertising industry to maximize media impact, optimize creative performance, and know the fair value of every impression — across linear and streaming for an increasingly programmatic world. By combining immediate engagement signals with world\-class decision science and vertical AI, EDO equips industry leaders with syndicated, investment\-grade data that aligns media to business results — with detailed competitive, category, and historical insights. Leading brands, agencies, networks, streamers, and studios trust EDO’s TV intelligence to know what works.
 EDO is headquartered in New York City and Los Angeles with an office space in San Francisco.
 We recognize the benefits of hybrid working, and want to create the best balance to ensure we can continue working together effectively. We have a hybrid work policy of three days in the office and two remote work days.
 To learn more about the work we do at EDO, please visit
 **EDO Press** 
 .
**The Role** 
 As a Senior Data Engineer at EDO, you will join a team of talented Data Engineers working closely with Data Scientists to build out our next generation Ad EnGage data pipeline. This pipeline measures and optimizes the effectiveness of advertising by combining and analyzing dozens of sources of advertising occurrence data, advertising outcome data, identity resolution data, and various other types of data. Our clients use these insights to make critical business decisions about their advertising strategy. You will work with large data sets (trillions of rows and hundreds of TB of data) using a modern tech stack centered on AWS, Airflow, DBT, and Snowflake.
**What We Are Looking For** 
* Production experience building complex data pipelines.
* A self\-driven individual who eagerly takes ownership of projects in a startup environment.
* Good working knowledge of data warehousing platforms (such as Snowflake, Redshift, etc), cloud computing (such as AWS), and ETL/data pipeline technologies (such as Airflow, DBT).
* A minimum of 5 years of software engineering experience, including at least 2 years of data engineering experience.
* Proficiency with SQL and a scripting language such as Python or Ruby.
* A strong understanding of software engineering practices, principles, and fundamentals.
* Able to balance engineering considerations with business considerations.
* Previous industry experience working with TV or other advertising data is a plus.
**Compensation and Benefits** 
 EDO offers a competitive compensation package. Components of compensation include:
* Mid\-stage equity and competitive salary
* Flexible Time Off
* Medical, dental and vision coverage: EDO provides full coverage for individual medical plans and partial coverage for dependent or family plans.
* 401(k) plan, FSA, HSA
* Commuter Benefits
* When in an office, employee meals, snacks, and more
 In compliance with New York and California Pay Transparency Law, the salary range for this position is $165,000 to $190,000 plus equity. We note the salary information as a general guideline only, as actual compensation may vary from posting. We will consider various factors to determine the offer for this role, including the scope and responsibilities of the position, relevant work experience, key skills, training, and business considerations.
 EDO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All your information will be kept confidential according to EEO guidelines.</t>
        </is>
      </c>
    </row>
    <row r="28">
      <c r="A28" t="inlineStr">
        <is>
          <t>li-4349342662</t>
        </is>
      </c>
      <c r="B28" t="inlineStr">
        <is>
          <t>DATA ENGINEER III</t>
        </is>
      </c>
      <c r="C28" t="inlineStr">
        <is>
          <t>C2Q Health Solutions</t>
        </is>
      </c>
      <c r="D28" t="inlineStr">
        <is>
          <t>linkedin</t>
        </is>
      </c>
      <c r="E28" t="inlineStr"/>
      <c r="F28" t="inlineStr"/>
      <c r="G28" t="inlineStr"/>
      <c r="H28" t="inlineStr"/>
      <c r="I28" t="inlineStr">
        <is>
          <t>**Job Purpose**
 The Data Engineer III will play a pivotal role in designing, developing, and maintaining the data architecture for our organization. This individual will be responsible for T\-SQL development, ETL processes, and Python scripting to ensure efficient data transfer, transformation, and integration. The primary focus will be on automating data workflows, supporting diverse file formats, and utilizing APIs for seamless data import and export. The Data Engineer will collaborate closely with cross\-functional teams to enhance data\-driven decision\-making and contribute to the overall success of our data infrastructure.
**Job Responsibilities**
* Utilize advanced T\-SQL skills to design, optimize, and maintain database structures.
* Develop complex SQL queries for reporting and data transformation.
* Design, implement, and optimize ETL processes for efficient data extraction, transformation, and loading.
* Develop and maintain ETL scripts using Python for seamless integration with existing data workflows.
* Automate SFTP file transfer processes, ensuring secure and reliable data exchange.
* Import and export data and files in various formats, including flat file, XML, JSON, X12, Excel, and Parquet using Python.
* Utilize Python to integrate with APIs for importing and exporting data.
* Collaborate with team members and stakeholders to review and optimize code for efficiency and maintainability.
* Collaborate with analysts and business stakeholders to understand data visualization requirements.
* Work closely with cross\-functional teams to understand data requirements and ensure data integrity.
* Document data engineering processes, standards, and best practices.
* Use Git and Github for version control of scripts and queries, ensuring a collaborative and organized development environment.
* Integrate Tableau for effective data representation and reporting.
**Schedule:** 
 8:30 AM – 5:30 PM
**Weekly Hours:** 
 40
**Qualifications**
**Education:** 
 Bachelor's Degree in Computer Science, Information Technology, or a related field.
**Experience:** 
 Minimum of 5 years of hands\-on experience in T\-SQL development and ETL processes. Proven experience in Python scripting for data manipulation and automation.
**Additional Requirements**
**Technical Skills:**
* Strong expertise in database design, optimization, and maintenance using T\-SQL.
* Proficient in developing and optimizing ETL processes.
* Experience with automating SFTP file transfers and handling diverse file formats.
* Knowledge of data formats such as XML, JSON, X12, Excel, and Parquet.
* Familiarity with API integration for data import and export using Python.
* Proficient in version controlling scripts and queries using Git and Github.
**Preferred Skills**
* Experience in data visualization using Tableau.
* Strong problem\-solving skills and ability to troubleshoot data\-related issues effectively.
* Identify and implement solutions to complex technical projects.
* Ability to work independently and in a team environment.
* Excellent communication and collaboration skills.
* Knowledge of health care delivery and operations a plus.
**Physical Requirements**
 Individuals must be able to sustain certain physical requirements essential to the job. This includes, but is not limited to:
* Standing – Duration of up to 6 hours a day.
* Sitting/Stationary Positions – Sedentary position in duration of up to 6\-8 hours a day for consecutive hours/periods.
* Lifting/Push/Pull – Up to 50 pounds of equipment, baggage, supplies, and other items used in the scope of the job using OSHA guidelines, etc.
* Bending/Squatting – Have to be able to safely bend or squat to perform the essential functions under the scope of the job.
* Stairs/Steps/Walking/Climbing – Must be able to safely maneuver stairs, climb up/down, and walk to access work areas.
* Agility/Fine Motor Skills \- Must demonstrate agility and fine motor skills to operate and activate equipment, devices, instruments, and tools to complete essential job functions (ie. typing, use of supplies, equipment, etc.)
* Sight/Visual Requirements – Must be able to visually read documentation, papers, orders, signs, etc., and type/write documentation, etc. with accuracy.
* Audio Hearing and Motor Skills (Language) Requirements – Must be able to listen attentively and document information from patients, community members, co\-workers, clients, providers, etc., and intake information through audio processing with accuracy. In addition, they must be able to speak comfortably and clearly with language motor skills for customers to understand the individual.
* Cognitive Ability – Must be able to demonstrate good decision\-making, reasonableness, cognitive ability, rational processing, and analysis to satisfy essential functions of the job.
**Disclaimer:** 
 Responsibilities and tasks outlined in this job description are not exhaustive and may change as determined by the needs of the company.
 We are an affirmative action and equal opportunity employer. All qualified applicants will receive consideration for employment without regard to race, color, religion, sex, disability, age, sexual orientation, gender identity, national origin, veteran status, height, weight, or genetic information. We are committed to providing access, equal opportunity, and reasonable accommodation for individuals with disabilities in employment, its services, programs, and activities.
**Salary Range (Min\-Max)**
 $120,000\.00 \- $135,000\.00
 Centerlight Healthcare Systems Is Based In New York And Currently Hires Employees In States Where We Are Registered To Do Business. At This Time We Are Able To Consider Candidates Residing In The Following States
* Alabama
* California
* Colorado
* Connecticut
* Florida
* Georgia
* Illinois
* Indiana
* Louisiana
* Massachusetts
* New Jersey
* New York
* North Carolina
* Ohio
* Oklahoma
* Oregon
* Pennsylvania
* Puerto Rico
* South Carolina
* Texas
* Utah
* Virginia
* Wisconsin</t>
        </is>
      </c>
    </row>
    <row r="29">
      <c r="A29" t="inlineStr">
        <is>
          <t>li-4333225385</t>
        </is>
      </c>
      <c r="B29" t="inlineStr">
        <is>
          <t>Data Engineer</t>
        </is>
      </c>
      <c r="C29" t="inlineStr">
        <is>
          <t>Digital Remedy</t>
        </is>
      </c>
      <c r="D29" t="inlineStr">
        <is>
          <t>linkedin</t>
        </is>
      </c>
      <c r="E29" t="inlineStr"/>
      <c r="F29" t="inlineStr"/>
      <c r="G29" t="inlineStr">
        <is>
          <t>San Francisco, CA</t>
        </is>
      </c>
      <c r="H29" t="inlineStr"/>
      <c r="I29" t="inlineStr">
        <is>
          <t>Digital Remedy is looking for a skilled Data Engineer to join our growing team of analytics experts. As a Data Engineer, you will help design, build, maintain, and troubleshoot data processing systems, with an emphasis on reliability, scalability, and efficiency. You will also contribute to optimizing our company’s data architecture to support our next generation of products and initiatives.
**Responsibilities:**
 Contribute to end\-to\-end data analytics solutions (from data ingestion through visualization) for large\-scale, complex data ecosystems.
* Assist in designing and maintaining data pipelines and architectures in the cloud.
* Build and support analytics tools that provide actionable insights into customer acquisition, operational efficiency, and other key performance metrics.
* Identify opportunities for process improvements: automating manual processes, optimizing data delivery, and supporting scalable infrastructure.
* Model business processes for analysis and optimization.
* Take ownership of individual projects, communicate progress effectively, and showcase key accomplishments.
* Strive for continued learning opportunities to grow technical skills and business context.
**Minimum Requirements:**
* 3\+ years of hands\-on experience in building and optimizing data solutions.
* Proficiency in Python, PySpark and SQL for data manipulation and analysis.
* Experience with data pipeline development (ETL/ELT) and workflow orchestration.
* Working knowledge of Spark (or another distributed processing framework).
* Familiarity with cloud platforms (e.g., Google Cloud Platform, AWS, or Azure).
* Understanding of data modeling, transformation, and performance optimization.
* Strong problem\-solving and organizational skills.
* Ability to collaborate effectively in cross\-functional teams.
**Preferred Qualifications:**
* Hands\-on experience with Databricks platform.
* Experience in Ad Tech, or Media industries.
* Prior involvement in mentoring junior engineers or leading smaller projects.
* Familiarity with ML workflows or integrating BI tools (e.g., Looker, Tableau
***Please note that this position is not eligible for visa sponsorship, including employer sponsorship for an H\-1B visa, OPT\-STEM employment, etc.***
 Sinclair is proud to be an equal opportunity employer and a drug free workplace. Employment practices will not be influenced or affected by virtue of an applicant's or employee's race, color, religion, sex (including pregnancy, gender identity, and sexual orientation), national origin, age, disability, genetic information, military or veteran status or any other characteristic protected by law.
**About Digital Remedy**
 Digital Remedy is a performance media partner for agencies, brands, and media companies. Through proprietary technology, services, and partnerships, Digital Remedy offers outcome\-based media solutions for marketers empowering them to exceed beyond standard media goals. Whether brand or outcome focused, marketers can access insights, media planning, activation, measurement, reporting, and optimization capabilities to deliver the highest performance tied to ROI. The effectiveness of Digital Remedy’s solutions is supported by a tenured client roster of leading brands, agencies, and media companies. In addition, Digital Remedy is a proud recipient of several major award wins including the Digiday Technology Award and Crain’s Best Places to Work several years in a row including a rank of \#1 in 2024\.
**About The Team**
 The life\-blood of our organization is our people. We have a compelling story, a goal\-oriented culture, and we take really good care of people. How good? Here is a glimpse: great benefits, open door policy, upward mobility and a strong desire to see you succeed. Ready to be part of a winning team? Let’s talk.
 The base salary compensation range for this role is $120,000 to $140,000\. In addition to base pay, this role is eligible for a performance\-based bonus. Final compensation for this role will be determined by various factors such as a candidates’ relevant work experience, skills, certifications, and geographic location. Full time positions are eligible for benefits that include participation in a retirement plan, life and disability insurance, health, dental and vision plans, flexible spending accounts, 15 paid vacation days, 2 paid personal days, 9 paid holidays, 40 hours of paid sick leave, parental leave, and employee stock purchase plan.</t>
        </is>
      </c>
    </row>
    <row r="30">
      <c r="A30" t="inlineStr">
        <is>
          <t>li-4303078472</t>
        </is>
      </c>
      <c r="B30" t="inlineStr">
        <is>
          <t>Data Engineer (ETL/SQL)</t>
        </is>
      </c>
      <c r="C30" t="inlineStr">
        <is>
          <t>fullthrottle.ai®</t>
        </is>
      </c>
      <c r="D30" t="inlineStr">
        <is>
          <t>linkedin</t>
        </is>
      </c>
      <c r="E30" t="inlineStr"/>
      <c r="F30" t="inlineStr"/>
      <c r="G30" t="inlineStr"/>
      <c r="H30" t="inlineStr"/>
      <c r="I30" t="inlineStr">
        <is>
          <t>**Data Engineer (ETL/SQL) (Remote, Full\-Time)**
 Join Fullthrottle.ai, a cutting\-edge Marketing Technology SaaS company, where our global software team operates seamlessly across 5 time zones and 6 countries, working collaboratively in a location\-independent environment. Our teams thrive online, demonstrating autonomy, cooperation, and a shared commitment to ownership and excellence.
 We are currently seeking a dynamic and self\-directed, mid\-level Data Engineer (ETL/SQL) with a minimum of 3 years of ETL development experience to contribute to our innovative projects. The ideal candidate should possess strong communication skills, a solution\-oriented mindset, and the ability to excel in a fast\-paced Continuous Development Agile Environment.
**RESPONSIBILITIES:**
**ETL Responsibilities (80% of role)**
* Manage ETL process, translate complex business requirements into scalable and efficient data solutions.
* Investigate and troubleshoot data and user\-related system errors to ensure data integrity.
* Implement ETL processes to extract, transform, and load data from multiple sources into a data warehouse.
**AI Data Preparation / Insights (20% of role)** 
* AI Data Wrangling and Preparation
+ Cleaning, transform, and prepare large and complex datasets.
+ Handling missing values, outliers, inconsistencies, and data quality issues.
+ Data scaling, normalization, encoding, and feature engineering techniques.
* AI Data Planning to achieve FT’s AI Strategy
* Applying ML models to our prepared Data to gain insight
* Augmenting Models with our data to enable achievement of AI strategies.
* Designing, training, evaluating, and deploying ML models, integrating AI solutions into applications, and working with large datasets.
**REQUIREMENTS** 
 :
* Programming Languages and Skills:
+ Python: Strong proficiency is required. Familiarity with libraries like Pandas, NumPy, Scikit\-learn, TensorFlow, Keras, PyTorch, and potentially others depending on the domain (e.g., OpenCV for image processing, NLTK/SpaCy for NLP).
+ SQL: Excellent skills in writing and optimizing complex SQL queries for data extraction, manipulation, and analysis from relational databases.
+ R : experience of R would be a plus, though not a requirement
+ Hands on experience of the various AWS Database \&amp; ETL services, particularly: S3, Python code, Lambda, Cloud Formation and other AWS serverless resources.
+ Active participation in Agile teams, collaborating with team members to review user stories, estimate effort, and contribute to sprint reviews.
+ Solid understanding of various ML algorithms (supervised, unsupervised, reinforcement learning).
+ Experience in training, evaluating, and deploying ML models would be a plus.
+ Knowledge of model selection, hyperparameter tuning, and cross\-validation techniques.
+ Familiarity with ML frameworks and libraries mentioned above.
+ 3\+ years min experience in a similar ETL role is essential. Exposure to AI ML models and AI data solutions delivery a major plus.
* Remote Team Experience : 1\+ years of experience working in a distributed remote technology team (a plus).
**PERSONAL PROFILE** 
 :
 We are seeking long\-term team members who align with our values and can thrive in our distributed Continuous Development Agile Scrum team. Ideal candidates will be:
* Self\-directed and self\-motivated with a proven ability to deliver results.
* Strong communicators, capable of summarizing key deliverables and meeting daily deadlines.
* Experienced in a fast\-paced Agile/Scrum development environment.
* Comfortable working in a distributed development environment with remote colleagues.
* Proven team players.
**Remote Minimum Requirements** 
 :
 Candidates must have a reliable high\-speed internet connection, fluent written/spoken English, and be located within \+/\- 6 hours of US Eastern Standard Time.</t>
        </is>
      </c>
    </row>
    <row r="31">
      <c r="A31" t="inlineStr">
        <is>
          <t>li-4330176453</t>
        </is>
      </c>
      <c r="B31" t="inlineStr">
        <is>
          <t>Senior Data Engineer</t>
        </is>
      </c>
      <c r="C31" t="inlineStr">
        <is>
          <t>Cipher7</t>
        </is>
      </c>
      <c r="D31" t="inlineStr">
        <is>
          <t>linkedin</t>
        </is>
      </c>
      <c r="E31" t="inlineStr"/>
      <c r="F31" t="inlineStr"/>
      <c r="G31" t="inlineStr">
        <is>
          <t>Wilmington, DE</t>
        </is>
      </c>
      <c r="H31" t="inlineStr"/>
      <c r="I31" t="inlineStr">
        <is>
          <t>**Job Title: Senior Data Engineer – AWS \| Java/Python \| Big Data** 
**Location:** 
 Wilmington, DE
**Work Mode:** 
 5 Days Onsite
**Employment Type:** 
 Full\-Time, Permanent
**Salary:** 
 Up to USD $125,000 per annum
**Experience:** 
 10\+ Years
**Domain:** 
 Financial Services / Investment Banking
**Role Overview** 
 We are seeking an experienced
 **Senior Data Engineer** 
 to design, build, and modernize large\-scale data platforms within a Financial Services environment. This role focuses on
 **cloud\-based data engineering** 
 , leveraging
 **AWS, Big Data technologies, and Java/Python** 
 to develop robust, scalable, and secure data pipelines and services.
 This is a
 **data\-centric engineering role** 
 and not a traditional Java application development position.
**Primary Skill Set** 
* Strong experience with
 **AWS** 
 (data and compute services)
* Proficiency in
 **Java and/or Python** 
 for data engineering use cases
* Hands\-on experience with
 **Big Data technologies**
**Nice to Have** 
* **Databricks**
* **Snowflake**
**Key Responsibilities** 
* Acquire, integrate, and manage data from multiple sources and storage systems
* Migrate and transform existing ETL logic to
 **AWS, Databricks, or equivalent cloud platforms**
* Design and develop scalable data services using
 **object\-oriented and functional programming**
* Establish and enforce standards to ensure
 **data quality, consistency, and completeness**
* Develop secure, high\-quality code with minimal supervision
* Design, develop, and troubleshoot data solutions with awareness of upstream and downstream dependencies
* Apply SDLC tools and automation to improve development efficiency and reliability
* Ensure operational stability, performance, and scalability of data platforms
**Required Qualifications** 
* **10\+ years** 
 of experience in
 **Data Engineering** 
 or related roles
* Strong hands\-on experience with
 **AWS cloud\-based data solutions**
* Advanced programming skills in
 **Java and/or Python**
* Experience with
 **Big Data processing frameworks**
* Proven experience in system design, application development, testing, and production support
* Background in
 **Financial Services or Investment Banking** 
 environments
**Preferred Qualifications** 
* Formal training or certification in
 **Data Engineering or Cloud technologies**
* Experience with
 **Databricks and/or Snowflake**
* Strong understanding of data governance and best practices</t>
        </is>
      </c>
    </row>
    <row r="32">
      <c r="A32" t="inlineStr">
        <is>
          <t>li-4354604107</t>
        </is>
      </c>
      <c r="B32" t="inlineStr">
        <is>
          <t>Lead Data Engineer</t>
        </is>
      </c>
      <c r="C32" t="inlineStr">
        <is>
          <t>KDR Talent Solutions USA</t>
        </is>
      </c>
      <c r="D32" t="inlineStr">
        <is>
          <t>linkedin</t>
        </is>
      </c>
      <c r="E32" t="inlineStr"/>
      <c r="F32" t="inlineStr"/>
      <c r="G32" t="inlineStr"/>
      <c r="H32" t="inlineStr"/>
      <c r="I32" t="inlineStr">
        <is>
          <t>**Job Title: Lead** 
 Data Engineer
**Location:** 
 Remote
**Employment Type:** 
 Full\-time
**Compensation:** 
* Up to $220k \+ benefits
**About the Role** 
 We’re hiring experienced
 **Lead Data Engineers** 
 to support large\-scale data transformation projects for enterprise clients in the
 **financial services** 
 sector. You’ll be embedded within a high\-performing consulting team delivering mission\-critical data platforms using
 **Databricks** 
 and
 **AWS** 
 .
 This is a hands\-on engineering role focused on architecture, implementation, and optimization of robust data solutions at scale.
**Key Responsibilities** 
* Design, build, and deploy data pipelines and platforms using
 **Databricks** 
 and
 **cloud infrastructure (preferably AWS)**
* Lead or contribute to end\-to\-end implementation of data solutions in enterprise environments
* Collaborate with architects, analysts, and client stakeholders to define technical requirements
* Optimize data systems for performance, scalability, and security
* Ensure data governance, quality, and compliance in all solutions
* Mentor junior engineers (Lead role)
**Required Skills \&amp; Experience** 
* 8\+ years of experience in data engineering
* Deep expertise with
 **Databricks** 
 (Spark, Delta Lake, MLflow, Unity Catalog)
* Strong experience with
 **cloud platforms** 
 , ideally
 **AWS** 
 (S3, Glue, Lambda, etc.)
* Proven track record of delivering complex data solutions in
 **financial services** 
 or other regulated industries
* Proficient in Python and SQL
* Experience with CI/CD for data pipelines and infrastructure\-as\-code tools (e.g., Terraform)
* Strong understanding of data modeling, lakehouse architectures, and data security best practices
**Nice to Have** 
* Experience with Azure or GCP in addition to AWS
* Knowledge of DevOps practices in data engineering
* Familiarity with regulatory frameworks (e.g., GDPR, SOC2, PCI\-DSS)
**Why Join?** 
* Work on high\-impact, high\-visibility projects with enterprise financial clients
* Competitive compensation and full benefits package
* Flexible remote or hybrid working options
* Opportunity to work with cutting\-edge tools and an experienced, collaborative team
**Interested?** 
 Apply now or reach out directly to learn more.</t>
        </is>
      </c>
    </row>
    <row r="33">
      <c r="A33" t="inlineStr">
        <is>
          <t>li-3908043737</t>
        </is>
      </c>
      <c r="B33" t="inlineStr">
        <is>
          <t>Big Data Engineer</t>
        </is>
      </c>
      <c r="C33" t="inlineStr">
        <is>
          <t>Orion Innovation</t>
        </is>
      </c>
      <c r="D33" t="inlineStr">
        <is>
          <t>linkedin</t>
        </is>
      </c>
      <c r="E33" t="inlineStr"/>
      <c r="F33" t="inlineStr"/>
      <c r="G33" t="inlineStr">
        <is>
          <t>Edison, NJ</t>
        </is>
      </c>
      <c r="H33" t="inlineStr"/>
      <c r="I33"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**Job Responsibilities**
* Requirement analysis, requirement gathering, design, business impact analysis, gap analysis, estimation, development, testing, coding, code review, unit testing and deployment of the application.
* Design, build, install, configure, and support Hadoop (Big Data).
* Design and implement big data pipelines to ingest and process data in real\-time and monitor for data miss or error in progress to ensure that data reaches the end system.
* Measure the performance of various APIs and implement optimization on slow services to enhance the responsiveness of the system.
* Deliver functional enhancements to the existing big data applications.
* Provide inputs on solution architecture based on evaluation/understanding of solution alternatives, frameworks, and products.
* Develop Hadoop batch jobs for data extraction from multiple unstructured and structured data sources for populating into various repositories (Hadoop, Neo4J, MongoDB, Apache SOLR).
* Interact with clients to elicit architectural and non\-functional requirements such as performance, scalability, reliability, availability, maintainability.
* Participate in designing the data model structured data in RDBMS into a graph database solution and NoSQL database solution.
* Develop near real\-time data processing solutions using Kafka and Spark Streaming.
* Participate in designing Spark architecture with Databricks and Structured Streaming.
* Set up Microsoft Azure with Databricks, and Databricks Workspace for business analytics.
* Contribute to the automate build process by using Jenkins and Ansible to achieve continuous integration and continuous deployment.
**Requirements**
 Master’s in Computer Science/Applications, Information Technology/Systems or Electronics/Electrical Engineering \+ minimum 1 year experience as Big Data Engineer, Data Engineer, Data Engineering Specialist, Data Warehousing Analyst or related occupation.
 Must be willing to travel/relocate to anywhere in the US.
 Edison, NJ and unanticipated locations throughout US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 What information we collect during our application and recruitment process and why we collect it;
* How we handle that information; and
* How to access and update that information.
 Your use of Orion services is governed by any applicable terms in this notice and our general Privacy Policy.</t>
        </is>
      </c>
    </row>
    <row r="34">
      <c r="A34" t="inlineStr">
        <is>
          <t>li-4330186845</t>
        </is>
      </c>
      <c r="B34" t="inlineStr">
        <is>
          <t>Analytics Engineer</t>
        </is>
      </c>
      <c r="C34" t="inlineStr">
        <is>
          <t>RemoteHunter</t>
        </is>
      </c>
      <c r="D34" t="inlineStr">
        <is>
          <t>linkedin</t>
        </is>
      </c>
      <c r="E34" t="inlineStr"/>
      <c r="F34" t="inlineStr"/>
      <c r="G34" t="inlineStr"/>
      <c r="H34" t="inlineStr"/>
      <c r="I34" t="inlineStr">
        <is>
          <t>About the Opportunity:
 A financial technology organization based in Boston, Massachusetts with team members across the United States, Dominican Republic, and Canada is on a mission to unlock capital that fuels small businesses nationwide. The Analytics Engineering team plays a central role in the data ecosystem by converting raw data into actionable insights. The role involves designing, constructing, and maintaining data models and supporting the analytics platform using tools such as dbt, Fivetran, Snowflake, Census, and Tableau.
 Responsibilities:
 • Design, build, and maintain robust data models and marts using dbt, adhering to clear logic and the DRY principle
 • Collaborate with Data Science to prepare and transform data features for predictive models
 • Assist Data Engineering in deploying and stabilizing data pipelines feeding production machine learning models
 • Partner with Technology teams to manage impacts of schema changes and data migrations on analytical models
 • Support DevOps in monitoring and maintaining real\-time streaming pipelines
 • Participate in peer reviews to ensure data quality and adherence to team standards
 • Assist in integrating new third\-party data sources to enrich the data ecosystem
 • Implement data governance standards, including quality checks, documentation, and compliance procedures
 Requirements:
 • 2 or more years of experience in Analytics Engineering, Data Engineering, or Business Intelligence
 • 1 or more years of hands\-on experience developing and maintaining production\-level data transformation pipelines using dbt or equivalent Python scripting
 • 1 or more years of experience with cloud\-based data warehouses such as Snowflake or Redshift
 • Strong proficiency in SQL and data modeling
 • Ability to translate complex business needs into scalable technical data solutions
 • Experience with business intelligence tools like Looker, Tableau, or similar
 • Bonus: Experience with Python
 Compensation:
 • Annual Targeted Salary: $110,000 to $130,000 USD
 • Annual Target Bonus: 10%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optional office locations for in\-person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5">
      <c r="A35" t="inlineStr">
        <is>
          <t>li-4324171958</t>
        </is>
      </c>
      <c r="B35" t="inlineStr">
        <is>
          <t>Senior Data Engineer</t>
        </is>
      </c>
      <c r="C35" t="inlineStr">
        <is>
          <t>Avathon</t>
        </is>
      </c>
      <c r="D35" t="inlineStr">
        <is>
          <t>linkedin</t>
        </is>
      </c>
      <c r="E35" t="inlineStr"/>
      <c r="F35" t="inlineStr"/>
      <c r="G35" t="inlineStr">
        <is>
          <t>Austin, TX</t>
        </is>
      </c>
      <c r="H35" t="inlineStr"/>
      <c r="I35" t="inlineStr">
        <is>
          <t>**Avathon Government** 
 , a wholly owned subsidiary of Avathon, is a U.S. company based in Austin, TX. Avathon Government harnesses proven AI technology to bolster military readiness, improve decision advantage, and optimize defense operations. At Avathon Government, we partner with the armed forces to improve operational readiness through practical, AI\-enabled solutions. Our programs focus on upskilling maintainers, enhancing supply chain visibility, and strengthening logistics and distribution efficiency using predictive intelligence powered by advanced machine learning models.
 We modernize the defense industrial base by maximizing capital equipment uptime, forecasting engine and component failures, and improving supplier quality control through technologies such as deep learning, natural language processing, generative AI, and computer vision. Our mission is ensuring warfighter readiness across a diverse set of missions. Are you ready to build the future of AI for national defense? Join our mission today!
 Avathon is looking for an experienced and innovative Data Engineer to join our team to help create the next generation of artificial intelligence solutions that will help our customers make well\-informed decisions and support critical missions. At Avathon, you will immerse yourself in cutting\-edge research and work with the latest technologies to deliver value in the Industrial IoT and Defense spaces.
**Responsibilities**
* Establish and execute best practices for data pipelines, supporting multiple products and aligning with several technology stacks
* Validate and prepare datasets to support analysis and modeling efforts
* Work closely with software engineers and data scientists to deliver cutting edge AI products and solutions to defense and commercial customers
* Operate in self\-hosted, secure environments, handling sensitive information
**Required Qualifications**
* US Citizenship Required
* Fluency in Python and coding best practices
* Experience with multiple data storage technologies, including relational, document, and graph databases
* Experience supporting or delivering software in a production environment
* Experience contributing to a CI/CD pipeline and following Git practices (we use GitLab)
* Self\-driven and comfortable seeking out problems to solve, recommending technologies and solutions and proactively engaging with peers to provide support and drive value
* Experience with agile methodology and workflow
**Preferred Qualifications**
* 3\+ years' experience supporting AL/ML software solutions
* Hands\-on experience with Elasticsearch \&amp; Postgres
* Hands\-on experience with graph databases
* Knowledge of data pipeline frameworks like Apache Airflow, PySpark, Prefect, etc.
* Comfortable operating in a self\-managed cloud environment (we use Azure)
**Clearance:** 
 Applicants selected will be subject to a security investigation and may need to meet eligibility requirements for access to classified information.
 Avathon Government is an equal opportunity employer, dedicated to diversity, equality, and inclusion, and provides equal employment opportunities to all employees and applicants for employment. Avathon Government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36">
      <c r="A36" t="inlineStr">
        <is>
          <t>li-4322340177</t>
        </is>
      </c>
      <c r="B36" t="inlineStr">
        <is>
          <t>Analytics Data Engineer</t>
        </is>
      </c>
      <c r="C36" t="inlineStr">
        <is>
          <t>Anthropic</t>
        </is>
      </c>
      <c r="D36" t="inlineStr">
        <is>
          <t>linkedin</t>
        </is>
      </c>
      <c r="E36" t="inlineStr"/>
      <c r="F36" t="inlineStr"/>
      <c r="G36" t="inlineStr">
        <is>
          <t>San Francisco, CA</t>
        </is>
      </c>
      <c r="H36" t="inlineStr"/>
      <c r="I36"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Analytics Engineer, you will be an early member of the Data Science \&amp; Analytics team building the foundation to scale analytics across our organization. You will collaborate with key stakeholders in Engineering, Product, GTM and other areas to build scalable solutions to transform data into key metrics reporting and insights. You will be responsible for ensuring teams have access to reliable, accurate metrics that can scale with our company’s growth. You will also lead your own projects to enable self\-serve insights to help teams make data\-driven decisions.
**Responsibilities**
* Understand the data needs of stakeholder teams in terms of key data models and reporting, and translate that into technical requirements
* Define, build and manage key data pipelines in dbt that transform raw logs into canonical datasets
* Establish high data integrity standards and SLAs to ensure timely, accurate delivery of data
* Develop insightful and reliable dashboards to track performance of core metrics that will deliver insights to the whole company
* Build foundational data products, dashboards and tools to enable self\-serve analytics to scale across the company
* Influence the future roadmap of Product and GTM teams from a data systems perspective
* Become an expert in our organization’s data models and the company's data architecture
**You Might Be a Good Fit If You Have**
* 5\+ years of experience as an Analytics Data Engineer or similar Data Science \&amp; Analytics roles, preferably partnering with GTM and Product leads to build and report on key company\-wide metrics.
* A passion for the company's mission of building helpful, honest, and harmless AI.
* Expertise in building multi\-step ETL jobs through tooling like dbt; proficiency with workflow management platforms like Airflow and version control management tools through GitHub.
* Expertise in SQL and Python to transform data into accurate, clean data models.
* Experience building data reporting and dashboarding in visualization tools like Hex to serve multiple cross\-functional teams.
* A bias for action and urgency, not letting perfect be the enemy of the effective.
* A “full\-stack mindset”, not hesitating to do what it takes to solve a problem end\-to\-end, even if it requires going outside the original job description.
* Experience building an Analytics Data Engineering (or similar) function at start\-ups.
* A strong disposition to thrive in ambiguity, taking initiative to create clarity and forward progress.
 The expected base compensation for this position is below. Our total compensation package for full\-time employees includes equity, benefits, and may include incentive compensation.
**Annual Salary**
 $275,000—$370,000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37">
      <c r="A37" t="inlineStr">
        <is>
          <t>li-4330245011</t>
        </is>
      </c>
      <c r="B37" t="inlineStr">
        <is>
          <t>Senior Data Engineer</t>
        </is>
      </c>
      <c r="C37" t="inlineStr">
        <is>
          <t>RemoteHunter</t>
        </is>
      </c>
      <c r="D37" t="inlineStr">
        <is>
          <t>linkedin</t>
        </is>
      </c>
      <c r="E37" t="inlineStr"/>
      <c r="F37" t="inlineStr"/>
      <c r="G37" t="inlineStr"/>
      <c r="H37" t="inlineStr"/>
      <c r="I37" t="inlineStr">
        <is>
          <t>About the Opportunity:
 This role focuses on using technology to improve health outcomes for millions of members worldwide. The organization is a diversified, national entity offering technology professionals access to competitive benefits and flexible workplace options.
 Responsibilities:
 • Develop and operationalize data pipelines for reports and advanced analytics including ingestion, transformation, validation, optimization, and orchestration
 • Collaborate with DevSecOps Engineer during continuous integration and deployment processes
 • Guide design and implementation of complex data management procedures such as staging, ingestion, preparation, provisioning, and destruction using scripts, programs, and automation
 • Provide guidance to data engineers on designing, developing, testing, documenting, and operating large\-scale, high\-performance data structures for business intelligence
 • Design, develop, and maintain real\-time processing applications and data pipelines
 • Ensure quality of technical solutions across the organization’s environments
 • Provide senior\-level knowledge and insight into evolving data environments, processing, storage, and utilization
 • Develop, construct, test, and maintain architectures using advanced programming languages and tools
 • Identify and implement improvements to data reliability, efficiency, and quality; automate tasks using data insights
 • Perform other duties as assigned
 • Comply with all policies and standards
 Requirements:
 • Bachelor’s degree in a quantitative or business field such as statistics, mathematics, engineering, or computer science
 • 4 to 6 years of related experience or equivalent knowledge and skills
 • Proficiency in one or more of the following: Python, SQL, Snowflake
 Benefits \&amp; Perks:
 • Competitive pay
 • Health insurance
 • 401K and stock purchase plans
 • Tuition reimbursement
 • Paid time off and holidays
 • Flexible work options including remote, hybrid, field, or office schedules
 Compensation:
 • Pay Range: $87,000\.00 to $161,300\.00 per year
 • Actual pay based on skills, experience, education, and other job\-related factors permitted by law
 • Total compensation may include additional incentives
 • Benefits may be subject to program eligibility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8">
      <c r="A38" t="inlineStr">
        <is>
          <t>li-4322260488</t>
        </is>
      </c>
      <c r="B38" t="inlineStr">
        <is>
          <t>Analytics Data Engineer</t>
        </is>
      </c>
      <c r="C38" t="inlineStr">
        <is>
          <t>Anthropic</t>
        </is>
      </c>
      <c r="D38" t="inlineStr">
        <is>
          <t>linkedin</t>
        </is>
      </c>
      <c r="E38" t="inlineStr"/>
      <c r="F38" t="inlineStr"/>
      <c r="G38" t="inlineStr">
        <is>
          <t>Seattle, WA</t>
        </is>
      </c>
      <c r="H38" t="inlineStr"/>
      <c r="I38"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Analytics Engineer, you will be an early member of the Data Science \&amp; Analytics team building the foundation to scale analytics across our organization. You will collaborate with key stakeholders in Engineering, Product, GTM and other areas to build scalable solutions to transform data into key metrics reporting and insights. You will be responsible for ensuring teams have access to reliable, accurate metrics that can scale with our company’s growth. You will also lead your own projects to enable self\-serve insights to help teams make data\-driven decisions.
**Responsibilities**
* Understand the data needs of stakeholder teams in terms of key data models and reporting, and translate that into technical requirements
* Define, build and manage key data pipelines in dbt that transform raw logs into canonical datasets
* Establish high data integrity standards and SLAs to ensure timely, accurate delivery of data
* Develop insightful and reliable dashboards to track performance of core metrics that will deliver insights to the whole company
* Build foundational data products, dashboards and tools to enable self\-serve analytics to scale across the company
* Influence the future roadmap of Product and GTM teams from a data systems perspective
* Become an expert in our organization’s data models and the company's data architecture
**You Might Be a Good Fit If You Have**
* 5\+ years of experience as an Analytics Data Engineer or similar Data Science \&amp; Analytics roles, preferably partnering with GTM and Product leads to build and report on key company\-wide metrics.
* A passion for the company's mission of building helpful, honest, and harmless AI.
* Expertise in building multi\-step ETL jobs through tooling like dbt; proficiency with workflow management platforms like Airflow and version control management tools through GitHub.
* Expertise in SQL and Python to transform data into accurate, clean data models.
* Experience building data reporting and dashboarding in visualization tools like Hex to serve multiple cross\-functional teams.
* A bias for action and urgency, not letting perfect be the enemy of the effective.
* A “full\-stack mindset”, not hesitating to do what it takes to solve a problem end\-to\-end, even if it requires going outside the original job description.
* Experience building an Analytics Data Engineering (or similar) function at start\-ups.
* A strong disposition to thrive in ambiguity, taking initiative to create clarity and forward progress.
 The expected base compensation for this position is below. Our total compensation package for full\-time employees includes equity, benefits, and may include incentive compensation.
**Annual Salary**
 $275,000—$370,000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39">
      <c r="A39" t="inlineStr">
        <is>
          <t>li-4333279999</t>
        </is>
      </c>
      <c r="B39" t="inlineStr">
        <is>
          <t>Senior Data Engineer</t>
        </is>
      </c>
      <c r="C39" t="inlineStr">
        <is>
          <t>ICE</t>
        </is>
      </c>
      <c r="D39" t="inlineStr">
        <is>
          <t>linkedin</t>
        </is>
      </c>
      <c r="E39" t="inlineStr"/>
      <c r="F39" t="inlineStr"/>
      <c r="G39" t="inlineStr">
        <is>
          <t>Atlanta, GA</t>
        </is>
      </c>
      <c r="H39" t="inlineStr"/>
      <c r="I39" t="inlineStr">
        <is>
          <t>**Overview**
**Job Purpose**
 At Intercontinental Exchange (ICE), we engineer technology, exchanges and clearing houses that connect companies around the world to global capital and derivative markets. With a leading\-edge approach to developing technology platforms, we have built market infrastructure in all major trading centers, offering customers the ability to manage risk and make informed decisions globally. By leveraging our core strengths in technology, we continue to identify new ways to serve our customers and transform global markets.
 ICE Mortgage Technology is seeking a Senior Data Engineer who will be responsible for design and optimize SQL queries, develop stored procedures, and participate in the migration and modernization of legacy applications to support IMT (ICE Mortgage Technology) Products. The candidate should have a strong background in SQL and Scripting.
**Responsibilities**
* Provides Snowflake\-based data warehouse design and development for projects involving new data integration, migration, and enhancement of existing pipelines.
* Designs and develops data transformation logic using SQL, Snowflake stored procedures, and Python\-based scripts for ETL/ELT workloads.
* Builds and maintains robust data pipelines to support reporting, analytics, and application data needs.
* Creates and maintains Snowflake objects like tables, views, streams, tasks, file formats, and external stages.
* Participates in project meetings with data engineers, analysts, business users, and product owners to understand and implement technical requirements.
* Writes technical design documentation based on business requirements and data architecture principles.
* Develops and/or reviews unit testing protocols for SQL scripts, procedures, and data pipelines using automation frameworks.
* Completes documentation and procedures for pipeline deployment, operational handover, and monitoring.
* May mentor or guide junior developers and data engineers.
* Stays current with Snowflake features, best practices, and industry trends in cloud data platforms.
* Performs additional related duties as assigned.
**Knowledge And Experience**
* Bachelor’s degree in computer science, Engineering, or related field (or equivalent experience).
* 8\+ years of professional experience in data engineering or database development.
* Strong Hands\-on experience:
+ Writing complex SQL queries and stored procedures
+ Database stored procedures, functions, views, and schema design
+ Using Streams, Tasks, Time Travel, and Cloning
* Proficiency in database performance tuning and performance optimization — clustering, warehouse sizing, caching, etc.
* Experience configuring external stages to integrate with cloud storage (AWS S3, Azure Blob, etc.).
* Experience writing Python/Shell scripts for data processing (where needed).
* Knowledge on Snowflake and Tidal is an added advantage
* Proficiency in using Git and working within Agile/Scrum SDLC environments.
* Familiarity working in a Software Development Life Cycle (SDLC) leveraging Agile principles.
* Excellent analytical, decision\-making, and problem\-solving skills.
* Ability to multitask in a fast\-paced environment with a focus on timeliness, documentation, and communication with peers and business users.
* Strong verbal and written communication skills to engage both technical and non\-technical audiences at various organizational levels.
 Intercontinental Exchange, Inc. is an Equal Opportunity Employer. All qualified applicants will receive consideration for employment without regard to legally protected characteristics.</t>
        </is>
      </c>
    </row>
    <row r="40">
      <c r="A40" t="inlineStr">
        <is>
          <t>li-4267543947</t>
        </is>
      </c>
      <c r="B40" t="inlineStr">
        <is>
          <t>Senior Market Data Engineer</t>
        </is>
      </c>
      <c r="C40" t="inlineStr">
        <is>
          <t>WorldQuant</t>
        </is>
      </c>
      <c r="D40" t="inlineStr">
        <is>
          <t>linkedin</t>
        </is>
      </c>
      <c r="E40" t="inlineStr"/>
      <c r="F40" t="inlineStr"/>
      <c r="G40" t="inlineStr">
        <is>
          <t>Chicago, IL</t>
        </is>
      </c>
      <c r="H40" t="inlineStr"/>
      <c r="I40" t="inlineStr">
        <is>
          <t>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Technologists at WorldQuant research, design, code, test and deploy firmwide platforms and tooling while working collaboratively with researchers and portfolio managers. Our environment is relaxed yet intellectually driven. We seek people who think in code and are motivated by being around like\-minded people.
**The Role**
* Design and build real\-time market data processing systems covering global markets and multiple asset classes
* Architect and implement high\-performance software solutions for processing market data feeds at scale
* Drive technical innovation by leveraging emerging technologies to enhance system telemetry, monitoring, and operational efficiency
* Provide technical leadership and escalation support for production market data systems
* Analyze system performance and design data\-driven approaches to optimize market data processing workflows
* Lead the design of data governance systems for tracking availability, access patterns, and usage metrics
**What You Will Bring**
* Degree in a quantitative or technical discipline from top university and strong academic scores
* Expert\-level C\+\+ proficiency with demonstrated experience in other object\-oriented languages (Java, C\#)
* Experience with scripting languages such as Perl, Python, and shell scripting for automation and data processing
* Deep experience with tick\-by\-tick market data processing, including data normalization, feed handling, and real\-time analytic
* Excellent communication skills with ability to collaborate effectively across technical and business teams
* Have experience working under Linux environment
**Our Benefits**
* Core Benefits: Fully paid medical and dental insurance for employees and dependents, flexible spending account, 401k, fully paid parental leave, generous PTO (paid time off) that consists of:
+ twenty vacation days that are pro\-rated based on the employee’s start date, at an accrual of 1\.67 days per month,
+ three personal days, and
+ ten sick days.
* Perks: Employee discounts for gym memberships, wellness activities, healthy snacks, casual dress code
* Training: learning and development courses, speakers, team\-building off\-site
* Employee resource groups
**Pay Transparency**
 WorldQuant is a total compensation organization where you will be eligible for a base salary, discretionary performance bonus, and benefits.
 To provide greater transparency to candidates, we share base pay ranges for all US\-based job postings regardless of state. We set standard base pay ranges for all roles based on job function and level, benchmarked against similar stage organizations. When finalizing an offer, we will take into consideration an individual’s experience level and the qualifications they bring to the role to formulate a competitive total compensation package.
**The Base Pay Range For This Position Is** 
 $175,000 – $250,000 USD.
 At WorldQuant, we are committed to providing candidates with all necessary information in compliance with pay transparency laws. If you believe any required details are missing from this job posting, please notify us at
 **\[email protected]** 
 , and we will address your concerns promptly.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is>
      </c>
    </row>
    <row r="41">
      <c r="A41" t="inlineStr">
        <is>
          <t>li-4354545032</t>
        </is>
      </c>
      <c r="B41" t="inlineStr">
        <is>
          <t>Data Engineer</t>
        </is>
      </c>
      <c r="C41" t="inlineStr">
        <is>
          <t>TalentAlly</t>
        </is>
      </c>
      <c r="D41" t="inlineStr">
        <is>
          <t>linkedin</t>
        </is>
      </c>
      <c r="E41" t="inlineStr"/>
      <c r="F41" t="inlineStr"/>
      <c r="G41" t="inlineStr">
        <is>
          <t>San Antonio, Texas Metropolitan Area</t>
        </is>
      </c>
      <c r="H41" t="inlineStr"/>
      <c r="I41"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Job Summary
 Are you ready to shape the future of data governance in one of the most dynamic healthcare organizations? As the Director of Data Governance, you will lead the strategy and execution of data governance across McKesson's Pharmaceutical Solutions and Services (PSaS). This pivotal role ensures that data becomes a trusted, strategic asset by driving stewardship, ownership, and compliance across multiple business segments.
 You'll oversee critical initiatives such as data classification, cataloging, quality, access, and usage\-while collaborating with cross\-functional teams including Business Leaders, Compliance, Legal, Product Management, and IT. This is a high\-impact leadership role where your expertise will enable innovation, unlock data\-driven insights, and influence enterprise\-wide governance capabilities.
 Key Responsibilities
 Lead Governance Strategy: Drive PSaS' data governance framework and operating model, ensuring alignment with enterprise policies, standards, and metrics.
 Establish policies for AI agent usage, context handling, error escalation, human approvals.
 Enable Stewardship \&amp; Ownership: Promote accountability and best practices for data stewardship across the organization.
 Operational Leadership: Oversee day\-to\-day governance execution with McKesson and vendor partners.
 Collaborate Across Functions: Partner with Product, Business, IT, Compliance, Legal, and Security teams to enforce data access controls and privacy standards while identifying new data opportunities.
 Ensure Data Quality: Provide guidance to maintain accuracy, consistency, and usability of data assets.
 Executive Engagement: Work closely with senior leadership, data engineering, and data science teams to integrate governance initiatives into enterprise strategies.
 Manage Data Assets: Maintain and enhance the inventory and catalog of key data assets, addressing gaps and future needs.
 Drive Continuous Improvement: Monitor governance health, report progress, and implement innovative solutions to improve effectiveness.
 Stay Ahead of Trends: Remain current on industry best practices, tools, and regulatory requirements (GDPR, CCPA, HIPAA).
 Basic Requirement\- Degree or equivalentexperience. Typically requires12\+ years of professionalexperience and 4\+ years ofmanagement experience.
 Critical Skills \&amp; Experience
 Proven track record in data governance and data management
 8\+ years in experience with data governance / data management
 Experience working with market leading data governance tools (Alation) and versed in the emerging landscape of new tools
 Strong knowledge of data governance frameworks and data management principles.
 Excellent ability to execute in a strongly matrix environment.
 Strong analytical and problem\-solving skills, with a demonstrated ability to drive data\-driven decision\-making
 Preferred Skills
 Experience in healthcare background preferred.
 Understanding of data privacy regulations (GDPR, CCPA, HIPAA).
 Strong verbal and written communication with all levels of management.
 Candidate must be authorized to work in the U.S and Canada, now or in the future, without the support from McKesson.
 We are proud to offer a competitive compensation package at McKesson as part of our Total Rewards. This is determined by several factors, including performance, experience and skills, equity, regular job market evaluations, and geographical markets. In addition to base pay, other compensation, such as an annual bonus or long\-term incentive opportunities may be offered. For more information regarding benefits at McKesson, pleaseclick here.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PDN\-a0c28498\-9292\-497e\-8011\-c70efe79093c</t>
        </is>
      </c>
    </row>
    <row r="42">
      <c r="A42" t="inlineStr">
        <is>
          <t>li-4338523053</t>
        </is>
      </c>
      <c r="B42" t="inlineStr">
        <is>
          <t>PCA Data Engineer</t>
        </is>
      </c>
      <c r="C42" t="inlineStr">
        <is>
          <t>DPR Construction</t>
        </is>
      </c>
      <c r="D42" t="inlineStr">
        <is>
          <t>linkedin</t>
        </is>
      </c>
      <c r="E42" t="inlineStr"/>
      <c r="F42" t="inlineStr"/>
      <c r="G42" t="inlineStr">
        <is>
          <t>Nashville, TN</t>
        </is>
      </c>
      <c r="H42" t="inlineStr"/>
      <c r="I42" t="inlineStr">
        <is>
          <t>**Job Description**
 We are a leading construction company committed to delivering high\-quality, innovative projects. Our team integrates cutting\-edge technologies into the construction process to streamline operations, enhance decision\-making, and drive efficiency across all levels. We are looking for a talented Data Engineer to join our team and contribute to developing robust data solutions that support our business goals.
 In this role, you will be aligned with a specific business group and play a key part in supporting their data needs. You will work closely with engineers, business stakeholders, and cross\-functional teams to design, develop, and maintain data pipelines that integrate, process, and manage data from various source, enabling business insights and enhancing operational efficiency. The ideal candidate will have significant experience with Azure, Python, and Azure Data Factory, with a strong focus on data integration. You’ll be part of a team that designs, builds, and operates data integrations across systems into a centralized data platform
**Responsibilities**
* Design, develop, and maintain robust data pipelines and ETL processes using tools like Azure Data Factory and Python across internal and external systems.
* Translate business requirements into technical requirements
* Create and maintain technical documentation related to data architecture, integration flows, and processes.
* Monitor and troubleshoot pipeline performance and reliability with minimal oversight
* Collaborate with other engineers, delivery leads and platform teams to ensure data solutions meet business needs while following best practices
* Proactively manage data quality, error handling, monitoring, and alerting to ensure timely and trustworthy data delivery.
* Perform debugging, application issue resolution, root cause analysis, and assist in proactive/preventive maintenance.
* Participate in the code review, performance tuning and continuous improvements efforts
* Collaborate with data analysts, business users, and developers to ensure the accuracy and efficiency of data solutions.
* Work with the extended data team to define, develop, and maintain shared data models and definitions.
**Qualifications**
* Minimum of 3 years of experience as a Data Engineer, working with cloud platforms (Azure, AWS).
* Strong hands\-on expertise in Azure Data Factory, Azure Data Lake, Python, and SQL
* Familiarity with cloud storage (Azure, AWS S3\) and integration techniques (APIs, webhooks, REST).
* Experience with modern data platforms like Snowflake and Microsoft Fabric
* Solid understanding of Data Modeling, pipeline orchestration and performance optimization
* Strong problem\-solving skills and ability to troubleshoot complex data issues.
* Excellent communication skills, with the ability to work collaboratively in a team environment and support business stakeholders
* Familiarity with tools like Power BI for data visualization is a plus.
* Experience working with or coordinating with overseas teams is a strong plus
**Preferred Skills**
* Knowledge of Airflow or other orchestration tools.
* Experience working with Git\-based workflows and CI/CD pipelines
* Experience in the construction industry or a similar field is a plus but not required.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43">
      <c r="A43" t="inlineStr">
        <is>
          <t>li-4338493230</t>
        </is>
      </c>
      <c r="B43" t="inlineStr">
        <is>
          <t>PCA Data Engineer</t>
        </is>
      </c>
      <c r="C43" t="inlineStr">
        <is>
          <t>DPR Construction</t>
        </is>
      </c>
      <c r="D43" t="inlineStr">
        <is>
          <t>linkedin</t>
        </is>
      </c>
      <c r="E43" t="inlineStr"/>
      <c r="F43" t="inlineStr"/>
      <c r="G43" t="inlineStr">
        <is>
          <t>Charlotte, NC</t>
        </is>
      </c>
      <c r="H43" t="inlineStr"/>
      <c r="I43" t="inlineStr">
        <is>
          <t>**Job Description**
 We are a leading construction company committed to delivering high\-quality, innovative projects. Our team integrates cutting\-edge technologies into the construction process to streamline operations, enhance decision\-making, and drive efficiency across all levels. We are looking for a talented Data Engineer to join our team and contribute to developing robust data solutions that support our business goals.
 In this role, you will be aligned with a specific business group and play a key part in supporting their data needs. You will work closely with engineers, business stakeholders, and cross\-functional teams to design, develop, and maintain data pipelines that integrate, process, and manage data from various source, enabling business insights and enhancing operational efficiency. The ideal candidate will have significant experience with Azure, Python, and Azure Data Factory, with a strong focus on data integration. You’ll be part of a team that designs, builds, and operates data integrations across systems into a centralized data platform
**Responsibilities**
* Design, develop, and maintain robust data pipelines and ETL processes using tools like Azure Data Factory and Python across internal and external systems.
* Translate business requirements into technical requirements
* Create and maintain technical documentation related to data architecture, integration flows, and processes.
* Monitor and troubleshoot pipeline performance and reliability with minimal oversight
* Collaborate with other engineers, delivery leads and platform teams to ensure data solutions meet business needs while following best practices
* Proactively manage data quality, error handling, monitoring, and alerting to ensure timely and trustworthy data delivery.
* Perform debugging, application issue resolution, root cause analysis, and assist in proactive/preventive maintenance.
* Participate in the code review, performance tuning and continuous improvements efforts
* Collaborate with data analysts, business users, and developers to ensure the accuracy and efficiency of data solutions.
* Work with the extended data team to define, develop, and maintain shared data models and definitions.
**Qualifications**
* Minimum of 3 years of experience as a Data Engineer, working with cloud platforms (Azure, AWS).
* Strong hands\-on expertise in Azure Data Factory, Azure Data Lake, Python, and SQL
* Familiarity with cloud storage (Azure, AWS S3\) and integration techniques (APIs, webhooks, REST).
* Experience with modern data platforms like Snowflake and Microsoft Fabric
* Solid understanding of Data Modeling, pipeline orchestration and performance optimization
* Strong problem\-solving skills and ability to troubleshoot complex data issues.
* Excellent communication skills, with the ability to work collaboratively in a team environment and support business stakeholders
* Familiarity with tools like Power BI for data visualization is a plus.
* Experience working with or coordinating with overseas teams is a strong plus
**Preferred Skills**
* Knowledge of Airflow or other orchestration tools.
* Experience working with Git\-based workflows and CI/CD pipelines
* Experience in the construction industry or a similar field is a plus but not required.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44">
      <c r="A44" t="inlineStr">
        <is>
          <t>li-4338523054</t>
        </is>
      </c>
      <c r="B44" t="inlineStr">
        <is>
          <t>PCA Data Engineer</t>
        </is>
      </c>
      <c r="C44" t="inlineStr">
        <is>
          <t>DPR Construction</t>
        </is>
      </c>
      <c r="D44" t="inlineStr">
        <is>
          <t>linkedin</t>
        </is>
      </c>
      <c r="E44" t="inlineStr"/>
      <c r="F44" t="inlineStr"/>
      <c r="G44" t="inlineStr">
        <is>
          <t>Orlando, FL</t>
        </is>
      </c>
      <c r="H44" t="inlineStr"/>
      <c r="I44" t="inlineStr">
        <is>
          <t>**Job Description**
 We are a leading construction company committed to delivering high\-quality, innovative projects. Our team integrates cutting\-edge technologies into the construction process to streamline operations, enhance decision\-making, and drive efficiency across all levels. We are looking for a talented Data Engineer to join our team and contribute to developing robust data solutions that support our business goals.
 In this role, you will be aligned with a specific business group and play a key part in supporting their data needs. You will work closely with engineers, business stakeholders, and cross\-functional teams to design, develop, and maintain data pipelines that integrate, process, and manage data from various source, enabling business insights and enhancing operational efficiency. The ideal candidate will have significant experience with Azure, Python, and Azure Data Factory, with a strong focus on data integration. You’ll be part of a team that designs, builds, and operates data integrations across systems into a centralized data platform
**Responsibilities**
* Design, develop, and maintain robust data pipelines and ETL processes using tools like Azure Data Factory and Python across internal and external systems.
* Translate business requirements into technical requirements
* Create and maintain technical documentation related to data architecture, integration flows, and processes.
* Monitor and troubleshoot pipeline performance and reliability with minimal oversight
* Collaborate with other engineers, delivery leads and platform teams to ensure data solutions meet business needs while following best practices
* Proactively manage data quality, error handling, monitoring, and alerting to ensure timely and trustworthy data delivery.
* Perform debugging, application issue resolution, root cause analysis, and assist in proactive/preventive maintenance.
* Participate in the code review, performance tuning and continuous improvements efforts
* Collaborate with data analysts, business users, and developers to ensure the accuracy and efficiency of data solutions.
* Work with the extended data team to define, develop, and maintain shared data models and definitions.
**Qualifications**
* Minimum of 3 years of experience as a Data Engineer, working with cloud platforms (Azure, AWS).
* Strong hands\-on expertise in Azure Data Factory, Azure Data Lake, Python, and SQL
* Familiarity with cloud storage (Azure, AWS S3\) and integration techniques (APIs, webhooks, REST).
* Experience with modern data platforms like Snowflake and Microsoft Fabric
* Solid understanding of Data Modeling, pipeline orchestration and performance optimization
* Strong problem\-solving skills and ability to troubleshoot complex data issues.
* Excellent communication skills, with the ability to work collaboratively in a team environment and support business stakeholders
* Familiarity with tools like Power BI for data visualization is a plus.
* Experience working with or coordinating with overseas teams is a strong plus
**Preferred Skills**
* Knowledge of Airflow or other orchestration tools.
* Experience working with Git\-based workflows and CI/CD pipelines
* Experience in the construction industry or a similar field is a plus but not required.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45">
      <c r="A45" t="inlineStr">
        <is>
          <t>li-4338592561</t>
        </is>
      </c>
      <c r="B45" t="inlineStr">
        <is>
          <t>PCA Data Engineer</t>
        </is>
      </c>
      <c r="C45" t="inlineStr">
        <is>
          <t>DPR Construction</t>
        </is>
      </c>
      <c r="D45" t="inlineStr">
        <is>
          <t>linkedin</t>
        </is>
      </c>
      <c r="E45" t="inlineStr"/>
      <c r="F45" t="inlineStr"/>
      <c r="G45" t="inlineStr">
        <is>
          <t>Atlanta, GA</t>
        </is>
      </c>
      <c r="H45" t="inlineStr"/>
      <c r="I45" t="inlineStr">
        <is>
          <t>**Job Description**
 We are a leading construction company committed to delivering high\-quality, innovative projects. Our team integrates cutting\-edge technologies into the construction process to streamline operations, enhance decision\-making, and drive efficiency across all levels. We are looking for a talented Data Engineer to join our team and contribute to developing robust data solutions that support our business goals.
 In this role, you will be aligned with a specific business group and play a key part in supporting their data needs. You will work closely with engineers, business stakeholders, and cross\-functional teams to design, develop, and maintain data pipelines that integrate, process, and manage data from various source, enabling business insights and enhancing operational efficiency. The ideal candidate will have significant experience with Azure, Python, and Azure Data Factory, with a strong focus on data integration. You’ll be part of a team that designs, builds, and operates data integrations across systems into a centralized data platform
**Responsibilities**
* Design, develop, and maintain robust data pipelines and ETL processes using tools like Azure Data Factory and Python across internal and external systems.
* Translate business requirements into technical requirements
* Create and maintain technical documentation related to data architecture, integration flows, and processes.
* Monitor and troubleshoot pipeline performance and reliability with minimal oversight
* Collaborate with other engineers, delivery leads and platform teams to ensure data solutions meet business needs while following best practices
* Proactively manage data quality, error handling, monitoring, and alerting to ensure timely and trustworthy data delivery.
* Perform debugging, application issue resolution, root cause analysis, and assist in proactive/preventive maintenance.
* Participate in the code review, performance tuning and continuous improvements efforts
* Collaborate with data analysts, business users, and developers to ensure the accuracy and efficiency of data solutions.
* Work with the extended data team to define, develop, and maintain shared data models and definitions.
**Qualifications**
* Minimum of 3 years of experience as a Data Engineer, working with cloud platforms (Azure, AWS).
* Strong hands\-on expertise in Azure Data Factory, Azure Data Lake, Python, and SQL
* Familiarity with cloud storage (Azure, AWS S3\) and integration techniques (APIs, webhooks, REST).
* Experience with modern data platforms like Snowflake and Microsoft Fabric
* Solid understanding of Data Modeling, pipeline orchestration and performance optimization
* Strong problem\-solving skills and ability to troubleshoot complex data issues.
* Excellent communication skills, with the ability to work collaboratively in a team environment and support business stakeholders
* Familiarity with tools like Power BI for data visualization is a plus.
* Experience working with or coordinating with overseas teams is a strong plus
**Preferred Skills**
* Knowledge of Airflow or other orchestration tools.
* Experience working with Git\-based workflows and CI/CD pipelines
* Experience in the construction industry or a similar field is a plus but not required.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46">
      <c r="A46" t="inlineStr">
        <is>
          <t>li-4338602550</t>
        </is>
      </c>
      <c r="B46" t="inlineStr">
        <is>
          <t>PCA Data Engineer</t>
        </is>
      </c>
      <c r="C46" t="inlineStr">
        <is>
          <t>DPR Construction</t>
        </is>
      </c>
      <c r="D46" t="inlineStr">
        <is>
          <t>linkedin</t>
        </is>
      </c>
      <c r="E46" t="inlineStr"/>
      <c r="F46" t="inlineStr"/>
      <c r="G46" t="inlineStr">
        <is>
          <t>Fort Lauderdale, FL</t>
        </is>
      </c>
      <c r="H46" t="inlineStr"/>
      <c r="I46" t="inlineStr">
        <is>
          <t>**Job Description**
 We are a leading construction company committed to delivering high\-quality, innovative projects. Our team integrates cutting\-edge technologies into the construction process to streamline operations, enhance decision\-making, and drive efficiency across all levels. We are looking for a talented Data Engineer to join our team and contribute to developing robust data solutions that support our business goals.
 In this role, you will be aligned with a specific business group and play a key part in supporting their data needs. You will work closely with engineers, business stakeholders, and cross\-functional teams to design, develop, and maintain data pipelines that integrate, process, and manage data from various source, enabling business insights and enhancing operational efficiency. The ideal candidate will have significant experience with Azure, Python, and Azure Data Factory, with a strong focus on data integration. You’ll be part of a team that designs, builds, and operates data integrations across systems into a centralized data platform
**Responsibilities**
* Design, develop, and maintain robust data pipelines and ETL processes using tools like Azure Data Factory and Python across internal and external systems.
* Translate business requirements into technical requirements
* Create and maintain technical documentation related to data architecture, integration flows, and processes.
* Monitor and troubleshoot pipeline performance and reliability with minimal oversight
* Collaborate with other engineers, delivery leads and platform teams to ensure data solutions meet business needs while following best practices
* Proactively manage data quality, error handling, monitoring, and alerting to ensure timely and trustworthy data delivery.
* Perform debugging, application issue resolution, root cause analysis, and assist in proactive/preventive maintenance.
* Participate in the code review, performance tuning and continuous improvements efforts
* Collaborate with data analysts, business users, and developers to ensure the accuracy and efficiency of data solutions.
* Work with the extended data team to define, develop, and maintain shared data models and definitions.
**Qualifications**
* Minimum of 3 years of experience as a Data Engineer, working with cloud platforms (Azure, AWS).
* Strong hands\-on expertise in Azure Data Factory, Azure Data Lake, Python, and SQL
* Familiarity with cloud storage (Azure, AWS S3\) and integration techniques (APIs, webhooks, REST).
* Experience with modern data platforms like Snowflake and Microsoft Fabric
* Solid understanding of Data Modeling, pipeline orchestration and performance optimization
* Strong problem\-solving skills and ability to troubleshoot complex data issues.
* Excellent communication skills, with the ability to work collaboratively in a team environment and support business stakeholders
* Familiarity with tools like Power BI for data visualization is a plus.
* Experience working with or coordinating with overseas teams is a strong plus
**Preferred Skills**
* Knowledge of Airflow or other orchestration tools.
* Experience working with Git\-based workflows and CI/CD pipelines
* Experience in the construction industry or a similar field is a plus but not required.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47">
      <c r="A47" t="inlineStr">
        <is>
          <t>li-4303181195</t>
        </is>
      </c>
      <c r="B47" t="inlineStr">
        <is>
          <t>Lead Azure Data Engineer</t>
        </is>
      </c>
      <c r="C47" t="inlineStr">
        <is>
          <t>Wolverine Worldwide</t>
        </is>
      </c>
      <c r="D47" t="inlineStr">
        <is>
          <t>linkedin</t>
        </is>
      </c>
      <c r="E47" t="inlineStr"/>
      <c r="F47" t="inlineStr"/>
      <c r="G47" t="inlineStr"/>
      <c r="H47" t="inlineStr"/>
      <c r="I47" t="inlineStr">
        <is>
          <t>Current employees, please apply in Workday.
 Wolverine Worldwide is a global marketer of branded footwear, apparel, and accessories. With an established global footprint that spans approximately 200 countries and territories, as well as a rock\-solid infrastructure, Wolverine Worldwide is dedicated to advancing the following brands that comprise the ever\-expanding portfolio: Bates, Chaco, Cat Footwear, Harley Davidson Footwear, Hush Puppies, Merrell, Saucony, Sweaty Betty and Wolverine. Wolverine Worldwide’s continued success is driven by our ability to stay true to our simple mission: we empower, engage and inspire our consumers – every step of the way.
 The Lead Azure Data Engineer operates as a technology expert and architect in the design, development and implementation of data solutions using Microsoft Azure technologies. This position works at an Enterprise level with responsibility for solution development and delivery, technology best practices, 24\-7 support model, and service level agreements with business leadership.
**Primary Duties**
* Confers with customers and team members to determine requirements; designs business application systems that address and solve corporate business needs; utilizes business and systems knowledge to best meet customer and organizational needs
* Manages and maintains controls and procedures, ensuring that assigned IT areas are performing significant tasks on schedule and within expense parameters
* Acts as coordinator, as requested, for Enterprise\-Wide priorities; identifies and analyzes issues, devises solutions through cross\-functional teamwork and determines corrective action, clearly communicating to stakeholders throughout
* Assesses requirements and work requests and assigns priorities and resolution targets
* Assists Manager in preparation of annual budgets and monthly cost allocations
* Accountable for disaster recovery initiatives and change management standards and procedures
* Leads and/or assists team members and customers with problem solving related to application performance and usage
* Establishes, monitors and improves service delivery levels including reliability, availability, accuracy, serviceability and cost
* Interfaces with all levels of management to develop requirements and obtain approval for implementation of new systems
* Assists IT Management in the formulation and execution of complex objectives to meet short and long\-term company strategic goals
* Estimates work effort (resources, timeline, cost) for multiple projects across teams/areas of expertise
* Provides input to the recruiting process
* Continues development of technical and business proficiency through self\-directed education, project assignments and interfacing with representatives of vendors and suppliers; participates in local/regional/national influence groups
* Manages and accounts for Wolverine resources and assets
* Interacts in a cross\-team capacity to meet customer and organizational needs
* Provides 24\-hour on call support, including evenings and weekends
* Performs other duties as required/assigned by Manager
* Performs duties consistent with the company’s AAP/EEO goals and policies
**Knowledge, Skills, And Abilities**
* Bachelor’s degree in Computer Science or equivalent work experience.
* 10\+ years of proven experience in the design and implementation of data warehouse architecture as well as data delivery, data modeling, ETL tools, master data management and deploying highly automated and documented solutions
* Considered an expert with Cloud Data Engineering (Ex: MS Azure Synapse and/or Fabric)
* 8\+ years of experience with Microsoft Azure data engineering products: Azure Synapse Studio, Pipelines/Workflows, Python Notebooks, Analytic Pools (serverless), SQL Server Development, and DevOps
* Strong understanding of Azure Monitor, Application Insights, Cost Management, or equivalent tooling
* Strong understanding of SAP AFS Functional Areas, Sales and Distribution, Order to Cash, Material Management, Procure to Pay a plus
* Certificates in area of expertise or equivalent training and development.
* Proven successful assignment record
* Good analytical, problem solving and organizational skills
* Ability to establish and maintain effective working relationships
* Good oral and written communication skills
**Working Conditions**
 Full Time. 100% Remote. Michigan based candidates preferred. Must be located in Eastern on Central Time Zones.
**Salary Minimum**
 $128,000\.00
**Salary Maximum**
 $168,000\.00
 The above statements are intended to describe the general nature and level of work being performed and are not intended to be an exhaustive list of all responsibilities, duties and skills which may be required.
 Wolverine Worldwide, Inc. is committed to creating a company that is as diverse as our consumers. We value the differences in one another and believe our differences make us stronger. Our diverse and inclusive corporate culture starts with the recruitment process. We are committed to being an equal opportunity employer. We aim to create equal opportunities for our associates, customers, and suppliers regardless of race, color, religion, sex, national origin, age, disability, sexual orientation, gender identity, or any other legally protected characteristic.</t>
        </is>
      </c>
    </row>
    <row r="48">
      <c r="A48" t="inlineStr">
        <is>
          <t>li-4333387214</t>
        </is>
      </c>
      <c r="B48" t="inlineStr">
        <is>
          <t>AVP, Tech Data Engineer</t>
        </is>
      </c>
      <c r="C48" t="inlineStr">
        <is>
          <t>LPL Financial</t>
        </is>
      </c>
      <c r="D48" t="inlineStr">
        <is>
          <t>linkedin</t>
        </is>
      </c>
      <c r="E48" t="inlineStr"/>
      <c r="F48" t="inlineStr"/>
      <c r="G48" t="inlineStr">
        <is>
          <t>Austin, TX</t>
        </is>
      </c>
      <c r="H48" t="inlineStr"/>
      <c r="I48"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LPL’s Enterprise Data Warehousing team is working to build enhanced data and insights capabilities by transforming them into Cloud applications. We are looking for a technical leader to drive the implementation and adoption of Cloud warehouses across multiple applications. This is a very hands\-on role and will be working with a motivated team in a fast\-paced environment.
**Responsibilities:**
* Lead the design, development, enhancement, and cloud migration of the enterprise Data Warehouse, ensuring alignment with business goals and data governance.
* Manage full lifecycle delivery from requirements gathering to production deployment across on\-premise and cloud platforms (Snowflake, AWS).
* Architect scalable cloud data solutions using Snowflake, DBT, and AWS\-native services (S3, Lambda, Glue, Airflow).
* Implement ELT/ETL pipelines using tools like DBT.
* Lead, coach, and mentor onshore and offshore development teams to deliver high\-quality software solutions.
* Act as a technical escalation point, resolving issues and proposing alternative solutions to ensure system reliability and performance.
* Serve as the subject matter expert in database application delivery and optimization, with deep expertise in Oracle and Microsoft SQL Server.
* Oversee release management and post\-production support to ensure smooth transitions and minimal business disruption.
* Lead application migration efforts to cloud\-based architectures and support remediation of existing implementations accessing data warehouses and lakes.
**What are we looking for?**
 We’re looking for strong collaborators who deliver exceptional client experiences and thrive in fast\-paced, team\-oriented environments. Our ideal candidates
 **pursue greatness** 
 ,
 **act with integrity** 
 , and are
 **driven to help our clients succeed** 
 . We value those who embrace creativity, continuous improvement, and contribute to a culture where we
 **win together** 
 and
 **create and share joy** 
 in our work.
**Requirements:**
* 15\+ years of experience in IT, with 8\+ years in Data Warehouse development and support.
* 5\+ years of experience working with Snowflake, AWS services, and modern ELT tools.
* Proven experience in conceptual, logical, and physical data modeling.
* Advanced SQL skills, including 6\+ years of experience with enterprise databases.
* Bachelor’s degree in computer science or related field.
**Core Competencies:**
* Exceptional communication skills—able to translate technical concepts into business language.
* Strong organizational and planning abilities with a process\-driven mindset.
* Proven ability to manage multiple priorities in a fast\-paced environment.
* Commitment to excellence in service delivery and execution.
* Collaborative mindset with cross\-functional team engagement.
**Preferences:**
* Experience in coding technologies like Python, Scala, and SQL.
* Experience with Informatica, Data Lake, Hadoop, MapR is a big plus.
* CI/CD, GitHub, and Octopus or equivalent experience is a plus.
* Experience in Fin\-Tech industry is a plus.
* Strong understanding of Data Vault, Lakehouse, and Hub architectures
* Familiarity with Generative AI tech stack, such as OpenAI GPT, Claude, or similar; Prompt engineering and fine\-tuning for business use cases; Integration of LLMs into data workflows and applications (e.g., chatbots, summarization, code generation)
**Pay Range:**
 $115,575\-$192,625/year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49">
      <c r="A49" t="inlineStr">
        <is>
          <t>li-4344647009</t>
        </is>
      </c>
      <c r="B49" t="inlineStr">
        <is>
          <t>5-Senior Data Engineers Needed | Major NYC Hospital | Hybrid | Salary + Bonus</t>
        </is>
      </c>
      <c r="C49" t="inlineStr">
        <is>
          <t>Integris Group</t>
        </is>
      </c>
      <c r="D49" t="inlineStr">
        <is>
          <t>linkedin</t>
        </is>
      </c>
      <c r="E49" t="inlineStr"/>
      <c r="F49" t="inlineStr"/>
      <c r="G49" t="inlineStr"/>
      <c r="H49" t="inlineStr"/>
      <c r="I49" t="inlineStr">
        <is>
          <t>Integris Group is partnering with a leading New York City hospital to hire
 **5 Senior Data Engineers** 
 for full\-time, permanent roles.
 This is a
 **Hybrid position
 *(4 days Onsite, 1 Day Remote – no exceptions)***
 offering a competitive salary, annual bonus, 401(k), PTO, and top\-tier medical, dental, and vision benefits, along with additional excellent company perks.
**Job Title:** 
 5\-Senior Data Engineer's
**Location:** 
 New York, NY
**Position Type:** 
***Full\-Time, Hybrid (4 day's Onsite \| 1 day Remote)***
**About the Role:** 
 Our client is seeking 5 highly motivated and experienced Senior Data Engineer to join their data team and help design, build, and optimize their modern data platform. You will work with tools such as
 **Snowflake, Fivetran, and DBT** 
 to create scalable, high\-performance data pipelines and analytics solutions. This role will be instrumental in enabling advanced analytics, machine learning, and data\-driven decision\-making across the organization. The job itself is not just architecture (these senior engineers will do some as they are designing the data models, pipelines, version control, governance, etc.), but then they will also execute (engineer) \&amp; deliver that work.
**Key Responsibilities:** 
* Design, build, and maintain robust, scalable, and secure ETL/ELT pipelines.
* Develop and optimize data models to support analytics, BI, and machine learning use cases.
* Partner closely with data analysts, scientists, and business stakeholders to translate requirements into technical solutions.
* Monitor, tune, and optimize data processing workflows for efficiency, scalability, and cost\-effectiveness.
* Troubleshoot pipeline failures and performance issues quickly and effectively.
* Support production workflows through CI/CD pipelines and version control (Git).
* Ensure data quality, integrity, and governance across the data lifecycle.
* Prototype and research new tools, technologies, and architectures for improving the existing data infrastructure.
**The ideal candidate has:** 
* Bachelor’s or Master’s degree in Computer Science, Engineering, Information Systems, or equivalent experience.
* Hands\-on experience with cloud\-based data warehouse platforms (e.g.
 **Snowflake** 
 ).
* Experience designing and deploying data pipelines using orchestration tools like
 **DBT** 
*or* 
**Airflow.**
* 5\+ years’ experience supporting data\-driven or ML applications in production environments.
* Understanding of modern data architecture, ELT/ETL best practices, and cloud data platforms i.e. (Azure or AWS or GCP).
* Ability to analyze large datasets to identify data quality issues and other contextual insights.
* Experience in developing data models for integration and analysis that support business intelligence and data analytics initiatives.
* Experience with CI/CD and version control tools (e.g. Git).
* Proficiency with SQL and experience in at least one programming language (e.g., Python, Scala).
* A proven ability to operate in a fast\-paced work environment.
* Excellent communication and organizational skills with a demonstrated team orientation with strong ability to drive projects autonomously as needed.
**We’d like to see:** 
* Familiarity with Infrastructure as Code (IaC), and containerization (Docker, Kubernetes).
* Knowledge of data governance, security, and compliance frameworks.
* Experience in data modeling for large\-scale distributed data warehouses with a strong understanding of design trade\-offs and best practices.</t>
        </is>
      </c>
    </row>
    <row r="50">
      <c r="A50" t="inlineStr">
        <is>
          <t>li-4338512969</t>
        </is>
      </c>
      <c r="B50" t="inlineStr">
        <is>
          <t>Data Engineer-Lead - Project Planning and Execution</t>
        </is>
      </c>
      <c r="C50" t="inlineStr">
        <is>
          <t>DPR Construction</t>
        </is>
      </c>
      <c r="D50" t="inlineStr">
        <is>
          <t>linkedin</t>
        </is>
      </c>
      <c r="E50" t="inlineStr"/>
      <c r="F50" t="inlineStr"/>
      <c r="G50" t="inlineStr">
        <is>
          <t>Dallas, TX</t>
        </is>
      </c>
      <c r="H50" t="inlineStr"/>
      <c r="I50" t="inlineStr">
        <is>
          <t>**Job Description**
 We are a leading construction company committed to delivering high\-quality, innovative projects. Our team integrates cutting\-edge technologies into the construction process to streamline operations, enhance decision\-making, and drive efficiency across all levels. We are looking for a talented Data Engineer to join our team and contribute to developing robust data solutions that support our business goals.
 This role is ideal for someone who enjoys combining technical problem\-solving with stakeholder collaboration. You will collaborate with business leaders to understand data needs and work closely with a global engineering team to deliver scalable, timely, and high\-quality data solutions that power insights and operations.
**Responsibilities**
* Own data delivery for specific business verticals by translating stakeholder needs into scalable, reliable, and well\-documented data solutions.
* Participate in requirements gathering, technical design reviews, and planning discussions with business and technical teams.
* Partner with the extended data team to define, develop, and maintain shared data models and definitions.
* Design, develop, and maintain robust data pipelines and ETL processes using tools like Azure Data Factory and Python across internal and external systems.
* Proactively manage data quality, error handling, monitoring, and alerting to ensure timely and trustworthy data delivery.
* Perform debugging, application issue resolution, root cause analysis, and assist in proactive/preventive maintenance.
* Support incident resolution and perform root cause analysis for data\-related issues.
* Create and maintain both business requirement and technical requirement documentation
* Collaborate with data analysts, business users, and developers to ensure the accuracy and efficiency of data solutions.
* Collaborate with platform and architecture teams to align with best practices and extend shared data engineering patterns.
**Qualifications**
* Minimum of 4 years of experience as a Data Engineer, working with cloud platforms (Azure, AWS).
* Proven track record of managing stakeholder expectations and delivering data solutions aligned with business priorities.
* Strong hands\-on expertise in Azure Data Factory, Azure Data Lake, Python, and SQL
* Familiarity with cloud storage (Azure, AWS S3\) and integration techniques (APIs, webhooks, REST).
* Experience with modern data platforms like Snowflake and Microsoft Fabric.
* Solid understanding of Data Modeling, pipeline orchestration and performance optimization
* Strong problem\-solving skills and ability to troubleshoot complex data issues.
* Excellent communication skills, with the ability to work collaboratively in a team environment.
* Familiarity with tools like Power BI for data visualization is a plus.
* Experience working with or coordinating with overseas teams is a strong plus
**Preferred Skills**
* Knowledge of Airflow or other orchestration tools.
* Experience working with Git\-based workflows and CI/CD pipelines
* Experience in the construction industry or a similar field is a plus but not required.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51">
      <c r="A51" t="inlineStr">
        <is>
          <t>li-4320267278</t>
        </is>
      </c>
      <c r="B51" t="inlineStr">
        <is>
          <t>AWS Data Engineer</t>
        </is>
      </c>
      <c r="C51" t="inlineStr">
        <is>
          <t>Tata Consultancy Services</t>
        </is>
      </c>
      <c r="D51" t="inlineStr">
        <is>
          <t>linkedin</t>
        </is>
      </c>
      <c r="E51" t="inlineStr"/>
      <c r="F51" t="inlineStr"/>
      <c r="G51" t="inlineStr">
        <is>
          <t>North Chicago, IL</t>
        </is>
      </c>
      <c r="H51" t="inlineStr"/>
      <c r="I51" t="inlineStr">
        <is>
          <t>**Job Description**
 Must Have Technical/Functional Skills
* Strong experience in SDLC delivery, including waterfall, hybrid and Agile methodologies. Experience delivering in an agile environment,
* Experience of implementing and delivering data solutions and pipelines on AWS Cloud Platform – using Redshift
* Strong in Python hands on experience. Not expected to code in depth but lead a team of developers and provide thought leadership, guidance and recommendations.
* Apache Airflow experience is a plus
* A strong understanding of data modelling, data structures, databases, and ETL process and Data wharehousing layers
* An in\-depth understanding of large\-scale data sets, including both structured and unstructured data
* Ability to analyze and troubleshoot complex data / SQL issues
* Knowledge of ETL (Extract, Transform, Load) processes
* Understanding of big data concepts
* Knowledge and experience of delivering CI/CD and DevOps capabilities in a data environment
 Roles \&amp; Responsibilities
 Lead a team of developers, code reviews, suggest improvements in code, provide thought leadership
 Work on Proposal and POCs, developing prototype and reference models to help in tailoring Offerings \&amp; value propositions.
 Lead, Mentor and groom other team members to work on AWS technologies
 Generic Managerial Skills, If any
 Need to have some experience in leading technical team.
 Salary Range: $100,000 \- $130,000 a 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amp; Training Reimbursement.
 Time Off: Vacation, Time Off, Sick Leave \&amp; Holidays.
 Legal \&amp; Financial Assistance: Legal Assistance, 401K Plan, Performance Bonus, College Fund, Student Loan Refinancing.
**Qualifications:** 
 BACHELOR OF COMPUTER SCIENCE</t>
        </is>
      </c>
    </row>
    <row r="52">
      <c r="A52" t="inlineStr">
        <is>
          <t>li-4302855394</t>
        </is>
      </c>
      <c r="B52" t="inlineStr">
        <is>
          <t>Software Engineer - Data Engineering, Robotics</t>
        </is>
      </c>
      <c r="C52" t="inlineStr">
        <is>
          <t>Google DeepMind</t>
        </is>
      </c>
      <c r="D52" t="inlineStr">
        <is>
          <t>linkedin</t>
        </is>
      </c>
      <c r="E52" t="inlineStr"/>
      <c r="F52" t="inlineStr"/>
      <c r="G52" t="inlineStr">
        <is>
          <t>Mountain View, CA</t>
        </is>
      </c>
      <c r="H52" t="inlineStr"/>
      <c r="I52" t="inlineStr">
        <is>
          <t>**Snapshot**
 Google Deepmind Robotics’s mission is to
 **solve AGI in the physical world** 
 . We are looking for an exceptional software engineer passionate about robotics and data, to tackle one of the major bottlenecks towards this mission \- high quality data, lots of them.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As a software engineer with a focus on data, you work closely with researchers, engineers, and operation teams, tackling some of the largest scale and most complex data quality and systems problems across the full data lifecycle from data collection to ML training and evaluation. You play a crucial role in advancing our embodied AI technologies, and making a transformative impact in the real\-world.
**Key Responsibilities**
* Design and implement large scale data acquisition, processing and curation pipelines, assuming end\-to\-end ownership over the full lifecycle of high quality datasets for training advanced robotics foundation models.
* Systematically improve data quality by performing sophisticated data analysis, debugging and experiments, developing metrics, tests and monitoring mechanisms, which directly contribute to ML model improvements.
* Develop, improve large scale data pipeline infrastructure and tooling. Improve system reliability, usability and scalability, data safety and security over the full data lifecycle.
**About You**
 You are a multi\-disciplinary and hands\-on engineer with deep curiosity and willingness to stretch and learn. You embrace risks and have a healthy disregard for the status quo. You’re passionate about all the aspects of data and willing to dig into the most hairy and difficult problems into the data life cycle.
 In order to set you up for success as a Software Engineer \- Data Engineering at Google DeepMind, we look for the following skills and experience:
**Requirements** 
 :
* Bachelor’s degree or equivalent practical experience.
* 2\+ years of experience with software development in one or more programming languages, or 1 year of experience with an advanced degree.
* Experience with production data systems and quality projects.
* C\+\+ and Python programming experience.
* Experience in data analysis, debugging, experiment design and evaluation.
* Strong problem\-solving skills.
 In addition, the following would be an advantage:
* Experience with production ML\-oriented systems or applications.
* Rich experience working with very large datasets using Google data infrastructure and tooling ecosystems like Flume and PLX.
* Industry experiences in robotics or automation.
* Product mindset, willingness to learn, work with research and product colleagues, focus on delivering value in real\-world applications.
 The US base salary range for this full\-time position is between $141,000 \- $202,000 \+ bonus \+ equity \+ benefits. Your recruiter can share more about the specific salary range for your targeted location during the hiring process.
 Application deadline: Oct 10th, 2025 12PM PST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53">
      <c r="A53" t="inlineStr">
        <is>
          <t>li-4331797530</t>
        </is>
      </c>
      <c r="B53" t="inlineStr">
        <is>
          <t>Senior Data Engineer</t>
        </is>
      </c>
      <c r="C53" t="inlineStr">
        <is>
          <t>CubeSmart</t>
        </is>
      </c>
      <c r="D53" t="inlineStr">
        <is>
          <t>linkedin</t>
        </is>
      </c>
      <c r="E53" t="inlineStr"/>
      <c r="F53" t="inlineStr"/>
      <c r="G53" t="inlineStr">
        <is>
          <t>Malvern, PA</t>
        </is>
      </c>
      <c r="H53" t="inlineStr"/>
      <c r="I53" t="inlineStr">
        <is>
          <t>**Overview:**
***This is a hybrid role \- 2 days remote and 3 days in the Malvern, PA office.***
 CubeSmart is currently seeking a Senior (Sr) Data Engineer to join the Information Technology team at our corporate office in Malvern, PA. The Sr Data Engineer will be responsible for the design, development, and implementation of data products and services used to build and enrich the Cloud Data Platform at Cubesmart.
**Who We Are:**
 At CubeSmart, we’re intentional about culture. You can experience it everywhere from our mission statement of “genuine care” to our “It’s What’s Inside That Counts” tagline to calling each other “teammates” rather than employees. This spirit fosters a fun and collaborative environment that has resulted in our rapid growth and being recognized amongst the top in our industry.
 CubeSmart’s award\-winning team is made up of people who genuinely care. Teammates care about our customers and the life events and/or business needs they are facing. Teammates are passionate, responsible and understanding. The CubeSmart team is made up of people who have a can\-do attitude, are committed to their own success and the success of the company, and lead by example.
 If this sounds like a team and culture that matches your personal values and motivations, we want to hear from you.
**Responsibilities:**
 This role will also be responsible for the development and maintenance of the data products and services used to build and enrich the Cloud Data Platform. The role will serve as a technical expert to analyze the needs of CubeSmart’s applications and business data requirements and produce optimal solutions according to their needs and specifications, and in alignment with CubeSmart’s design standards. This individual will be part of the team building a data and analytics platform leveraging the Databricks Data Intelligence Platfrom in the Azure cloud. This will include designing and building the data ingestion and ETL pipelines and processes to create and manage the cloud Lakehouse environment. In addition, this person will be engaged with the Revenue Management and Analytics teams to help created optimized solutions for the Cloud.
**Responsibilities**
* Collaborate with program manager(s), application development, and data consumers to develop data ingestion and ETL pipelines required to enable CubeSmart data consumers to onboard processes to the Cloud Data Platform
* Build new or enhance existing Data Products and Services used within the Cloud Data Platform
* Provide support as needed to other projects or programs that are consumers of the Cloud Data Platform
* Perform code reviews and mentor junior team members as needed and provide mentorship to analytics users of the Cloud Data Platform
* Collaborate with 3rd party vendors to understand externally sourced data and incorporate into CubeSmart’s data environment, in adherence with CubeSmart’s data design standards
**Qualifications:**
* Bachelor’s degree in Computer Science, Information Technology or a related discipline
* 7\+ years of experience in Data Engineering, Cloud Data Warehousing, Real\-time Data Processing including Streaming and Transactional Systems
* Strong skills in SQL, Python, and PySpark
* Experience with Azure data services (Azure Databricks, Azure SQL, Azure Data Factory and Databricks ML Flow) or equivalent is preferred
* Full understanding of the Software Development Life Cycle (SDLC) and experience with Agile software development processes
* Solid understanding of cloud DevOps capabilities, preferably Azure DevOps
* Experience creating and managing CI/CD pipelines and processes
* Experience with MongoDB (or similar non\-relational database platform) or PostgreSQL is a plus
* Experience with Microsoft .Net is a plus
**Knowledge, Skills, Abilities And Personal Characteristics**
* Service orientation towards business\-focused 24×7 support and service mentality
* Ability to work within a team environment, showing an openness to collaborate with technical and business peers, with the ability to step up and take on new challenges in response to changing business conditions
* Ability to learn quickly, adapt work processes to adhere with best practices
* Ability to clearly convey technical information to both technical and non\-technical audiences
* Collaborative individual who creates open channels of communications and encourages technical dialogue across the department and who is capable of mentoring junior team members
* Well\-developed analytical and problem\-solving abilities
* Ability to work on multiple tasks and projects at once, with the ability to properly prioritize one’s own work and the work of others
*We are an Equal Opportunity Employer, Minority/Female/Veteran/Individuals with Disabilities/Sexual Orientation/Gender Identity.*</t>
        </is>
      </c>
    </row>
    <row r="54">
      <c r="A54" t="inlineStr">
        <is>
          <t>li-4354593023</t>
        </is>
      </c>
      <c r="B54" t="inlineStr">
        <is>
          <t>Data Engineer</t>
        </is>
      </c>
      <c r="C54" t="inlineStr">
        <is>
          <t>Hirenza</t>
        </is>
      </c>
      <c r="D54" t="inlineStr">
        <is>
          <t>linkedin</t>
        </is>
      </c>
      <c r="E54" t="inlineStr"/>
      <c r="F54" t="inlineStr"/>
      <c r="G54" t="inlineStr"/>
      <c r="H54" t="inlineStr"/>
      <c r="I54" t="inlineStr">
        <is>
          <t>**About The Company**
 Capital One is a leading diversified financial services company renowned for its innovative approach to banking and credit services. With a strong emphasis on technology\-driven solutions, Capital One aims to deliver exceptional customer experiences through digital innovation, data analytics, and a customer\-centric mindset. The company operates across various segments including credit cards, auto loans, savings accounts, and commercial banking, serving millions of customers nationwide. Capital One's culture fosters collaboration, diversity, and continuous learning, making it an ideal environment for talented professionals to thrive and contribute to transformative financial solutions.
**About The Role**
 The Distinguished Data Engineer role at Capital One is a pivotal position designed for seasoned professionals who are passionate about shaping the future of data architecture and engineering within a dynamic financial environment. As a key contributor, you will lead the design and implementation of scalable, reliable data platforms that support critical business functions such as Card authorization processing and decisioning. Your expertise will directly influence the development of next\-generation data solutions that enhance observability, standardization, and pipeline efficiency. This role requires a hands\-on approach, working closely with cross\-functional teams, including engineering, product management, and business stakeholders, to drive innovation and operational excellence. You will also serve as a mentor and thought leader, advocating best practices and fostering a culture of technical excellence across the organization.
**Qualifications**
 To be successful in this role, candidates should possess a minimum of a bachelor's degree in Computer Science, Information Technology, or a related field. A minimum of seven years of experience in data engineering is essential, with at least three years dedicated to data architecture design. Proven experience in building applications within AWS cloud environments for at least two years is required. Preferred qualifications include a master's degree, over nine years of data engineering experience, extensive data modeling expertise, and familiarity with ontology standards. Proficiency in programming languages such as Python, SQL, or Scala, along with experience deploying machine learning models, is highly desirable. Additionally, hands\-on experience with big data processing solutions on AWS, orchestration tools like Airflow or Step Functions, and in\-memory data stores will be advantageous.
**Responsibilities**
* Build awareness and promote the adoption of modern data engineering technologies by demonstrating their benefits to stakeholders across the organization.
* Leverage your expertise to foster an inclusive environment that encourages diverse ideas and collaborative problem\-solving, while mentoring team members to enhance their technical skills.
* Champion a culture of engineering excellence by advocating for reusable and open\-source solutions, and establishing best practices within the team.
* Effectively communicate complex technical concepts to stakeholders at all levels, influencing decision\-making and strategic planning.
* Operate as a trusted advisor on specific technology domains, guiding use case development, implementation strategies, and technical standards.
* Lead initiatives to develop and nurture next\-generation talent by mentoring internal team members and actively recruiting external experts to strengthen Capital One’s technical capabilities.
**Benefits**
 Capital One offers a comprehensive and competitive benefits package designed to support the overall well\-being of its employees. This includes health, dental, and vision insurance, retirement savings plans, paid time off, and wellness programs. The company also provides opportunities for professional development, continuous learning, and career advancement. Employees are encouraged to participate in various initiatives that promote work\-life balance, diversity, and inclusion. Additionally, the role offers the potential for performance\-based incentives, including cash bonuses and long\-term incentives, recognizing individual and team contributions to organizational success.
 Equal Opportunity
 Capital One is an equal opportunity employer committed to fostering an inclusive environment where all employees and applicants are treated with respect and fairness. The company values diversity and does not discriminate based on race, color, religion, sex, national origin, age, disability, veteran status, or any other protected characteristic. Capital One complies with all applicable federal, state, and local laws regarding equal employment opportunity and non\-discrimination. The organization also promotes a drug\-free workplace and considers qualified applicants with criminal histories in accordance with relevant laws and regulations. If you require accommodations during the application process, please contact Capital One Recruiting for assistance.</t>
        </is>
      </c>
    </row>
    <row r="55">
      <c r="A55" t="inlineStr">
        <is>
          <t>li-4349504576</t>
        </is>
      </c>
      <c r="B55" t="inlineStr">
        <is>
          <t>Data Engineer</t>
        </is>
      </c>
      <c r="C55" t="inlineStr">
        <is>
          <t>BeaconFire Inc.</t>
        </is>
      </c>
      <c r="D55" t="inlineStr">
        <is>
          <t>linkedin</t>
        </is>
      </c>
      <c r="E55" t="inlineStr"/>
      <c r="F55" t="inlineStr"/>
      <c r="G55" t="inlineStr">
        <is>
          <t>Washington, United States</t>
        </is>
      </c>
      <c r="H55" t="inlineStr"/>
      <c r="I55" t="inlineStr">
        <is>
          <t>**Junior Data Engineer** 
**DESCRIPTION:** 
 BeaconFire is based in Central NJ, specializing in Software Development, Web Development, and Business Intelligence; looking for candidates who are good communicators and self\-motivated. You will play a key role in building, maintaining, and operating integrations, reporting pipelines, and data transformation systems.
**Qualifications:** 
* Passion for data and a deep desire to learn.
* Master’s Degree in Computer Science/Information Technology, Data Analytics/Data
* Science, or related discipline.
* Intermediate Python. Experience in data processing is a plus. (Numpy, Pandas, etc)
* Experience with relational databases (SQL Server, Oracle, MySQL, etc.)
* Strong written and verbal communication skills.
* Ability to work both independently and as part of a team.
**Responsibilities:** 
* Collaborate with the analytics team to find reliable data solutions to meet the business needs.
* Design and implement scalable ETL or ELT processes to support the business demand for data.
* Perform data extraction, manipulation, and production from database tables.
* Build utilities, user\-defined functions, and frameworks to better enable data flow patterns.
* Build and incorporate automated unit tests, participate in integration testing efforts.
* Work with teams to resolve operational \&amp; performance issues.
* Work with architecture/engineering leads and other teams to ensure quality solutions are implemented, and engineering best practices are defined and adhered to.
**Compensation:** 
 $65,000\.00 to $80,000\.00 /year
***BeaconFire is an e\-verified company. Work visa sponsorship is available.***</t>
        </is>
      </c>
    </row>
    <row r="56">
      <c r="A56" t="inlineStr">
        <is>
          <t>li-4351344971</t>
        </is>
      </c>
      <c r="B56" t="inlineStr">
        <is>
          <t>Data Engineer - Lunar Permanence</t>
        </is>
      </c>
      <c r="C56" t="inlineStr">
        <is>
          <t>Blue Origin</t>
        </is>
      </c>
      <c r="D56" t="inlineStr">
        <is>
          <t>linkedin</t>
        </is>
      </c>
      <c r="E56" t="inlineStr"/>
      <c r="F56" t="inlineStr"/>
      <c r="G56" t="inlineStr"/>
      <c r="H56" t="inlineStr"/>
      <c r="I56"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the Lunar Permanence business unit, which develops Blue Origin’s Blue Moon landers and related products. To further Blue Origin's mission of millions of people living and working in space for the benefit of Earth, we are building sustainable infrastructure for our transport of crew and cargo from Earth to the lunar surface.
 As a Lunar Data Engineer, you are responsible for building the data infrastructure and pipelines that power analytics, AI agents, and operational dashboards helping Blue Origin build a road to the Moon. Within the Lunar business operations organization, we build relationships spanning from budget owners to technical design teams that cover the design, build, and operate lifecycle. Our team accelerates program operations by ensuring high\-quality, accessible data enables both human decision\-making and AI\-powered automation across modern aerospace operations.
 We are looking for someone to apply technical expertise, systems thinking, and dedication to quality to positively impact safe human spaceflight through robust data engineering.
**A Successful Candidate Demonstrates**
* Ownership of data pipelines from source system through delivery to end users
* Systems thinking \- Understands how data flows through complex processes and designs for reliability and scale
* Strong problem\-solving \- Debugs data quality issues, optimizes performance bottlenecks, and architects solutions for ambiguous requirements
* Quality\-first mindset \- Implements automated testing, monitoring, and validation to ensure data reliability
* Clear technical communication \- Writes documentation that enables analysts, engineers, and AI systems to leverage our data products
* Thrives in dynamic environments where new data sources and requirements emerge as Lunar programs evolve
**Key Responsibilities**
* Creates robust data pipelines to accelerate teams across engineering, supply chain, configuration management, production, and operations
* Maintains Lunar’s Databricks environment including workspace configuration, implementing data pipeline best practices, and contributing to data governance
* Designs data schemas optimized for data reporting, analytical tools, and AI/ML solutions
* Manages data quality via validation, monitoring, and alerting to ensure reliable results
* Partners with data users to understand requirements and create performant models
* Contributes to data architecture and technical standards for the Lunar data platform
**Minimum Qualifications**
* Passion For Our Mission: Millions of people living and working in space!
* 2\+ years data engineering experience building data pipelines using SQL and Python
* Proficiency with Python for data processing (pandas, PySpark, or similar)
* Experience with SQL optimization and working with large datasets
* Experience with ETL/ELT and orchestration frameworks (e.g., Airflow, dbt, Databricks Jobs)
* Demonstrated ability to debug complex data issues and implement solutions independently
* Demonstrated ability to implement data quality, testing, and validation practices
* Experience working with customers to gather requirements and present data solutions
**Preferred Qualifications**
* 3\+ years building data pipelines with Databricks (especially Certified Data Engineer Associate or Professional)
* Experience with Databricks Delta Lake, Unity Catalog, and workflows
* Hands\-on experience with Spark for large\-scale data processing
* Experience building data platforms that support AI/ML workloads
* Proficiency with AWS data services (S3, Glue, Athena, Lambda)
* Experience with CI/CD for data pipelines (GitLab CI, automated testing, deployment automation)
* Experience with API development and integration for data access
* Understanding of hierarchical and graph data structures common in engineering systems (Bill of Materials, requirements, production plans)
* Exposure to LLM/AI agent architectures and their data infrastructure requirements
* Domain knowledge in engineering, supply chain, manufacturing, and/or aerospace
**Compensation Range For**
 WA applicants is $115,707\.00 \- $161,988\.75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57">
      <c r="A57" t="inlineStr">
        <is>
          <t>li-4354535429</t>
        </is>
      </c>
      <c r="B57" t="inlineStr">
        <is>
          <t>Data Engineer</t>
        </is>
      </c>
      <c r="C57" t="inlineStr">
        <is>
          <t>TalentAlly</t>
        </is>
      </c>
      <c r="D57" t="inlineStr">
        <is>
          <t>linkedin</t>
        </is>
      </c>
      <c r="E57" t="inlineStr"/>
      <c r="F57" t="inlineStr"/>
      <c r="G57" t="inlineStr">
        <is>
          <t>Columbus, Ohio Metropolitan Area</t>
        </is>
      </c>
      <c r="H57" t="inlineStr"/>
      <c r="I57"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Rx Savings Solutions, part of McKesson's CoverMyMeds organization, offers an innovative, patented software system that educates and empowers consumers to make the best healthcare choices at the lowest cost. Founded and operated by a team of pharmacists and software engineers, we support a collaborative, cost\-saving solution for purchasing prescription drugs.
 We currently have an opportunity for aSr AssociateData Engineer (ETL / Databricks)to join our growing Business Operations Support data engineering team!This role will assist in planning, designing, troubleshooting and documenting technical requirements for data flows between disparate operational systems and our data warehouse. Our ideal candidate will have Databricks experience, ETL tool experience (i.e. Talend, Informatica, SSIS or DataStage), experience with SQL, and general\-purpose programming languages such as Python or Java for dataengineering/ingestionwork. This individual will assist in end\-to\-end development of the ETL processes, data analytics, review business requirement documents and execute object and data models.
 \* Our ideal candidate will reside in the Columbus, OH area, with the work primarily being remote with occasional in\-office work.We may consider a well\-qualified, fully remote candidate.
 \*At this time, we are not able to offer sponsorship for employment visas. This includes individuals currently on F\-1 OPT, STEM OPT, or any other visa status that would require future sponsorship. Candidates must be authorized to work in the United States on a permanent basis without the need for current or future sponsorship.
 Responsibilities:
 Build data pipelines to ingest and automate files provided by customers using ETL tool
 Interface with other technology teams to extract, transform, and load data from a wide variety of data sources using primarily ETL tools
 Explore and learn the latest AWS technologies to provide new capabilities and increase efficiency
 Investigate and resolve data related issues and provide support and troubleshooting expertise
 Collaborating across teams to understand business needs and propose innovative solutions
 Requirements:
 Bachelor's degree in Computer Science or related technical degree, or equivalent experience, and 2\+ years of relative experience
 2\+ years of experience with Databricks and building data pipelines to ingest and automate files provided by customers
 2\+ years of experience with SQL queries, including various SQL commands
 Experience with Python
 Knowledge of Structured and Unstructured data
 Possess understanding of BI concepts and be familiar with relational or multi\-dimensional modeling concepts
 Understanding of RDBMS best practices and performance tuning techniques
 Experience with cloud technologies such as AWS services such as S3, CloudWatch, EC2, and passion for a role working in a cloud data warehouse
 It would be nice if you had...
 Experience with Agile and Scrum methodologies
 Knowledge of Java or JavaScript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$80,600 \- $134,400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Join us at McKesson!
 PDN\-a0c28498\-0a2f\-4772\-ba0b\-a11dfbcd8452</t>
        </is>
      </c>
    </row>
    <row r="58">
      <c r="A58" t="inlineStr">
        <is>
          <t>li-4351235813</t>
        </is>
      </c>
      <c r="B58" t="inlineStr">
        <is>
          <t>Senior BI Engineer</t>
        </is>
      </c>
      <c r="C58" t="inlineStr">
        <is>
          <t>Taglynk</t>
        </is>
      </c>
      <c r="D58" t="inlineStr">
        <is>
          <t>linkedin</t>
        </is>
      </c>
      <c r="E58" t="inlineStr"/>
      <c r="F58" t="inlineStr"/>
      <c r="G58" t="inlineStr"/>
      <c r="H58" t="inlineStr"/>
      <c r="I58" t="inlineStr">
        <is>
          <t>As a
 **Sr.BI Engineer** 
 , you are a detail\-oriented problem solver with a passion for turning complex data into actionable insights. You have a deep understanding of data structures, business requirements, and reporting needs, enabling you to design and implement scalable data solutions. Your technical expertise spans data warehousing, pipeline development, and visualization tools, allowing you to empower stakeholders with reliable and efficient data\-driven decisions. You thrive in a collaborative environment, take ownership of data governance, and are proactive in identifying opportunities for process automation and optimization.
**What You’ll Be Doing:** 
**Data Strategy, Architecture, and Ownership** 
 \- Own the end\-to\-end data lifecycle, from ingestion and transformation to delivery, ensuring alignment with business priorities and analytical goals.
 \- Architect and oversee scalable, high\-performance data pipelines and warehouse structures that serve as the foundation for company\-wide analytics and automation.
 \- Partner with Engineering and Product teams to establish data design standards, naming conventions, and quality benchmarks, ensuring long\-term sustainability and performance.
 \- Drive decisions on data architecture, tooling, and storage optimization, balancing scalability, cost, and performance tradeoffs.
**Data Modelling, Quality, and Governance** 
 \- Lead data modeling efforts that transform complex, cross\-domain data into clear and accessible models supporting business\-critical dashboards, experimentation, and AI workloads.
 \- Implement robust data validation frameworks and monitoring systems to proactively detect and resolve data quality issues.
 \- Champion data governance — define standards for access control, lineage, cataloging, and compliance.
 \- Collaborate with security and platform teams to institutionalize best practices for data stewardship and democratized analytics.
**Advanced Analytics and Stakeholder Partnership** 
 \- Partner with senior business stakeholders to identify high\-impact analytical opportunities and translate business questions into scalable data solutions.
 \- Use strong command of SQL, Snowflake, and Python to design complex analytical models and build self\-serve dashboards in Tableau or Looker.
 \- Develop and deliver insight frameworks that enable data\-informed decision\-making across Marketing, Product, and Operations teams.
 \- Mentor analysts and engineers, fostering an environment of learning and technical excellence.
**Innovation, Automation, and Continuous Improvement** 
 \- Continuously evaluate and implement emerging data tools and frameworks to enhance speed, accuracy, and reliability of analytics delivery.
 \- Lead initiatives to automate reporting workflows and implement CI/CD for data pipelines, ensuring reproducibility and scalability.
 \- Partner cross\-functionally to identify and eliminate data bottlenecks, optimizing for both velocity and reliability in decision support.
 \- Drive a culture of proactive problem\-solving through documentation, standardization, and data enablement across teams.
**What You’ll Bring:**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**Experience/Education/Certifications Required:** 
 \- 5\+ years of experience in business intelligence, data engineering, analytics, or a related field.
 \- Advanced SQL expertise with experience handling complex queries and data transformations.
 \- Strong knowledge of engineering and operations best practices, including version control, data quality assurance, testing, and monitoring.
 \- Data modeling expertise with experience in ETL, Data Warehousing, and Data Lakes.
 \- Data visualization skills using Tableau to create compelling dashboards and reports.
 \- Programming proficiency in one or more languages (e.g., Python, Java) for data processing and analysis.
 \- Basic knowledge of statistical measures and techniques.
 \- Exceptional communication and collaboration skills, with the ability to communicate complex technical information to less technically sophisticated stakeholders and data professionals.</t>
        </is>
      </c>
    </row>
    <row r="59">
      <c r="A59" t="inlineStr">
        <is>
          <t>li-4351305642</t>
        </is>
      </c>
      <c r="B59" t="inlineStr">
        <is>
          <t>Azure Data Engineer</t>
        </is>
      </c>
      <c r="C59" t="inlineStr">
        <is>
          <t>Galent</t>
        </is>
      </c>
      <c r="D59" t="inlineStr">
        <is>
          <t>linkedin</t>
        </is>
      </c>
      <c r="E59" t="inlineStr"/>
      <c r="F59" t="inlineStr"/>
      <c r="G59" t="inlineStr">
        <is>
          <t>Dallas, TX</t>
        </is>
      </c>
      <c r="H59" t="inlineStr"/>
      <c r="I59" t="inlineStr">
        <is>
          <t>We’re hiring a Azure Data Engineer
 Join Galent and help us deliver high\-impact technology solutions that shape the future of digital transformation
**Job Title: Data Engineer** 
**Location: Dallas, TX (100% Onsite)** 
**Job Type: Full time** 
**Required Experience:** 
 10\+ Years
**Mandatory Skills : Python, Azure Data Factory** 
**Good to Have Skills : Azure Data Lake** 
**Job Summary:** 
 Seeking a Specialist with 5 to 7 years of experience in designing and implementing data engineering solutions using Python and Azure Data Factory within the Azure Data Factory ADF skill family
**Job Description** 
* Design develop and maintain scalable data pipelines and ETL processes using Python and Azure Data Factory.
* Collaborate with source data application teams and product owners to understand data requirements and deliver analytics solutions.
* Utilize Azure Data Factory and Azure Data Lake for data ingestion storage and processing.
* Implement data migration and transformation workflows leveraging Azure cloud services.
* Ensure data quality performance tuning and optimization of data pipelines.
* Support continuous integration and continuous deployment CICD pipelines for data engineering projects.
* Apply best practices for data governance privacy and security within Azure environments.
* Stay updated with emerging Azure technologies and recommend improvements to existing data solutions
**Roles and Responsibilities** 
* Lead the design and implementation of batch and streaming data pipelines using Azure Data Factory and related Azure services.
* Provide technical leadership and mentorship to team members on Python programming and Azure Data Factory best practice.
* Collaborate with DevOps teams to manage deployment monitoring and support of data engineering solutions.
* Troubleshoot and resolve data pipeline issues ensuring high availability and reliability.
* Participate in architectural discussions and contribute to the development of coding standards and security guidelines.
* Engage with cross functional teams to align data engineering efforts with business objectives.
* Drive automation of data workflows and improve operational efficiency.
* Support production environments and provide timely incident response and root cause analysis
 Why Galent
 Galent is a digital engineering firm that brings AI\-driven innovation to enterprise IT. We’re proud of our diverse and inclusive team culture where bold ideas drive transformation.
 Ready to Apply?
 Send your resume to satish.k
 **@galent.com**</t>
        </is>
      </c>
    </row>
    <row r="60">
      <c r="A60" t="inlineStr">
        <is>
          <t>li-4354585011</t>
        </is>
      </c>
      <c r="B60" t="inlineStr">
        <is>
          <t>Data Engineer</t>
        </is>
      </c>
      <c r="C60" t="inlineStr">
        <is>
          <t>TalentAlly</t>
        </is>
      </c>
      <c r="D60" t="inlineStr">
        <is>
          <t>linkedin</t>
        </is>
      </c>
      <c r="E60" t="inlineStr"/>
      <c r="F60" t="inlineStr"/>
      <c r="G60" t="inlineStr">
        <is>
          <t>San Antonio, Texas Metropolitan Area</t>
        </is>
      </c>
      <c r="H60" t="inlineStr"/>
      <c r="I60" t="inlineStr">
        <is>
          <t>Essential Job Responsibilities
 \* Work with big data systems and complex structured and unstructured data sets.
 \* Support government data acquisition, analysis, and sharing efforts.
 \* Focus on software infrastructure for big data scaled ingestion, including understanding and ingesting new data sources, modifying existing data sources, implementing testing, establishing monitoring, and troubleshooting.
 \* Lead the department in achieving strategic goals, ensuring data integrity, and fostering a collaborative and innovative work environment. Minimum Qualifications
 \* Security Clearance\-Current active TS/SCI eligible
 \* At least 14 years of experience in one of the following: Software development/engineering, data engineering, database engineering, etc. (\+4 additional years relevant experience can substitute for a BS degree)
 \* Experience with Unit and Integration testing.
 \* Fluency with data extraction, custom translation development, and loading including data prep and labeling to enable data analytics.
 \* Familiarity with various log formats such as JSON, XML, and others.
 \* Experience with data flow, management, and storage solutions (i.e. Kafka, NiFi, and AWS S3 and SQS solutions)
 \* Ability to decompose technical problems and troubleshoot both system and dataflow issues.
 \* Must be certified DoD IAT II or higher \* Willingness to do a programming challenge during the interview process.
 \* Experience with Zoom/Teams/Meet style team meetings
 Languages:
 \* Java: Experience with Java, including unit and integration testing.
 \* Python: Experience with Python is desired.
 \* SQL: Familiarity with SQL schemas and statements.
 Tools and Technologies:
 \* Data Flow Solutions: Experience with Kafka, NiFi, AWS S3, and SQS.
 \* Version Control and Build Tools: Proficiency with Maven and GitLab.
 \* Data Formats: Familiarity with JSON, XML, SQL, and compressed file formats.
 \* Configuration Files: Experience using YAML files for data model and schema configuration.
 \* Apache NiFi: Significant experience with NiFi administration and building/troubleshooting data flows.
 \* AWS S3: bucket administration.
 \* IDE: VSCode, Intellij / Pycharm, or other suitable
 Technical Expertise:
 \* ETL creation and processing expertise.
 \* Experience with code debugging concepts
 \* Expertise in data modeling design, troubleshooting, and analysis from ingest to visualization.
 \* Conducted data model reviews covering data meaning, needs, storage, creation, ingest, and processing.
 \* Developed custom logic for data modification from various sources.
 \* Database and Software Admin \&amp; Troubleshooting: Experience with databases, ODBC drivers \* Linux OS (BASH), and basic server administration.
 \* Expert in data model analysis and troubleshooting issues.
 \* Analyzed and solved complex technical problems.
 Desired Skills:
 \* Prior experience in cyber/network security operations.
 \* Familiarity with Agile environments.
 \* Good communication skills.
 \* Developed documentation and training in areas of expertise.
 \* Amazon S3, SQS/SNS Admin experience \* Apache Airflow Workloads via UI or CLI a plus
 \* Experience with Mage AI a plus
 \* Kubernetes, Docker 11 Federal Holidays
 3 weeks PTO
 100% paid Medical/Dental/Vision premium (on silver plan) for employee and dependents
 6% 401k Match
 Additional benefits \- short and long term disability, continuing education, parental leave, military differential pay, flexible spending account for child and adult care, etc.
 Syndicus NACON provides service\-oriented staffing and recruiting services to small businesses, large corporations, nonprofits, and government agencies. We pride ourselves on personal service, local market knowledge and commitment to providing great job opportunities. We specialize in contract, contract\-to\-hire, and direct placement positions. We are an equal opportunity employer. All qualified applicants will receive consideration for employment without regard to race, color, religion, sex, sexual orientation, gender identity, national origin, disability, or veteran status.PDN\-a09e56a9\-d9df\-4d3d\-990f\-253580a8fc3f</t>
        </is>
      </c>
    </row>
    <row r="61">
      <c r="A61" t="inlineStr">
        <is>
          <t>li-4354613550</t>
        </is>
      </c>
      <c r="B61" t="inlineStr">
        <is>
          <t>Data Engineer III</t>
        </is>
      </c>
      <c r="C61" t="inlineStr">
        <is>
          <t>TalentAlly</t>
        </is>
      </c>
      <c r="D61" t="inlineStr">
        <is>
          <t>linkedin</t>
        </is>
      </c>
      <c r="E61" t="inlineStr"/>
      <c r="F61" t="inlineStr"/>
      <c r="G61" t="inlineStr">
        <is>
          <t>Johnston, RI</t>
        </is>
      </c>
      <c r="H61" t="inlineStr"/>
      <c r="I61" t="inlineStr">
        <is>
          <t>Established nearly two centuries ago, FM is a leading mutual insurance company whose capital, scientific research capability and engineering expertise are solely dedicated to property risk management and the resilience of its policyholder\-owners. These owners, who share the belief that the majority of property loss is preventable, represent many of the world's largest organizations, including one of every four Fortune 500 companies. They work with FM to better understand the hazards that can impact their business continuity to make cost\-effective risk management decisions, combining property loss prevention with insurance protection.
 Are you passionate about building robust data ecosystems that power advanced analytics and business insights? Join our dynamic team as a
 **Data Engineer III** 
 , where you'll design and implement cutting\-edge data pipelines, integrate diverse data sources, and ensure the highest standards of data quality, security, and compliance. This is your opportunity to work on impactful projects that shape the future of data\-driven decision\-making.
**What You'll Do** 
* **Architect \&amp; Innovate:** 
 Design and maintain scalable data pipelines and infrastructure for ingestion, integration, and storage of structured and unstructured data.
* **Enable Analytics:** 
 Deliver clean, reliable datasets for Business Intelligence, Advanced Analytics, and Data Science teams.
* **Optimize Performance:** 
 Implement modern practices using
 **Microsoft Fabric** 
 ,
 **SQL Server** 
 ,
 **SSIS** 
 ,
 **Power BI Premium** 
 , and big data frameworks like
 **Spark** 
 .
* **Ensure Quality:** 
 Validate solutions through rigorous testing and maintain data integrity across all systems.
* **Collaborate \&amp; Lead:** 
 Partner with Product Owners, Architects, Analysts, and Data Scientists on medium\-to\-large projects, and lead small\-to\-medium initiatives independently.
* **Drive Continuous Improvement:** 
 Automate processes, optimize data delivery, and redesign infrastructure for scalability.
**What We're Looking For** 
* Prefer 4 year/bachelor's degree or master's degree in computer science, Information Technology, Computer Engineering, or equivalent experience
* 5\+ years relatable work experience
* Ability to design and optimize SQL queries across cloud data warehouses, with strong proficiency in TSQL.
* Skilled in data orchestration and ETL tools such as Azure Data Factory or SSIS, and eager to adopt Fabric Data Factory (Pipelines \&amp; Dataflows Gen2\).
* Background in CI/CD and version control for data solutions (e.g., Git, deployment pipelines), with interest in DevOps practices for analytics platforms.
* Familiarity with modern data lake architectures, including Delta Lake and medallion design patterns.
* Knowledge of columnar storage formats and lakehouse technologies such as Delta Lake and Parquet for scalable data processing.
* Hands\-on work with big data frameworks like Apache Spark (PySpark or Scala) for batch workloads is helpful.
* Understanding BI and semantic modeling concepts, including star schema design and performance tuning is helpful.
 Compensation, Grade, and Job Title will be determined based on qualifications, experience, and technical skillset.
 Well qualified candidates may be considered for a data engineer IV.
 The position is eligible to participate in FM's comprehensive Total Rewards program that includes an incentive plan, generous health and well\-being programs, a 401(k) and pension plan, career development opportunities, tuition reimbursement, flexible work, paid time off allowances and much more.
 FM is an Equal Opportunity Employer and is committed to attracting, developing, and retaining a diverse workforce.
**\#LI\-TA1** 
 PDN\-a0bace42\-a9c9\-4dfb\-b90b\-cf7769c6aca8</t>
        </is>
      </c>
    </row>
    <row r="62">
      <c r="A62" t="inlineStr">
        <is>
          <t>li-4322410063</t>
        </is>
      </c>
      <c r="B62" t="inlineStr">
        <is>
          <t>Analytics Data Engineer</t>
        </is>
      </c>
      <c r="C62" t="inlineStr">
        <is>
          <t>Anthropic</t>
        </is>
      </c>
      <c r="D62" t="inlineStr">
        <is>
          <t>linkedin</t>
        </is>
      </c>
      <c r="E62" t="inlineStr"/>
      <c r="F62" t="inlineStr"/>
      <c r="G62" t="inlineStr">
        <is>
          <t>New York, NY</t>
        </is>
      </c>
      <c r="H62" t="inlineStr"/>
      <c r="I62"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Analytics Engineer, you will be an early member of the Data Science \&amp; Analytics team building the foundation to scale analytics across our organization. You will collaborate with key stakeholders in Engineering, Product, GTM and other areas to build scalable solutions to transform data into key metrics reporting and insights. You will be responsible for ensuring teams have access to reliable, accurate metrics that can scale with our company’s growth. You will also lead your own projects to enable self\-serve insights to help teams make data\-driven decisions.
**Responsibilities**
* Understand the data needs of stakeholder teams in terms of key data models and reporting, and translate that into technical requirements
* Define, build and manage key data pipelines in dbt that transform raw logs into canonical datasets
* Establish high data integrity standards and SLAs to ensure timely, accurate delivery of data
* Develop insightful and reliable dashboards to track performance of core metrics that will deliver insights to the whole company
* Build foundational data products, dashboards and tools to enable self\-serve analytics to scale across the company
* Influence the future roadmap of Product and GTM teams from a data systems perspective
* Become an expert in our organization’s data models and the company's data architecture
**You Might Be a Good Fit If You Have**
* 5\+ years of experience as an Analytics Data Engineer or similar Data Science \&amp; Analytics roles, preferably partnering with GTM and Product leads to build and report on key company\-wide metrics.
* A passion for the company's mission of building helpful, honest, and harmless AI.
* Expertise in building multi\-step ETL jobs through tooling like dbt; proficiency with workflow management platforms like Airflow and version control management tools through GitHub.
* Expertise in SQL and Python to transform data into accurate, clean data models.
* Experience building data reporting and dashboarding in visualization tools like Hex to serve multiple cross\-functional teams.
* A bias for action and urgency, not letting perfect be the enemy of the effective.
* A “full\-stack mindset”, not hesitating to do what it takes to solve a problem end\-to\-end, even if it requires going outside the original job description.
* Experience building an Analytics Data Engineering (or similar) function at start\-ups.
* A strong disposition to thrive in ambiguity, taking initiative to create clarity and forward progress.
 The expected base compensation for this position is below. Our total compensation package for full\-time employees includes equity, benefits, and may include incentive compensation.
**Annual Salary**
 $275,000—$370,000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63">
      <c r="A63" t="inlineStr">
        <is>
          <t>li-4318576914</t>
        </is>
      </c>
      <c r="B63" t="inlineStr">
        <is>
          <t>Senior Data Engineer</t>
        </is>
      </c>
      <c r="C63" t="inlineStr">
        <is>
          <t>Patterson Companies, Inc.</t>
        </is>
      </c>
      <c r="D63" t="inlineStr">
        <is>
          <t>linkedin</t>
        </is>
      </c>
      <c r="E63" t="inlineStr"/>
      <c r="F63" t="inlineStr"/>
      <c r="G63" t="inlineStr">
        <is>
          <t>Illinois, United States</t>
        </is>
      </c>
      <c r="H63" t="inlineStr"/>
      <c r="I63" t="inlineStr">
        <is>
          <t>The Senior Data Engineer defines, develops, tests, analyzes, and maintains data and data applications. This includes a comprehensive understanding of the business impact of data and software as well as the technical implications when choosing architectures and technologies. The Senior Data Engineer works as part of a team on a moderately complex product, project or feature domain.
*Our preference is for this individual to be located within 50 miles of our Corporate Offices in either Mendota Heights, MN or Loveland, CO
 **.** 
 This is a Hybrid position and in\-person attendance is expected to foster collaboration, innovation, and team connection.*
**Essential Functions**
 To perform this job successfully, a Senior Data Engineer must be able to perform each essential function satisfactorily, with or without reasonable accommodation. To request reasonable accommodation, notify Human Resources or the manager who oversees the position.
* Collaborate with team members and stakeholders in the conceptualization and development of database and/or application functionality.
* Assist in the research, definition, development, and documentation of deliverables, and specifications in collaboration with team members.
* Monitor, investigate and implement improvements to database design and performance.
* Integrate efficiency and performance during all development activities.
* Test new and existing applications for the purpose of correcting errors and general debugging.
* Participate in defining application and database development plans, including scoping, scheduling, and implementation.
* Deploy database changes through environments to production upon completion of development, testing, and documentation.
* Define and employ best practices for data engineering.
* Mentor/coach and conduct code reviews based on defined best practices.
* Provide data and software support for bugs, issues, and escalated incident tickets from end users to resolve application and software issues.
* Partner with others in resolving problems with software products or company data systems.
* Recommend new technologies, approaches, and best practices.
* Define and enforce best practices for data engineering and software development.
**Additional Functions**
 In addition to the essential functions listed above, the incumbent may perform the following additional functions.
* Participate in regulatory and compliance activities.
**Required Qualifications**
* Bachelor's in Computer Science, Information Systems, a related field or equivalent work experience
* 6\+ years of application development or data science experience with increasingly complex projects.
* Comprehensive understanding of data, development and product life cycles
* Comprehensive understanding of data engineering and industry best practices
* Experience with data modeling, ETL frameworks, and distributed systems.
* Strong leadership, communication, and strategic thinking skills.
* Ability to conduct research into data and database\-related issues and products
* Ability to conduct research into data\-related issues for software products and systems
**Preferred Qualifications**
* Knowledge of programming for different delivery approaches such as on\-premises, web, cloud, and mobile
* Postgres (v12 or later) – 2\+ years
* Microsoft SQL Server
* Familiarity with SAP SQL Anywhere
* Windows operating system – 2\+ years
* Azure ecosystem – 1\+ years
* Azure DevOps (including Git)
* PowerShell or Batch Files
* C\#
* Visual Studio/VS Code
**Working Environment**
* Ability to work remote and be on camera as needed
* Periodic on call rotations and available outside of normal business hours on evenings and weekends during critical production release or issue escalation periods
*This role is eligible for hire in any of the following States: AK, AZ, CA, CO, CT, DC, HI, ID, IL, KS, KY, ME, MA, MI, MN, MT, NE, NV, NH, NM, NY, OR, RI, SD, TX, UT, VT, WA, WV, WI*
 The compensation range for this role is below.
 $100,000 \- $120,000
 The potential compensation range for this role is below. The final offer amount would be based on various factors such as candidate location (geographical labor market), experience, and skills. $100,400\.00 \- $125,400\.00</t>
        </is>
      </c>
    </row>
    <row r="64">
      <c r="A64" t="inlineStr">
        <is>
          <t>li-4330137358</t>
        </is>
      </c>
      <c r="B64" t="inlineStr">
        <is>
          <t>Data Engineer Supply Chain Planning</t>
        </is>
      </c>
      <c r="C64" t="inlineStr">
        <is>
          <t>Hormel Foods</t>
        </is>
      </c>
      <c r="D64" t="inlineStr">
        <is>
          <t>linkedin</t>
        </is>
      </c>
      <c r="E64" t="inlineStr"/>
      <c r="F64" t="inlineStr"/>
      <c r="G64" t="inlineStr">
        <is>
          <t>Austin, MN</t>
        </is>
      </c>
      <c r="H64" t="inlineStr"/>
      <c r="I64" t="inlineStr">
        <is>
          <t>**DATA ENGINEER SUPPLY CHAIN PLANNING – IT \- CORPORATE OFFICE (AUSTIN, MN)** 
 To save time applying, Hormel Foods does not offer sponsorship of job applicants for employment\-based visas for this position at this time.
**Hormel Foods Corporation** 
**ABOUT HORMEL FOODS —
 *Inspired People. Inspired Food.™***
 Hormel Foods Corporation, based in Austin, Minnesota, is a global branded food company with approximately $12 billion in annual revenue across more than 80 countries worldwide. Its brands include Planters®,
 *Skippy®* 
 ,
 *SPAM* 
 ®,
 *Hormel® Natural Choice®, Applegate®, Justin’s®, Wholly®, Hormel® Black Label®, Columbus®* 
 ,
 *Jennie\-O®* 
 and more than 30 other beloved brands. The company is a member of the S\&amp;P 500 Index and the S\&amp;P 500 Dividend Aristocrats, was named one of the best companies to work for by U.S. News \&amp; World Report, one of America’s most responsible companies by Newsweek, recognized by TIME magazine as one of the World’s Best Companies, and has received numerous other awards and accolades for its corporate responsibility and community service efforts. The company lives by its purpose statement —
 *Inspired People. Inspired Food.™* 
 — to bring some of the world’s most trusted and iconic brands to tables across the globe. For more information, visit www.hormelfoods.com.
 Summary:
 We are looking for a Data Engineer specializing in supply chain planning within our Data and Analytics team. This is an exciting opportunity to help grow and modernize analytics at Hormel Foods! Individuals interested in this position will need strong communication skills, communicating up, down and across the organization. You will be responsible for managing simultaneous initiatives that require innovative problem solving.
 You will use tools such as Google Cloud Platform, SQL, Python, Incorta, Oracle Business Intelligence, Tableau, and Informatica ETL to engineer data pipelines and data models to enhance enterprise reporting and analytics. Additionally, you will engineer reports, dashboards and visualizations using enterprise business intelligence tools (Oracle and Tableau).
**Specific competencies include:** 
**Data Structures and Models** 
 \- Designs and develops the overall database/data warehouse structure based on functional and technical requirements. Designs and develops data collection frameworks for structured and unstructured data.
**Data Pipelines and ELT** 
 \- Designs and applies data extraction, loading and transformation techniques in order to connect large data sets from a variety of sources.
**Data Performance** 
 \- Troubleshoots and fixes for data performance issues that come with querying and combining large volumes of data. Adjusts performance for solution accordingly during initial development.
**Visualizations and Dashboards** 
 \- Gathers requirements, designs and develops reports and dashboards with multiple sources that meet business needs. Leverages visualizations when possible to increase speed to identifying an insight. Walks business through definitions of data.
**Responsibilities:** 
* Works closely with Supply Chain Planning functions, data scientists, BI analysts, and other stakeholders to understand data needs and deliver solutions.
* Engineers physical and logical data models for dimensions and facts within the staging, warehouse and semantic layer of our enterprise data warehouses and platforms
* Engineers and performance tunes SQL, Python, Incorta or Informatica ETLs and pipelines as well as Google BigQuery Dataprocs to move data from a variety of source systems and file types to fit into dimensional data models
* Utilizes SQL within Google BigQuery, Informatica ETLs, Incorta pipelines or Oracle SQL Views when necessary to achieve proper metric calculations or derive dimension attributes
* Engineers schedule and orchestration for batch and mini\-batch data loads into the enterprise data warehouses and platforms
* Provide issue resolution and maintenance for a variety of business unit solutions already existing in the enterprise data warehouses and platforms
* Use tools such as SQL, Oracle Business Intelligence, Tableau, Google Cloud Platform, Python, Incorta and Informatica ETL to engineer data pipelines and data models to enhance enterprise reporting and analytics
* Engineers dashboards within the enterprise business intelligence platforms containing reports and visualization that have intelligent user interface design and flow for the business including adequate performance
**Required Qualifications:** 
* A bachelor's degree in Computer Science, MIS, or related area and significant experience with business intelligence, data engineering and data modeling.
* 5\+ years of experience with reading and writing SQL.
* 5\+ years of experience engineering within a data warehouse or related experience with dimensional data modeling.
* 5\+ years of experience designing and developing ETLs/pipelines in Python, Google BigQuery Dataprocs and/or Informatica ETL.
* 3\+ years of experience with data enablement for a Supply Chain Planning platform, preferably o9 solutions
* Excellent written and verbal communication skills.
* Proven ability to gather detailed technical requirements to design and develop data structures supporting business intelligence report solutions from beginning to end.
* Excellent organizational and time management skills.
* Tested problem\-solving and decision\-making skills.
* A strong pattern of initiative.
* Highly developed interpersonal and leadership skills.
* Must be a Citizen or National of the United States, a lawful, permanent resident, or have authorization to work in the United States.
* Applicants must not now, or in the future, require sponsorship for an employment visa.
**Preferred Qualifications:** 
* Experience with Supply Chain data, including logistics, inventory, procurement, and manufacturing.
* Familiarity with ERP systems and supply chain planning tools.
* 3\+ years of experience designing and developing within a business intelligence/reporting tool like Oracle Business Intelligence, Tableau or Google Cloud Platform
* Experience with Incorta Data Delivery Platform connecting to Oracle Fusion Cloud applications
* Experience working within Google Cloud Platform with services like Dataflow, Datafusion, Pub/Sub, Cloud SQL, Cloud Storage
* Experience with Oracle SQL including advanced functions like analytical functions.
* Experience tuning SQL and ETLs.
* Experience within a core metadata model (RPD) including the physical, logical and presentation layers for the enterprise business intelligence platform (OBIEE – Oracle Business Intelligence Enterprise Edition.)
**LOCATION:** 
 Austin, MN – Global Headquarters (preferred); Eden Prairie, MN (office location)
**TRAVEL REQUIREMENTS:** 
 Travel may be necessary 10% of the time.
**BENEFITS** 
 : Hormel Foods offers an excellent benefits package. Competitive base salary plus target incentive, discretionary annual merit increase, annual performance review, medical, dental, vision, non\-contributory pension, profit sharing, 401(k), stock purchase plan, paid personal time off (PTO), FREE two\-year community or technical college tuition for children of employees, relocation assistance and more. On\-the\-job training, certifications and opportunities to expand skill sets.
 At Hormel Foods, base pay is one part of our total compensation package and is determined within a range. The base hiring pay range for this role is between $98,100\-$137,300 per year, and your actual base pay within that range will depend upon a variety of factors including, but not limited to, job\-related knowledge, skill set, level of experience, and geographic market location.
 At Hormel we invite difference and diversity in all aspects. We offer a space of support, understanding, and community. We are committed to the journey! Learn more about our progress here: https://www.hormelfoods.com/about/diversity\-and\-inclusion/
 Hormel Foods Corporation is an equal opportunity employer. All qualified applicants will receive consideration for employment without regard to race, color, religion, sex, sexual orientation, gender identity, national origin, disability, or veteran status.</t>
        </is>
      </c>
    </row>
    <row r="65">
      <c r="A65" t="inlineStr">
        <is>
          <t>li-4330227055</t>
        </is>
      </c>
      <c r="B65" t="inlineStr">
        <is>
          <t>Senior Data Engineer IT (Supply Chain) - Corporate Office (Austin, MN)</t>
        </is>
      </c>
      <c r="C65" t="inlineStr">
        <is>
          <t>Hormel Foods</t>
        </is>
      </c>
      <c r="D65" t="inlineStr">
        <is>
          <t>linkedin</t>
        </is>
      </c>
      <c r="E65" t="inlineStr"/>
      <c r="F65" t="inlineStr"/>
      <c r="G65" t="inlineStr">
        <is>
          <t>Austin, MN</t>
        </is>
      </c>
      <c r="H65" t="inlineStr"/>
      <c r="I65" t="inlineStr">
        <is>
          <t>**SENIOR DATA ENGINEER IT (SUPPLY CHAIN) HORMEL FOODS \- (AUSTIN, MN/EDEN PRAIRIE, MN)** 
 To save time applying, Hormel Foods does not offer sponsorship of job applicants for employment\-based visas for this position at this time.
**ABOUT HORMEL FOODS — Inspired People. Inspired Food.™** 
 Hormel Foods Corporation, based in Austin, Minnesota, is a global branded food company with approximately $12 billion in annual revenue across more than 80 countries worldwide. Its brands include Planters®, Skippy®, SPAM®, Hormel® Natural Choice®, Applegate®, Justin’s®, Wholly®, Hormel® Black Label®, Columbus®, Jennie\-O® and more than 30 other beloved brands. The company is a member of the S\&amp;P 500 Index and the S\&amp;P 500 Dividend Aristocrats, was named one of the best companies to work for by U.S. News \&amp; World Report, one of America’s most responsible companies by Newsweek, recognized by TIME magazine as one of the World’s Best Companies, and has received numerous other awards and accolades for its corporate responsibility and community service efforts. The company lives by its purpose statement — Inspired People. Inspired Food.™ — to bring some of the world’s most trusted and iconic brands to tables across the globe. For more information, visit www.hormelfoods.com.
**Summary:** 
 We are looking for a Senior Data Engineer specializing in Supply Chain data within our Data and Analytics team. This is an exciting opportunity to help grow and modernize analytics at Hormel Foods! Individuals interested in this position will need strong communication skills, with the ability to collaborate across all levels of the organization. You will be responsible for managing a team and simultaneous initiatives that require innovative problem\-solving and technical expertise.
 You will use tools such as Google Cloud Platform, SQL, Python, Incorta, Oracle Business Intelligence, Tableau, and Informatica ETL to engineer data pipelines and data models that enhance enterprise reporting and analytics. Additionally, you will design and develop reports, dashboards, and visualizations using enterprise business intelligence tools (Oracle and Tableau).
**Specific competencies include:** 
**Data Structures and Models** 
 \- Designs, develops and scales the overall database/data warehouse structure based on functional and technical requirements. Designs, develops and scales data collection frameworks for structured and unstructured data.
**Data Pipelines and ELT** 
 \- Designs, applies and scales data extraction, loading and transformation techniques in order to connect large data sets from a variety of sources.
**Data Performance** 
 \- In complete autonomy, troubleshoots and fixes for data performance issues that come with querying and combining large volumes of data. Accounts for scaled performance in initial design.
**Visualizations and Dashboards** 
 \- Gathers requirements, designs and develops reports, dashboards and visualizations with multiple sources that meet business needs. Understands data and ideates ways for business to leverage data in innovative ways.
**Responsibilities:** 
* Works directly with the Supply Chain business unit to understand their analytics needs and gather requirements for analytics solutions
* Design and implement physical and logical data models for dimensions and facts across staging, warehouse, and semantic layers of enterprise data platforms.
* Develop and optimize SQL, Python, Incorta, or Informatica ETLs and pipelines, including Google BigQuery Dataprocs, to ingest and transform data from diverse sources into dimensional models.
* Utilize SQL within Google BigQuery, Informatica ETLs, Incorta pipelines, or Oracle SQL Views to derive metrics and dimension attributes.
* Engineer and orchestrate batch and mini\-batch data loads into enterprise data platforms.
* Provide ongoing support and maintenance for existing Supply Chain data solutions within enterprise data warehouses.
* Use tools such as SQL, Oracle Business Intelligence, Tableau, Google Cloud Platform, Python, Incorta, and Informatica ETL to build robust data pipelines and models that support enterprise analytics.
* Design and develop dashboards and reports with intuitive user interfaces and optimized performance for Supply Chain operations.
**Required Qualifications:** 
* A bachelor's degree in Computer Science, MIS, or related area and significant experience with business intelligence, data engineering and data modeling.
* 7\+ years of experience with reading and writing SQL.
* 7\+ years of experience engineering within a data warehouse or related experience with dimensional data modeling.
* 7\+ years of experience designing and developing ETLs/pipelines in Python, Google BigQuery Dataprocs and/or Informatica ETL.
* Proven ability to gather detailed technical requirements to design and develop data structures supporting business intelligence report solutions from beginning to end.
* Excellent written and verbal communication skills.
* Strong organizational and time management skills.
* Tested problem\-solving and decision\-making skills.
* A strong pattern of initiative.
* Highly developed interpersonal and leadership skills.
* Demonstrated success in leading cross\-functional data projects.
* Applicants must not now, or at any time in the future, require employer sponsorship for a work visa.
* Applicants must be authorized to work in the United States for any employer.
**Preferred Qualifications:** 
* 5\+ years of experience designing and developing within a business intelligence/reporting tool like Oracle Business Intelligence, Tableau or Power BI.
* Experience with Supply Chain data, including logistics, inventory, procurement, and manufacturing.
* Familiarity with ERP systems and supply chain planning tools.
* Experience working within Google Cloud Platform with services like Dataflow, Datafusion, Pub/Sub, Cloud SQL, Cloud Storage
* Advanced Oracle SQL including advanced functions like analytical functions.
* Experience in tuning complex SQL and ETLs.
* Experience within a core semantic layer platforms including the physical, logical and presentation layers for the enterprise business intelligence platform (RPD in OBIEE – Oracle Business Intelligence Enterprise Edition or AtScale semantic layer)
**LOCATION:** 
 Austin, MN – Global Headquarters (preferred); Eden Prairie, MN (office location)
**TRAVEL REQUIREMENTS:** 
 Travel may be necessary 10% of the time.
**BENEFITS:** 
 Hormel Foods offers an excellent benefits package. Competitive base salary plus bonus, annual merit increase performance reviews, medical, dental, vision, non\-contributory pension, profit sharing, 401(k), stock purchase plan, relocation assistance, paid vacation.
*The base pay range for this position $119,500\-$167,300 per year; however, actual compensation is influenced by a wide array of factors including but not limited to job\-related knowledge, skills set, level of experience, and specific office location.* 
 At Hormel we invite difference and diversity in all aspects. We offer a space of support, understanding, and community. We are committed to the journey! Learn more about our progress here: https://www.hormelfoods.com/about/diversity\-and\-inclusion/
 Hormel Foods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66">
      <c r="A66" t="inlineStr">
        <is>
          <t>li-4330236379</t>
        </is>
      </c>
      <c r="B66" t="inlineStr">
        <is>
          <t>Spark Big Data Engineer</t>
        </is>
      </c>
      <c r="C66" t="inlineStr">
        <is>
          <t>Jobs via Dice</t>
        </is>
      </c>
      <c r="D66" t="inlineStr">
        <is>
          <t>linkedin</t>
        </is>
      </c>
      <c r="E66" t="inlineStr"/>
      <c r="F66" t="inlineStr"/>
      <c r="G66" t="inlineStr">
        <is>
          <t>Alpharetta, GA</t>
        </is>
      </c>
      <c r="H66" t="inlineStr"/>
      <c r="I66" t="inlineStr">
        <is>
          <t>Dice is the leading career destination for tech experts at every stage of their careers. Our client, SANS, is seeking the following. Apply via Dice today!
 Must be able to interview in\-person and work 3 days a week in Alpharetta, GA
 Big Data SPARK Engineer
**Job Description**
 Role Name: Big Data Engineer
 Position Title: Consultant
 Location: Alpharetta, GA
 Position Description:
 This position is for Big data engineer for \*\*\* Wealth Management? Framework CoE team at \*\*\* s Alpharetta or New York offices.
 CoE team is responsible to define and govern the data platforms.
 We are looking for colleagues with strong sense of ownership and ability to drive solutions.
 The role is primarily responsible to automate the existing process and bring new ideas and innovation.
 The candidate is expected to code, conduct code reviews, and test framework as needed, along with participating in application architecture and design and other phases of the automation.
 The ideal candidate will be a self\-motivated team player committed to delivering on time and should be able to work with or without minimal supervision.
**Responsibilities**
* Design \&amp; Develop new automation framework for ETL processing
* Support existing framework and become technical point of contact for all related teams
* Enhance existing ETL automation framework as per user requirements
* Performance tuning of spark, snowflake ETL jobs
* New technology POC and suitability analysis for Cloud migration
* Process optimization with the help of automation and new utility development
* Work in collaboration for any issues and new features
* Support any batch issue
* Support application team teams with any queries
**Required Skills**
* 7\+ years of Data engineering experience
* Must be strong in UNIX Shell, Python scripting knowledge
* Must be strong in Spark
* Must have strong knowledge of SQL
* Hands\-on knowledge on how HDFS/Hive/Impala/Spark works
* Strong in logical reasoning capabilities
* Should have working knowledge of Github, DevOps, CICD/ Enterprise code management tools
* Strong collaboration and communication skills
* Must possess strong team\-player skills and should have excellent written and verbal communication skills
* Ability to create and maintain a positive environment of shared success
* Ability to execute and prioritize a tasks and resolve issues without aid from direct manager or project sponsor
* Good to have working experience on snowflake \&amp; any data integration tool i.e. informatica cloud
 Primary skills: Python, Big Data \&amp; Apache Spark
**Desired Skills**
* Snowflake/Azure/AWS any cloud
* IDMC/any ETL tool</t>
        </is>
      </c>
    </row>
    <row r="67">
      <c r="A67" t="inlineStr">
        <is>
          <t>li-4279814534</t>
        </is>
      </c>
      <c r="B67" t="inlineStr">
        <is>
          <t>Sr. Data Engineer</t>
        </is>
      </c>
      <c r="C67" t="inlineStr">
        <is>
          <t>Jobs via eFinancialCareers</t>
        </is>
      </c>
      <c r="D67" t="inlineStr">
        <is>
          <t>linkedin</t>
        </is>
      </c>
      <c r="E67" t="inlineStr"/>
      <c r="F67" t="inlineStr"/>
      <c r="G67" t="inlineStr">
        <is>
          <t>Bedminster, NJ</t>
        </is>
      </c>
      <c r="H67" t="inlineStr"/>
      <c r="I67" t="inlineStr">
        <is>
          <t>**Benefits Summary**
* Flexible and hybrid work arrangements
* Paid time off/Paid company holidays
* Medical plan options/prescription drug plan
* Dental plan/vision plan options
* Flexible spending and health savings accounts
* 401(k) retirement savings plan with a Roth savings option and company matching contributions
* Educational assistance program
**Overview**
 The Sr. Data Engineer requires expertise in DataOps and is responsible for guaranteeing dependable, scalable and effective data processes and solutions by combining components, functions and skills from data engineering, software engineering and IT Operations. This role is critical to AM Best's goal of developing, maintaining and scaling a sophisticated platform for data and analytics.
**Responsibilities**
**Create and support scalable data solutions:**
* Build high performance data systems including databases, APIs, and data integration pipelines
* Implement a metadata\-driven architecture and infrastructure as code approach to automate and simplify the design, deployment, and management of data systems
* Facilitate the adoption of data and software engineering best practices, including code review, testing, and continuous integration and delivery (CI/CD)
* Develop and establish a data governance framework
* Continuous monitoring of process performance and implement improvements for efficiency including fine\-tuning existing ETL processes, optimizing queries, or refactoring code
* Assess and make optimal use of cloud platforms and technologies, especially Azure and Databricks to enhance system architecture
* Implement data quality checks and build processes to identify and resolve data issues
* Create and maintain documentation for data architecture, standards, and best practices
* Contribute designs, code, tooling, testing, and operational support
**Increase operational efficiency:**
* Identify opportunities for process optimization and automation to enhance data operations efficiency
**Leadership and innovation:**
* Provide technical leadership to the data engineering team and actively lead design discussions
* Ensure that the new data infrastructure remains modern and efficient by staying knowledgeable of the latest tools, technologies, and methodologies in the data and analytics space
**Qualifications**
* 7 plus years of experience working as a Data Engineer, Data Architect, Database Developer or similar roles
* Bachelor's Degree in Computer Science, Data Science, Engineering or related field
**Skills**
* 7\+ years of experience in programming languages such as Python, Scala, Java, Rust or similar
* 7\+ years of experience in Oracle OLTP database design and development
* 7\+ years of experience in building ETL / ELT data pipelines using Apache Spark, Airflow, dbt or similar
* 7 years of experience in developing APIs that include REST, SOAP, RPC, GraphQL or similar
* 7 years of experience in OLAP / data warehouse design and development using dimensional (Kimball star\-schema), data vault or Inmon methodologies
* 5 years of experience in NoSQL database design and development preferably on MongoDB or similar
* 5 years of experience working with message broker platforms like RabbitMQ, Apache Kafka, Red Hat AMQ or similar
* 5 years of experience working with Azure or AWS cloud\-native technologies / services
* Working knowledge of CI/CD automation tools or services like Jenkins, Ansible, Chef, Puppet or similar
* Working knowledge of containerized platform or services like Docker, Kubernetes or similar
* Must be hands\-on, have a passion for data and problem solving, and an innovative mind\-set to help deliver results across projects
 Pluses:
* Experience working with Databricks data intelligence platform
* Experience working with business intelligence tools / platforms like PowerBI, Cognos, Tableau or similar
* Experience working with caching databases: Memcache,Redis or similar
* Experience working with search databases and platforms: Elasticsearch, Apache Solr or similar
* Experience working with data modeling tools: ERwin, ERStudio, Navicat, SqlDBM or similar
* Knowledge of data governance tools: Colibra, Alation or similar
* Knowledge of master data management tools: Informatica, TIBCO, Riversand, Ataccama or similar</t>
        </is>
      </c>
    </row>
    <row r="68">
      <c r="A68" t="inlineStr">
        <is>
          <t>li-4330300655</t>
        </is>
      </c>
      <c r="B68" t="inlineStr">
        <is>
          <t>Staff Data Engineer - IT (Sales &amp; Marketing) Hormel Foods (Austin, MN, Eden Prairie, MN)</t>
        </is>
      </c>
      <c r="C68" t="inlineStr">
        <is>
          <t>Hormel Foods</t>
        </is>
      </c>
      <c r="D68" t="inlineStr">
        <is>
          <t>linkedin</t>
        </is>
      </c>
      <c r="E68" t="inlineStr"/>
      <c r="F68" t="inlineStr"/>
      <c r="G68" t="inlineStr">
        <is>
          <t>Austin, MN</t>
        </is>
      </c>
      <c r="H68" t="inlineStr"/>
      <c r="I68" t="inlineStr">
        <is>
          <t>**STAFF DATA ENGINEER – IT (Sales \&amp; Marketing) \- HORMEL FOODS (AUSTIN, MN, EDEN PRAIRIE, MN)** 
 To save time applying, Hormel Foods does not offer sponsorship of job applicants for employment\-based visas for this position at this time.
**Hormel Foods Corporation** 
**ABOUT HORMEL FOODS —
*Inspired People. Inspired Food.™***
 Hormel Foods Corporation, based in Austin, Minn., is a global branded food company with over $12 billion in annual revenue across more than 80 countries worldwide. Its brands include
 *SKIPPY®* 
 ,
 *SPAM* 
 ®,
 *Hormel® Natural Choice®, Applegate®, Justin’s®, Wholly®, Hormel® Black Label®, Columbus®* 
 and more than 30 other beloved brands. The company is a member of the S\&amp;P 500 Index and the S\&amp;P 500 Dividend Aristocrats, was named on the “Global 2000 World’s Best Employers” list by Forbes magazine for three straight years, is one of Fortune magazine’s most admired companies, has appeared on Corporate Responsibility Magazine’s “The 100 Best Corporate Citizens” list for the 12th year in a row, and has received numerous other awards and accolades for its corporate responsibility and community service efforts. The company lives by its purpose statement —
 *Inspired People. Inspired Food.™* 
 — to bring some of the world’s most trusted and iconic brands to tables across the globe. For more information, visit www.hormelfoods.com and http://csr.hormelfoods.com/.
**Summary:** 
 We are looking for a Staff Data Engineer within the Sales and Marketing domain as part of our Data and Analytics team. This is an exciting opportunity to help grow and modernize analytics at Hormel Foods! The ideal candidate will have strong communication skills and the ability to collaborate across multiple levels of the organization. You will manage multiple initiatives that require creative problem\-solving.
 You will use tools such as Google Cloud Platform, SQL, Python, Incorta, Oracle Business Intelligence, and Informatica ETL to engineer data pipelines and data models to enhance enterprise reporting and analytics. Additionally, you will engineer reports, dashboards and visualizations using enterprise business intelligence tools (Oracle, Power BI and Tableau).
**Specific competencies include:** 
* **Data Structures and Models \-** 
 Develops the overall database/data warehouse structure based on functional and technical requirements. Develops data collection frameworks for mainly structured and sometimes unstructured data.
* **Data Pipelines and ELT \-** 
 Applies data extraction, loading and transformation techniques in order to connect medium to large data sets from a variety of sources.
* **Data Performance \-** 
 With minimal guidance, troubleshoots and fixes for data performance issues that come with querying and combining medium to large volumes of data. Tests for scenarios affecting performance during initial development.
* **Visualizations and Dashboards \-** 
 Designs and develops reports and dashboards that meet business needs. Leverages visualizations when possible to increase speed to identifying an insight.
**Responsibilities:** 
* Collaborate with Sales \&amp; Marketing team members, data scientists, BI analysts, and other stakeholders to understand data needs and deliver solutions.
* Develop the overall database/data warehouse structure based on functional and technical requirements.
* Engineer physical and logical data models for dimensions and facts within the staging, warehouse, and semantic layers of enterprise data warehouses and platforms.
* Performance tune SQL, Python, Incorta, or Informatica ETL pipelines, as well as Google BigQuery Dataprocs to move data from various source systems and file types into dimensional data models.
* Utilize SQL within Google BigQuery, Informatica ETLs, Incorta pipelines, or Oracle SQL Views to achieve proper metric calculations or derive dimension attributes.
* Engineer schedule and orchestration for batch and mini\-batch data loads into enterprise data warehouses and platforms.
* Provide issue resolution and maintenance for various business unit solutions existing in enterprise data warehouses and platforms.
* Use tools such as SQL, Oracle Business Intelligence, Power BI, Tableau, Google Cloud Platform, Python, Incorta, and Informatica ETL to engineer data pipelines and models to enhance enterprise reporting and analytics.
* Engineer dashboards within enterprise business intelligence platforms containing reports and visualizations with intelligent user interface design and flow for the business, ensuring adequate performance.
**Required Qualifications:** 
* Bachelor's degree in Computer Science, MIS, or related area with experience in business intelligence, data engineering, and data modeling.
* 4\+ years of experience with reading and writing SQL.
* 3\+ years of experience engineering within a data warehouse or related experience with dimensional data modeling.
* 3\+ years of experience designing and developing ETLs/pipelines in Python, Google BigQuery Dataprocs and/or Informatica ETL.
* 3\+ years of experience with data enablement for a Point of Sale or Syndicated Consumption platforms. Preferably, Circana.
* Ability to gather detailed technical requirements to design and develop data structures supporting business intelligence report solutions from beginning to end.
* Excellent written and verbal communication skills.
* Excellent organizational and time management skills.
* Tested problem\-solving and decision\-making skills.
* Strong pattern of initiative.
* Strong interpersonal skills.
* Applicants must not now, or at any time in the future, require employer sponsorship for a work visa.
* Applicants must be authorized to work in the United States for any employer.
**Preferred Qualifications:** 
* Advanced SQL reading and writing skills.
* Experience developing data pipelines and queries within Google Cloud Platform (Google BigQuery) and/or Oracle Databases.
* Experience engineering within a data warehouse or related experience with dimensional data modeling.
* Experience tuning SQL and ETLs.
* Proven ability to gather detailed technical requirements to design and develop business intelligence report solutions from beginning to end.
* Experience with Sales/Marketing/Consumption data.
* Experience with syndicated consumption providers or retailer\-focused Point of Sale platforms.
* Experience working within Google Cloud Platform with services like Dataflow, Datafusion, Pub/Sub, Cloud SQL, Cloud Storage.
* Experience with Oracle SQL including advanced functions like analytical functions.
* Experience tuning complex SQL and ETLs.
* Experience within a core metadata model (RPD) including the physical, logical, and presentation layers for the enterprise business intelligence platform (OBIEE – Oracle Business Intelligence Enterprise Edition).
**LOCATION:** 
 Austin, MN – Global Headquarters (Preferred). Secondary location Eden Prairie, MN
**TRAVEL REQUIREMENTS:** 
 Travel may be necessary 10% of the time.
**BENEFITS:** 
 Hormel Foods offers an excellent benefits package. Competitive base salary plus target incentive, discretionary annual merit increase, annual performance review, medical, dental, vision, non\-contributory pension, profit sharing, 401(k) immediate eligible, stock purchase plan, relocation assistance, paid personal time (PTO), FREE two\-year community/technical college tuition for children of employees, and more.
 At Hormel Foods, base pay is one part of our total compensation package and is determined within a range. The base hiring pay range for this role is between $86,500\-$121,200 per year, and your actual base pay within that range will depend upon a variety of factors including, but not limited to, job\-related knowledge, skill set, level of experience, and geographic market location.
 At Hormel we invite difference and diversity in all aspects. We offer a space of support, understanding, and community. We are committed to the journey! Learn more about our progress here: https://www.hormelfoods.com/about/diversity\-and\-inclusion/
 Hormel Foods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69">
      <c r="A69" t="inlineStr">
        <is>
          <t>li-4350717598</t>
        </is>
      </c>
      <c r="B69" t="inlineStr">
        <is>
          <t>Senior Data Engineer - Synechron Inc.</t>
        </is>
      </c>
      <c r="C69" t="inlineStr">
        <is>
          <t>Jobs via eFinancialCareers</t>
        </is>
      </c>
      <c r="D69" t="inlineStr">
        <is>
          <t>linkedin</t>
        </is>
      </c>
      <c r="E69" t="inlineStr"/>
      <c r="F69" t="inlineStr"/>
      <c r="G69" t="inlineStr">
        <is>
          <t>Weehawken, NJ</t>
        </is>
      </c>
      <c r="H69" t="inlineStr"/>
      <c r="I69"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**Our challenge**
 We are seeking a skilled Data Engineer with expertise in Databricks, Snowflake, Python, Pyspark, SQL, and Release Management to join our dynamic team. The ideal candidate will have a strong background in the banking domain and will be responsible for designing, developing, and maintaining robust data pipelines and systems to support our banking operations and analytics.
 Additional Information\*
 The base salary for this position will vary based on geography and other factors. In accordance with law, the base salary for this role if filled within Weehawken, NJ is $120k \- $130k/year \&amp; benefits (see below).
**The Role**
**Responsibilities:**
* Design, develop, and maintain scalable and efficient data pipelines using Snowflake, Pyspark, and SQL.
* Write optimized and complex SQL queries to extract, transform, and load data.
* Develop and implement data models, schemas, and architecture that support banking domain requirements.
* Collaborate with data analysts, data scientists, and business stakeholders to gather data requirements.
* Automate data workflows and ensure data quality, accuracy, and integrity.
* Manage and coordinate release processes for data pipelines and analytics solutions.
* Monitor, troubleshoot, and optimize the performance of data systems.
* Ensure compliance with data governance, security, and privacy standards within the banking domain.
* Maintain documentation of data architecture, pipelines, and processes.
* Stay updated with the latest industry trends and incorporate best practices.
**Requirements:**
* Proven 8\+ years experience as a Data Engineer or in a similar role with a focus on Snowflake, Python, Pyspark, and SQL.
* Strong understanding of data warehousing concepts and cloud data platforms, especially Snowflake.
* Hands\-on experience with release management, deployment, and version control practices.
* Good Knowledge in Azure and Databricks in highly preferred.
* Solid understanding of banking and financial services industry data and compliance requirements.
* Proficiency in Python scripting and Pyspark for data processing and automation.
* Experience with ETL/ELT processes and tools.
* Excellent problem\-solving and analytical skills.
* Strong communication and collaboration abilities.
**Preferred, but not required:**
* Good Knowledge in Azure and Databricks in highly preferred.
* Knowledge of Apache Kafka or other streaming technologies.
* Familiarity with DevOps practices and CI/CD pipelines.
* Prior experience working in the banking or financial services industry.
**We offer:**
* A highly competitive compensation and benefits package.
* A multinational organization with 58 offices in 21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70">
      <c r="A70" t="inlineStr">
        <is>
          <t>li-4350797708</t>
        </is>
      </c>
      <c r="B70" t="inlineStr">
        <is>
          <t>MDM Data Engineer</t>
        </is>
      </c>
      <c r="C70" t="inlineStr">
        <is>
          <t>Jobs via eFinancialCareers</t>
        </is>
      </c>
      <c r="D70" t="inlineStr">
        <is>
          <t>linkedin</t>
        </is>
      </c>
      <c r="E70" t="inlineStr"/>
      <c r="F70" t="inlineStr"/>
      <c r="G70" t="inlineStr">
        <is>
          <t>Springfield, MA</t>
        </is>
      </c>
      <c r="H70" t="inlineStr"/>
      <c r="I70" t="inlineStr">
        <is>
          <t>**Objectives of the role**
 As an MDM Data Engineer, you will work in a fast\-paced, innovative, and collaborative environment on exciting data management directives. You will design, build, and measure complex Informatica Power Center and MDM processes to master data for different Master Data domains in MassMutual. This role involves working on a range of projects including batch pipelines, data modeling, and Master Data solutions to implement robust data collection and processing pipelines to meet specific business needs.
**The Team**
 The Data Platform Data Engineering team comprises a diverse group of data engineers, analysts, and data architects who are passionate about data integrity and innovation. The team is motivated by the opportunity to drive business decisions through accurate and reliable data. We foster a collaborative culture where knowledge\-sharing and continuous learning are encouraged. Our MDM team is dedicated to mastering data management processes that are essential for MassMutual's data\-driven strategies.
**The Impact:**
* Design, construct, and evaluate intricate ELT/ETL tasks: Assimilate data from diverse sources into a high\-quality, reliable data repository, directly impacting the accuracy of MassMutual's data\-driven decisions.
* Develop Master Data Management (MDM) solutions: Implement solutions across various master data domains within MassMutual, ensuring data consistency and reliability.
* Provide comprehensive support for MDM solutions: Manage data ingestion, master record creation, outbound data extracts, and API integration to maintain seamless data operations.
* Implement data modeling policies and procedures: Establish standards for data modeling, contributing to the efficiency and consistency of data processes.
* Collaborate across departments: Engage with various teams to understand emerging data patterns, translating high\-level business needs into precise technical specifications.
* Actively engage in the development and rollout of MDM Solutions and other Information Management initiatives at MassMutual.
* Establish data quality benchmarks and develop tools/processes to ensure data accuracy.
**The Minimum Qualifications**
* Bachelor’s degree in computer science or engineering.
* 5\+ years of experience with Informatica Power Center.
* 5\+ years of experience in data analytics, data modeling, and database design.
* 3\+ years of coding and scripting (Python, Java, Scala) and design experience.
* 3\+ years of experience with the Informatica MDM platform in the customer/party subject area.
* 3\+ years of experience in ELT methodologies, SQL tuning, and troubleshooting.
* 3\+ years of experience with Oracle database and AWS.
* 2\+ years of experience with basic UNIX commands and shell scripts.
**The Ideal Qualifications**
* Master’s degree in computer science or engineering.
* Familiarity with agile project delivery processes.
* Proficiency in SQL and data access/analysis.
* Ability to manage diverse projects impacting multiple roles and processes.
* Experience with Python, Kafka, and database technologies like Vertica or Redshift.
* Experience designing and implementing automated ETL processes.
* Experience with RESTful APIs and near real\-time mastering via SIF.
* Willingness to provide Level 2 support for batch processing cycles outside business hours.
**What to Expect as Part of MassMutual and the Team**
* Regular collaboration with the Data Management Team.
* Focused one\-on\-one time with your manager.
* Access to mentorship opportunities.
* Networking opportunities, including access to Asian, Hispanic/Latinx, African American, women, LGBTQ, veteran, and disability\-focused Business Resource Groups.
* Access to learning content on Degreed and other informational platforms.
* Your ethics and integrity will be valued by a company with a strong and stable ethical business, with industry\-leading pay and benefits.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t>
        </is>
      </c>
    </row>
    <row r="71">
      <c r="A71" t="inlineStr">
        <is>
          <t>li-4354508754</t>
        </is>
      </c>
      <c r="B71" t="inlineStr">
        <is>
          <t>Senior Data Engineer</t>
        </is>
      </c>
      <c r="C71" t="inlineStr">
        <is>
          <t>Uber</t>
        </is>
      </c>
      <c r="D71" t="inlineStr">
        <is>
          <t>linkedin</t>
        </is>
      </c>
      <c r="E71">
        <f>HYPERLINK("https://www.linkedin.com/jobs/view/4354508754", "https://www.linkedin.com/jobs/view/4354508754")</f>
        <v/>
      </c>
      <c r="F71" t="inlineStr"/>
      <c r="G71" t="inlineStr">
        <is>
          <t>San Francisco, CA</t>
        </is>
      </c>
      <c r="H71" t="inlineStr"/>
      <c r="I71" t="inlineStr">
        <is>
          <t>**About The Role**
 We are seeking a strong and passionate data engineer with experience in large scale system implementation, with a focus on complex data pipelines. The candidate must be able to design and drive large projects from inception to production. The right person will work with stakeholders, analysts, scientists to gather requirements and translate them into a data engineering roadmap. Must be a great communicator, team player, and a technical powerhouse.
**What The Candidate Will Do**
 Collaborate with engineering/product/analyst teams across tech sites to collectively accomplish OKRs to take Uber forward.
 Enrich data layers to effectively deal with the next generation of products which are a result of Uber's big bold bets.
 Design and build data pipelines to schedule \&amp; orchestrate a variety of tasks such as extract, cleanse, transform, enrich \&amp; load data as per the business needs.
**Basic Qualifications**
* Strong SQL skills
* Strong in Data Warehousing and Data Modelling concepts
* Hands on experience in Hadoop tech stack:
* HDFS, Hive, Oozie, Airflow, MapReduce, Spark.
* Programming languages \- Python, Java, Scala etc.
* Experience in building ETL Data Pipelines
* Performance Troubleshooting and Tuning
**Preferred Qualifications**
* Experience with DW (Data Warehouse) or BI (Business Intelligence) or OLAP tools like Anaplan, TM1, Hyperion etc.
* Experience building high\-quality end\-to\-end data solutions in an agile environment from requirements to production.
* Strong in Data Warehousing concepts
* Should be self\-motivated and passionate about bringing efficiency into the system through optimizations.
* Should be able to raise the bar for other engineers by proposing and driving innovative ideas.
* Experience in mentoring junior team members technically.
* If need be, Act as a Leader to drive big efforts in collaboration with other engineers or team members.
 For San Francisco, CA\-based roles: The base salary range for this role is USD$198,000 per year \- USD$220,000 per year.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USD$198,000 per year \- USD$220,000 per year. You will be eligible to participate in Uber's bonus program, and may be offered an equity award \&amp; other types of comp. You will also be eligible for various benefits. More details can be found at the following link https://www.uber.com/careers/benefits.</t>
        </is>
      </c>
    </row>
    <row r="72">
      <c r="A72" t="inlineStr">
        <is>
          <t>li-4354528303</t>
        </is>
      </c>
      <c r="B72" t="inlineStr">
        <is>
          <t>Senior Data Analytics Engineer</t>
        </is>
      </c>
      <c r="C72" t="inlineStr">
        <is>
          <t>Steer</t>
        </is>
      </c>
      <c r="D72" t="inlineStr">
        <is>
          <t>linkedin</t>
        </is>
      </c>
      <c r="E72">
        <f>HYPERLINK("https://www.linkedin.com/jobs/view/4354528303", "https://www.linkedin.com/jobs/view/4354528303")</f>
        <v/>
      </c>
      <c r="F72" t="inlineStr"/>
      <c r="G72" t="inlineStr"/>
      <c r="H72" t="inlineStr"/>
      <c r="I72" t="inlineStr">
        <is>
          <t>Steer offers a suite of software tools for today's automotive repair shop. We combine a mix of software tools that a repair shop needs to run a highly profitable shop, in one user\-friendly, cost\-effective platform. Through the Steer suite, we allow the shop owner to get back to focusing on what matters, and to stop worrying about marketing and customer retention.
 Steer began as an online directory for drivers to find a local mechanic. Fast forward to today, Steer has launched a complete Customer Relationship Management (CRM) marketing suite, complete with text messaging, email automation, direct mail integration, reputation management, appointment reminders, declined/recommended services, and many other features. We are always innovating and we are proud to be a leader in the automotive repair industry. In August 2024 Steer acquired AutoOps \- the leader in modern, intelligent, and fully integrated scheduling software for auto repair shops. AutoOps allows customers to smoothly schedule through a shop's website and Google Business Profile.
**About The Role**
 We are looking for a versatile and highly experienced
 **Senior Data Analytics Engineer** 
 to join our team. Reporting to the VP of Product \&amp; Data, you will play a foundational role in building our data tech stack, shaping our data culture, and helping build innovative data\-driven products.
**Our Data team is not a service desk.** 
 We operate as a product team, building the data assets that help us innovate on product and maintain high growth. You will replace "gut feel" with scalable, self\-serve data assets—such as version\-controlled dbt models, certified semantic layers, and predictive scoring mechanisms—that empower the wider organization to make decisions without constant intervention.
 This is a builder’s role. You will help define how we extract value from our data, turning raw inputs into a strategic asset. You won't just be running queries; you will be establishing trust in our numbers, helping select the right tools for our stack, and enabling the leadership team to make decisions with confidence.
 You will need to be comfortable working across the entire data lifecycle, and you must be willing to get your hands dirty first. On Monday, you might be scrubbing historical data to fix a discrepancy; on Tuesday, you might be answering ad\-hoc SQL questions for the Executive Team; and on Wednesday, you might be prototyping a proprietary predictive model to forecast service demand for our shops. We need someone who thrives in ambiguity and values speed, clarity, and truth.
**You Will**
* Establish Trust and Cleanliness (The "Dirty Work"): We are transparent: there is significant work to be done to clean our data before the "fun" analysis can begin. You will proactively find the messiness in our data sources and identify gaps in our tracking. You understand that rigorous data cleaning is the prerequisite to interesting modeling.
* Build the Modern Stack (BI as Code): You will treat analytics like software. You will help us choose and deploy dbt (data build tool) and a modern BI platform, building version\-controlled models and CI/CD pipelines to ensure our data logic is tested, documented, and reliable. You will utilize modern AI tooling (Copilot) to accelerate development, actively working to reduce build times and optimize costs as we scale.
* Enable Self\-Service via "Explore" Environments: You will not just build dashboards; you will implement "Explore" environments and certified semantic layers that allow non\-technical stakeholders to answer their own questions safely.
* Master Three Data Domains: You will be responsible for synthesizing insights across three critical areas:
+ The Unified Customer View: You will tackle our biggest data challenge—joining disparate data sets (Product data, HubSpot CRM, and Chargebee billing) to create a single, trusted view of the customer. You will enable us to answer "Who is using the product, are they paying, and are they happy?" in one query.
+ Leadership \&amp; GTM Strategy: You will partner with Sales, Marketing, and CS leadership to present high\-level business metrics (funnel health, retention trends), ensuring our executives are navigating with a clear dashboard.
+ Product Data: Analyzing feature adoption and user behavior to support Product Managers.
+ Shop Health \&amp; Industry Trends: You will analyze aggregate data on how our customers' businesses are performing. Your insights will allow our CS and Marketing teams to act as trusted advisors to shop owners, help Product build the right tools to solve shop problems, and position our company as the industry expert on automotive trends.
* Master Event\-Based Analytics: You will go beyond transactional SQL. You will define and analyze the user journey through clickstream data, distinguishing between "active users" and "engaged users" to drive our product innovation.
* Collaborate with Engineering: You will act as a strategic partner, not a siloed analyst. While we have Data Engineering support to help move the bits, we rely on you to define the logic. You will work directly with software engineers to define tracking specifications (schema design) before features are shipped.
* Drive Data Culture: You will move the company away from "gut feel" and reliance on ad\-hoc CSV exports. You will train stakeholders on how to use data, helping them understand the difference between a "vanity metric" and a "growth lever."
**You Have**
**Must Have**
* 8\+ years of experience in product analytics, analytics engineering, or data science.
* The "Modern Analyst" Toolkit: You are comfortable with Command\-Line Interfaces (CLI), Git\-based version control, and CI/CD pipelines. You understand that modern analytics is a software engineering discipline.
* Deep dbt Expertise: You have extensive experience using dbt to build clean, tested, and documented data models. You know how to structure a project for scale.
* Event\-Based Analytics Mastery: You have deep expertise in analyzing user behavior (clickstream data) using tools like Amplitude, Mixpanel, or Heap. You understand the difference between analyzing transactions (SQL) and events (User Journeys).
* Builder Mindset: You have successfully built a stack (tools/processes) from scratch in a previous role. You don't wait for permission to fix broken processes.
* Data Quality Obsession: You spot when a number "looks wrong," and you have the curiosity to dig in, find the root cause, and fix the definition.
**Nice To Have**
* Experience with ELT Tools: Familiarity with configuring modern connectors like Fivetran or Airbyte.
* AI/LLM Familiarity: Experience using LLMs to accelerate data exploration, generate semantic layers, or enhance productivity.
* Experience merging data from multiple product lines (e.g., post\-acquisition integration).
* Familiarity with the data schemas of Product databases, HubSpot, and Chargebee (or similar CRM/Billing platforms).
* Experience working with Snowflake.
* Background in B2B SaaS.
* Ability to commute to the Waltham office on occasion.
**Interview Process**
* Initial Screen (30min)
* Hiring Manager Interview (60min)
* Project Review and Mini Live Case Study (60min) \&amp; Tech Screen (30min)
* Career Journey Interview (60min) and Executive Interview (30min)
* Reference Checks
**We Offer**
* 100% remote work environment
* Medical, Dental and Vision insurance within 30 days
* 100% employer\-paid medical insurance
* Equity package
* Flexible PTO with 15 days minimum
* Generous Parental Leave
* FSA and HSA options
* 401(k)
* Learning Stipend
* WFH Equipment
* Chance to work with the latest technology
* A collaborative, high ownership culture
* Opportunities for development and career growth
**Why Join Steer?**
 At Steer, we align our mission of transforming the auto repair experience for shop owners and their customers with your passion for growth, innovation, and excellence.
 Here, you’ll find opportunities to expand your skills, take on career\-shaping challenges, and contribute to the future of the auto repair industry, all while enjoying comprehensive benefits and flexible work arrangements to support your well\-being.
 Join Steer to be part of a forward\-thinking, flexible, and collaborative culture where you are empowered to do meaningful and impactful work.
 We value diversity and believe that forming teams in which everyone can be their authentic self is key to our success. We welcome applications from those with diverse backgrounds and industries.
 Our hiring process looks beyond just credentials. The school you went to at 18 doesn't define your potential to thrive and enrich our culture. Even if you don't meet every requirement, we invite you to apply.</t>
        </is>
      </c>
    </row>
    <row r="73">
      <c r="A73" t="inlineStr">
        <is>
          <t>li-4358100240</t>
        </is>
      </c>
      <c r="B73" t="inlineStr">
        <is>
          <t>Sr. Data Engineer</t>
        </is>
      </c>
      <c r="C73" t="inlineStr">
        <is>
          <t>Wisetack</t>
        </is>
      </c>
      <c r="D73" t="inlineStr">
        <is>
          <t>linkedin</t>
        </is>
      </c>
      <c r="E73">
        <f>HYPERLINK("https://www.linkedin.com/jobs/view/4358100240", "https://www.linkedin.com/jobs/view/4358100240")</f>
        <v/>
      </c>
      <c r="F73">
        <f>HYPERLINK("https://job-boards.greenhouse.io/wisetack/jobs/4611517005&amp;urlHash=opJ2", "https://job-boards.greenhouse.io/wisetack/jobs/4611517005&amp;urlHash=opJ2")</f>
        <v/>
      </c>
      <c r="G73" t="inlineStr"/>
      <c r="H73" t="inlineStr"/>
      <c r="I73" t="inlineStr">
        <is>
          <t>Since 2018, Wisetack has been building transparent and intuitive consumer lending products that help service\-based businesses thrive (think HVAC companies, veterinarians, or auto repair shops).
 Our leadership team comes from top fintech companies such as Lending Club, Affirm, and Varo Money. And we’re backed by leading VCs, including Insight Partners, Greylock, Quadrille, and Bain Capital Ventures (investors in Airbnb, LinkedIn, Instagram, Dropbox, and more).
 Having raised $84M, we’re a well\-funded startup and have invested in people and technology while growing our partnerships — responsibly.
 We’re also proud to have received recognition from the fintech world. Awards we’ve won include:
* Ranked \#21 on 2024 Inc. 5000 based on revenue growth
* Ranked \#15 on 2024 Deloitte Fast 500 based on revenue growth
* 2024 Best Embedded Finance Solution for Banking Tech Awards
* 2023 Best Consumer Lending Program by Tearsheet
* 2023 Best Point of Sale Product by Fintech Breakthrough
 But what you’ll find us gleaming about the most is the recognition from our own customers, particularly our sky\-high NPS rating of 79\. (For reference, the average score is 44 for financial services and 36 for SaaS companies.)
 As a result of our efforts in building this healthy company culture, we’ve been nominated to several Great Places to Work lists, such as Best Small Workplaces, Best Workplaces in the Bay Area, and Best Workplaces in Financial Services \&amp; Insurance.
 Like any startup, we’re in it for the long haul, and we’re looking for people willing to join our journey of building something special together.
 This process starts with our company values, which guide us in everything we do — and have played a critical role in our success. We valiantly abide by them, and would expect you to do the same:
* Put customers first (that’s our M.O.)
* Act fast (leverage our startup environment).
* Lead the way (show and tell).
* Take ownership (everyone is hands\-on here).
* Be a good human (no egos, build financial products that do right by people).
 Learn more about our values here.
 Our Engineering Team Principles
***Everyone is an engineer.***
 No matter what their title is, everyone contributes to the code. Everyone delivers.
***Initiative and ownership.***
 We want every team member to lead the work they do. Design the best solutions and implement them. Ask for help from others when you need it.
***One team.***
 We are low ego and support each other.
***Learning and growth.***
 We believe growth is a huge motivator. We want everyone on the team to have an opportunity to learn and grow in their career. If you are smart and want to learn, you should be with us even if you don't have all the skills we need at the moment.
 Check out this post from our blog where we go into more detail about these principles.
**The Role**
 We are looking for a Sr. Data Engineer to join our growing Data Engineering Team. You’ll help evolve Wisetack’s data platform, which powers analytics, reporting, and operational data products across the company. Our platform includes Airbyte for ingestion, dbt for modeling, Athena for querying, Census for reverse ETL, and Dagster for orchestration.
**Responsibilities**
* Build and maintain data pipelines that bring together internal and external sources.
* Contribute to dbt transformations, ensuring reliable, well\-tested datasets for analytics and downstream consumers.
* Support operational data delivery via Dagster, configuring data models to be distributed across Slack, S3, and other delivery channels.
* Collaborate with engineering and business teams across the organization to make data accessible and useful.
* Ensure data quality, freshness, and documentation across the platform.
* Participate in code reviews, design discussions, and Agile ceremonies, contributing to a culture of continuous improvement.
**Requirements**
* 3\+ years of professional experience with SQL and Python for data processing.
* 3\+ years of professional experience with dbt for modeling and transformations.
* Experience with ingestion/integration tools (Airbyte, Fivetran, Stitch, or similar).
* Familiarity with data orchestration frameworks such as Dagster, Airflow, or Prefect.
* Familiarity with version control (GitLab or similar) and Agile workflows.
* Strong communication skills, with the ability to work cross\-functionally.
**Bonus points**
* Exposure to BI tools such as Tableau, Metabase, or similar.
* Experience with reverse ETL tools such as Census.
* Experience with financial data and financial services data pipelines.
* Knowledge of data governance, cataloging, and lineage practices.
* Familiarity with the AWS data stack (S3, Athena, Glue, Lake Formation, DynamoDB, Lambda, etc.).
* Interest in machine learning pipelines or advanced analytics.
* Exposure to Infrastructure\-as\-Code tools such as Terraform, Pulumi, or AWS CloudFormation.
* Exposure to containerization technologies such as Docker.
**Conclusion**
*The range of base salary for the position is between $120,000\-$180,900, plus equity, and* 
*benefits* 
*. Please note that the base salary range is a guideline, and individual total compensation will vary based on factors such as qualifications, skill level and competencies.*
 Spend a little time on our About Us page and check out our Press page and our blog for more. If you think this might be a fit, we’d love to hear from you!
 This hiring process utilizes artificial intelligence tools to assist in candidate screening and assessment. Our AI tools are designed to complement, not replace, human decision\-making. Our data practices are described in Wisetack’s Privacy Policy.</t>
        </is>
      </c>
    </row>
    <row r="74">
      <c r="A74" t="inlineStr">
        <is>
          <t>li-4354338747</t>
        </is>
      </c>
      <c r="B74" t="inlineStr">
        <is>
          <t>Data Engineer</t>
        </is>
      </c>
      <c r="C74" t="inlineStr">
        <is>
          <t>SBS Creatix</t>
        </is>
      </c>
      <c r="D74" t="inlineStr">
        <is>
          <t>linkedin</t>
        </is>
      </c>
      <c r="E74">
        <f>HYPERLINK("https://www.linkedin.com/jobs/view/4354338747", "https://www.linkedin.com/jobs/view/4354338747")</f>
        <v/>
      </c>
      <c r="F74" t="inlineStr"/>
      <c r="G74" t="inlineStr">
        <is>
          <t>Tampa, FL</t>
        </is>
      </c>
      <c r="H74" t="inlineStr"/>
      <c r="I74" t="inlineStr">
        <is>
          <t>Direct Hire / Must be local to Tampa FL
 US Citizen or Green Card Required
 Secret Clearance Preferred
 Hiring a skilled and highly motivated Data Engineer to join an exciting and growing opportunity within the Defense sector. As a Data Engineer, you will play a crucial role in designing, developing, and maintaining data infrastructure and systems. Your expertise in ETL, Databricks, Python, Spark, Scala, JavaScript/JSON, SQL, and Jupyter Notebooks will be essential in ensuring efficient data processing and analysis.
 Responsibilities
* Design, develop, and implement end\-to\-end data pipelines, utilizing ETL processes and technologies such as Databricks, Python, Spark, Scala, JavaScript/JSON, SQL, and Jupyter Notebooks.
* Create and optimize data pipelines from scratch, ensuring scalability, reliability, and high\-performance processing.
* Perform data cleansing, data integration, and data quality assurance activities to maintain the accuracy and integrity of large datasets.
* Leverage big data technologies to efficiently process and analyze large datasets, particularly those encountered in a federal agency.
* Troubleshoot data\-related problems and provide innovative solutions to address complex data challenges.
* Implement and enforce data governance policies and procedures, ensuring compliance with regulatory requirements and industry best practices.
* Work closely with cross\-functional teams to understand data requirements and design optimal data models and architectures.
* Collaborate with data scientists, analysts, and stakeholders to provide timely and accurate data insights and support decision\-making processes.
* Maintain documentation for software applications, workflows, and processes.
* Stay updated with emerging trends and advancements in data engineering and recommend suitable tools and technologies for continuous improvement.
 Requirements
* Secret clearance is required (sponsorship opportunity is possible for obtaining clearance)
* 3\-10 years of experience as a Data Engineer, with demonstrated experience creating data pipelines from scratch.
* High level of proficiency in ETL processes and demonstrated, hands\-on experience with technologies such as Databricks, Python, Spark, Scala, JavaScript/JSON, SQL, and Jupyter Notebooks.
* Strong problem\-solving skills and ability to solve complex data\-related issues.
* Demonstrated experience working with large datasets and leveraging big data technologies to process and analyze data efficiently.
* Understanding of data modeling/visualization, database design principles, and data governance practices.
* Experience with Machine Learning is a plus.
* Excellent communication and collaboration skills, with the ability to work effectively with cross\-functional teams.
* Detail\-oriented mindset with a commitment to delivering high\-quality results.</t>
        </is>
      </c>
    </row>
    <row r="75">
      <c r="A75" t="inlineStr">
        <is>
          <t>li-4354518402</t>
        </is>
      </c>
      <c r="B75" t="inlineStr">
        <is>
          <t>Data Engineer</t>
        </is>
      </c>
      <c r="C75" t="inlineStr">
        <is>
          <t>MaximaTek</t>
        </is>
      </c>
      <c r="D75" t="inlineStr">
        <is>
          <t>linkedin</t>
        </is>
      </c>
      <c r="E75">
        <f>HYPERLINK("https://www.linkedin.com/jobs/view/4354518402", "https://www.linkedin.com/jobs/view/4354518402")</f>
        <v/>
      </c>
      <c r="F75" t="inlineStr"/>
      <c r="G75" t="inlineStr">
        <is>
          <t>Wyoming, United States</t>
        </is>
      </c>
      <c r="H75" t="inlineStr"/>
      <c r="I75" t="inlineStr">
        <is>
          <t>**About the Company** 
**Maxima Tek** 
 partners with top\-tier companies to connect exceptional recent graduates and experienced professionals (0–5 years) with high\-impact, full\-time engineering roles. We specialize in placing talent where it can truly thrive, with a strong focus on
 **Data Engineering, Distributed Computing, and Cloud Data Warehousing.** 
 Our expertise and network help us place candidates in environments where they can excel and develop their careers.
**About the Role** 
 We are actively seeking motivated individuals for
 **Entry\-Level and Mid\-Level full\-time Data Engineer** 
 positions. You will be responsible for designing, building, and maintaining the scalable data pipelines and systems that process massive datasets. Your role will involve developing distributed computing applications, building robust ETL/ELT workflows, and ensuring the reliability and performance of data\-intensive systems across cloud and on\-premise environments.
**Qualifications** 
* **Education:** 
 Hold a Bachelor’s or Master’s degree in Computer Science, Information Technology, Software Engineering, or a similar quantitative discipline (Required).
* **Experience:** 
 Possess
 **0–5 years** 
 of relevant work experience or dedicated project experience in software development, data engineering, or large\-scale data processing.
* **Technical Skills (Required):**
* Solid proficiency in
 **Hadoop Ecosystem** 
 components (HDFS, MapReduce, YARN, Hive).
* Strong experience with
 **Apache Spark** 
 (using PySpark, Scala, or Java) for distributed processing.
* Expertise in writing complex
 **SQL queries** 
 and working with NoSQL databases (e.g., MongoDB, Cassandra, or HBase).
* Familiarity with the
 **Software Development Life Cycle (SDLC)** 
 and Agile methodologies.
* **Preferred Skills:**
* Experience with data ingestion tools like
 **Apache Kafka, Flume, or Sqoop.**
* Knowledge of workflow orchestration tools like
 **Apache Airflow** 
 or Oozie.
* Hands\-on experience with cloud data platforms like
 **AWS (EMR/Glue), Azure (Databricks), or GCP (DataProc).**
* Familiarity with version control (
 **Git** 
 ) and containerization (
 **Docker/Kubernetes** 
 ).
* **Certifications:** 
 Cloudera Certified Professional, Google Professional Data Engineer, or AWS Certified Data Analytics is a strong plus.
**What We Offer** 
* **Targeted Placement:** 
 Direct, high\-volume marketing of your profile to our extensive network of hiring managers specializing in Data Engineering and Enterprise Data Platforms.
* **Expert Resume Rebuild:** 
 Personalized refinement of your resume to make it competitive and optimized for the modern Data Engineering ecosystem.
* **Career Guidance:** 
 Dedicated support to help you navigate technical coding challenges and complex data\-architecture interview panels.
**Ready to Take the Next Step?** 
**Email your updated resume to:** 
 sanika@maximatek.com</t>
        </is>
      </c>
    </row>
    <row r="76">
      <c r="A76" t="inlineStr">
        <is>
          <t>li-4354536425</t>
        </is>
      </c>
      <c r="B76" t="inlineStr">
        <is>
          <t>Data Engineer</t>
        </is>
      </c>
      <c r="C76" t="inlineStr">
        <is>
          <t>Wissen Technology</t>
        </is>
      </c>
      <c r="D76" t="inlineStr">
        <is>
          <t>linkedin</t>
        </is>
      </c>
      <c r="E76">
        <f>HYPERLINK("https://www.linkedin.com/jobs/view/4354536425", "https://www.linkedin.com/jobs/view/4354536425")</f>
        <v/>
      </c>
      <c r="F76" t="inlineStr"/>
      <c r="G76" t="inlineStr">
        <is>
          <t>Alpharetta, GA</t>
        </is>
      </c>
      <c r="H76" t="inlineStr"/>
      <c r="I76" t="inlineStr">
        <is>
          <t>**Data Engineer, Wissen Technology, Alpharetta, GA** 
 The Wissen team continues to expand its footprint in the Canada \&amp; USA. More openings to come as we continue to grow the team!
 Please read below for a brilliant career opportunity.
**Role: Data Engineer** 
**Title: Associate** 
**Location: Alpharetta. GA (Day 1 Onsite) – Fulltime** 
**Mode of Work: Onsite** 
**Your required skills: 1\+ Years Required** 
**Position Overview:** 
 We are seeking a detail\-oriented and motivated
 **Data Engineer** 
 with 1\+ years of experience to support the design, development, and maintenance of data pipelines and data workflows. The ideal candidate should have strong SQL and Python skills, with a solid understanding of ETL concepts.
**Key Responsibilities:** 
* Assist in building, maintaining, and optimizing ETL pipelines.
* Work with structured and unstructured data to support analytics and reporting needs.
* Collaborate with senior engineers and cross\-functional teams to ensure data availability and quality.
* Perform data validation, cleaning, and transformation tasks.
* Monitor data pipeline performance and troubleshoot issues.
* Support implementation of best practices in data engineering and data management.
**Mandatory Skills:** 
* Strong proficiency in
 **SQL** 
 .
* Good understanding of
 **Python** 
 for data manipulation and scripting.
* Knowledge of
 **basic ETL concepts** 
 and data workflow fundamentals.
**Preferred Skills:** 
* Understanding of
 **Hadoop ecosystem basics** 
 .
* Familiarity with
 **Kafka** 
 for real\-time data streaming.
**Benefits:** 
* 401K
* Healthcare insurance for you and your family (medical, dental, vision).
* Short / Long term disability insurance.
* Life Insurance.
* Accidental death \&amp; disability Insurance.
* 3 weeks of Paid Time Off.
* Support and fee coverage for immigration needs.
* Remote office set up stipend.
* Support for industry certifications.
* Additional cash incentives.
**We are:** 
 A high end technical consulting firm built and run by highly qualified technologists. Our workforce consists of 5000\+ highly skilled professionals, with leadership from Wharton, MIT, IITs, IIMs, and NITs and decades of experience at Goldman Sachs, Morgan Stanley, MSCI, Deutsche Bank, Credit Suisse, Verizon, British Telecom, ISRO etc. Without any external funding or investments, Wissen Technology has grown its revenues by 100% every other year since it started as a subsidiary of Wissen Group in 2015\. We have a global presence with offices in the US, India, UK, Australia, Mexico, and Canada.
**You are:** 
 A true tech or domain ninja. Or both. Comfortable working in a quickly growing profitable startup, have a “can do” attitude and are willing to take on any task thrown your way.
**You will:** 
 · Develop and promote the company’s culture of engineering excellence.
 · Define, develop and deliver solutions at a top tier investment bank or another esteemed client.
 Perform other duties as needed
**Your Education and Experience:** 
 · We value candidates who can execute on our vision and help us build an industry\-leading organization. Rather than requiring a specific certification or number of years of experience, we ask that you be able to demonstrate your skills in the areas outlined above.
 · Graduate\-level degree in computer science, engineering, or related technical field
 Wissen embraces diversity and is an equal opportunity employer. We are committed to building a team that represents a variety of backgrounds, skills, and abilities. We believe that the more inclusive our team is, the better our work will be. All qualified applicants, including but not limited to LGBTQ\+, Minorities, Females, the Disabled, and Veterans, are encouraged to apply.
**About Wissen Technology:** 
 The Wissen Group was founded in the year 2000\. Wissen Technology, a part of Wissen Group, was established in the year 2015\. Wissen Technology is a specialized technology company that delivers high\-end consulting for organizations in the Banking \&amp; Finance, Telecom, and Healthcare domains. We help clients build world\-class products.
 We empower businesses with a dynamic portfolio of services and accelerators tailored to today’s digital demands and based on future ready technology stack. Our services include Industry Leading Custom Software Development, AI\-Driven Software Engineering, Generative AI \&amp; Machine Learning, Real\-Time Data Analytics \&amp; Insights, Interactive Data Visualization \&amp; Decision Intelligence, Intelligent Process Automation, Multi\-Cloud \&amp; Hybrid Cloud Strategies, Cross\-Platform Mobile Experiences, CI/CD\-Powered Agile DevOps, Automated Quality Engineering, and cutting\-edge integrations.
 Certified as a Great Place to Work® for five consecutive years (2020\-2025\) and recognized as a Top 20 AI/ML vendor by CIO Insider, Wissen Group has delivered multimillion\-dollar projects for over 20 Fortune 500 companies. Wissen Technology delivers exceptional value on mission\-critical projects through thought leadership, ownership, and reliable, high\-quality, on\-time delivery.
 Our industry\-leading technical expertise stems from the talented professionals we attract. Committed to fostering their growth and providing top\-tier career opportunities, Wissen ensures an outstanding experience and value for our clients and employees. We serve diverse industries, including Banking, E\-commerce, Telecom, Healthcare, Manufacturing, and Energy.
**About Wissen Technology:** 
 Website : www.wissen.com
 LinkedIn: https://www.linkedin.com/company/wissen\-technology
 Wissen Leadership : https://www.wissen.com/company/wissen\-technology\-leadership
 Wissen Live : https://www.linkedin.com/company/wissen\-technology/posts/feedView\=All
 Wissen Thought Leadership : https://www.wissen.com/articles/
 Employee Speak:
 https://www.ambitionbox.com/overview/wissen\-technology\-overview
 https://www.glassdoor.com/Reviews/Wissen\-Infotech\-Reviews\-E287365\.htm
 Great Place to Work:
 https://www.wissen.com/blog/wissen\-is\-a\-great\-place\-to\-work\-says\-the\-great\-place\-to\-work\-institute\-…
 https://www.linkedin.com/posts/wissen\-infotech\_wissen\-leadership\-wissenites\-activity\-69354595461317…
 About Wissen Interview Process:
 https://www.wissen.com/blog/we\-work\-on\-highly\-complex\-technology\-projects\-here\-is\-how\-it\-changes\-wh…
 Latest in Wissen in CIO Insider :
 https://www.cioinsiderindia.com/vendor/wissen\-technology\-setting\-new\-benchmarks\-in\-technology\-consu…
 Job Type: Full\-time
 Schedule:
* Monday to Friday</t>
        </is>
      </c>
    </row>
    <row r="77">
      <c r="A77" t="inlineStr">
        <is>
          <t>li-4330360614</t>
        </is>
      </c>
      <c r="B77" t="inlineStr">
        <is>
          <t>Data Engineer</t>
        </is>
      </c>
      <c r="C77" t="inlineStr">
        <is>
          <t>Acrisure</t>
        </is>
      </c>
      <c r="D77" t="inlineStr">
        <is>
          <t>linkedin</t>
        </is>
      </c>
      <c r="E77">
        <f>HYPERLINK("https://www.linkedin.com/jobs/view/4330360614", "https://www.linkedin.com/jobs/view/4330360614")</f>
        <v/>
      </c>
      <c r="F77" t="inlineStr"/>
      <c r="G77" t="inlineStr">
        <is>
          <t>Austin, Texas Metropolitan Area</t>
        </is>
      </c>
      <c r="H77" t="inlineStr"/>
      <c r="I77" t="inlineStr">
        <is>
          <t>**Austin, TX (Onsite 4 days per week)**
*****Note: This is a full\-time role and we do not offer C2C or C2H employment and are not able to sponsor visas for this position.*****
**About Acrisure**
 Acrisure Enterprise Technology Group is where human expertise meets advanced technology.
 A global fintech leader, Acrisure empowers millions of ambitious businesses and individuals with the right solutions to grow boldly forward. Bringing cutting\-edge technology and top\-tier human support together, we connect clients with customized solutions across a range of insurance, reinsurance, payroll, benefits, cybersecurity, mortgage services – and more.
 In the last twelve years, Acrisure has grown in revenue from $38 million to almost $5 billion and employs over 19,000 colleagues in more than 20 countries. Acrisure was built on entrepreneurial spirit. Prioritizing leadership, accountability, and collaboration, we equip our teams to work at the highest levels possible.
**Job Summary:**
 The Enterprise Data team’s mission is to unify data across the enterprise to optimize business decisions made at the strategic, tactical, and operational levels of the organization. We accomplish this by building a data foundation utilizing Palantir Foundry, AIP and Ontology that powers analytics and reporting platforms, and business processes that provide quality data, in a timely fashion, from any channel of the company and present them in such a manner as to maximize the value of that data for both internal and external customers.
 The Data Engineer is responsible for building technology and pipelines to rapidly onboard raw datasets into our data platform from a wide variety of data sources and associated technologies. Responsibility includes hands\-on contributions in a team environment. Ensuring high quality and best practices are maintained through the development cycle is key to this position.
 Our Data platform is transitioning to Palantir from a Google and Microsoft hybrid cloud tech stack. Our data storage layer includes BigQuery, Databricks, Azure, and Postgres. Across our broader tech stack, we code primarily in Python, Scala, Kotlin, Java, and JavaScript and make use of many frameworks including Dataflow, Apache Airflow, Apache Spark, dbt, Delta Lake, Apache Iceberg, Cloud AI Platform, Spring, and React.
**Responsibilities:**
* Leverage established patterns and establish new patterns as required to rapidly onboard new data sets into the data platform
* Establish repeatable, automated data management processes for managing sensitive information
* Own deliverables while also collaborating with and supporting others in a team setting including conducting and participating in design and code reviews
* Collaborate with product on priorities and approach and with other engineering and AI teams who would consume raw data
**Requirements**
* 2\+ years of engineering experience with data warehouses, data lakes or software engineering with a data emphasis
* Strong SQL knowledge
* Proficient in Scala, Python, or Java
* Well versed in Data Lake \&amp; Delta Lake Concepts
* Understanding of data security best practices
* Well versed in Databricks/BigQuery/Palantir usage in building enterprise data platforms
* Familiarity with implementing end\-to\-end data pipeline and Ontology development using Palantir platform is a plus
* Familiarity with data orchestration technologies like Airflow, Dagster, or Fivetran
* Experience with cloud environments; (GCP, Azure) a definite plus
* Familiar with DevOps process
* Experience creating and sharing standards, best practices, documentation, and reference examples for data warehouse, integration/ETL systems
* Apply a disciplined approach to testing software and data
* Experience working with APIs
* Well versed in common data frameworks such as Spark \&amp; Polars
* Undergraduate degree in computer science or related discipline preferred or equivalent experience along with a demonstrated desire for continuing education and improvement
**Education and Experience:**
**Required Qualifications**
* Undergraduate degree in computer science or related discipline preferred or equivalent experience along with a demonstrated desire for continuing education and improvement
**Candidates should be comfortable with an on\-site presence to support collaboration, team leadership, and cross\-functional partnership.**
**Benefits and Perks:**
* Competitive compensation
* Generous vacation policy, paid holidays, and paid sick time
* Medical Insurance, Dental Insurance, and Vision Insurance (employee\-paid)
* Company\-paid Short\-Term and Long\-Term Disability Insurance
* Company\-paid Group Life insurance
* Company\-paid Employee Assistance Program (EAP) and Calm App subscription
* Employee\-paid Pet Insurance and optional supplemental insurance coverage
* Vested 401(k) with company match and financial wellness programs
* Flexible Spending Account (FSA), Health Savings Account (HSA) and commuter benefits options
* Paid maternity leave, paid paternity leave, and fertility benefits
* Career growth and learning opportunities
* …and so much more!
*Please note: This list is not reflective of all benefits. Enrollment waiting periods or eligibility criteria may apply to certain benefits. Offerings may vary based on subsidiary entity or geographic location.*
 Making a lasting impact on the communities it serves, Acrisure has pledged more than $22 million through its partnerships with Corewell Health Helen DeVos Children's Hospital in Grand Rapids, Michigan, UPMC Children's Hospital in Pittsburgh, Pennsylvania and Blythedale Children's Hospital in Valhalla, New York.
 At Acrisure, we firmly believe that an inclusive workforce drives innovation, creativity, and ultimately, our collective success.
 We recruit, hire, employ, train, promote, and compensate individuals based on job\-related qualifications and abilities. Acrisure also has a longstanding policy of providing a work environment that respects the dignity and worth of each individual and is free from all forms of employment discrimination.
 Acrisure also provides reasonable accommodation to qualified individuals with disabilities or based on a sincerely held religious belief, in accordance with applicable laws. If you need to inquire about an accommodation, or need assistance with completing the application process, please email
 *leaves@acrisure.com.*
 California residents can learn more about our privacy practices for applicants by visiting the Acrisure California Applicant Privacy Policy available at www.Acrisure.com/privacy/caapplicant.
**Welcome, your new opportunity awaits you.**
**Candidates should be comfortable with an on\-site presence to support collaboration, team leadership, and cross\-functional partnership.**
**Why Join Us:**
 At Acrisure, we’re building more than a business, we’re building a community where people can grow, thrive, and make an impact. Our benefits are designed to support every dimension of your life, from your health and finances to your family and future.
 Making a lasting impact on the communities it serves, Acrisure has pledged more than $22 million through its partnerships with Corewell Health Helen DeVos Children's Hospital in Grand Rapids, Michigan, UPMC Children's Hospital in Pittsburgh, Pennsylvania and Blythedale Children's Hospital in Valhalla, New York.
**Employee Benefits**
 We also offer our employees a comprehensive suite of benefits and perks, including:
* Physical Wellness: Comprehensive medical insurance, dental insurance, and vision insurance; life and disability insurance; fertility benefits; wellness resources; and paid sick time.
* Mental Wellness: Generous paid time off and holidays; Employee Assistance Program (EAP); and a complimentary Calm app subscription.
* Financial Wellness: Immediate vesting in a 401(k) plan; Health Savings Account (HSA) and Flexible Spending Account (FSA) options; commuter benefits; and employee discount programs.
* Family Care: Paid maternity leave and paid paternity leave (including for adoptive parents); legal plan options; and pet insurance coverage.
* … and so much more!
*This list is not exhaustive of all available benefits. Eligibility and waiting periods may apply to certain offerings. Benefits may vary based on subsidiary entity and geographic location.*
**Acrisure is an Equal Opportunity Employer.** 
 We consider qualified applicants without regard to race, color, religion, sex, national origin, disability, or protected veteran status. Applicants may request reasonable accommodation by contacting
 *leaves@acrisure.com* 
 .
**California Residents:** 
 Learn more about our privacy practices for applicants by visiting the Acrisure California Applicant Privacy Policy.
**Recruitment Fraud:** 
 Please visit here to learn more about our Recruitment Fraud Notice.
**Welcome, your new opportunity awaits you.**</t>
        </is>
      </c>
    </row>
    <row r="78">
      <c r="A78" t="inlineStr">
        <is>
          <t>li-4330470649</t>
        </is>
      </c>
      <c r="B78" t="inlineStr">
        <is>
          <t>Data Engineer</t>
        </is>
      </c>
      <c r="C78" t="inlineStr">
        <is>
          <t>Acrisure</t>
        </is>
      </c>
      <c r="D78" t="inlineStr">
        <is>
          <t>linkedin</t>
        </is>
      </c>
      <c r="E78">
        <f>HYPERLINK("https://www.linkedin.com/jobs/view/4330470649", "https://www.linkedin.com/jobs/view/4330470649")</f>
        <v/>
      </c>
      <c r="F78">
        <f>HYPERLINK("https://acrisure.wd1.myworkdayjobs.com/Acrisure/job/816-Congress-Ave-Ste-300\u002d\u002d\u002d\u002dAUSTIN-TX/Data-Engineer_JR112054?source=LinkedIn&amp;urlHash=2pl6", "https://acrisure.wd1.myworkdayjobs.com/Acrisure/job/816-Congress-Ave-Ste-300\u002d\u002d\u002d\u002dAUSTIN-TX/Data-Engineer_JR112054?source=LinkedIn&amp;urlHash=2pl6")</f>
        <v/>
      </c>
      <c r="G78" t="inlineStr">
        <is>
          <t>Austin, Texas Metropolitan Area</t>
        </is>
      </c>
      <c r="H78" t="inlineStr"/>
      <c r="I78" t="inlineStr">
        <is>
          <t>**Austin, TX (Onsite 4 days per week)**
*****Note: This is a full\-time role and we do not offer C2C or C2H employment and are not able to sponsor visas for this position.*****
**About Acrisure**
 Acrisure Enterprise Technology Group is where human expertise meets advanced technology.
 A global fintech leader, Acrisure empowers millions of ambitious businesses and individuals with the right solutions to grow boldly forward. Bringing cutting\-edge technology and top\-tier human support together, we connect clients with customized solutions across a range of insurance, reinsurance, payroll, benefits, cybersecurity, mortgage services – and more.
 In the last twelve years, Acrisure has grown in revenue from $38 million to almost $5 billion and employs over 19,000 colleagues in more than 20 countries. Acrisure was built on entrepreneurial spirit. Prioritizing leadership, accountability, and collaboration, we equip our teams to work at the highest levels possible.
**Job Summary:**
 The Enterprise Data team’s mission is to unify data across the enterprise to optimize business decisions made at the strategic, tactical, and operational levels of the organization. We accomplish this by building a data foundation utilizing Palantir Foundry, AIP and Ontology that powers analytics and reporting platforms, and business processes that provide quality data, in a timely fashion, from any channel of the company and present them in such a manner as to maximize the value of that data for both internal and external customers.
 The Data Engineer is responsible for building technology and pipelines to rapidly onboard raw datasets into our data platform from a wide variety of data sources and associated technologies. Responsibility includes hands\-on contributions in a team environment. Ensuring high quality and best practices are maintained through the development cycle is key to this position.
 Our Data platform is transitioning to Palantir from a Google and Microsoft hybrid cloud tech stack. Our data storage layer includes BigQuery, Databricks, Azure, and Postgres. Across our broader tech stack, we code primarily in Python, Scala, Kotlin, Java, and JavaScript and make use of many frameworks including Dataflow, Apache Airflow, Apache Spark, dbt, Delta Lake, Apache Iceberg, Cloud AI Platform, Spring, and React.
**Responsibilities:**
* Leverage established patterns and establish new patterns as required to rapidly onboard new data sets into the data platform
* Establish repeatable, automated data management processes for managing sensitive information
* Own deliverables while also collaborating with and supporting others in a team setting including conducting and participating in design and code reviews
* Collaborate with product on priorities and approach and with other engineering and AI teams who would consume raw data
**Requirements**
* 2\+ years of engineering experience with data warehouses, data lakes or software engineering with a data emphasis
* Strong SQL knowledge
* Proficient in Scala, Python, or Java
* Well versed in Data Lake \&amp; Delta Lake Concepts
* Understanding of data security best practices
* Well versed in Databricks/BigQuery/Palantir usage in building enterprise data platforms
* Familiarity with implementing end\-to\-end data pipeline and Ontology development using Palantir platform is a plus
* Familiarity with data orchestration technologies like Airflow, Dagster, or Fivetran
* Experience with cloud environments; (GCP, Azure) a definite plus
* Familiar with DevOps process
* Experience creating and sharing standards, best practices, documentation, and reference examples for data warehouse, integration/ETL systems
* Apply a disciplined approach to testing software and data
* Experience working with APIs
* Well versed in common data frameworks such as Spark \&amp; Polars
* Undergraduate degree in computer science or related discipline preferred or equivalent experience along with a demonstrated desire for continuing education and improvement
**Education and Experience:**
**Required Qualifications**
* Undergraduate degree in computer science or related discipline preferred or equivalent experience along with a demonstrated desire for continuing education and improvement
**Candidates should be comfortable with an on\-site presence to support collaboration, team leadership, and cross\-functional partnership.**
**Benefits and Perks:**
* Competitive compensation
* Generous vacation policy, paid holidays, and paid sick time
* Medical Insurance, Dental Insurance, and Vision Insurance (employee\-paid)
* Company\-paid Short\-Term and Long\-Term Disability Insurance
* Company\-paid Group Life insurance
* Company\-paid Employee Assistance Program (EAP) and Calm App subscription
* Employee\-paid Pet Insurance and optional supplemental insurance coverage
* Vested 401(k) with company match and financial wellness programs
* Flexible Spending Account (FSA), Health Savings Account (HSA) and commuter benefits options
* Paid maternity leave, paid paternity leave, and fertility benefits
* Career growth and learning opportunities
* …and so much more!
*Please note: This list is not reflective of all benefits. Enrollment waiting periods or eligibility criteria may apply to certain benefits. Offerings may vary based on subsidiary entity or geographic location.*
 Making a lasting impact on the communities it serves, Acrisure has pledged more than $22 million through its partnerships with Corewell Health Helen DeVos Children's Hospital in Grand Rapids, Michigan, UPMC Children's Hospital in Pittsburgh, Pennsylvania and Blythedale Children's Hospital in Valhalla, New York.
 At Acrisure, we firmly believe that an inclusive workforce drives innovation, creativity, and ultimately, our collective success.
 We recruit, hire, employ, train, promote, and compensate individuals based on job\-related qualifications and abilities. Acrisure also has a longstanding policy of providing a work environment that respects the dignity and worth of each individual and is free from all forms of employment discrimination.
 Acrisure also provides reasonable accommodation to qualified individuals with disabilities or based on a sincerely held religious belief, in accordance with applicable laws. If you need to inquire about an accommodation, or need assistance with completing the application process, please email
 *leaves@acrisure.com.*
 California residents can learn more about our privacy practices for applicants by visiting the Acrisure California Applicant Privacy Policy available at www.Acrisure.com/privacy/caapplicant.
**Welcome, your new opportunity awaits you.**
**Candidates should be comfortable with an on\-site presence to support collaboration, team leadership, and cross\-functional partnership.**
**Why Join Us:**
 At Acrisure, we’re building more than a business, we’re building a community where people can grow, thrive, and make an impact. Our benefits are designed to support every dimension of your life, from your health and finances to your family and future.
 Making a lasting impact on the communities it serves, Acrisure has pledged more than $22 million through its partnerships with Corewell Health Helen DeVos Children's Hospital in Grand Rapids, Michigan, UPMC Children's Hospital in Pittsburgh, Pennsylvania and Blythedale Children's Hospital in Valhalla, New York.
**Employee Benefits**
 We also offer our employees a comprehensive suite of benefits and perks, including:
* Physical Wellness: Comprehensive medical insurance, dental insurance, and vision insurance; life and disability insurance; fertility benefits; wellness resources; and paid sick time.
* Mental Wellness: Generous paid time off and holidays; Employee Assistance Program (EAP); and a complimentary Calm app subscription.
* Financial Wellness: Immediate vesting in a 401(k) plan; Health Savings Account (HSA) and Flexible Spending Account (FSA) options; commuter benefits; and employee discount programs.
* Family Care: Paid maternity leave and paid paternity leave (including for adoptive parents); legal plan options; and pet insurance coverage.
* … and so much more!
*This list is not exhaustive of all available benefits. Eligibility and waiting periods may apply to certain offerings. Benefits may vary based on subsidiary entity and geographic location.*
**Acrisure is an Equal Opportunity Employer.** 
 We consider qualified applicants without regard to race, color, religion, sex, national origin, disability, or protected veteran status. Applicants may request reasonable accommodation by contacting
 *leaves@acrisure.com* 
 .
**California Residents:** 
 Learn more about our privacy practices for applicants by visiting the Acrisure California Applicant Privacy Policy.
**Recruitment Fraud:** 
 Please visit here to learn more about our Recruitment Fraud Notice.
**Welcome, your new opportunity awaits you.**</t>
        </is>
      </c>
    </row>
    <row r="79">
      <c r="A79" t="inlineStr">
        <is>
          <t>li-4351126700</t>
        </is>
      </c>
      <c r="B79" t="inlineStr">
        <is>
          <t>Data Engineer</t>
        </is>
      </c>
      <c r="C79" t="inlineStr">
        <is>
          <t>Next Ventures</t>
        </is>
      </c>
      <c r="D79" t="inlineStr">
        <is>
          <t>linkedin</t>
        </is>
      </c>
      <c r="E79">
        <f>HYPERLINK("https://www.linkedin.com/jobs/view/4351126700", "https://www.linkedin.com/jobs/view/4351126700")</f>
        <v/>
      </c>
      <c r="F79" t="inlineStr"/>
      <c r="G79" t="inlineStr">
        <is>
          <t>New York, United States</t>
        </is>
      </c>
      <c r="H79" t="inlineStr"/>
      <c r="I79" t="inlineStr">
        <is>
          <t>I have an exciting role with a family owned jewellery business based in New York, who are looking to hire their first Data Engineer. This role will require you to come in and own, build out and lead on multiple projects.
 You would be responsible for helping to create everything from scratch, evulate what the current data structure looks like and help to create a new one, as well as what additional ones are needed. You will look at modernising the data infrastructure and have the ability to be aware and understand what needs to integrate with what and understand the integration across suites of systems.
 They are a small team, so having the ability to articulate and talk about changes and present info to senior management, quantify it to stakeholders is going to be important. They want someone who can demonstrate they have the personality and leadership skills to work cross functionally and be proactive in creating a structure for everyone that works.
 They want someone who is open minded, is excited to build from the ground up, can advocate for resources etc.
**Requirements** 
* 5\+ years’ experience developing ETL/ELT data pipelines
* Experience and an understanding in data modeling, machine learning, or AI
* Understanding of processes related to finance, retail planning, operations, logistics, and inventory management
***\*\*\*This will be onsite 5 days a week in the New York Office\*\*\****</t>
        </is>
      </c>
    </row>
    <row r="80">
      <c r="A80" t="inlineStr">
        <is>
          <t>li-4351186621</t>
        </is>
      </c>
      <c r="B80" t="inlineStr">
        <is>
          <t>Senior Data Engineer</t>
        </is>
      </c>
      <c r="C80" t="inlineStr">
        <is>
          <t>The Venetian Resort Las Vegas</t>
        </is>
      </c>
      <c r="D80" t="inlineStr">
        <is>
          <t>linkedin</t>
        </is>
      </c>
      <c r="E80">
        <f>HYPERLINK("https://www.linkedin.com/jobs/view/4351186621", "https://www.linkedin.com/jobs/view/4351186621")</f>
        <v/>
      </c>
      <c r="F80" t="inlineStr"/>
      <c r="G80" t="inlineStr"/>
      <c r="H80" t="inlineStr"/>
      <c r="I80" t="inlineStr">
        <is>
          <t>**Position Overview:** 
 The primary responsibility of the Sr. Engineer \- Data is to provide guidance for the department's data integration work, including developing a data model, maintaining a data warehouse and analytics environment, and writing scripts for data integration and analysis. This role will work closely and collaboratively with members of the Enterprise Analytics, BI and Data Science teams to define requirement, analyze data, integrate data from a variety of sources, and deploy high quality data models and data marts in support of the analytics needs of the business. The Enterprise Analytics Resource's goal is to generate quality data models in support of reporting, analysis and forecasting by business entities.
 All duties are to be performed in accordance with departmental and The Venetian Resort’s policies, practices, and procedures.
**Essential Duties \&amp; Responsibilities:** 
* Assembling large, complex sets of data that meet non\-functional and functional business requirements.
* Identifying, designing, and implementing internal process improvements including re\-designing infrastructure for greater scalability, optimizing data delivery, and automating manual processes
* Working with stakeholders including data, design, product, and executive teams and assisting them with data\-related technical issues
* Working with stakeholders including the Executive, Product, Data and Design teams to support their data infrastructure needs while assisting with data\-related technical issues.
* Work with end users to understand data requirements and translate them into effective data models.
* Ensure data accuracy and integrity across multiple sources and systems.
* Collaborate with data scientists to support used algorithms and analytics.
* Design and implement ETL processes for data transformation and preparation.
* Manage data pipelines for analytics and operational use.
* Help Implement and manage security controls to ensure data access aligns with organizational policies and user roles.
* Provide technical expertise and guidance to stakeholders during the development and implementation of data assets.
* Identify and address performance bottlenecks to ensure efficient data processing and retrieval.
* Stay abreast of the latest features, updates, and best practices in IBM Cognos Analytics.
* Engage in professional development activities to enhance skills and knowledge.
**Company Standards of Conduct**
 All The Venetian Resort Team Members are expected to conduct and carry themselves in a professional manner at all times. Team Members are required to observe the Company’s standards, work requirements and rules of conduct.
**Minimum Qualifications:**
* 21 years of age.
* Proof of authorization to work in the United States
* Bachelor's degree in computer science, information technology, business administration, finance, or a related field
* Must be able to obtain and maintain Nevada Gaming Control Board registration and any other certification or license, as required by law or policy.
* Strong command of relational databases and SQL. Extract, Transform, and Load (ETL) data into a relational database.
* General data manipulation skills: read in data, process, and clean it, transform, and recode it, merge different data sets together, reformat data between wide and long, etc.
* Demonstrated ability to learn new techniques and troubleshoot code without support.
* Demonstrated ability to work independently and be a self\-starter.
* Excellent listening, interpersonal, communication and problem\-solving skills.
* Demonstrated ability to work effectively in teams, in both a lead and support role.
* Use APIs to push and pull data from various data systems and platforms.
* Experience working with cloud infrastructure services like Google Cloud is preferred but not required.
* Effective time management skills, including demonstrated ability to manage and prioritize multiple tasks and projects.
* Knowledge of ETL processes and tools for data transformation and loading. (e.g., Alteryx, SSIS)
* Ability to document processes, configurations, and best practices.
* Fast, clear, and independent thinker who is naturally curious about how things work, is metrics and number savvy, has an analytical mindset and has demonstrated leadership ability.
* Ability to see the big picture/whole system and execute on grass root level to rapidly demonstrate impact and value to the organization.
* Never satisfied with the status quo, can show success in results, and can thrive in a fast\-paced, customer\-centric, and ever\-changing environment.
* Ability to communicate clearly and effectively in English, both in spoken and written form.
* Strong interpersonal skills with the ability to communicate effectively with guests and other Team Members of different backgrounds and levels of experience.
* Must be able to work varied shifts, including nights, weekends, and holidays.
**Physical Requirements:** 
 Must be able to:
* Physically access all areas of the property and drive areas with or without a reasonable accommodation.
* Maintain composure under pressure and consistently meet deadlines with internal and external customers and contacts.
* Ability to interact appropriately and effectively with guests, management, other team members, and outside contacts.
* Ability for prolonged periods of time to walk, stand, stretch, bend, and kneel.
* Work in a fast\-paced and busy environment.
* Work indoors and be exposed to various environmental factors such as, but not limited to, CRT, noise, dust, and cigarette smoke.</t>
        </is>
      </c>
    </row>
    <row r="81">
      <c r="A81" t="inlineStr">
        <is>
          <t>li-4351226341</t>
        </is>
      </c>
      <c r="B81" t="inlineStr">
        <is>
          <t>Sr. Data Engineer III (6283)</t>
        </is>
      </c>
      <c r="C81" t="inlineStr">
        <is>
          <t>MetroStar</t>
        </is>
      </c>
      <c r="D81" t="inlineStr">
        <is>
          <t>linkedin</t>
        </is>
      </c>
      <c r="E81">
        <f>HYPERLINK("https://www.linkedin.com/jobs/view/4351226341", "https://www.linkedin.com/jobs/view/4351226341")</f>
        <v/>
      </c>
      <c r="F81" t="inlineStr"/>
      <c r="G81" t="inlineStr"/>
      <c r="H81" t="inlineStr"/>
      <c r="I81" t="inlineStr">
        <is>
          <t>As
 **Sr. Data Engineer III** 
 , you’ll be responsible for the design, integrity, and performance of the data layer supporting C2SET integrations, federation, and model driven behavior analysis. This role combines deep database and data engineering expertise with advanced analytics capabilities to ensure that simulation data, schemas, and decision logic remain accurate, interoperable, and operationally realistic across distributed environments.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maintain, and validate data schemas supporting federation and integration between C2SET and external systems
* Build and support SQL and Python based ETL pipelines for operational, simulation, and analytics data
* Ensure data integrity, correctness, and performance across distributed and multi tier data sources
* Troubleshoot data mismatches, malformed messages, schema drift, and integration issues
* Partner with modeling and simulation engineers to analyze simulation outputs and support tuning of behaviors and decision logic
* Design and execute data driven experiments to evaluate model changes and operational impacts
* Develop datasets, scripts, and tooling to support repeatable validation and performance analysis
* Support Government analysts and integrators by delivering timely, reliable data refreshes and analysis
* Perform database performance tuning and optimization for operational workloads
* Maintain data documentation, metadata repositories, and data governance artifacts
* Act as a functional lead for data engineering and analytics activities within the integrations team
**What you’ll need to succeed:** 
* An active U.S. Government issued Secret security clearance
* Bachelor’s degree in Computer Science, Data Engineering, Information Systems, Mathematics, or a related technical field, or equivalent experience
* More than ten years of experience in data engineering, database engineering, database administration, or applied analytics
* Strong hands on experience with SQL and Python, including building and maintaining ETL pipelines
* Proven experience designing, implementing, and maintaining complex data schemas and data models
* Experience working with structured and semi structured data formats such as JSON and XML
* Ability to design, validate, and troubleshoot data exchanges across distributed or federated systems
* Experience with database performance tuning, indexing strategies, and query optimization
* Experience analyzing large or complex data sets and translating results into actionable technical recommendations
* Ability to collaborate effectively with software engineers, modeling and simulation engineers, and Government stakeholders
**SALARY RANGE:** 
  $138,000 – $147,000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82">
      <c r="A82" t="inlineStr">
        <is>
          <t>li-4351336244</t>
        </is>
      </c>
      <c r="B82" t="inlineStr">
        <is>
          <t>Senior Data Engineer</t>
        </is>
      </c>
      <c r="C82" t="inlineStr">
        <is>
          <t>Adtalem Global Education</t>
        </is>
      </c>
      <c r="D82" t="inlineStr">
        <is>
          <t>linkedin</t>
        </is>
      </c>
      <c r="E82">
        <f>HYPERLINK("https://www.linkedin.com/jobs/view/4351336244", "https://www.linkedin.com/jobs/view/4351336244")</f>
        <v/>
      </c>
      <c r="F82" t="inlineStr"/>
      <c r="G82" t="inlineStr">
        <is>
          <t>Lisle, IL</t>
        </is>
      </c>
      <c r="H82" t="inlineStr"/>
      <c r="I82" t="inlineStr">
        <is>
          <t>**About Adtalem Global Education**
 Adtalem Global Education is a national leader in post\-secondary education and leading provider of professional talent to the healthcare industry. Adtalem educates and empowers students with the knowledge and skills to become leaders in their communities and make a lasting impact on public health, well\-being and beyond. Through equitable access to education, environments that nurture student success, and a focus on expanding and diversifying the talent pipeline in healthcare, Adtalem is building a brighter future for communities and the world.
 Adtalem is the parent organization of American University of the Caribbean School of Medicine, Chamberlain University, Ross University School of Medicine, Ross University School of Veterinary Medicine and Walden University.
 We operate on a hybrid schedule with four in\-office days per week (Monday–Thursday). This approach enhances creativity, innovation, communication, and relationship\-building, fostering a dynamic and collaborative work environment.
 Visit Adtalem.com for more information and follow us on LinkedIn and Instagram.
**Job Description**
 Adtalem is a data driven organization. The Data Engineering team builds data solutions that powers strategic and tactical business decisions and supports the Analytics and Artificial Intelligence operations. By implementing the data platform, data pipelines and data governance policies this team provides the basis for decision\-making in Adtalem. Adtalem is looking for a Senior Data Engineer who is a technical powerhouse who can scale our data platform to meet ever growing business needs.
 Responsibilities
* Work closely with various business, IT, Analyst and Data Science groups to collect business requirements
* Design, develop, deploy and support high performance data pipelines both inbound and outbound.
* Model data platform by applying the business logic and building objects in the semantic layer of the data platform.
* Optimize data pipelines for performance, scalability, and reliability.
* Implement CI/CD pipelines to ensure continuous deployment and delivery of our data products.
* Ensure quality of critical data elements, prepare data quality remediation plans and collaborate with business and system owners to fix the quality issues at its root.
* Document the design and support strategy of the data pipelines
* Capture, store and socialize data lineage and operational metadata
* Troubleshoot and resolve data engineering issues as they arise.
* Develop REST APIs to expose data to other teams within the company.
* Mentor and guide junior data engineers.
* Performs other duties as assigned
* Complies with all policies and standards
**Qualifications**
* Bachelor's Degree Computer Science, Computer Engineering, Software Engineering, or another related technical field Required.
* Master's Degree Computer Science, Computer Engineering, Software Engineering, or other related technical field Preferred.
* 2\+ years experience in Google cloud with services like BigQuery, Composer, GCS, DataStream, Dataflows Required.
* 6\+ years experience in data engineering solutions such as data platforms, ingestion, data management, or publication/analytics Required.
* Expert knowledge on SQL and Python programming.
* Experience working with Airflow as workflow management tools and build operators to connect, extract and ingest data as needed.
* Experience in tuning queries for performance and scalability.
* Experience in Real Time Data ingestion using GCP PubSub, Kafka, Spark or similar.
* Excellent organizational, prioritization and analytical abilities.
* Have proven experience working in incremental execution through successful launches.
* Excellent problem\-solving and critical\-thinking skills to recognize and comprehend complex data issues affecting the business environment.
* Experience working in agile environment.
 \#ATGE
**Additional Information**
*In support of the pay transparency laws enacted across the country, the expected salary range for this position is between $85,000\.00 and $150,00\.00 Actual pay will be adjusted based on job\-related factors permitted by law, such as experience and training; geographic location; licensure and certifications; market factors; departmental budgets; and responsibility. Our Talent Acquisition Team will be happy to answer any questions you may have, and we look forward to learning more about your salary requirements. The position qualifies for the below benefits.
 Adtalem offers a robust suite of benefits including:*
* *Health, dental, vision, life and disability insurance*
* *401k Retirement Program \+ 6% employer match*
* *Participation in Adtalem’s Flexible Time Off (FTO) Policy*
* *12 Paid Holidays
 For more information related to our benefits please visit: https://careers.adtalem.com/benefits.
 You are also eligible to participate in an annual incentive program, subject to the rules governing the program, whereby an award, if any, depends on various factors, including, without limitation, individual and organizational performance.*
 Equal Opportunity – Minority / Female / Disability / V / Gender Identity / Sexual Orientation</t>
        </is>
      </c>
    </row>
    <row r="83">
      <c r="A83" t="inlineStr">
        <is>
          <t>li-4351296135</t>
        </is>
      </c>
      <c r="B83" t="inlineStr">
        <is>
          <t>Data Engineer</t>
        </is>
      </c>
      <c r="C83" t="inlineStr">
        <is>
          <t>Edge Staffing</t>
        </is>
      </c>
      <c r="D83" t="inlineStr">
        <is>
          <t>linkedin</t>
        </is>
      </c>
      <c r="E83">
        <f>HYPERLINK("https://www.linkedin.com/jobs/view/4351296135", "https://www.linkedin.com/jobs/view/4351296135")</f>
        <v/>
      </c>
      <c r="F83" t="inlineStr"/>
      <c r="G83" t="inlineStr">
        <is>
          <t>Greater Orlando, FL</t>
        </is>
      </c>
      <c r="H83" t="inlineStr"/>
      <c r="I83" t="inlineStr">
        <is>
          <t>**Data Engineer** 
**Location:** 
 Hybrid – 3 days onsite, Greater Orlando, Florida Area
**Type:** 
 Permanent (
 ***Please note that applicants must be authorized to work in the United States without sponsorship, now or in the future.)***
 The team at Edge Staffing are partnering with a growing organization in the Greater Orlando Area that is seeking a
 **Data Engineer** 
 to join their team. This is a great opportunity to work on meaningful projects that directly support critical business decisions, while collaborating with both technical and business teams.
 The Data Engineer will be responsible for designing and maintaining scalable data pipelines and infrastructure, ensuring data is accurate, reliable, and easily accessible. This role blends hands\-on technical work with collaboration across departments, making it a key contributor to the company’s data strategy.
 What You’ll Do
* Collect, organize, and store raw data from databases, APIs, and files.
* Develop, test, and maintain scalable data pipelines to support business and analytics needs.
* Evaluate and improve existing data pipelines and architectures.
* Build and maintain CI/CD frameworks, testing suites, and code repositories.
* Support containerized and orchestrated environments, including Kubernetes clusters.
* Develop and maintain APIs and endpoints for analysts and systems.
* Collaborate with business, development, and analytics teams to define requirements.
* Contribute to data governance best practices, documentation, and continuous improvement.
* Participate in peer code reviews and Agile processes.
 What We’re Looking For:
* Strong programming skills in
 **Python or Scala** 
 .
* Proficiency in
 **SQL** 
 and experience with a variety of data sources (relational, non\-relational, APIs, etc.).
* Experience with
 **Data Build Tools (DBT)**
* Experience with
 **Dagster or similar orchestration tooling (Airflow, Prefect)**
* Experience with
 **cloud platforms** 
 (AWS preferred).
* Familiarity with
 **containerization and orchestration tools** 
 (Docker,
 **Kubernetes** 
 , Dagster).
* Experience with CI/CD tools, version control (Git), and Agile development.
* Strong analytical and problem\-solving skills, with the ability to innovate and take initiative.
* Excellent communication and collaboration skills.
 Qualifications
* Bachelor’s degree in Computer Science, Data Engineering, or related field (or equivalent work experience).
* 3–5 years of related experience.
 Compensation:
 Competitive Base salary, DOE
**Generous Benefits** 
 Includes 401(k) matching, healthcare, extra PTO
 This role is ideal for someone who wants to join a stable, established company, who thrives in a fast\-paced environment and who enjoys building reliable, scalable systems that power data\-driven decision\-making.
**APPLY HERE TODAY!** 
***WE ARE NOT WORKING WITH THIRD PARTY AGENCIES ON ANY ROLES AT THIS TIME. PLEASE, NO PHONE CALLS OR EMAILS FROM THIRD PARTIES.***</t>
        </is>
      </c>
    </row>
    <row r="84">
      <c r="A84" t="inlineStr">
        <is>
          <t>li-4351156491</t>
        </is>
      </c>
      <c r="B84" t="inlineStr">
        <is>
          <t>Data Engineer</t>
        </is>
      </c>
      <c r="C84" t="inlineStr">
        <is>
          <t>Atlas Search</t>
        </is>
      </c>
      <c r="D84" t="inlineStr">
        <is>
          <t>linkedin</t>
        </is>
      </c>
      <c r="E84">
        <f>HYPERLINK("https://www.linkedin.com/jobs/view/4351156491", "https://www.linkedin.com/jobs/view/4351156491")</f>
        <v/>
      </c>
      <c r="F84" t="inlineStr"/>
      <c r="G84" t="inlineStr">
        <is>
          <t>New York, NY</t>
        </is>
      </c>
      <c r="H84" t="inlineStr"/>
      <c r="I84" t="inlineStr">
        <is>
          <t>**Key Responsibilities** 
* Develop, optimize, and maintain SQL Server stored procedures, views, and queries.
* Design, build, and maintain ETL/ELT pipelines to move and transform data from multiple sources.
* Write and maintain Python scripts for data wrangling, automation, and reporting.
* Ensure data quality, integrity, and consistency across platforms.
* Collaborate with analysts and business stakeholders to analyze and interpret data.
* Assist in data warehouse development and pipeline optimization within Snowflake.
* Document technical processes, workflows, and best practices.
**Company Requirements:** 
**Qualifications** 
* Bachelor’s degree in Computer Science, Information Systems, Data Analytics, or equivalent experience.
* Strong proficiency in SQL, with the ability to write and troubleshoot complex queries.
* Hands\-on experience with Python for data processing and automation.
* Skilled in ETL concepts, data modeling, and data management best practices.
* Knowledge of SQL Server stored procedures and optimization techniques.
* Familiarity with Snowflake or other cloud\-based data warehouses (a plus).
* Experience with Tableau or other BI tools (a plus).
* Strong analytical and problem\-solving skills with attention to detail.
* Excellent communication and collaboration skills.
**Preferred Experience** 
* Exposure to cloud platforms such as AWS, Azure, or GCP.
* Experience with Git or other version control systems.
* Exposure to AI/ML concepts, frameworks, or projects (a plus).
* Understanding of data governance and documentation best practices.</t>
        </is>
      </c>
    </row>
    <row r="85">
      <c r="A85" t="inlineStr">
        <is>
          <t>li-4354349362</t>
        </is>
      </c>
      <c r="B85" t="inlineStr">
        <is>
          <t>Senior Data Engineer</t>
        </is>
      </c>
      <c r="C85" t="inlineStr">
        <is>
          <t>Franklin Fitch</t>
        </is>
      </c>
      <c r="D85" t="inlineStr">
        <is>
          <t>linkedin</t>
        </is>
      </c>
      <c r="E85">
        <f>HYPERLINK("https://www.linkedin.com/jobs/view/4354349362", "https://www.linkedin.com/jobs/view/4354349362")</f>
        <v/>
      </c>
      <c r="F85" t="inlineStr"/>
      <c r="G85" t="inlineStr"/>
      <c r="H85" t="inlineStr"/>
      <c r="I85" t="inlineStr">
        <is>
          <t>**Senior Data Engineer — Legal \&amp; Professional Services** 
**Location:** 
 San Francisco, CA or Palo Alto, CA
 We’re seeking a Senior Data Engineer to help shape the data strategy and analytics capabilities of a growing professional services organization. This role focuses on building and optimizing ETL/ELT pipelines, managing finance\-focused data models, and delivering accurate, actionable reporting across the firm. You’ll work closely with business stakeholders, analysts, data scientists, and IT teams to ensure data integrity, security, and governance while mentoring junior engineers and contributing to best practices.
**Key Responsibilities** 
* Develop, optimize, and maintain ETL/ELT pipelines to support reliable data integration
* Design and manage finance and business data models, schemas, and structures
* Translate complex business requirements into dashboards, reports, and actionable insights
* Collaborate with stakeholders to define KPIs and ensure consistent reporting standards
* Embed information security and governance practices to maintain data accuracy, compliance, and protection
* Monitor, troubleshoot, and tune workflows for performance and scalability
* Mentor junior engineers and contribute to technical standards and best practices
**Qualifications** 
* Bachelor’s or Master’s degree in Computer Science, Information Systems, Data Engineering, or related field
* 8\+ years of experience in data warehouse development, ETL/ELT optimization, and reporting solutions
* Advanced SQL skills, including query optimization, indexing, and stored procedures
* Experience with Azure data platforms (Synapse, Databricks, Microsoft Fabric)
* Familiarity with ETL tools such as Informatica, Talend, SSIS, dbt, or similar
* Strong understanding of data modeling (star/snowflake schemas, OLAP/OLTP concepts)
* Excellent analytical, problem\-solving, and communication skills
 If this sounds like a fit, apply now!</t>
        </is>
      </c>
    </row>
    <row r="86">
      <c r="A86" t="inlineStr">
        <is>
          <t>li-4330461534</t>
        </is>
      </c>
      <c r="B86" t="inlineStr">
        <is>
          <t>Senior Data Engineer</t>
        </is>
      </c>
      <c r="C86" t="inlineStr">
        <is>
          <t>DraftKings Inc.</t>
        </is>
      </c>
      <c r="D86" t="inlineStr">
        <is>
          <t>linkedin</t>
        </is>
      </c>
      <c r="E86">
        <f>HYPERLINK("https://www.linkedin.com/jobs/view/4330461534", "https://www.linkedin.com/jobs/view/4330461534")</f>
        <v/>
      </c>
      <c r="F86" t="inlineStr"/>
      <c r="G86" t="inlineStr">
        <is>
          <t>Massachusetts, United States</t>
        </is>
      </c>
      <c r="H86" t="inlineStr"/>
      <c r="I86" t="inlineStr">
        <is>
          <t>At DraftKings, AI is becoming an integral part of both our present and future, powering how work gets done today, guiding smarter decisions, and sparking bold ideas. It’s transforming how we enhance customer experiences, streamline operations, and unlock new possibilities. Our teams are energized by innovation and readily embrace emerging technology. We’re not waiting for the future to arrive. We’re shaping it, one bold step at a time. To those who see AI as a driver of progress, come build the future together.
 The Crown Is Yours
 As a Senior Data Engineer, you help will lead the design and implementation of reliable, scalable systems for transforming raw data into structured, usable formats that power data products, reporting, and operational workflows. You’ll operate across varied business domains and play a critical role in aligning technical solutions with business strategy. Your work will enable clean, performant data solutions that drive impact at scale. If you're excited about solving complex data challenges in a fast\-paced, high\-growth environment, come join us and grow your career at DraftKings. Your work will create the next generation of immersive, data\-powered gaming experiences that captivate audiences worldwide.
 What you’ll do as a Senior Data Engineer
* Dive into the world of DraftKings to understand the systems and data structures that support our products
* Work with engineering, product, and business teams to design data solutions that meet application and reporting requirements.
* Design, build, and maintain robust data pipelines and models that power enterprise\-level decision\-making and cross\-domain data products.
* Establish and enforce best practices around data quality, testing frameworks, and system monitoring.
* Drive continuous improvement in the performance and reliability of large\-scale data processing workflows.
* Write, maintain, and optimize SQL code with cloud MPP data warehouse platforms (e.g. Snowflake).
 What you’ll bring
* 4\+ years of experience in Data Engineering or a closely related field, with demonstrated expertise in building and maintaining production data systems.
* Advanced SQL skills and deep experience implementing complex business logic and performance\-optimized transformations at scale.
* Expertise with modern cloud\-based data platforms (e.g., Snowflake, BigQuery, Redshift) and experience managing large, distributed data environments.
* Strong understanding of data architecture and dimensional modeling principles, with a track record of designing enterprise\-grade schemas.
* Proven ability to lead projects through agile software development lifecycles and mentor junior team members.
* Proficiency with version control systems (e.g., Git) and collaborative engineering practices.
* Ability to quickly learn industry and DraftKings\-specific domain knowledge and leverage it to deliver solutions for critical business needs.
 Join Our Team
 We’re a publicly traded (NASDAQ: DKNG) technology company headquartered in Boston. As a regulated gaming company, you may be required to obtain a gaming license issued by the appropriate state agency as a condition of employment. Don’t worry, we’ll guide you through the process if this is relevant to your role.
 The US base salary range for this full\-time position is 116,800\.00 USD \- 146,000\.00 USD, plus bonus, equity, and benefits as applicable. Our ranges are determined by role, level, and location. The compensation information displayed on each job posting reflects the range for new hire pay rates for the position across all US locations. Within the range, individual pay is determined by work location and additional factors, including job\-related skills, experience, and relevant education or training. Your recruiter can share more about the specific pay range and how that was determined during the hiring process. It is unlawful in Massachusetts to require or administer a lie detector test as a condition of employment or continued employment. An employer who violates this law shall be subject to criminal penalties and civil liability.</t>
        </is>
      </c>
    </row>
    <row r="87">
      <c r="A87" t="inlineStr">
        <is>
          <t>li-4354359504</t>
        </is>
      </c>
      <c r="B87" t="inlineStr">
        <is>
          <t>Sr. Data Engineer, AI Data Engineering</t>
        </is>
      </c>
      <c r="C87" t="inlineStr">
        <is>
          <t>Caterpillar Inc.</t>
        </is>
      </c>
      <c r="D87" t="inlineStr">
        <is>
          <t>linkedin</t>
        </is>
      </c>
      <c r="E87">
        <f>HYPERLINK("https://www.linkedin.com/jobs/view/4354359504", "https://www.linkedin.com/jobs/view/4354359504")</f>
        <v/>
      </c>
      <c r="F87" t="inlineStr"/>
      <c r="G87" t="inlineStr">
        <is>
          <t>Peoria, IL</t>
        </is>
      </c>
      <c r="H87" t="inlineStr"/>
      <c r="I87"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As a Senior Data Engineer on the Helios Data Engineering team, you will be responsible for developing Python data pipelines that build business data objects used to support applications.
**What You Will Do**
* Responsibilities of the incumbents are across functional lines with individuals assigned in new program development.
* Competent to perform all programming, project management, and development assignments without close supervision; normally assigned the more complex aspects of systems work.
* Works directly on complex application/technical problem identification and resolution.
* Interpreting design requirements for engineering implementation
* Building and deploying CICD pipelines
* Implementing source to target mapping as pipeline code
* Responsibility for Unit and Integration testing
* Maintains high standards of software quality within the team by establishing good practices and habits
* Identifies and encourage areas for growth and improvement within the team
* Employee is also responsible for performing other job duties as assigned by Caterpillar management from time to time.
**What You Will Have**
* Decision Making and Critical Thinking: Knowledge of the decision\-making process and associated tools and techniques; ability to accurately analyze situations and reach productive decisions based on informed judgment.
* Effective Communications: Understanding of effective communication concepts, tools and techniques; ability to effectively transmit, receive, and accurately interpret ideas, information, and needs through the application of appropriate communication behaviors.
* Software Development: Extensive knowledge of software development tools and activities; ability to produce software products or systems in line with product requirements.
* Software Development Life Cycle: Knowledge of software development life cycle; ability to use a structured methodology for delivering and managing new or enhanced software products to the marketplace.
* Software Product Design/Architecture: Knowledge of software product design; ability to convert market requirements into the software product design.
* Software Product Technical Knowledge: Knowledge of technical aspects of a software products; ability to design, configure and integrate technical aspects of software products.
* Software Product Testing: Extensive knowledge of software product testing; ability to design, plan, and execute testing strategies and tactics to ensure software product quality and adherence to stated requirements.
**Considerations For Top Candidates**
* Extensive software development experience and solid working knowledge of OOP principles.
* Knowledge and experience with Embedding Models and Concepts for effectively chunking data
* Extensive experience working with Git version control
* Exceptional communication skills with experience working on a cross functional teams.
* Extensive experience deploying software using CI/CD tools such as Jenkins, Github Actions, Azure Devops etc.
* Extensive experience in designing and developing software applications in Python.
* Experience with AWS components such as Bedrock, Lambda, Dynamo, Fargate, S3, Sagemaker, IAM and RDS
* Experience with relational and/or noSQL databases such as PostgreSQL, DynamoDB, MongoDB, Oracle, etc.
* Knowledge and experience with AI technologies such as NLP, LLM, RAG, LangChain frameworks, etc
* Experience working with NVIDIA Jetson or Orin hardware platforms, particularly in the context of AI model deployment
* Hands\-on experience with NVIDIA NeMo or NVIDIA NIM (Inference Microservices) for hosting embedding models
* Demonstrated strong learning ability and a proactive approach to staying current with the latest technologies and industry trends.
**Additional Information**
 This position will have the option to be based out of our Chicago, IL or Peoria, IL offices.
 \#BI (used to post on Built In Chicago)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$112,710\.00 \- $183,140\.00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January 5, 2026 \- January 19,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88">
      <c r="A88" t="inlineStr">
        <is>
          <t>li-4354528561</t>
        </is>
      </c>
      <c r="B88" t="inlineStr">
        <is>
          <t>Senior Analytics Engineer</t>
        </is>
      </c>
      <c r="C88" t="inlineStr">
        <is>
          <t>HubSpot</t>
        </is>
      </c>
      <c r="D88" t="inlineStr">
        <is>
          <t>linkedin</t>
        </is>
      </c>
      <c r="E88">
        <f>HYPERLINK("https://www.linkedin.com/jobs/view/4354528561", "https://www.linkedin.com/jobs/view/4354528561")</f>
        <v/>
      </c>
      <c r="F88" t="inlineStr"/>
      <c r="G88" t="inlineStr"/>
      <c r="H88" t="inlineStr"/>
      <c r="I88" t="inlineStr">
        <is>
          <t>**POS\-30843**
 HubSpot’s mission is to Help Millions of Organizations Grow Better. HubSpot’s Operations team is core to this goal by supporting the HubSpotters who attract, engage, and delight HubSpot’s customers. Our goal in Operations is to embed advanced analytics and algorithmic intelligence into the DNA of decision\-making across Flywheel. Flexible, well\-connected, well\-architected data are the backbone of our strategy, along with the Analytics Engineers who create that landscape.
 We believe in the power of data to drive effective decision\-making. We leverage data for both day\-to\-day operations (improving efficiency by surfacing the right data at the right time) and for strategy (fostering deep understanding of what makes our flywheel spin, and projecting how to spin it faster in the future). In this role, you’ll be a member of the Data, Systems, \&amp; Intelligence team to design and build a modern data foundation for efficient models and analyses. Your work will directly support analytic and ML products that will change the way we make decisions within Flywheel at HubSpot.
 We’re looking for Analytic Engineers with a strong interest in building and maintaining flexible, reusable architecture for our highest value data assets. In this role, you will develop a deep understanding of the business and analytics priorities to create solutions that will unlock our ability to scale and drive actionable insights.
**In This Role You’ll Get To**
* Collaborate with both technical and non\-technical areas of the business, bridging the gap between the business problem and the technical solution
* Build out scalable data models to analyze key parts of the HubSpot business
* Establish and uphold technical best practices in maintaining the data infrastructure and and contribute to the company's long term data strategy
* Support distributed operations teams as they utilize these foundational data models for reporting
* Perform complex root cause analysis of problems and subsequently, makes and implements recommendations to prevent future occurrences
* Expand our suite of dbt patterns and macros to enable flexible and easily extensible data structures
* Scope requirements with internal stakeholders and lead working groups to usher projects through their entire lifecycle while building clear roadmaps for cross\-functional team members
* Learn from our team of Analytics engineers, as well as HubSpot’s greater AE community
* Mentor and upskill other analytics engineers to create an inclusive team environment while promoting diversity, inclusion and belonging
**We Are Looking For People Who Have**
* Several years of hands\-on SQL experience, relational databases, and data modeling
* Ability to document technical design documents and organizational skills
* Proven communication skills and ability to bridge between business leaders, engineers, and data scientists
* Experience distilling complex ideas and data for both executives and front\-line reps
* Creative problem solving skills to identify flexible solutions to business questions
* Insatiable curiosity and interest in learning new things
* Snowflake, dbt, and/or Looker experience
**Pay \&amp; Benefits**
 The cash compensation below includes base salary, on\-target commission for employees in eligible roles, and annual bonus targets under HubSpot’s bonus plan for eligible roles. In addition to cash compensation, some roles are eligible to participate in HubSpot’s equity plan to receive restricted stock units (RSUs). Some roles may also be eligible for overtime pay. Individual compensation packages are tailored to your skills, experience, qualifications, and other job\-related reasons.
 This resource will help guide how we recommend thinking about the range you see. Learn more about HubSpot’s compensation philosophy.
 Benefits are also an important piece of your total compensation package. Explore the benefits and perks HubSpot offers to help employees grow better.
 At HubSpot, fair compensation practices aren’t just about checking off the box for legal compliance. It’s about living out our value of transparency with our employees, candidates, and community.
**Annual Cash Compensation Range**
 $118,500—$189,600 USD
*We know the* 
*confidence gap* 
*and* 
*impostor syndrome* 
*can get in the way of meeting spectacular candidates, so please don’t hesitate to apply — we’d love to hear from you.*
***If you need accommodations or assistance due to a disability, please reach out to us using this form.***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***India** 
**Applicants:** 
 link to HubSpot India's equal opportunity policy here.*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 HubSpot Careers
* Life at HubSpot on Instagram
*HubSpot may use AI to help screen or assess candidates, but all hiring decisions are always human. More information can be found here. By submitting your application, you agree that HubSpot may collect your personal data for recruiting, global organization planning, and related purposes. Refer to HubSpot's Recruiting Privacy Notice for details on data processing and your rights.*</t>
        </is>
      </c>
    </row>
    <row r="89">
      <c r="A89" t="inlineStr">
        <is>
          <t>li-4351186516</t>
        </is>
      </c>
      <c r="B89" t="inlineStr">
        <is>
          <t>Data Engineer (In-Person Interview)</t>
        </is>
      </c>
      <c r="C89" t="inlineStr">
        <is>
          <t>Galent</t>
        </is>
      </c>
      <c r="D89" t="inlineStr">
        <is>
          <t>linkedin</t>
        </is>
      </c>
      <c r="E89">
        <f>HYPERLINK("https://www.linkedin.com/jobs/view/4351186516", "https://www.linkedin.com/jobs/view/4351186516")</f>
        <v/>
      </c>
      <c r="F89" t="inlineStr"/>
      <c r="G89" t="inlineStr">
        <is>
          <t>Dallas, TX</t>
        </is>
      </c>
      <c r="H89" t="inlineStr"/>
      <c r="I89" t="inlineStr">
        <is>
          <t>**Full Time \- Visa Independent** 
**In\-Person Interview Required.** 
**Mandatory Skills :** 
 Python, Azure Data Factory
**Good to Have Skills :** 
 AZURE DATA LAKE
**Job Summary** 
 Seeking a Specialist with 5 to 7 years of experience in designing and implementing data engineering solutions using Python and Azure Data Factory within the Azure Data Factory ADF skill family
**Job Description:** 
 Design develop and maintain scalable data pipelines and ETL processes using Python and Azure Data Factory Collaborate with source data application teams and product owners to understand data requirements and deliver analytics solutions Utilize Azure Data Factory and Azure Data Lake for data ingestion storage and processing Implement data migration and transformation workflows leveraging Azure cloud services Ensure data quality performance tuning and optimization of data pipelines Support continuous integration and continuous deployment CICD pipelines for data engineering projects Apply best practices for data governance privacy and security within Azure environments Stay updated with emerging Azure technologies and recommend improvements to existing data solutions
**Roles and Responsibilities:** 
 Lead the design and implementation of batch and streaming data pipelines using Azure Data Factory and related Azure services Provide technical leadership and mentorship to team members on Python programming and Azure Data Factory best practices Collaborate with DevOps teams to manage deployment monitoring and support of data engineering solutions Troubleshoot and resolve data pipeline issues ensuring high availability and reliability Participate in architectural discussions and contribute to the development of coding standards and security guidelines Engage with crossfunctional teams to align data engineering efforts with business objectives Drive automation of data workflows and improve operational efficiency Support production environments and provide timely incident response and root cause analysis</t>
        </is>
      </c>
    </row>
    <row r="90">
      <c r="A90" t="inlineStr">
        <is>
          <t>li-4330158364</t>
        </is>
      </c>
      <c r="B90" t="inlineStr">
        <is>
          <t>Principal Data Platform Engineer</t>
        </is>
      </c>
      <c r="C90" t="inlineStr">
        <is>
          <t>BlinkRx</t>
        </is>
      </c>
      <c r="D90" t="inlineStr">
        <is>
          <t>linkedin</t>
        </is>
      </c>
      <c r="E90">
        <f>HYPERLINK("https://www.linkedin.com/jobs/view/4330158364", "https://www.linkedin.com/jobs/view/4330158364")</f>
        <v/>
      </c>
      <c r="F90" t="inlineStr"/>
      <c r="G90" t="inlineStr">
        <is>
          <t>New York, NY</t>
        </is>
      </c>
      <c r="H90" t="inlineStr"/>
      <c r="I90" t="inlineStr">
        <is>
          <t>**Company Overview:** 
 Blink Health is the fastest growing healthcare technology company that builds products to make prescriptions accessible and affordable to everybody.  Our two primary products – BlinkRx and Quick Save – remove traditional roadblocks within the current prescription supply chain, resulting in better access to critical medications and improved health outcomes for patients. 
 BlinkRx is the world’s first pharma\-to\-patient cloud that offers a digital concierge service for patients who are prescribed branded medications. Patients benefit from transparent low prices, free home delivery, and world\-class support on this first\-of\-its\-kind centralized platform. With BlinkRx, never again will a patient show up at the pharmacy only to discover that they can’t afford their medication, their doctor needs to fill out a form for them, or the pharmacy doesn’t have the medication in stock. 
 We are a highly collaborative team of builders and operators who invent new ways of working in an industry that historically has resisted innovation. Join us!
 About the Role
 We are seeking a
 **Principal Data Platform Engineer** 
 to define and evolve our real\-time and batch data platform built on
 **AWS and Databricks** 
 . This role owns the technical vision for how data is ingested, processed, stored, and served as
 **trusted datasets, metrics, and APIs** 
 that power products, decisioning systems, and operational workflows.
 As a Principal, you are a
 **technical authority and force multiplier** 
 —deeply hands\-on while setting architectural direction across streaming systems, lakehouse design, and data\-serving layers. You will partner closely with engineering, analytics, and product teams to simplify the platform, eliminate legacy patterns, and establish scalable, reliable foundations for real\-time analytics.
 What You Will Do
 * Own the
 **end\-to\-end data platform architecture** 
 , spanning streaming ingestion, lakehouse storage, and data/insight serving layers
* Architect
 **real\-time streaming systems** 
 using AWS Kinesis and Spark Structured Streaming to support low\-latency use cases
* Design
 **stream\-to\-lakehouse convergence patterns** 
 that unify real\-time and historical data with strong correctness guarantees
* Build and evolve
 **data, metrics, and feature APIs** 
 that expose curated datasets for downstream applications and analytics
* Establish
 **canonical event schemas and data contracts** 
 to support event\-driven and API\-based consumption
* Make deep technical decisions across
 **AWS infrastructure** 
 (Kinesis, S3, IAM, networking) and
 **Databricks internals** 
 (clusters, jobs, Delta Lake, performance tuning)
* Drive
 **platform modernization** 
 , retiring legacy tools and patterns in favor of simpler, lakehouse\-first designs
* Set standards for
 **high\-performance SQL and Spark workloads** 
 , optimizing for cost, latency, and scale
* Lead complex platform initiatives from architecture through production delivery and ongoing reliability
* Provide technical leadership and mentorship, shaping best practices for
 **platform design, data quality, and operability**
 Technical Skills
 * Deep expertise in
 **real\-time and distributed data systems** 
 , including AWS Kinesis and Spark Structured Streaming
* Strong command of
 **Databricks on AWS** 
 (Delta Lake, clusters, jobs) and core AWS services (S3, IAM, networking)
* Proven experience designing
 **data\-serving architectures and APIs** 
 for analytics, metrics, and feature consumption
* Advanced
 **Python and SQL** 
 skills for building scalable, high\-performance data pipelines
* Demonstrated ability to design
 **idempotent, replayable, and observable** 
 data platforms at scale
**Why Join Us:** 
 It is rare to have a company that both deeply impacts its customers and is able to provide its services across a massive population.  At Blink, we have a huge impact on people when they are most vulnerable: at the intersection of their healthcare and finances. We are also the fastest growing healthcare company in the country and are driving that impact across millions of new patients every year.  Our business model not only helps people, but drives economics that allow us to build a generational company. We are a relentlessly learning, constantly curious, and aggressively collaborative cross\-functional team dedicated to inventing new ways to improve the lives of our customers.
 We are an equal opportunity employer and value diversity of all kinds. We do not discriminate on the basis of race, religion, color, national origin, gender, sexual orientation, age, marital status, veteran status, or disability status.</t>
        </is>
      </c>
    </row>
    <row r="91">
      <c r="A91" t="inlineStr">
        <is>
          <t>li-4351235813</t>
        </is>
      </c>
      <c r="B91" t="inlineStr">
        <is>
          <t>Senior BI Engineer</t>
        </is>
      </c>
      <c r="C91" t="inlineStr">
        <is>
          <t>Taglynk</t>
        </is>
      </c>
      <c r="D91" t="inlineStr">
        <is>
          <t>linkedin</t>
        </is>
      </c>
      <c r="E91">
        <f>HYPERLINK("https://www.linkedin.com/jobs/view/4351235813", "https://www.linkedin.com/jobs/view/4351235813")</f>
        <v/>
      </c>
      <c r="F91" t="inlineStr"/>
      <c r="G91" t="inlineStr"/>
      <c r="H91" t="inlineStr"/>
      <c r="I91" t="inlineStr">
        <is>
          <t>As a
 **Sr.BI Engineer** 
 , you are a detail\-oriented problem solver with a passion for turning complex data into actionable insights. You have a deep understanding of data structures, business requirements, and reporting needs, enabling you to design and implement scalable data solutions. Your technical expertise spans data warehousing, pipeline development, and visualization tools, allowing you to empower stakeholders with reliable and efficient data\-driven decisions. You thrive in a collaborative environment, take ownership of data governance, and are proactive in identifying opportunities for process automation and optimization.
**What You’ll Be Doing:** 
**Data Strategy, Architecture, and Ownership** 
 \- Own the end\-to\-end data lifecycle, from ingestion and transformation to delivery, ensuring alignment with business priorities and analytical goals.
 \- Architect and oversee scalable, high\-performance data pipelines and warehouse structures that serve as the foundation for company\-wide analytics and automation.
 \- Partner with Engineering and Product teams to establish data design standards, naming conventions, and quality benchmarks, ensuring long\-term sustainability and performance.
 \- Drive decisions on data architecture, tooling, and storage optimization, balancing scalability, cost, and performance tradeoffs.
**Data Modelling, Quality, and Governance** 
 \- Lead data modeling efforts that transform complex, cross\-domain data into clear and accessible models supporting business\-critical dashboards, experimentation, and AI workloads.
 \- Implement robust data validation frameworks and monitoring systems to proactively detect and resolve data quality issues.
 \- Champion data governance — define standards for access control, lineage, cataloging, and compliance.
 \- Collaborate with security and platform teams to institutionalize best practices for data stewardship and democratized analytics.
**Advanced Analytics and Stakeholder Partnership** 
 \- Partner with senior business stakeholders to identify high\-impact analytical opportunities and translate business questions into scalable data solutions.
 \- Use strong command of SQL, Snowflake, and Python to design complex analytical models and build self\-serve dashboards in Tableau or Looker.
 \- Develop and deliver insight frameworks that enable data\-informed decision\-making across Marketing, Product, and Operations teams.
 \- Mentor analysts and engineers, fostering an environment of learning and technical excellence.
**Innovation, Automation, and Continuous Improvement** 
 \- Continuously evaluate and implement emerging data tools and frameworks to enhance speed, accuracy, and reliability of analytics delivery.
 \- Lead initiatives to automate reporting workflows and implement CI/CD for data pipelines, ensuring reproducibility and scalability.
 \- Partner cross\-functionally to identify and eliminate data bottlenecks, optimizing for both velocity and reliability in decision support.
 \- Drive a culture of proactive problem\-solving through documentation, standardization, and data enablement across teams.
**What You’ll Bring:**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**Experience/Education/Certifications Required:** 
 \- 5\+ years of experience in business intelligence, data engineering, analytics, or a related field.
 \- Advanced SQL expertise with experience handling complex queries and data transformations.
 \- Strong knowledge of engineering and operations best practices, including version control, data quality assurance, testing, and monitoring.
 \- Data modeling expertise with experience in ETL, Data Warehousing, and Data Lakes.
 \- Data visualization skills using Tableau to create compelling dashboards and reports.
 \- Programming proficiency in one or more languages (e.g., Python, Java) for data processing and analysis.
 \- Basic knowledge of statistical measures and techniques.
 \- Exceptional communication and collaboration skills, with the ability to communicate complex technical information to less technically sophisticated stakeholders and data professionals.</t>
        </is>
      </c>
    </row>
    <row r="92">
      <c r="A92" t="inlineStr">
        <is>
          <t>li-4351305642</t>
        </is>
      </c>
      <c r="B92" t="inlineStr">
        <is>
          <t>Azure Data Engineer</t>
        </is>
      </c>
      <c r="C92" t="inlineStr">
        <is>
          <t>Galent</t>
        </is>
      </c>
      <c r="D92" t="inlineStr">
        <is>
          <t>linkedin</t>
        </is>
      </c>
      <c r="E92">
        <f>HYPERLINK("https://www.linkedin.com/jobs/view/4351305642", "https://www.linkedin.com/jobs/view/4351305642")</f>
        <v/>
      </c>
      <c r="F92" t="inlineStr"/>
      <c r="G92" t="inlineStr">
        <is>
          <t>Dallas, TX</t>
        </is>
      </c>
      <c r="H92" t="inlineStr"/>
      <c r="I92" t="inlineStr">
        <is>
          <t>We’re hiring a Azure Data Engineer
 Join Galent and help us deliver high\-impact technology solutions that shape the future of digital transformation
**Job Title: Data Engineer** 
**Location: Dallas, TX (100% Onsite)** 
**Job Type: Full time** 
**Required Experience:** 
 10\+ Years
**Mandatory Skills : Python, Azure Data Factory** 
**Good to Have Skills : Azure Data Lake** 
**Job Summary:** 
 Seeking a Specialist with 5 to 7 years of experience in designing and implementing data engineering solutions using Python and Azure Data Factory within the Azure Data Factory ADF skill family
**Job Description** 
* Design develop and maintain scalable data pipelines and ETL processes using Python and Azure Data Factory.
* Collaborate with source data application teams and product owners to understand data requirements and deliver analytics solutions.
* Utilize Azure Data Factory and Azure Data Lake for data ingestion storage and processing.
* Implement data migration and transformation workflows leveraging Azure cloud services.
* Ensure data quality performance tuning and optimization of data pipelines.
* Support continuous integration and continuous deployment CICD pipelines for data engineering projects.
* Apply best practices for data governance privacy and security within Azure environments.
* Stay updated with emerging Azure technologies and recommend improvements to existing data solutions
**Roles and Responsibilities** 
* Lead the design and implementation of batch and streaming data pipelines using Azure Data Factory and related Azure services.
* Provide technical leadership and mentorship to team members on Python programming and Azure Data Factory best practice.
* Collaborate with DevOps teams to manage deployment monitoring and support of data engineering solutions.
* Troubleshoot and resolve data pipeline issues ensuring high availability and reliability.
* Participate in architectural discussions and contribute to the development of coding standards and security guidelines.
* Engage with cross functional teams to align data engineering efforts with business objectives.
* Drive automation of data workflows and improve operational efficiency.
* Support production environments and provide timely incident response and root cause analysis
 Why Galent
 Galent is a digital engineering firm that brings AI\-driven innovation to enterprise IT. We’re proud of our diverse and inclusive team culture where bold ideas drive transformation.
 Ready to Apply?
 Send your resume to satish.k
 **@galent.com**</t>
        </is>
      </c>
    </row>
    <row r="93">
      <c r="A93" t="inlineStr">
        <is>
          <t>li-4330440527</t>
        </is>
      </c>
      <c r="B93" t="inlineStr">
        <is>
          <t>Data Engineer</t>
        </is>
      </c>
      <c r="C93" t="inlineStr">
        <is>
          <t>Robert Half</t>
        </is>
      </c>
      <c r="D93" t="inlineStr">
        <is>
          <t>linkedin</t>
        </is>
      </c>
      <c r="E93">
        <f>HYPERLINK("https://www.linkedin.com/jobs/view/4330440527", "https://www.linkedin.com/jobs/view/4330440527")</f>
        <v/>
      </c>
      <c r="F93" t="inlineStr"/>
      <c r="G93" t="inlineStr">
        <is>
          <t>Columbus, Ohio Metropolitan Area</t>
        </is>
      </c>
      <c r="H93" t="inlineStr"/>
      <c r="I93" t="inlineStr">
        <is>
          <t>We’re building something new—and we need a hands\-on, strategic Data Engineer to help lay the foundation. In this newly established role, you’ll design and implement scalable data pipelines, integrate data across multiple domains and systems, and ensure the integrity and accessibility of our data ecosystem. From ETL development to cloud architecture, you’ll play a critical role in enabling advanced analytics and AI/ML capabilities.
 You’ll work closely with internal analytics and IT teams, aligning efforts, identifying skill gaps, and driving the organization toward a modern, unified data infrastructure. If you're a self\-starter who thrives in environments where you can build, optimize, and lead—this role is for you.
 \*\*ALL CANDIDATES MUST BE LOCAL TO COLUMBUS, OHIO\*\*
 What You’ll Do
 • Design, build, and maintain robust ETL pipelines to ingest, transform, and deliver data from diverse sources.
 • Develop and optimize data models that support analytics, forecasting, and AI/ML initiatives.
 • Partner with external vendors and internal teams to enhance and scale our data engineering capabilities.
 • Implement best practices for data quality, governance, and security across hybrid cloud environments.
 • Collaborate with analytics and data science teams to ensure seamless integration and accessibility of data.
 • Support the development of data products and services, enabling monetization of insights.
 • Troubleshoot and optimize performance of data workflows and storage solutions.
 • Work cross\-functionally to unify data systems and create a consistent, reliable data foundation.
 Tech Environment
 • Cloud Platforms: Azure (Data Factory, Databricks, Azure SQL), with exposure to AWS or Google Cloud
 • Databases: SQL, DB2 (legacy systems)
 What We’re Looking For
 • Proven experience in data engineering, including ETL development and data pipeline design.
 • Strong SQL skills and familiarity with relational and non\-relational databases.
 • Experience with cloud\-based data platforms (preferably Azure).
 • Understanding of data modeling, data warehousing, and performance optimization.
 • Ability to work in a hands\-on role that combines architecture, development, and implementation.
 • Exposure to big data tools and frameworks (e.g., Databricks, Spark) is a plus.
 • Comfortable collaborating with cross\-functional teams and guiding best practices.
 • Desire to work in a fast\-paced, build\-from\-scratch environment.
 • Local to Columbus is required</t>
        </is>
      </c>
    </row>
    <row r="94">
      <c r="A94" t="inlineStr">
        <is>
          <t>li-4354643659</t>
        </is>
      </c>
      <c r="B94" t="inlineStr">
        <is>
          <t>Data Engineer IV - REMOTE</t>
        </is>
      </c>
      <c r="C94" t="inlineStr">
        <is>
          <t>E Source</t>
        </is>
      </c>
      <c r="D94" t="inlineStr">
        <is>
          <t>linkedin</t>
        </is>
      </c>
      <c r="E94">
        <f>HYPERLINK("https://www.linkedin.com/jobs/view/4354643659", "https://www.linkedin.com/jobs/view/4354643659")</f>
        <v/>
      </c>
      <c r="F94">
        <f>HYPERLINK("https://www.paycomonline.net/v4/ats/web.php/portal/D091157AE56F3B54E83C2790C96E526E/jobs/432780?src=LinkedIn&amp;urlHash=k3nE", "https://www.paycomonline.net/v4/ats/web.php/portal/D091157AE56F3B54E83C2790C96E526E/jobs/432780?src=LinkedIn&amp;urlHash=k3nE")</f>
        <v/>
      </c>
      <c r="G94" t="inlineStr"/>
      <c r="H94" t="inlineStr"/>
      <c r="I94" t="inlineStr">
        <is>
          <t>Are you an expert in designing, developing, and maintaining data pipelines, infrastructure, and systems to support data products and solutions? Are you a strong communicator who thrives as part of a cross\-functional, collaborative team? If so, we want to talk with you!
 We’re seeking a senior data engineer to join our machine\-learning engineering team and help us design and build scalable, reliable, and secure data pipelines, infrastructure, and systems for our consulting services and software\-as\-a\-service (SaaS) solutions. You’ll work with a cross\-functional team of machine\-learning engineers, software engineers, data scientists, and data analysts to deliver data products and solutions for our clients while also contributing to our internal data practices.
 E Source is a leading provider of software solutions and consulting services for utilities and their customers. We use data science and machine learning to help utilities optimize their operations and achieve their sustainability goals. We process large amounts of data from our clients and uncover insights and patterns they didn’t see before.
 Data engineering is a key function enabling a robust data science environment for our consulting services and as middleware in preparing our client’s data for processing within our SaaS solutions.
**A Little About E Source**
 E Source combines industry\-leading research, data science, and consulting to help utilities make and implement better data\-driven decisions that positively impact their customers, their bottom line, and our planet. Headquartered in Boulder, CO, we have teams across the US and Canada. Learn more at
 **www.esource.com** 
 .
**How You’ll Help**
* Design, develop, and maintain data pipelines, infrastructure, and systems to support data products and solutions using technologies such as AWS, Python, Databricks, Spark, and SQL databases like PostgreSQL
* Work with cross\-functional teams to translate business problems into technical solutions and provide technical guidance and mentorship to junior data engineers
* Create and maintain optimal data pipeline architecture
* Assemble and process large, complex data sets that meet functional/non\-functional business requirements
* Identify, design and implement internal process improvements: automating manual processes, optimizing data delivery, re\-designing infrastructure for greater scalability
* Implement processes and systems to monitor data quality, ensuring production data is always available for key stakeholders
* Design data integrations and data quality frameworks
* Develop and implement data engineering strategies and best practices that align with business objectives and customer needs
* Monitor and troubleshoot data pipelines and systems to ensure data quality, integrity, and availability
* Conduct research on industry trends and best practices to improve data engineering capabilities and evaluate new data technologies and tools
* Manage the software development life cycle and DevOps aspects of the code
* Collaborate with data scientists and analysts to understand their data requirements and provide them with optimal data solutions
* Create new data validation methods and data analysis tools
**What Will Make You a Great Fit**
* Bachelor’s degree in computer science, information technology, or a related field
* A minimum of seven years of experience in data engineering or a similar role
* Expert\-level skills in Python, SQL databases such as PostgreSQL, and big data technologies such as Databricks and Spark
* Hands\-on experience building cloud resident data pipelines in AWS
* Expert of data warehousing and data lake design, development and sustainment
* Strong understanding of data governance, security, privacy, and retention policies and procedures
* Strong communication, collaboration, and problem\-solving skills
* Experience with mentoring junior data engineers is an asset
* High proficiency using agile software tools like Jira and following mature DevOps practices using GIT, Docker, and CI servers like Jenkins
* Passion for data and innovation
* Strong knowledge of data modeling, data architecture and data structures
* Expert understanding with Agile and DevOps, including CI/CD technologies and practices
**Preferred Qualifications**
* Demonstrated capacity to work autonomously and proactively, with a proven track record of achieving results without constant supervision
* Experience with ETL optimization, designing, coding, and tuning big data processes in Databricks
* Sound knowledge of data lineage and data quality techniques
* Experience in working with data science and machine\-learning models and frameworks
* Previous experience in the energy or utility industry in an analytic role
* Master’s degree in management information systems, computer programming, software engineering, data science, or an equivalent STEM field
**What You Can Expect**
* We offer excellent insurance packages, including medical, dental, and vision plans; company\-paid life insurance; company\-paid long\- and short\-term disability insurance; and medical and dependent\-care flexible spending plans
* We provide a flexible time off (FTO) program; E Source employees can take as many paid days off per year as they need, with manager approval, while fulfilling their work obligations and ensuring proper coverage of their responsibilities.
* We offer flexible schedules, flexible work locations, and a paid parental leave benefit.
* We provide a 401(k)/RRSP plan with a 3% employer match.
 The budgeted salary for this position is
**$120,000 \- $145,000 USD \+ annual bonus.**
 Actual pay will be adjusted based on experience.
 This role will be 100% remote with infrequent travel.
 Applicants must be authorized to work for any employer in the US. We’re unable to sponsor or take over sponsorship of employment visas at this time.
 All qualified applicants will receive consideration for employment without regard to race, color, religion, sex, sexual orientation, gender identity, national origin, disability, or status as a protected veteran.
 Employees of E Source are encouraged to apply. To foster a positive work environment and company culture, we support our employees in their career growth at E Source. Employees who are interested in similar job opportunities in the future should visit the E Source careers page for a listing of all open positions and contact Human Resources to express interest.
**We contact applicants directly via email using only our designated company email addresses with the domain of @esource.com. Please do not provide personal information to anyone over email and be wary of other accounts impersonating businesses.**</t>
        </is>
      </c>
    </row>
    <row r="95">
      <c r="A95" t="inlineStr">
        <is>
          <t>li-4354329168</t>
        </is>
      </c>
      <c r="B95" t="inlineStr">
        <is>
          <t>Data Engineer</t>
        </is>
      </c>
      <c r="C95" t="inlineStr">
        <is>
          <t>NBCUniversal</t>
        </is>
      </c>
      <c r="D95" t="inlineStr">
        <is>
          <t>linkedin</t>
        </is>
      </c>
      <c r="E95">
        <f>HYPERLINK("https://www.linkedin.com/jobs/view/4354329168", "https://www.linkedin.com/jobs/view/4354329168")</f>
        <v/>
      </c>
      <c r="F95" t="inlineStr"/>
      <c r="G95" t="inlineStr">
        <is>
          <t>New York, NY</t>
        </is>
      </c>
      <c r="H95" t="inlineStr"/>
      <c r="I95" t="inlineStr">
        <is>
          <t>NBCUniversal is one of the world's leading media and entertainment companies.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Comcast NBCUniversal has announced its intent to create a new publicly traded company ('Versant') comprised of most of NBCUniversal's cable television networks, including USA Network, CNBC, MSNBC, Oxygen, E!, SYFY and Golf Channel along with complementary digital assets Fandango, Rotten Tomatoes, GolfNow, GolfPass, and SportsEngine. The well\-capitalized company will have significant scale as a pure\-play set of assets anchored by leading news, sports and entertainment content. The spin\-off is expected to be completed during 2025\.
**Job Description**
 Our Media Group portfolio is a powerhouse collection of consumer\-first brands, supported by media industry leaders, Comcast, NBCUniversal, and Sky. When you join our team, you’ll work across our dynamic portfolio including Peacock, NOW, Fandango, SkyShowtime, Showmax, and TV Everywhere, powering streaming across more than 70 countries globally. And the evolution doesn’t stop there. With an unequaled scale, our teams make the most out of every opportunity to collaborate and learn from one another. We’re always looking for ways to innovate faster, accelerate our growth, and consistently offer the very best in the consumer experience. But most of all, we’re backed by a culture of respect. We embrace authenticity and inspire people to thrive.
 As part of the Media Group Decision Sciences team, the Data Engineer will be responsible for creating a connected data ecosystem that unleashes the power of our streaming data with a focus on international propositions. We gather data from across all customer/prospect journeys in near real\-time, to allow fast feedback loops across territories; combined with our strategic data platform, this data ecosystem is at the core of being able to make intelligent customer and business decisions.
 In this role, the Data Engineer will share responsibilities in the development and maintenance of optimized and highly available data pipelines that facilitate deeper analysis and reporting by the business, as well as support ongoing operations related to the Media Group data ecosystem.
**Responsibilities include, but are not limited to:**
* Develop and maintain batch and streaming data pipelines according to business and technical requirements.
* Deliver observable, reliable and secure software, embracing “you build it, you run it” mentality, and focus on automation.
* Continually work on improving the codebase and have active participation in all aspects of the team, including agile ceremonies.
* Take an active role in story definition, assisting business stakeholders with acceptance criteria.
* Work with Principal Engineers and Architects to share and contribute to the broader technical vision.
* Practice and champion best practices, striving towards excellence and raising the bar within the department.
* Operationalize data processing systems (DevOps) and system observability (SRE)
**Qualifications**
**Qualifications**
* 1\+ years relevant experience in Data Engineering
* Experience of near Real Time \&amp; Batch Data Pipeline development in a similar Big Data Engineering role.
* Programming skills with an OOP language (e.g., Java, C\+\+)
* Proficient with SQL
* Experience working in a cloud environment such as Google Cloud Platform or AWS
* Hands on programming experience of the following (or similar) technologies:
	+ Kubernetes, Docker
	+ Apache Beam, Apache Flink, Apache Spark
	+ Google BigQuery, Snowflake
	+ Google BigTable
	+ Google Pub/Sub, Kafka
	+ Apache Airflow
* Experience implementing observability around data pipelines using SRE best practices.
* Experience in processing structured and unstructured data into a form suitable for analysis and reporting with integration with a variety of data metric providers ranging from advertising, web analytics, and consumer devices.
* Bachelors’ degree with a specialization in Computer Science, Engineering, Physics, other quantitative field or equivalent industry experience.
**Desired Characteristics**
* Strong Test\-Driven Development background, with understanding of levels of testing required to continuously deliver value to production.
* Experience with large\-scale video assets
* Ability to work effectively across functions, disciplines, and levels
* Team\-oriented and collaborative approach with a demonstrated aptitude, enthusiasm and willingness to learn new methods, tools, practices, and skills
* Ability to recognize discordant views and take part in constructive dialogue to resolve them
* Pride and ownership in your work and confident representation of your team to other parts of the business
**Additional Requirements**
* Hybrid: This position has been designated as hybrid, which currently requires contributing from the office a minimum of three days per week. Beginning January 5, 2026, hybrid employees will be required to work from the office a minimum of four days per week. The Company reserves the right to change in\-office requirements at any time.
*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$100,000 \- $135,000\.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96">
      <c r="A96" t="inlineStr">
        <is>
          <t>li-4330490041</t>
        </is>
      </c>
      <c r="B96" t="inlineStr">
        <is>
          <t>Data Engineer</t>
        </is>
      </c>
      <c r="C96" t="inlineStr">
        <is>
          <t>RemoteHunter</t>
        </is>
      </c>
      <c r="D96" t="inlineStr">
        <is>
          <t>linkedin</t>
        </is>
      </c>
      <c r="E96">
        <f>HYPERLINK("https://www.linkedin.com/jobs/view/4330490041", "https://www.linkedin.com/jobs/view/4330490041")</f>
        <v/>
      </c>
      <c r="F96" t="inlineStr"/>
      <c r="G96" t="inlineStr"/>
      <c r="H96" t="inlineStr"/>
      <c r="I96" t="inlineStr">
        <is>
          <t>About the Opportunity:
 This team is hiring a junior to mid\-level Data Engineer fluent in SQL and Python to build, debug, and maintain production data pipelines and system integrations. The role involves owning these pipelines end to end, partnering with the Business Intelligence team to deliver reliable data, actionable insights, and process automation across the business. The position requires comfort reading, understanding, and improving existing systems, not just building greenfield solutions. The technology stack includes SQL Server, Snowflake, Fivetran, and Python with an emphasis on the Pandas library. Experience with these exact tools is not required, but a solid foundation in SQL and Python is essential.
 Responsibilities:
 • Build and maintain ETL pipelines that ingest and validate source\-system data with minimal transformation.
 • Design and implement SQL transformation layers to create analyst\-ready data models.
 • Build and maintain data integrations via inbound and outbound APIs.
 • Troubleshoot data failures across the entire data pipeline independently.
 • Automate manual processes to improve data delivery and reliability.
 • Create clear documentation for ETL processes, object usage, and data models.
 • Test and validate code changes.
 Requirements:
 • Strong SQL skills to simplify complex logic and messy data into consistent models.
 • Practical experience with Python; familiarity with Pandas is beneficial.
 • Experience integrating external systems using inbound and outbound APIs.
 • Understanding of logging, error handling, and control flow in production data pipelines.
 • Solid knowledge of data architecture and modeling (normalized/denormalized, star/snowflake schemas).
 • Experience using version control with a team, preferably Git.
 • Excellent analytical thinking, problem solving, and communication skills.
 • Ability to work independently, manage priorities, and deliver in a rapidly changing environment.
 • Bachelor’s degree in Computer Science or equivalent experience; non\-traditional candidates encouraged to share relevant projects.
 • Experience maintaining data pipelines and integrations in SQL Server, Snowflake, or similar environments.
 • Experience supporting data ingestion from enterprise systems such as Workday, ERP, or HR platforms.
 • Experience with BI or reporting platforms; strong fundamentals valued over specific tool experience.
 • Relevant certifications are a plus but not required.
 Benefits \&amp; Perks:
 • Remote role based in the U.S. with working hours aligned to Eastern Time.
 • Candidates in Central Time are welcome if able to work an Eastern Time schedule.
 • Strong preference for candidates based in North Carolina.
 Compensation:
 • Determined by experience, skills, and role fit.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7">
      <c r="A97" t="inlineStr">
        <is>
          <t>li-4351345173</t>
        </is>
      </c>
      <c r="B97" t="inlineStr">
        <is>
          <t>Data Engineer</t>
        </is>
      </c>
      <c r="C97" t="inlineStr">
        <is>
          <t>Ignite Digital Services</t>
        </is>
      </c>
      <c r="D97" t="inlineStr">
        <is>
          <t>linkedin</t>
        </is>
      </c>
      <c r="E97">
        <f>HYPERLINK("https://www.linkedin.com/jobs/view/4351345173", "https://www.linkedin.com/jobs/view/4351345173")</f>
        <v/>
      </c>
      <c r="F97" t="inlineStr"/>
      <c r="G97" t="inlineStr">
        <is>
          <t>Charleston, South Carolina Metropolitan Area</t>
        </is>
      </c>
      <c r="H97" t="inlineStr"/>
      <c r="I97" t="inlineStr">
        <is>
          <t>Are you searching for an opportunity to take your career to the next level? Ignite Digital Services is a fast\-growing digital transformation company serving the national security sector. Our small business applies data science, program management and technical domain expertise to help clients implement data\-driven approaches that maximize operational efficiencies.
 We’ve redefined what it means to be a leader in our industry by creating and maintaining effective and rewarding working relationships with our clients, partners and internal team members. Our company culture is built upon a team\-based approach, which offers continuous opportunities for personal growth and innovation, while providing unmatched value to our clients.
**Perks Of Working At Ignite Digital Services**
* Competitive pay and benefits, including PTO
* Education stipends and referral bonuses
* Compelling work with the U.S. federal government
* Strong emphasis on volunteer and community engagement
* Opportunity to shape the future of our industry
* Supportive colleagues and management who invest in your growth
 We are seeking a detail\-oriented and innovative Data Engineer with a strong foundation in data governance and strategy. This mid\-level role is responsible for building and optimizing data pipelines, supporting enterprise data architecture, and ensuring enterprise data assets are governed, secured, and leveraged strategically to support mission objectives and decision\-making. The ideal candidate will have experience integrating data governance principles into data engineering workflows.
**Responsibilities**
* Design, build, and maintain efficient and scalable data pipelines to support analytics and business intelligence
* Ensure data quality, security, and compliance by integrating governance policies into engineering processes
* Support metadata and master data management initiatives through technical implementation and automation
* Collaborate with data governance, strategy, and business teams to define data standards and implement controls
* Maintain documentation of data architecture, lineage, and transformation logic
* Develop and optimize data models for data warehouse and lakehouse environments
* Monitor and troubleshoot data pipelines, ensuring availability and performance
* Participate in data governance forums and working groups as a technical liaison
* Support the implementation of data cataloging, orchestration, and lineage tools (e.g., Collibra, Alation, Informatica, Apache NiFi, Kafka, Airflow).
* Collaborate with cybersecurity and infrastructure teams to ensure secure data flow across classification domains
**Required Qualifications**
* Bachelor’s degree in Computer Science, Engineering, Information Systems, or a related field
* 3 to 7\+ years of experience as a data engineer with exposure to data governance principles
* Strong programming skills in Python, SQL, and/or Scala
* Familiarity with cloud platforms (e.g., AWS, Azure, GCP); modern data services (e.g., Redshift, BigQuery, Snowflake); and automation or event streaming tools (e.g., Apache NiFi, Kafka)
* Understanding of data governance frameworks and metadata management practices
* Experience implementing data security, encryption, and access control aligned with DoD or FedRAMP compliance requirements
* Excellent communication skills and ability to work cross\-functionally
**Desired Qualifications**
* Experience with data cataloging and governance tools (e.g., Collibra, Informatica, Alation)
* Knowledge of DoD or federal data regulations and compliance requirements
* Familiarity with Agile or DevOps methodologies in a data engineering context
* Relevant certifications in cloud data engineering or data governance (e.g., AWS Data Analytics, CDMP)
 Salary: 120k\+ to align with education and experience
 Schedule: Hybrid 2\-3 days a week onsite in Charleston, SC
 Travel: This position may require up to 20% travel for on\-site data integration, system setup, training sessions, and troubleshooting tasks
 Applicants selected will be subject to a government security investigation and must meet eligibility requirements for access to classified information.
 Ignite Digital Services is a Small Business committed to providing exceptional service to government agencies at competitive prices. The capabilities and experience of our staff and our extensive industry relationships distinguish Ignite Digital Services among government contractors.
 Equal Opportunity Employer/Veterans/Disabled
 For individuals who would like to request an accommodation, please visit https://bit.ly/2XqZoLM (CA) or https://bit.ly/3Eo922f (SC) or contact Human Resources. Ignite Digital Services will not make any posting or employment decision that does not comply with applicable laws relating to labor and employment, equal employment opportunity, employment eligibility requirements or related matters. Nor will Ignite Digital Services require, in a posting or otherwise, U.S. citizenship or lawful permanent residency in the U.S. as a condition of employment except as necessary to comply with law, regulation, executive order, or federal, state, or local government contract.
**OFCCP'S Pay Transparency Rule**
**EEO is the Law Poster**</t>
        </is>
      </c>
    </row>
    <row r="98">
      <c r="A98" t="inlineStr">
        <is>
          <t>li-4354536192</t>
        </is>
      </c>
      <c r="B98" t="inlineStr">
        <is>
          <t>Data Engineer</t>
        </is>
      </c>
      <c r="C98" t="inlineStr">
        <is>
          <t>TalentAlly</t>
        </is>
      </c>
      <c r="D98" t="inlineStr">
        <is>
          <t>linkedin</t>
        </is>
      </c>
      <c r="E98">
        <f>HYPERLINK("https://www.linkedin.com/jobs/view/4354536192", "https://www.linkedin.com/jobs/view/4354536192")</f>
        <v/>
      </c>
      <c r="F98">
        <f>HYPERLINK("https://talentally.com/job/senior-data-engineer-bi/redirect&amp;urlHash=MkPj", "https://talentally.com/job/senior-data-engineer-bi/redirect&amp;urlHash=MkPj")</f>
        <v/>
      </c>
      <c r="G98" t="inlineStr"/>
      <c r="H98" t="inlineStr"/>
      <c r="I98" t="inlineStr">
        <is>
          <t>Design and deliver scalable OLTP, Business Intelligence, and Data Warehouse solutions using Microsoft Fabric, SSIS, SQL Server, and related BI technologies. Develop and maintain enterprise reports, support requirements gathering, evaluate and recommend technical approaches, and implement solutions within established timelines.
 This position is hybrid.
 NYC Salary range: $105,000 \- $130,000 annually; compensation is commensurate to geographic location.
* Regardless of seniority or role, uphold UNFCU's mission, core values, and guiding principles by providing an exceptional service experience to colleagues and members alike through consistent demonstration of our service excellence behaviors.
* Develop and maintain ETL/ELT processes using SSIS, Fabric Pipelines, and/or Azure Data Factory, including advanced Script Tasks (C\# or VB.NET) to automate file operations and apply custom business logic.
* Develop and implement solutions in Microsoft PowerBI and Microsoft Fabric, including Lakehouse/Warehouse modeling, Dataflows Gen2, Pipelines, and Semantic Models; support the modernization of existing ETL and reporting assets into Fabric and Azure cloud\-based frameworks.
* Design, develop, and optimize complex T\-SQL stored procedures, functions, and database objects for high\-volume OLTP and Data Warehouse environments, with expertise in transaction isolation levels, table hints, deadlocks, linked servers, OPENQUERY, triggers, and column\-level encryption.
* Perform advanced database performance tuning, including execution plan analysis, indexing strategies, partitioning, and transaction optimization.
* Contribute to the design and enhancement of OLTP and OLAP data models, ensuring alignment with business, analytical, and performance requirements.
* Build and support integrations that consume or expose REST APIs, including testing, validation, and troubleshooting using Postman and related API tools.
* Create and govern dashboards and visual analytics in Power BI or Tableau, ensuring accuracy, compliance with governance standards, and proper alignment with semantic models.
* Verify and maintain data quality and integrity across the data warehouse, semantic models, dashboards, reports, and data extracts.
* Troubleshoot and resolve database, ETL, reporting, data quality, performance, capacity, replication, and distributed data issues; participate in incident resolution and root\-cause remediation.
* Maintain thorough documentation, adhere to change control processes, and support regulatory, cybersecurity, and data protection compliance.
* Collaborate with Product Managers, Analysts, Engineers, and cross\-functional teams to enhance BI and data platform capabilities.
* Stay current with industry trends and participate in relevant training, conferences, and professional development programs. Participate in Credit Union training and development programs.
* Perform additional responsibilities as assigned.
* Ensure compliance with federal and state laws and regulations and UNFCU's Code of Ethics \&amp; Business Conduct.
* Bachelor's degree in Engineering or Computer Science
* 6 years of experience in reports and data warehouse development
* 5 years software development experience on Microsoft BI Platform including, , MS SQL Server
* 4 years of experience in DB Development (OLTP) using MS SQL
* 2 years of experience in building Data Marts using dimensional models
* 2 years of experience in building Dashboards and KPI visualization on Power BI and/or Tableau
* Strong reporting and data warehouse development skills on issues that are complex and evaluative in nature where troubleshooting may call for referencing an advanced knowledge base
* Large data migration experience
* Hands on experience using Oracle
 PDN\-a0ae108d\-47d9\-408a\-aa5e\-854a50922e4b</t>
        </is>
      </c>
    </row>
    <row r="99">
      <c r="A99" t="inlineStr">
        <is>
          <t>li-4330400650</t>
        </is>
      </c>
      <c r="B99" t="inlineStr">
        <is>
          <t>Data Engineer II</t>
        </is>
      </c>
      <c r="C99" t="inlineStr">
        <is>
          <t>The Standard</t>
        </is>
      </c>
      <c r="D99" t="inlineStr">
        <is>
          <t>linkedin</t>
        </is>
      </c>
      <c r="E99">
        <f>HYPERLINK("https://www.linkedin.com/jobs/view/4330400650", "https://www.linkedin.com/jobs/view/4330400650")</f>
        <v/>
      </c>
      <c r="F99">
        <f>HYPERLINK("https://standard.wd1.myworkdayjobs.com/Search/job/Portland-OR/Data-Engineer-II_REQ006225?source=LinkedIn&amp;urlHash=yg-R", "https://standard.wd1.myworkdayjobs.com/Search/job/Portland-OR/Data-Engineer-II_REQ006225?source=LinkedIn&amp;urlHash=yg-R")</f>
        <v/>
      </c>
      <c r="G99" t="inlineStr"/>
      <c r="H99" t="inlineStr"/>
      <c r="I99" t="inlineStr">
        <is>
          <t>**The next part of your journey is right around the corner — with The Standard.**
 A genuine desire to make a difference in the lives of others is the foundation for everything we do. With a customer\-first mindset and an intentional focus on building strong teams, we’ve been able to uphold our legacy of financial stability while investing in new, innovative technologies that support the needs of our customers. Our high\-performance culture focused on operational excellence thrives thanks to remarkable people united by compassion and a customer\-first commitment. Are you ready to make a difference?
**Job Summary**
 This role is responsible for designing, developing, and optimizing data solutions that support business applications and analytics. The Data Engineer will model relational and non‑relational data structures, build and tune database code, develop ETL pipelines, and support data services across modern technology stacks. The position blends database engineering, data integration, analytics, and general software engineering to enable scalable, secure, and high‑quality data environments. Success in this role requires strong systems thinking, the ability to work across multiple technologies, and comfort operating in collaborative, multi‑vendor environments.
**Key Responsibilities**
* Design and communicate conceptual, logical, and physical data models for transactional and analytical systems.
* Develop and optimize SQL, PL/SQL, and NoSQL queries and database code.
* Build and maintain ETL pipelines using tools such as SSIS or DataStage.
* Support data services using REST/SOAP and Java‑based middleware.
* Monitor, tune, and optimize large‑scale SQL Server and Oracle environments.
* Ability to work effectively in a multi‑vendor, offshore delivery model is a requirement of the role. \*
**Skills And Background You’ll Need**
**Must‑Have**
* Minimum 2 years of experience in data engineering, database development, or related field.
* Hands‑on experience with SQL Server or Oracle, including performance tuning and query optimization.
* Experience developing ETL processes using SSIS, DataStage, or similar tools.
* Strong understanding of data modeling concepts for transactional and analytical systems.
* Ability to work effectively in a multi‑vendor, offshore delivery model.
**Preferred**
* Experience with NoSQL platforms (e.g., MongoDB, Cassandra, DynamoDB).
* Familiarity with Hadoop/Spark or other big‑data technologies.
* Exposure to semantic modeling and analytics tools such as SSAS.
* Knowledge of Java middleware (e.g., JBoss) and modern JavaScript frameworks (e.g., AngularJS, Backbone.js, Ember.js).
* Understanding of data quality, data security, and encryption best practices.
**Education**
* B.Sc. in Software Engineering, Computer Science, Information Systems, or equivalent experience.
**Key Behaviors of a Successful Candidate**
* Systems Thinking: Connects data, processes, and technology components to understand end‑to‑end impacts and opportunities.
* Collaboration: Works effectively within cross‑functional, multi‑vendor teams and contributes to shared outcomes.
* Adaptability: Adjusts quickly to changing priorities, technologies, and business needs while maintaining high‑quality output.
**Why Join The Standard?**
 We have built an enduring legacy of stability, financial strength and exceptional customer service through the contributions of the service\-oriented people who choose to work at The Standard. To ensure we can attract and retain the best talent, when you join The Standard you can expect:
* A rich benefits package including medical, dental, vision and a 401(k) plan with matching company contributions
* An annual incentive bonus plan
* Generous paid time off including 11 holidays, 2 wellness days, and 8 volunteer hours annually — PTO increases with tenure
* A supportive, responsive management approach and opportunities for career growth and advancement
* Paid parental leave and adoption/surrogacy assistance
* An employee giving program that double matches your donations to eligible nonprofits and schools
 In addition to the competitive salary range below, our employee\-focused benefits support work\-life balance. Learn more about
 *working at The Standard.*
* Eligibility to participate in an incentive program is subject to the rules governing the program and plan. Any award depends on a variety of factors including individual and organizational performance.
 The actual compensation for this role will be based on a combination of education and experience, knowledge and skills, position budget, internal equity, and market data.
 Salary Range:
 $82,250\.00 \- $140,250\.00
 Positions will be posted for at least 5 days from original posting date.
 Standard Insurance Company, The Standard Life Insurance Company of New York, Standard Retirement Services, Inc., StanCorp Mortgage Investors, LLC, StanCorp Investment Advisers, Inc., and American Heritage Life Insurance Company and American Heritage Service Company, marketed as The Standard, are Affirmative Action/Equal Opportunity employers. All qualified applicants will receive consideration for employment without regard to race, religion, color, sex, national origin, gender identity, sexual orientation, age, disability or veteran status or any other condition protected by federal, state or local law. Except where precluded by state or federal law, The Standard will consider for employment qualified applicants with arrest and conviction records pursuant to the San Francisco Fair Chance Ordinance. The Standard offers a drug\- and alcohol\-free work environment where possession, manufacture, transfer, offer, use of or being impaired by an illegal substance while on The Standard's property, or in other cases which the company believes might affect operations, safety or reputation of the company is prohibited. The Standard requires a criminal background investigation and employment, education and licensing verification as a condition of employment. After any conditional offer of employment is made, the background check will include an individualized assessment based on the applicant’s specific record and the duties and requirements of the specific job. Applicants will be provided an opportunity to explain and correct background information. All employees of The Standard must be bondable.</t>
        </is>
      </c>
    </row>
    <row r="100">
      <c r="A100" t="inlineStr">
        <is>
          <t>li-4354680773</t>
        </is>
      </c>
      <c r="B100" t="inlineStr">
        <is>
          <t>Data Engineer</t>
        </is>
      </c>
      <c r="C100" t="inlineStr">
        <is>
          <t>Jellyvision</t>
        </is>
      </c>
      <c r="D100" t="inlineStr">
        <is>
          <t>linkedin</t>
        </is>
      </c>
      <c r="E100">
        <f>HYPERLINK("https://www.linkedin.com/jobs/view/4354680773", "https://www.linkedin.com/jobs/view/4354680773")</f>
        <v/>
      </c>
      <c r="F100" t="inlineStr"/>
      <c r="G100" t="inlineStr">
        <is>
          <t>Chicago, IL</t>
        </is>
      </c>
      <c r="H100" t="inlineStr"/>
      <c r="I100" t="inlineStr">
        <is>
          <t>**Data Engineer I**
**Who we are**
 Jellyvision ALEX®, is on a mission to improve lives by helping people choose and use their benefits. We are raising the bar—for benefits and the employee experience (for our employees and those of the customers we serve) – by scaling personalization, compassion and an earnest intent to be helpful in all that we do.
 Jellyvision people are a group of creative problem solvers who use good judgment, give each other honest feedback, engage in real debate, and snack frequently. We are curious, hungry, and humble—because we know this is how we'll continue to make an impact. We're kind, biased towards action, and sweat the details to create great experiences for those we serve.
 We are an inclusive, human\-first workplace. Respect and trust for each other are foundational, and our equitable total rewards offerings support the lives and holistic well\-being of our unique people. At Jellyvision, expect career experiences that challenge you, empower you to have a direct impact on our mission, and enable you to learn, try, and do while having fun along the way.
**What's the role?**
 As a Data Engineer I, you'll help build and maintain the data infrastructure that enables our teams to personalize benefits for millions of users. This is an early\-career role focused on developing strong data engineering fundamentals \- building pipelines, designing storage structures, and modeling data that power products, client analytics, and strategic decisions. You'll work closely with the rest of our data team to deliver reliable, well\-structured data across the organization.
**What you'll do to be successful**
* Build and maintain data pipelines and storage
* Build, test, and deploy Airflow DAGs in MWAA following team standards
* Write clean, production\-ready Parquet files using PyArrow or Spark with proper compression and partitioning
* Implement ETL/ELT pipelines from source → landing → transformed layers
* Help maintain S3 storage structures following existing partitioning, lifecycle, and access policies
* Assist with dimensional modeling—turn normalized data into star\-schema facts and dimensions under senior guidance
* Implement basic data quality checks using Python
* Troubleshoot failing DAGs, rerun backfills, and respond to alerts
* Participate in on\-call support rotation
* Update and maintain pipeline documentation
***KPIs:** 
 pipeline reliability, on\-time deliver, code quality*
* Learn, collaborate, and help grow our data platform
* Participate in code reviews to learn best practices and improve code quality
* Partner with Senior Data Engineers and Analytics Engineers on architecture alignment
* Work with analytics and product teams to understand and deliver data requirements
* Document troubleshooting procedures and platform patterns
* Contribute to sprint planning and technical discussions
***KPIs:** 
 documentation quality, responsiveness to feedback, stakeholder satisfaction*
**Experience \&amp; skills you'll need**
**Required:**
* 2\+ years of practical experience (professional, internship, and bootcamps count)
* Solid Python and working SQL proficiency
* Familiarity with cloud platforms (AWS/GCP/Azure) and modern data tooling (e.g Airflow, dbt, Spark, Snowflake, Databricks, Redshift)
* Understanding of data modeling concepts (e.g., star schema, normalization) and ETL/ELTdesign practices
* Experience reading/writing Parquet
* Ability to write and run basic Airflow DAGs
* Docker fundamentals
* Git fundamentals, agile development and CI/CD practices
* Demonstrated curiosity
* Genuine tinkerer energy: you've built personal data projects for fun, tried random tools (Polars, DuckDB, Ollama, local LLMs, MotherDuck, etc.), and probably have a messy but awesome docker\-compose.yml on your machine
**Nice to Have:**
* Experience with AI coding assistants
* Exposure to AI tools (MCP servers, Ollama, local LLMs)
* Knowledge of Delta Lake or Snowflake clustering
* Basic Terraform experience
* Simple data\-quality tooling
**The Details**
* **Location** 
 : Remote, Chicago\-based preferred for occasional in\-office days.
* **Starting Salary:** 
 $95,000 \- $110,000
**What Jellyvision will give** 
***you***
**Check out our benefits here!**
 Jellyvision is committed to continuous evolution and fostering a more diverse and inclusive workplace where everyone is welcomed, valued, and respected. It doesn't matter your race, ethnicity, religion, age, disability, sexual orientation, gender, gender identity/expression, country of origin, genetic information, veteran status, marital status, pregnancy or related condition (including breastfeeding), criminal histories consistent with legal requirements or any other basis protected by law...we just want amazing people who are willing to grow along with us.
 Although we have a Chicago\-based HQ that employees are welcome to work out of whether they're local or just visiting, this position is also eligible for work by a remote employee out of CA, CO, FL, GA, IL, IN, KY, MI, MN, NC, NY, OH, OR, PA, SC, TN, TX, UT, VA, WA or WI.</t>
        </is>
      </c>
    </row>
    <row r="101">
      <c r="A101" t="inlineStr">
        <is>
          <t>li-4351206489</t>
        </is>
      </c>
      <c r="B101" t="inlineStr">
        <is>
          <t>Senior Data Engineer</t>
        </is>
      </c>
      <c r="C101" t="inlineStr">
        <is>
          <t>MA CAPITAL U.S. LLC</t>
        </is>
      </c>
      <c r="D101" t="inlineStr">
        <is>
          <t>linkedin</t>
        </is>
      </c>
      <c r="E101">
        <f>HYPERLINK("https://www.linkedin.com/jobs/view/4351206489", "https://www.linkedin.com/jobs/view/4351206489")</f>
        <v/>
      </c>
      <c r="F101" t="inlineStr"/>
      <c r="G101" t="inlineStr">
        <is>
          <t>Chicago, IL</t>
        </is>
      </c>
      <c r="H101" t="inlineStr"/>
      <c r="I101" t="inlineStr">
        <is>
          <t>**Who We Are** 
 MA Capital US LLC is a proprietary trading firm specializing in systematic and high\-performing discretionary strategies across multiple asset classes. We leverage advanced technology, quantitative research, and sophisticated models to capitalize on opportunities in global markets. Our culture is built on innovation, efficiency, and transparency. We are committed to providing liquidity and supporting fair, efficient markets, while ensuring our traders and professionals have flexibility, tools, and continuous learning opportunities to succeed.
**Position Overview** 
 We’re seeking a
 **Senior Data Engineer** 
 who will play a key role in building and maintaining the infrastructure that powers our trading strategies. In this role, you’ll design
 **high\-performance** 
 data pipelines, develop
 **scalable ETL processes,** 
 and implement storage solutions for large, complex financial datasets. You’ll work closely with traders, quants, and technologists to ensure reliable, real\-time data is available across the firm.
 MA Capital employs individuals with a passion for innovation and solving hard problems. If you are looking for a firm where you can make your mark or take a strategy to the next level, MA Capital is your home.
**Key Responsibilities** 
* **Data Pipelines:** 
 Build and maintain high\-performance pipelines for market data, trade data, and analytics.
* **ETL Development:** 
 Develop reliable and scalable ETL processes for both structured and unstructured datasets.
* **Data Storage:** 
 Implement optimized storage solutions, including time\-series databases and distributed file systems, for large\-scale financial datasets.
**Required Qualifications** 
* **Programming \&amp; Databases:** 
 Proficiency in Python and SQL with strong knowledge of database technologies.
* **Distributed Systems:** 
 Experience working with distributed systems for large\-scale data processing.
* **Cloud \&amp; Infrastructure:** 
 Hands\-on experience with cloud platforms (AWS, GCP, Azure) and containerization tools (Docker, Kubernetes).
* **Scaling Heavy Workloads:** 
 HPC, Ray, Slurm
**Why join us?** 
* **Professional Development** 
 : Opportunities to grow cutting\-edge technology and infrastructure to advance your career.
* **Flexible Working Options:** 
 Hybrid schedule and ability to work from any of our offices in Chicago / New York.
* **Startup Environment** 
 : Agile and entrepreneurial setup, allowing for flexibility and rapid decision\-making.
* **Efficient Infrastructure:** 
 Proprietary platform for systematic trading with plug\-and\-play access to major global exchanges. Built for ultra\-low latency and fast execution in HFT environments.
* **Comprehensive Health Coverage:** 
 Includes medical, dental, and vision insurance.
* **401(k) Retirement Plan** 
 : Helping you and your family plan for a secure financial future.</t>
        </is>
      </c>
    </row>
    <row r="102">
      <c r="A102" t="inlineStr">
        <is>
          <t>li-4354613550</t>
        </is>
      </c>
      <c r="B102" t="inlineStr">
        <is>
          <t>Data Engineer III</t>
        </is>
      </c>
      <c r="C102" t="inlineStr">
        <is>
          <t>TalentAlly</t>
        </is>
      </c>
      <c r="D102" t="inlineStr">
        <is>
          <t>linkedin</t>
        </is>
      </c>
      <c r="E102">
        <f>HYPERLINK("https://www.linkedin.com/jobs/view/4354613550", "https://www.linkedin.com/jobs/view/4354613550")</f>
        <v/>
      </c>
      <c r="F102" t="inlineStr"/>
      <c r="G102" t="inlineStr">
        <is>
          <t>Johnston, RI</t>
        </is>
      </c>
      <c r="H102" t="inlineStr"/>
      <c r="I102" t="inlineStr">
        <is>
          <t>Established nearly two centuries ago, FM is a leading mutual insurance company whose capital, scientific research capability and engineering expertise are solely dedicated to property risk management and the resilience of its policyholder\-owners. These owners, who share the belief that the majority of property loss is preventable, represent many of the world's largest organizations, including one of every four Fortune 500 companies. They work with FM to better understand the hazards that can impact their business continuity to make cost\-effective risk management decisions, combining property loss prevention with insurance protection.
 Are you passionate about building robust data ecosystems that power advanced analytics and business insights? Join our dynamic team as a
 **Data Engineer III** 
 , where you'll design and implement cutting\-edge data pipelines, integrate diverse data sources, and ensure the highest standards of data quality, security, and compliance. This is your opportunity to work on impactful projects that shape the future of data\-driven decision\-making.
**What You'll Do** 
* **Architect \&amp; Innovate:** 
 Design and maintain scalable data pipelines and infrastructure for ingestion, integration, and storage of structured and unstructured data.
* **Enable Analytics:** 
 Deliver clean, reliable datasets for Business Intelligence, Advanced Analytics, and Data Science teams.
* **Optimize Performance:** 
 Implement modern practices using
 **Microsoft Fabric** 
 ,
 **SQL Server** 
 ,
 **SSIS** 
 ,
 **Power BI Premium** 
 , and big data frameworks like
 **Spark** 
 .
* **Ensure Quality:** 
 Validate solutions through rigorous testing and maintain data integrity across all systems.
* **Collaborate \&amp; Lead:** 
 Partner with Product Owners, Architects, Analysts, and Data Scientists on medium\-to\-large projects, and lead small\-to\-medium initiatives independently.
* **Drive Continuous Improvement:** 
 Automate processes, optimize data delivery, and redesign infrastructure for scalability.
**What We're Looking For** 
* Prefer 4 year/bachelor's degree or master's degree in computer science, Information Technology, Computer Engineering, or equivalent experience
* 5\+ years relatable work experience
* Ability to design and optimize SQL queries across cloud data warehouses, with strong proficiency in TSQL.
* Skilled in data orchestration and ETL tools such as Azure Data Factory or SSIS, and eager to adopt Fabric Data Factory (Pipelines \&amp; Dataflows Gen2\).
* Background in CI/CD and version control for data solutions (e.g., Git, deployment pipelines), with interest in DevOps practices for analytics platforms.
* Familiarity with modern data lake architectures, including Delta Lake and medallion design patterns.
* Knowledge of columnar storage formats and lakehouse technologies such as Delta Lake and Parquet for scalable data processing.
* Hands\-on work with big data frameworks like Apache Spark (PySpark or Scala) for batch workloads is helpful.
* Understanding BI and semantic modeling concepts, including star schema design and performance tuning is helpful.
 Compensation, Grade, and Job Title will be determined based on qualifications, experience, and technical skillset.
 Well qualified candidates may be considered for a data engineer IV.
 The position is eligible to participate in FM's comprehensive Total Rewards program that includes an incentive plan, generous health and well\-being programs, a 401(k) and pension plan, career development opportunities, tuition reimbursement, flexible work, paid time off allowances and much more.
 FM is an Equal Opportunity Employer and is committed to attracting, developing, and retaining a diverse workforce.
**\#LI\-TA1** 
 PDN\-a0bace42\-a9c9\-4dfb\-b90b\-cf7769c6aca8</t>
        </is>
      </c>
    </row>
    <row r="103">
      <c r="A103" t="inlineStr">
        <is>
          <t>li-4354348047</t>
        </is>
      </c>
      <c r="B103" t="inlineStr">
        <is>
          <t>Data Engineer</t>
        </is>
      </c>
      <c r="C103" t="inlineStr">
        <is>
          <t>Crunchbase</t>
        </is>
      </c>
      <c r="D103" t="inlineStr">
        <is>
          <t>linkedin</t>
        </is>
      </c>
      <c r="E103">
        <f>HYPERLINK("https://www.linkedin.com/jobs/view/4354348047", "https://www.linkedin.com/jobs/view/4354348047")</f>
        <v/>
      </c>
      <c r="F103" t="inlineStr"/>
      <c r="G103" t="inlineStr"/>
      <c r="H103" t="inlineStr"/>
      <c r="I103" t="inlineStr">
        <is>
          <t>**About The Company** 
 Crunchbase is a leading provider of intelligence on private companies, leveraging live private company data, artificial intelligence, and market activity insights from over 80 million users worldwide. Our platform offers predictive solutions that help investors, dealmakers, and analysts understand private market movements and make informed decisions. Committed to fostering a positive, diverse, and inclusive culture, Crunchbase values transparency, openness, and potential. We believe that embracing diverse perspectives, backgrounds, experiences, and skill sets enhances our teams and enriches our products. As a remote\-first organization, we prioritize flexibility, offering competitive pay, generous PTO policies, and comprehensive employee wellness benefits. Our commitment to innovation and inclusivity makes Crunchbase an ideal environment for professionals seeking growth and impact in the data\-driven space.
**About The Role** 
 We are seeking a highly skilled Staff Data Engineer to join our dynamic team. In this role, you will be responsible for designing, implementing, and maintaining scalable and efficient data systems that empower our teams to develop data\-driven products. You will work closely with cross\-functional teams, including engineering, product, and analytics, to build robust data architectures that support advanced analytics, machine learning, and generative AI workloads. Your expertise will guide architectural decisions, optimize data pipelines, and ensure data quality and governance standards are upheld. This position offers an exciting opportunity to lead complex initiatives, innovate with emerging technologies, and mentor other engineers in a collaborative environment dedicated to continuous learning and technical excellence.
**Qualifications** 
* Bachelor's or Master’s degree in Computer Science, Engineering, or a related field
* 6\+ years of experience in data engineering with a focus on scalable data solutions
* Proficiency in Python and SQL
* Extensive experience with data pipelines, ETL processes, and data warehousing
* Hands\-on experience developing end\-to\-end solutions in production environments
* Preferred: Experience with streaming data systems such as Kafka, and databases like Postgres, Elasticsearch, and Redis
* Proven leadership skills with the ability to mentor and guide team members
* Experience working with cloud platforms such as AWS, Azure, GCP, or Snowflake is advantageous
* Knowledge of containerization technologies like Docker and Kubernetes
* Experience with CI/CD practices and tools
* Familiarity with AI\-assisted development tools such as Codex is a plus
* Curiosity and comfort in leveraging AI tools responsibly to enhance productivity while maintaining data privacy and accuracy
**Responsibilities** 
* Design and evolve core components of the company's data platform, ensuring scalability and efficiency
* Lead complex data initiatives from conception to deployment, guiding architectural decisions
* Develop and optimize data structures and pipelines suited for analytics, machine learning, and AI workloads
* Collaborate with engineering, product, and analytics teams to facilitate seamless data integration and support decision\-making processes
* Continuously improve data storage, processing, and retrieval performance, proactively diagnosing and resolving bottlenecks
* Stay current with emerging data technologies and evaluate new tools and approaches to enhance the data ecosystem
* Implement and maintain data quality checks and contribute to strong governance standards for trustworthy data management
* Mentor and coach other engineers, fostering a culture of collaboration, technical excellence, and continuous learning
**Benefits** 
* Competitive compensation and equity packages that reward contributions and ownership
* Remote\-first work environment with flexibility to work from home within approved states
* Comprehensive health benefits including medical, dental, and vision coverage (PPO, HDHP, HMO options)
* Generous professional development reimbursement to support ongoing learning and skills growth
* 401(k) and Roth retirement plans with annual financial advisory sessions
* Wellness resources, including a monthly stipend to support physical and mental health
* Home office setup allowance and internet stipend to enable effective remote work
* Charitable giving match through community impact initiatives and Town Hall awards
* Engagement with a mission\-driven, transparent team of innovative thinkers and builders passionate about connecting and growing companies
 Equal Opportunity
 Crunchbase is committed to creating a diverse and inclusive environment. We do not discriminate on the basis of race, creed, color, ethnicity, national origin, religion, sex, sexual orientation, gender identity or expression, age, height, weight, veteran status, military obligations, or marital status.</t>
        </is>
      </c>
    </row>
    <row r="104">
      <c r="A104" t="inlineStr">
        <is>
          <t>li-4354397304</t>
        </is>
      </c>
      <c r="B104" t="inlineStr">
        <is>
          <t>Senior/Lead Data Engineer</t>
        </is>
      </c>
      <c r="C104" t="inlineStr">
        <is>
          <t>Wissen Technology</t>
        </is>
      </c>
      <c r="D104" t="inlineStr">
        <is>
          <t>linkedin</t>
        </is>
      </c>
      <c r="E104">
        <f>HYPERLINK("https://www.linkedin.com/jobs/view/4354397304", "https://www.linkedin.com/jobs/view/4354397304")</f>
        <v/>
      </c>
      <c r="F104" t="inlineStr"/>
      <c r="G104" t="inlineStr">
        <is>
          <t>Alpharetta, GA</t>
        </is>
      </c>
      <c r="H104" t="inlineStr"/>
      <c r="I104" t="inlineStr">
        <is>
          <t>About the job
 The Wissen team continues to expand its footprint in the USA, Canada, UK, Australia, and India. More openings to come as we continue to grow the team!
 Please read below for a brilliant career opportunity.
**Role: Senior/Lead Data Engineer** 
**Title: AVP/VP** 
**Location: Alpharetta, GA (Day 1 Onsite/Hybrid) – Fulltime** 
**Mode of Work: 3 days/week onsite required** 
**Required Experience: 6\- 12\+ years** 
 We are looking for an experienced
 **Data Engineer** 
 to design, build, and optimize scalable data pipelines and big\-data systems. The ideal candidate will have strong hands\-on skills in SQL, Python, and modern data engineering tools, with the ability to contribute to architecture, performance tuning, and advanced data governance depending on experience level.
**Key Responsibilities:** 
* Design, develop, and maintain
 **data pipelines** 
 for batch and real\-time processing.
* Work with distributed data processing tools such as
 **Spark** 
 and
 **Hive** 
 .
* Build and orchestrate workflows using
 **Airflow** 
 or equivalent orchestration tools.
* Ensure data quality, reliability, and performance across all systems.
* Optimize queries and pipelines for high performance and scalability.
* Contribute to
 **big data architecture design** 
 and implementation.
* Lead
 **performance tuning** 
 efforts for large\-scale data systems.
* Implement and support
 **data governance** 
 , security, and compliance practices.
* Explore and integrate
 **AI\-driven data processing** 
 methods where applicable.
* Collaborate with cross\-functional teams including analytics, BI, and data science.
**Mandatory Skills:** 
* Data pipeline development
* SQL
* Python
* Spark, Hive, Airflow
* Big Data architecture design
* Performance tuning for large\-scale systems
**Benefits:** 
* Healthcare insurance for you and your family (medical, dental, vision).
* Short / Long term disability insurance.
* Life Insurance.
* Accidental death \&amp; disability Insurance.
* 401K.
* 3 weeks of Paid Time Off.
* Support and fee coverage for immigration needs.
* Remote office set up stipend.
* Support for industry certifications.
* Additional cash incentives.
* Re\-skilling opportunities to transition between technologies.
**Schedule:** 
 Monday to Friday
**Work Mode:** 
 Hybrid
**Job Type:** 
 Full\-time
**We are:** 
 A high end technical consulting firm built and run by highly qualified technologists. Our workforce consists of 5000\+ highly skilled professionals, with leadership from Wharton, MIT, IITs, IIMs, and NITs and decades of experience at Goldman Sachs, Morgan Stanley, MSCI, Deutsche Bank, Credit Suisse, Verizon, British Telecom, ISRO etc. Without any external funding or investments, Wissen Technology has grown its revenues by 100% every other year since it started as a subsidiary of Wissen Group in 2015\. We have a global presence with offices in the US, India, UK, Australia, Mexico, and Canada.
**You are:** 
 A true tech or domain ninja. Or both. Comfortable working in a quickly growing profitable startup, have a “can do” attitude and are willing to take on any task thrown your way.
**You will:** 
* Develop and promote the company’s culture of engineering excellence.
* Define, develop and deliver solutions at a top tier investment bank or another esteemed client.
* Perform other duties as needed
**Your Education and Experience:** 
* We value candidates who can execute on our vision and help us build an industry\-leading organization.
* Graduate\-level degree in computer science, engineering, or related technical field
* Wissen embraces diversity and is an equal opportunity employer. We are committed to building a team that represents a variety of backgrounds, skills, and abilities. We believe that the more inclusive our team is, the better our work will be. All qualified applicants, including but not limited to LGBTQ\+, Minorities, Females, the Disabled, and Veterans, are encouraged to apply.
**About Wissen Technology:** 
 The Wissen Group was founded in the year 2000\. Wissen Technology, a part of Wissen Group, was established in the year 2015\. Wissen Technology is a specialized technology company that delivers high\-end consulting for diverse industries, including Banking, E\-commerce, Telecom, Healthcare, Manufacturing, and Energy. We help clients build world\-class products. We have offices in the US, India (Bangalore, Hyderabad, Chennai, Gurugram, Mumbai, Pune), UK, Australia, Mexico, Vietnam, and Canada.
 We empower businesses with a dynamic portfolio of services and accelerators tailored to today’s digital demands and based on future ready technology stack. Our services include Industry Leading Custom Software Development, AI\-Driven Software Engineering, Generative AI \&amp; Machine Learning, Real\-Time Data Analytics \&amp; Insights, Interactive Data Visualization \&amp; Decision Intelligence, Intelligent Process Automation, Multi\-Cloud \&amp; Hybrid Cloud Strategies, Cross\-Platform Mobile Experiences, CI/CD\-Powered Agile DevOps, Automated Quality Engineering, and cutting\-edge integrations.
 Certified as a Great Place to Work® for five consecutive years (2020\-2025\) and recognized as a Top 20 AI/ML vendor by CIO Insider, Wissen Group has delivered multimillion\-dollar projects for over 20 Fortune 500 companies. Wissen Technology delivers exceptional value on mission\-critical projects through thought leadership, ownership, and reliable, high\-quality, on\-time delivery.
 Our industry\-leading technical expertise stem from the talented professionals we attract. Committed to fostering their growth and providing top\-tier career opportunities, Wissen ensures an outstanding experience and value for our clients and employees.
**We Value:** 
* Perfection: Pursuit of excellence through continuous improvement.
* Curiosity: Fostering continuous learning and exploration.
* Respect: Valuing diversity and mutual respect.
* Integrity: Commitment to ethical conduct and transparency.
* Transparency: Open communication and trust.
**Website** 
 : www.wissen.com
**Glassdoor Reviews:** 
 https://www.glassdoor.com/Reviews/Wissen\-Reviews\-E2587444\.htm
**Wissen Thought leadership** 
 : https://www.wissen.com/articles/
**Latest in Wissen in CIO Insider:** 
 https://www.cioinsiderindia.com/vendor/wissen\-technology\-setting\-new\-benchmarks\-in\-technology\-consulting\-cid\-1064\.html
**Employee Speak:** 
 https://www.ambitionbox.com/overview/wissen\-technology\-overview
**LinkedIn** 
 : https://www.linkedin.com/company/wissen\-technology
**About Wissen Interview Process:** 
 https://www.wissen.com/blog/we\-work\-on\-highly\-complex\-technology\-projects\-here\-is\-how\-it\-changes\-whom\-we\-hire/
**Wissen: A Great Place to Work** 
 https://www.wissen.com/blog/wissen\-is\-a\-great\-place\-to\-work\-says\-the\-great\-place\-to\-work\-r\-institute\-india
 https://www.wissen.com/blog/here\-is\-what\-ownership\-and\-commitment\-mean\-to\-wissenites/
 Wissen \| Driving Digital Transformation
 A technology consultancy that drives digital innovation by connecting strategy and execution, helping global clients to strengthen their core technology.</t>
        </is>
      </c>
    </row>
    <row r="105">
      <c r="A105" t="inlineStr">
        <is>
          <t>li-4328160883</t>
        </is>
      </c>
      <c r="B105" t="inlineStr">
        <is>
          <t>Senior Data Engineer</t>
        </is>
      </c>
      <c r="C105" t="inlineStr">
        <is>
          <t>AngelList</t>
        </is>
      </c>
      <c r="D105" t="inlineStr">
        <is>
          <t>linkedin</t>
        </is>
      </c>
      <c r="E105">
        <f>HYPERLINK("https://www.linkedin.com/jobs/view/4328160883", "https://www.linkedin.com/jobs/view/4328160883")</f>
        <v/>
      </c>
      <c r="F105" t="inlineStr"/>
      <c r="G105" t="inlineStr"/>
      <c r="H105" t="inlineStr"/>
      <c r="I105" t="inlineStr">
        <is>
          <t>**About AngelList:** 
 We exist to accelerate innovation. We do this by giving more people the opportunity to participate in the venture economy by building the financial infrastructure that makes it possible for more people to invest in world\-changing startups. We also build tools for startup founders that help them run their operations, so they can focus on building their company.
 AngelList is the nexus of venture capital and the startup community. We support over $171B\+ assets on our platform, and we’ve driven capital to over 13,000 startups. 57% of top\-tier U.S. VC deals involve investors on AngelList.
 While our scale is large, our ambitions are even larger – we’re innovating on the infrastructure for venture and individual investors and the startups they invest in. Come build with us!
**About the Role:** 
 AngelList is hiring a Senior Data Engineer who is passionate about using their technical skills to democratize data, metrics, and insights for the team. Reporting to the Head of Data, you will play a pivotal role in designing, building, and maintaining scalable data pipelines – ensuring efficient data flow and integration to support analytical and operational efficiency. With a highly skilled and experienced Data Engineer, we can accelerate the development of reliable pipelines, improve data availability, and empower faster decision\-making across teams!
 If you're enthusiastic about working in a startup environment with large datasets, optimizing data systems, and enabling data\-driven decision\-making, we’d love to hear from you.
**Key Areas of Impact:** 
* Design, build, and maintain robust, scalable, and efficient ETL/ELT pipelines for structured and unstructured data.
* Implement best practices for data ingestion, transformation, and integration across multiple sources.
* Optimize and maintain data storage solutions (e.g. SQL/NoSQL databases, data lakes, warehouses) for performance and cost\-effectiveness.
* Collaborate with data analysts and business stakeholders to understand data requirements and deliver solutions that meet their needs.
* Contribute to the development and implementation of the organization’s data architecture and strategy.
* Continuously evaluate and integrate new technologies and tools for automated data quality validation and to improve data engineering processes overall.
* Maintain and improve robust monitoring and alerting mechanisms for data pipelines and systems.
**Ideal Candidate will Bring:** 
* 5\+ years of experience designing and implementing scalable data pipelines and infrastructure.
* Strong technical expertise in modern tools and frameworks, including cloud platforms (we're built on AWS), distributed systems, and advanced SQL.
* Proficiency in programming languages (such as Ruby or Python) – you don't need to be a software engineer, but should understand our codebase.
* Hands\-on experience with data warehousing solutions like Snowflake or Redshift and orchestration tools like Airflow or dbt. (We're migrating from Redshift to Snowflake.)
* A strong sense of ownership and accountability, with a track record of proactively improving systems for performance, reliability, and cost while addressing complex technical challenges.
* Excels at cross\-functional collaboration, aligning technical solutions with business goals and delivering measurable improvements to data workflows and decision\-making.
* Curiosity and a growth mindset, demonstrated through learning new tools, deepening technical expertise, and continuously improving processes.
* Startup/high\-growth experience with the scrappiness required to be successful at AngelList!
**How Success will be Measured:** 
* Delivery of reliable, scalable, and efficient data pipelines within agreed timelines, with minimal downtime and robust monitoring systems in place.
* Successful collaboration with analysts and stakeholders to enable seamless access to accurate and timely data for decision\-making.
* Tangible improvements in infrastructure scalability, cost\-effectiveness, and adaptability to evolving business needs.
 If you don’t tick every box above, we’d still encourage you to apply. We’re building a diverse team whose skills balance and complement one another.
**AngelList has offices in a few cities, and our engineering hub in San Francisco.** 
 We’re focused on hiring from this hub office so data teams members can collaborate with engineers and product teams in the office at least twice per week (Tuesdays and choice between Wednesday or Thursday).
**Compensation:** 
 The compensation for this role consists of a competitive base salary, benefits, and equity package. The base salary for this role is $190,000\+ annually but actual will vary based on a number of factors including a candidate’s professional background, experience, and location. Additional details about our Total Rewards package will be provided during the recruitment process.
**Benefits:** 
 We support our employees in their lives both inside and outside of work.
 \*See additional detail on our benefits here:
 https://angell.ist/venture\-benefits
 \*Learn about our Funders \&amp; Founders Program here:
 https://join.angellist.com/
**Working at AngelList:** 
 At AngelList, we are united in our purpose to accelerate innovation and build the future of private markets. Our beliefs and values shape how we work, collaborate, and create impact. If the below resonate, we’d love to have you with us.
 \*Beliefs:
 https://angell.ist/beliefs
 \*Values \&amp; Leadership Expectations:
 https://angell.ist/values
*AngelList is an equal opportunity employer and we value diversity at our company. We do not discriminate on the basis of race, religion, color, national origin, gender, sexual orientation, age, marital status, veteran status, or disability status.*</t>
        </is>
      </c>
    </row>
    <row r="106">
      <c r="A106" t="inlineStr">
        <is>
          <t>li-4339029260</t>
        </is>
      </c>
      <c r="B106" t="inlineStr">
        <is>
          <t>Senior Data Engineer</t>
        </is>
      </c>
      <c r="C106" t="inlineStr">
        <is>
          <t>Dataworks</t>
        </is>
      </c>
      <c r="D106" t="inlineStr">
        <is>
          <t>linkedin</t>
        </is>
      </c>
      <c r="E106">
        <f>HYPERLINK("https://www.linkedin.com/jobs/view/4339029260", "https://www.linkedin.com/jobs/view/4339029260")</f>
        <v/>
      </c>
      <c r="F106" t="inlineStr"/>
      <c r="G106" t="inlineStr"/>
      <c r="H106" t="inlineStr"/>
      <c r="I106" t="inlineStr">
        <is>
          <t>**Senior Data Engineer** 
**Remote (US Only) \-
 *MUST BE A US citizen or Green Card Holder.***
**$130K–$180K** 
**🌎 Remote policy \&amp; eligibility:** 
 This role is fully remote, but
 **you must reside in one of these US states** 
 :
 Arizona, California, Colorado, Connecticut, Florida, Georgia, Illinois, Louisiana, Massachusetts, Michigan, Minnesota, New York, New Jersey, North Carolina, Pennsylvania, Texas, Vermont, Virginia, Washington
 We’re supporting a fast\-growing global SaaS company that powers connections across billions of digital interactions every month. Their data platform handles over
 **10 billion events monthly** 
 , serving millions of users worldwide — and they’re now scaling the backbone of it all: their Data Platform team.
 This is a rare opportunity to join a lean, senior team (5 engineers) reporting directly to the VP of Data. You’ll help
 **design and build the next\-generation data platform** 
 that powers analytics, experimentation, and AI\-driven features used at scale.
**The Role** 
 As a
 **Senior Data Engineer** 
 , you’ll architect and evolve high\-performance data infrastructure that ingests, transforms, and delivers data for analytics and product experiences. You’ll work across a wide variety of data sources — from real\-time streams to event\-driven pipelines — helping shape the systems that power billions of customer interactions.
 You’ll take ownership across the full lifecycle: from ingestion to governance, quality, and security.
**You’ll be responsible for:** 
* Designing, building, and optimizing
 **data pipelines** 
 on
 **GCP** 
 (Pub/Sub, Dataflow, BigQuery, etc.)
* Developing scalable data services and APIs for analytics and AI\-centric workloads
* Maintaining high standards for
 **data quality, observability, and governance**
* Collaborating cross\-functionally with product, data science, and engineering teams to deliver key initiatives
* Championing best practices around cost\-efficiency, scalability, and performance
* Mentoring peers and promoting technical excellence within the team
**You bring:** 
* **4–5\+ years’ hands\-on experience** 
 in Data Engineering, preferably in smaller, fast\-paced environments where you’ve worn multiple hats
* Deep expertise with
 **Google Cloud Platform** 
 (BigQuery, Dataflow, Pub/Sub, Cloud Storage, etc.)
* Strong proficiency in
 **SQL and Python**
* Proven experience with
 **high\-volume data** 
 (millions of rows or more)
* Solid understanding of modern data tooling (Airflow, dbt, Beam/Spark)
* Familiarity with
 **containerized deployments (Docker/Kubernetes)** 
 and CI/CD practices
**Why this role** 
 You’ll be part of a small but mighty data team trusted to solve complex engineering challenges at serious scale. This is the kind of environment where your work directly impacts billions of events, and your voice actually shapes the roadmap.</t>
        </is>
      </c>
    </row>
    <row r="107">
      <c r="A107" t="inlineStr">
        <is>
          <t>li-4330158228</t>
        </is>
      </c>
      <c r="B107" t="inlineStr">
        <is>
          <t>AWS Data Engineer</t>
        </is>
      </c>
      <c r="C107" t="inlineStr">
        <is>
          <t>Smart IT Frame LLC</t>
        </is>
      </c>
      <c r="D107" t="inlineStr">
        <is>
          <t>linkedin</t>
        </is>
      </c>
      <c r="E107">
        <f>HYPERLINK("https://www.linkedin.com/jobs/view/4330158228", "https://www.linkedin.com/jobs/view/4330158228")</f>
        <v/>
      </c>
      <c r="F107" t="inlineStr"/>
      <c r="G107" t="inlineStr">
        <is>
          <t>Reston, VA</t>
        </is>
      </c>
      <c r="H107" t="inlineStr"/>
      <c r="I107" t="inlineStr">
        <is>
          <t>**Role: AWS Data Engineer** 
**Location: Reston, VA \- Onsite** 
**Type: Full Time** 
**Interview Type: In person Client interview** 
**About Smart IT Frame:** 
**At Smart IT Frame,** 
 we connect top talent with leading organizations across the USA. With over a decade of staffing excellence, we specialize in IT, healthcare, and professional roles, empowering both clients and candidates to grow together.
**Job Description:** 
* Seeking an AWS Data Engineer to design, build, and maintain scalable data pipelines and ETL solutions using Python/Pyspark and AWS managed services to support analytics and data product needs.
**Responsibilities:** 
* Build and maintain ETL pipelines using Python and PySpark on AWS Glue and other compute platforms
* Orchestrate workflows with AWS Step Functions and serverless components (Lambda)
* Implement messaging and event\-driven patterns using AWS SNS and SQS
* Design and optimize data storage and querying in Amazon Redshift
* Write performant SQL for data transformations, validation, and reporting
* Ensure data quality, monitoring, error handling and operational support for pipelines
* Collaborate with data consumers, engineers, and stakeholders to translate requirements into solutions
* Contribute to CI/CD, infrastructure\-as\-code, and documentation for reproducible deployments
* Required Skills
* Strong experience with Python and Pyspark for large\-scale data processing
* Proven hands\-on experience with AWS services: Lambda, SNS, SQS, Glue, Redshift, Step Functions
* Solid SQLSQL skills and familiarity with data modelling and query optimization
* Experience with ETL best practices, data quality checks, and monitoring/alerting
* Familiarity with version control (Git) and basic DevOps/CI\-CD workflows
 Apply today or share profiles at
 **venkatesh@smartitframe.com**</t>
        </is>
      </c>
    </row>
    <row r="108">
      <c r="A108" t="inlineStr">
        <is>
          <t>li-4283201250</t>
        </is>
      </c>
      <c r="B108" t="inlineStr">
        <is>
          <t>Senior Data Engineer</t>
        </is>
      </c>
      <c r="C108" t="inlineStr">
        <is>
          <t>Weber Shandwick</t>
        </is>
      </c>
      <c r="D108" t="inlineStr">
        <is>
          <t>linkedin</t>
        </is>
      </c>
      <c r="E108">
        <f>HYPERLINK("https://www.linkedin.com/jobs/view/4283201250", "https://www.linkedin.com/jobs/view/4283201250")</f>
        <v/>
      </c>
      <c r="F108">
        <f>HYPERLINK("https://www.webershandwick.com/work-at-weber/careers/?gh_jid=8119335002&amp;gh_src=6ce12e352&amp;urlHash=k6-f", "https://www.webershandwick.com/work-at-weber/careers/?gh_jid=8119335002&amp;gh_src=6ce12e352&amp;urlHash=k6-f")</f>
        <v/>
      </c>
      <c r="G108" t="inlineStr">
        <is>
          <t>Washington, DC</t>
        </is>
      </c>
      <c r="H108" t="inlineStr"/>
      <c r="I108" t="inlineStr">
        <is>
          <t>**About The Role**
 Weber Shandwick is seeking a talented Senior Data Engineer to join our team in Washington, DC.  You will be joining a team of business strategists, data scientists and data engineers to build innovative data solutions and would work at the intersection of Data Engineering and Applied Generative AI.
 The Senior Data Engineer will design, build, test, implement and maintain data solutions that support clients’ Enterprise Analytics. The incumbent will work with multiple technology partners to provision and maintain a data infrastructure used for media analyses. The role will work closely with business analysts and data scientists to ensure the platform meets business demands.
**Key Responsibilities**
* Data Engineering:
+ Design, develop, and maintain scalable data pipelines and ETL processes.
+ Optimize SQL queries and database performance for analytical and operational workloads.
+ Implement data quality, governance, and security best practices.
* Applied AI:
+ Collaborate with data scientists to productionize AI/ML models, including Generative AI solutions.
+ Integrate Gen AI solutions into business workflows, ensuring reliability and scalability.
* Platform \&amp; Tooling:
+ Leverage cloud platforms (preferably GCP) for data engineering and AI workloads.
+ Develop dashboards, reports, or visualizations (Qlik experience is a plus).
+ Automate data workflows and implement CI/CD for data pipelines and AI services.
**Required** 
**Qualifications:**
* 3\+ years of experience as a Data Engineer using proven, industry\-leading cloud platforms such as AWS, GCP, and Azure
* Proficiency coding in Python for data processing, automation, and AI/ML workflows.
* Advanced SQL skills for complex data manipulation, optimization, and analytics.
* Knowledge of orchestration tools (e.g., Airflow, Dagster, Prefect).
* Experience developing sophisticated data pipelines using AWS EMR, Apache Spark, etc.
* Creative\-minded individual, enjoys open\-ended problems and challenging the status quo
* Excellent written and spoken communication skills
* Ability to conduct independent work and manage projects from beginning to end
**Preferred Qualifications:**
* Relevant GCP or AWS certifications
* Experience with social media data and APIs
* Working knowledge of BI platforms such as Tableau, Power BI, Qlik, etc.
* Experience working in a consulting company or agency
 Washington DC Salary range: $110,000 \- $130,000
 Where an employee or prospective employee is paid within this range will depend on, among other factors, actual ranges for current/former employees in the subject position; market considerations; budgetary considerations; tenure and standing with the company (applicable to current employees); as well as the employee’s/applicant’s background, pertinent experience, and qualifications.
*Weber Shandwick is proud to be an Equal Opportunity/Affirmative Action employer. Weber Shandwick recruits qualified applicants without regard to race, color, religion, gender, age, ethnic or national origin, protected veteran status, physical or mental disability, sexual orientation, gender identity, marital status or citizenship status.*
*We make our careers website accessible to any and all users. If you need an accommodation to participate in the application process, please contact us at JobAppAccommodation@ipgdxtra.com. This email address is not for general employment inquiries or vendors; rather it is strictly for applicants who require special assistance accessing our employment website. Due to volume, messages sent to this email address that are not related to an accommodation cannot be answered.*</t>
        </is>
      </c>
    </row>
    <row r="109">
      <c r="A109" t="inlineStr">
        <is>
          <t>li-4328881259</t>
        </is>
      </c>
      <c r="B109" t="inlineStr">
        <is>
          <t>Senior Data Engineer (FABRIC)</t>
        </is>
      </c>
      <c r="C109" t="inlineStr">
        <is>
          <t>Robert Half</t>
        </is>
      </c>
      <c r="D109" t="inlineStr">
        <is>
          <t>linkedin</t>
        </is>
      </c>
      <c r="E109">
        <f>HYPERLINK("https://www.linkedin.com/jobs/view/4328881259", "https://www.linkedin.com/jobs/view/4328881259")</f>
        <v/>
      </c>
      <c r="F109" t="inlineStr"/>
      <c r="G109" t="inlineStr">
        <is>
          <t>Alpharetta, GA</t>
        </is>
      </c>
      <c r="H109" t="inlineStr"/>
      <c r="I109" t="inlineStr">
        <is>
          <t>**Hybrid role in Atlanta, GA. U.S. Citizens or GCH only at this time; no sponsorship available at this time.** 
 We’re partnering with a well\-established, people\-first organization in the
 **real estate and construction industry** 
 to add a
 **Senior Data Engineer** 
 to their growing data and analytics team.
 This role is ideal for a hands\-on data engineer who thrives in modern Microsoft environments and wants to build scalable, business\-critical data solutions.
 This is a
 **hybrid role (2–3 days onsite, typically Tuesday \&amp; Thursday)** 
 based in
 **Atlanta, GA** 
 , with a collaborative IT team and strong leadership support.
 What You’ll Do
* Design, develop, and manage enterprise\-level data solutions that support analytics and reporting initiatives
* Build and maintain
 **Microsoft Fabric** 
 solutions, including
 **Lakehouse architecture** 
 , data modeling, and database design
* Develop and optimize
 **ETL pipelines** 
 using
 **SQL, SSIS, and cloud\-based integration tools**
* Partner closely with IT and business stakeholders to translate requirements into scalable data solutions
* Create and support
 **Power BI reports, dashboards, and visualizations** 
 used by leadership and business teams
* Ensure reliability, performance, and long\-term success of the data analytics platform
 Must\-Have Requirements (Non\-Negotiable)
* **Strong hands\-on experience with Microsoft Fabric** 
 (including Lakehouse architecture)
* **Advanced SQL skills** 
 with experience in data modeling and database design
* **Deep ETL experience** 
 , including SSIS and data integration best practices
* **Azure data environment experience** 
 , including MS SQL and Fabric
* 8\+ years of experience in data engineering or a similar role
* Strong communication skills and ability to work cross\-functionally
 Additional Skills That Are a Plus
* Power BI experience (3\+ years strongly preferred)
* Python experience
* Data governance exposure
* Experience with MuleSoft / Anypoint Platform or other middleware tools
 Team \&amp; Environment
* Join a
 **10\-person IT team** 
 focused on data, analytics, and enterprise architecture
* Report directly to a Manager of Data Analytics \&amp; Enterprise Architecture
* Business\-casual environment with onsite parking
* Standard business hours (8:00–5:00\) with flexibility
 Compensation \&amp; Benefits
* **Base salary: $125,000–$135,000**
* **15% annual bonus**
* Flexible PTO and comprehensive benefits
* Industry\-leading parental leave
 Why This Role
* Low turnover and long\-tenured employees
* Strong learning environment with meaningful ownership
* Stable, growing organization that truly values its people
* Opportunity to make a real impact on how the business uses data
**Eligibility** 
* **No sponsorship available**
* **Open to U.S. Citizens and Green Card holders**</t>
        </is>
      </c>
    </row>
    <row r="110">
      <c r="A110" t="inlineStr">
        <is>
          <t>li-4330550846</t>
        </is>
      </c>
      <c r="B110" t="inlineStr">
        <is>
          <t>Manager, Data Engineer</t>
        </is>
      </c>
      <c r="C110" t="inlineStr">
        <is>
          <t>Zenith</t>
        </is>
      </c>
      <c r="D110" t="inlineStr">
        <is>
          <t>linkedin</t>
        </is>
      </c>
      <c r="E110">
        <f>HYPERLINK("https://www.linkedin.com/jobs/view/4330550846", "https://www.linkedin.com/jobs/view/4330550846")</f>
        <v/>
      </c>
      <c r="F110" t="inlineStr"/>
      <c r="G110" t="inlineStr">
        <is>
          <t>Atlanta, GA</t>
        </is>
      </c>
      <c r="H110" t="inlineStr"/>
      <c r="I110" t="inlineStr">
        <is>
          <t>**Company Description**
 Zenith is a full\-service media agency with capabilities and expertise across all channels and disciplines. Zenith is part of Publicis Media, the \#1 media buying network in the Americas and \#2 globally. As “The ROI Agency,” Zenith’s expertise lies in driving real, tangible business outcomes, not just media metrics, that will have a measurable effect on our clients’ business. Every investment we make has an ROI mindset—not just for our clients, but for our agency at large. We’re focused on driving the maximum value for our people, our capabilities and our media investments for some of the world’s leading brands.
**Overview**
 As a Manager of Date Engineering, you will be focused on writing code and assembling large, complex sets of data using various technologies. You will be a part of the data processing team, focused on code optimization, in addition to other day\-to\-day responsibilities.
**Responsibilities**
**Responsibilities**
* Write application and database code based on business requirements or user stories, architectural requirements, and existing code using both Databricks and AWS redshift.
* Design, development, and enhancement of data models Databricks and AWS redshift.
* Modify and improve data engineering processes to handle ever larger, more complex, and more types of data sources and pipelines.
* Work as part of the data processing team and on performance tuning and optimization, query optimization, index tuning, caching, buffer tuning and data archiving strategies.
* Estimate and plan development work, track and report on task progress, and deliver work on schedule.
* Ensure all deliverables are high quality by setting development standards, adhering to the standards and participating in code reviews.
* Mentor, support and manage team members.
* Keep up to speed on new and emerging technologies and products that will be of interest to our clients
**Qualifications**
* 2 to 3 yrs of experience in Databricks
* Advanced SQL coding (must), tuning, and query optimization, especially within cloud\-based data warehouses Amazon Redshift.
* 1\+ years of Python coding experience.
* Ability to lead other Data Engineers.
* Excellent communication skills. Ability to speak and write professionally.
* Excellent customer service skills. Ability to service clients, partners and internal stakeholders by understand their needs, translating those needs into creative solutions, and delivering on those solutions with diligence and a sense of urgency.
* Ability to handle multiple responsibilities simultaneously in leadership and contributing to tasks “hands\-on”.
* Demonstrated ability to quickly learn and adapt to new technologies and coding techniques.
* Digital media experience, particularly experience working in ad tech industry with a data\-centric role plus.
**Additional Information**
 Our Publicis Groupe motto “Viva La Différence” means we’re better together, and we believe that our differences make us stronger. It means we honor and celebrate all identities, across all facets of intersectionality, and it underpins all that we do as an organization. We are focused on fostering belonging and creating equitable \&amp; inclusive experiences for all talent.
 Publicis Groupe provides robust and inclusive benefit programs and policies to support the evolving and diverse needs of our talent and enable every person to grow and thrive. Our benefits package includes medical coverage, dental, vision, disability, 401K, as well as parental and family care leave, family forming assistance, tuition reimbursement, and flexible time off.
 If you require accommodation or assistance with the application or on\-boarding process specifically, please contact USMSTACompliance@publicis.com.
 All your information will be kept confidential according to EEO guidelines.
 Veterans Encouraged to Apply
 Compensation Range: $87,210\-$137,195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1/26/2026\.</t>
        </is>
      </c>
    </row>
    <row r="111">
      <c r="A111" t="inlineStr">
        <is>
          <t>li-4354652800</t>
        </is>
      </c>
      <c r="B111" t="inlineStr">
        <is>
          <t>Senior Analyst, Analytics Engineer</t>
        </is>
      </c>
      <c r="C111" t="inlineStr">
        <is>
          <t>HarbourVest Partners</t>
        </is>
      </c>
      <c r="D111" t="inlineStr">
        <is>
          <t>linkedin</t>
        </is>
      </c>
      <c r="E111">
        <f>HYPERLINK("https://www.linkedin.com/jobs/view/4354652800", "https://www.linkedin.com/jobs/view/4354652800")</f>
        <v/>
      </c>
      <c r="F111" t="inlineStr"/>
      <c r="G111" t="inlineStr">
        <is>
          <t>Boston, MA</t>
        </is>
      </c>
      <c r="H111" t="inlineStr"/>
      <c r="I111" t="inlineStr">
        <is>
          <t>**Job Description Summary**
 For over forty years, HarbourVest has been home to a committed team of professionals with an entrepreneurial spirit and a desire to deliver impactful solutions to our clients and investing partners. As our global firm grows, we continue to add individuals who seek a collaborative, open\-door culture that values diversity and innovative thinking.
 In our collegial environment that’s marked by low turnover and high energy, you’ll be inspired to grow and thrive. Here, you will be encouraged to build on your strengths and acquire new skills and experiences.
 We are committed to fostering an environment of inclusion that promotes mutual respect among all employees. Understanding and valuing these differences optimizes the potential of both the individual and the firm.
 HarbourVest is an equal opportunity employer.
 This position will be a hybrid work arrangement. You will receive 18 remote workdays per quarter to use at your discretion, subject to manager approval. For example, you may choose to work in the office 4 days per week and take one remote day weekly (typically 13 weeks per quarter), leaving 5 additional remote days to be used as needed.
 This position belongs to the Analytics Engineering \&amp; Data Science team. The team applies and develops our strategic data platform to provide applications and solutions that align directly with business objectives. You will compose and build all facets of data solutions, including datasets, web applications, and dashboards, while encouraging positive relationships with business collaborators. Success in this role requires outstanding communication skills and a passion for developing solutions using an evolving toolkit.
**Ideal Candidate**
* Demonstrated proficiency in building data solutions.
* A motivated self\-learner who quickly masters new tools and technologies.
* Ability to translate business requirements into actionable product roadmaps.
* Comfortable working in cloud\-based environments (e.g., Azure Synapse, Snowflake).
* Understands analytics development principles and applies software engineering guidelines (modularity, testing, version control) to data workflows.
**What You Will Do**
* Develop data products in both code\-based environments (e.g., Streamlit, Python, etc.) and traditional BI tools (e.g., Power BI, Alteryx).
* Model datasets for downstream applications and analytics.
* Partner with business collaborators to define requirements and build production\-ready solutions.
* Collaborate with data engineering teams on pipeline requirements.
* Maintain and enhance existing production content.
* Perform data validation, testing, and ensure observability of solutions.
**Time Allocation**
* Application \&amp; Solution Development: \~50% (Building data assets in code\-based and BI environments)
* Data Modeling \&amp; Pipeline Collaboration: \~30% (Crafting datasets and working with the data engineering team.)
* Maintenance \&amp; Quality Assurance: \~20% (Validating data, testing, and maintaining production content)
**What You Bring**
* Strong proficiency in SQL and Python, with experience in modern data platforms (e.g., Snowflake, Azure).
* Familiarity with cloud solutions (Azure, AWS, GCP) and their implementation in production environments.
* Deep understanding of data modeling techniques (e.g., star and snowflake schemas).
* Experience with data visualization tools and solution development.
* Knowledge of version control systems (e.g., Git) and CI/CD workflows.
* Solid grasp of REST APIs and JSON.
**Education**
* Bachelor’s degree in a STEM field or equivalent experience preferred.
* A Master’s degree is beneficial but not required; relevant experience will be considered.
**Experience**
* Proven ability in analytics engineering, BI development, or data pipeline design.
* Prior experience in financial services or working with investment data is a plus.
**Salary Range**
 $77,000\.00 \- $123,000\.00
 This USD base salary range represents only one component of total compensation for this role and is provided in accordance with local requirements. This role is eligible for a discretionary annual bonus, which is determined based on individual and overall firm performance. In addition to salary and bonus, total compensation may include eligibility for long\-term reward programs and a comprehensive total rewards package that may include retirement, health, insurance, paid time off, and wellness programs. Our total rewards offerings are influenced by several business factors, and eligibility for certain components will vary by position and geography. Please note the posted ranges do not apply outside the U.S. and should not be converted to other currencies as a proxy for compensation in other countries.</t>
        </is>
      </c>
    </row>
    <row r="112">
      <c r="A112" t="inlineStr">
        <is>
          <t>li-4330490825</t>
        </is>
      </c>
      <c r="B112" t="inlineStr">
        <is>
          <t>Lead Analytics Engineer</t>
        </is>
      </c>
      <c r="C112" t="inlineStr">
        <is>
          <t>Vizient, Inc</t>
        </is>
      </c>
      <c r="D112" t="inlineStr">
        <is>
          <t>linkedin</t>
        </is>
      </c>
      <c r="E112">
        <f>HYPERLINK("https://www.linkedin.com/jobs/view/4330490825", "https://www.linkedin.com/jobs/view/4330490825")</f>
        <v/>
      </c>
      <c r="F112" t="inlineStr"/>
      <c r="G112" t="inlineStr">
        <is>
          <t>Chicago, IL</t>
        </is>
      </c>
      <c r="H112" t="inlineStr"/>
      <c r="I112"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**Summary**
 In this role, you will lead the design, development, and optimization of enterprise\-grade analytics solutions with a focus on Power BI, advanced data modeling, and end\-to\-end performance engineering. You will create scalable semantic models, strengthen data governance practices, and collaborate with cross\-functional teams to deliver intuitive analytics that support strategic decision\-making across clients. You will also contribute to modernization initiatives and guide best practices that elevate the analytics engineering discipline.
**Responsibilities**
* Design and deliver Power BI solutions using Import, DirectQuery, and Hybrid/Direct Lake modes.
* Develop robust semantic models, measures, and reusable components that scale across products.
* Model data using dimensional structures and implement aggregation strategies to enhance performance.
* Optimize performance by tuning Data Analysis Expressions (DAX), VertiPaq engine operations, data types, partitioning, and incremental refresh.
* Configure and maintain Row\-Level Security/Object\-Level Security (RLS/OLS) and data masking aligned with governance standards.
* Partner with Security and Compliance teams to support Health Insurance Portability and Accountability Act (HIPAA) and Protected Health Information (PHI) requirements.
* Establish and maintain version control practices, quality checks, and code review standards.
* Translate business and technical requirements into accessible, user\-centered analytics experiences.
* Implement telemetry and observability practices to monitor usage, refresh cycles, and performance metrics.
* Support modernization efforts by contributing templates, themes, calculation groups, and migration from legacy BI platforms.
**Qualifications**
* Relevant degree preferred.
* 7 or more years of relevant experience required.
* Expertise designing Power BI solutions, including semantic models, DAX, and performance tuning required.
* Strong SQL and data modeling skills, including indexing, statistics, and partitioning are required.
* Experience with RLS/OLS, lineage, auditability, and data governance practices required.
* Ability to translate business logic into validated metrics and partner effectively with cross\-functional teams required.
* Proficiency with Tabular Editor, DAX Studio, and related tabular modeling tools highly preferred.
* Familiarity with MicroStrategy and BI modernization approaches preferred.
* Familiarity with Microsoft Fabric, Azure data services, or Databricks preferred.
* Willingness to travel.
**Estimated Hiring Range**
 At Vizient, we consider skills, experience, and organizational needs in our compensation approach. Geographic factors may adjust the range estimate and hires typically fall below the top range. Compensation decisions are tailored to individual circumstances. The current salary range for this role is $102,400\.00 to $179,000\.00\.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t>
        </is>
      </c>
    </row>
    <row r="113">
      <c r="A113" t="inlineStr">
        <is>
          <t>li-4330580792</t>
        </is>
      </c>
      <c r="B113" t="inlineStr">
        <is>
          <t>Lead Analytics Engineer</t>
        </is>
      </c>
      <c r="C113" t="inlineStr">
        <is>
          <t>Vizient, Inc</t>
        </is>
      </c>
      <c r="D113" t="inlineStr">
        <is>
          <t>linkedin</t>
        </is>
      </c>
      <c r="E113">
        <f>HYPERLINK("https://www.linkedin.com/jobs/view/4330580792", "https://www.linkedin.com/jobs/view/4330580792")</f>
        <v/>
      </c>
      <c r="F113">
        <f>HYPERLINK("https://careers.vizientinc.com/careers/job/446715361668?source=LinkedIn&amp;urlHash=jtyJ", "https://careers.vizientinc.com/careers/job/446715361668?source=LinkedIn&amp;urlHash=jtyJ")</f>
        <v/>
      </c>
      <c r="G113" t="inlineStr">
        <is>
          <t>Centennial, CO</t>
        </is>
      </c>
      <c r="H113" t="inlineStr"/>
      <c r="I113"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**Summary**
 In this role, you will lead the design, development, and optimization of enterprise\-grade analytics solutions with a focus on Power BI, advanced data modeling, and end\-to\-end performance engineering. You will create scalable semantic models, strengthen data governance practices, and collaborate with cross\-functional teams to deliver intuitive analytics that support strategic decision\-making across clients. You will also contribute to modernization initiatives and guide best practices that elevate the analytics engineering discipline.
**Responsibilities**
* Design and deliver Power BI solutions using Import, DirectQuery, and Hybrid/Direct Lake modes.
* Develop robust semantic models, measures, and reusable components that scale across products.
* Model data using dimensional structures and implement aggregation strategies to enhance performance.
* Optimize performance by tuning Data Analysis Expressions (DAX), VertiPaq engine operations, data types, partitioning, and incremental refresh.
* Configure and maintain Row\-Level Security/Object\-Level Security (RLS/OLS) and data masking aligned with governance standards.
* Partner with Security and Compliance teams to support Health Insurance Portability and Accountability Act (HIPAA) and Protected Health Information (PHI) requirements.
* Establish and maintain version control practices, quality checks, and code review standards.
* Translate business and technical requirements into accessible, user\-centered analytics experiences.
* Implement telemetry and observability practices to monitor usage, refresh cycles, and performance metrics.
* Support modernization efforts by contributing templates, themes, calculation groups, and migration from legacy BI platforms.
**Qualifications**
* Relevant degree preferred.
* 7 or more years of relevant experience required.
* Expertise designing Power BI solutions, including semantic models, DAX, and performance tuning required.
* Strong SQL and data modeling skills, including indexing, statistics, and partitioning are required.
* Experience with RLS/OLS, lineage, auditability, and data governance practices required.
* Ability to translate business logic into validated metrics and partner effectively with cross\-functional teams required.
* Proficiency with Tabular Editor, DAX Studio, and related tabular modeling tools highly preferred.
* Familiarity with MicroStrategy and BI modernization approaches preferred.
* Familiarity with Microsoft Fabric, Azure data services, or Databricks preferred.
* Willingness to travel.
**Estimated Hiring Range**
 At Vizient, we consider skills, experience, and organizational needs in our compensation approach. Geographic factors may adjust the range estimate and hires typically fall below the top range. Compensation decisions are tailored to individual circumstances. The current salary range for this role is $102,400\.00 to $179,000\.00\.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t>
        </is>
      </c>
    </row>
    <row r="114">
      <c r="A114" t="inlineStr">
        <is>
          <t>li-4330410389</t>
        </is>
      </c>
      <c r="B114" t="inlineStr">
        <is>
          <t>Data Engineer</t>
        </is>
      </c>
      <c r="C114" t="inlineStr">
        <is>
          <t>Jobs via Dice</t>
        </is>
      </c>
      <c r="D114" t="inlineStr">
        <is>
          <t>linkedin</t>
        </is>
      </c>
      <c r="E114">
        <f>HYPERLINK("https://www.linkedin.com/jobs/view/4330410389", "https://www.linkedin.com/jobs/view/4330410389")</f>
        <v/>
      </c>
      <c r="F114">
        <f>HYPERLINK("https://click.appcast.io/t/eyWvdH1TTiAX5cmF8OX2dIksnYNjvnk5eSqcrCnw-M4=&amp;urlHash=iOwY", "https://click.appcast.io/t/eyWvdH1TTiAX5cmF8OX2dIksnYNjvnk5eSqcrCnw-M4=&amp;urlHash=iOwY")</f>
        <v/>
      </c>
      <c r="G114" t="inlineStr">
        <is>
          <t>Scottsdale, AZ</t>
        </is>
      </c>
      <c r="H114" t="inlineStr"/>
      <c r="I114" t="inlineStr">
        <is>
          <t>Dice is the leading career destination for tech experts at every stage of their careers. Our client, Tror, is seeking the following. Apply via Dice today!
**Job Title: \- Data Engineer**
**Location: \- Scottsdale AZ (Day 1 Onsite)**
**Job Type: \- Contract**
**Need 12\+ years of experience.**
**Must have:**
* Strong Experience in Scala, Spark, hive SQL, Hadoop and Kafka
* Proficiency in Hive and SQL optimization.
* Understanding of distributed systems and big data architecture.
* Knowledge of streaming frameworks (Spark Streaming, Kafka Streams).
* Good to have – Aerospike experience.
**Skills required:**
* Must have Primary skills required Cloudera (Hadoop), Spark \+ Scala or Spark \+ Java and SQL
* The resources should also have good understanding of Hive, Aerospike.
* The resources should have strong analytical skills.
* Should have worked on large scale ETL and DW projects and pipelines.
* Real time data streaming experience and batch orchestration, data quality and reconciliation, understanding of concepts like Data Governance is a must.
* Strong communication skills and ability to independently work and troubleshoot problems and come up with solutions.</t>
        </is>
      </c>
    </row>
    <row r="115">
      <c r="A115" t="inlineStr">
        <is>
          <t>li-4330461314</t>
        </is>
      </c>
      <c r="B115" t="inlineStr">
        <is>
          <t>Lead Analytics Engineer</t>
        </is>
      </c>
      <c r="C115" t="inlineStr">
        <is>
          <t>Vizient, Inc</t>
        </is>
      </c>
      <c r="D115" t="inlineStr">
        <is>
          <t>linkedin</t>
        </is>
      </c>
      <c r="E115">
        <f>HYPERLINK("https://www.linkedin.com/jobs/view/4330461314", "https://www.linkedin.com/jobs/view/4330461314")</f>
        <v/>
      </c>
      <c r="F115">
        <f>HYPERLINK("https://careers.vizientinc.com/careers/job/446715361668?source=LinkedIn&amp;urlHash=jtyJ", "https://careers.vizientinc.com/careers/job/446715361668?source=LinkedIn&amp;urlHash=jtyJ")</f>
        <v/>
      </c>
      <c r="G115" t="inlineStr">
        <is>
          <t>Irving, TX</t>
        </is>
      </c>
      <c r="H115" t="inlineStr"/>
      <c r="I115"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**Summary**
 In this role, you will lead the design, development, and optimization of enterprise\-grade analytics solutions with a focus on Power BI, advanced data modeling, and end\-to\-end performance engineering. You will create scalable semantic models, strengthen data governance practices, and collaborate with cross\-functional teams to deliver intuitive analytics that support strategic decision\-making across clients. You will also contribute to modernization initiatives and guide best practices that elevate the analytics engineering discipline.
**Responsibilities**
* Design and deliver Power BI solutions using Import, DirectQuery, and Hybrid/Direct Lake modes.
* Develop robust semantic models, measures, and reusable components that scale across products.
* Model data using dimensional structures and implement aggregation strategies to enhance performance.
* Optimize performance by tuning Data Analysis Expressions (DAX), VertiPaq engine operations, data types, partitioning, and incremental refresh.
* Configure and maintain Row\-Level Security/Object\-Level Security (RLS/OLS) and data masking aligned with governance standards.
* Partner with Security and Compliance teams to support Health Insurance Portability and Accountability Act (HIPAA) and Protected Health Information (PHI) requirements.
* Establish and maintain version control practices, quality checks, and code review standards.
* Translate business and technical requirements into accessible, user\-centered analytics experiences.
* Implement telemetry and observability practices to monitor usage, refresh cycles, and performance metrics.
* Support modernization efforts by contributing templates, themes, calculation groups, and migration from legacy BI platforms.
**Qualifications**
* Relevant degree preferred.
* 7 or more years of relevant experience required.
* Expertise designing Power BI solutions, including semantic models, DAX, and performance tuning required.
* Strong SQL and data modeling skills, including indexing, statistics, and partitioning are required.
* Experience with RLS/OLS, lineage, auditability, and data governance practices required.
* Ability to translate business logic into validated metrics and partner effectively with cross\-functional teams required.
* Proficiency with Tabular Editor, DAX Studio, and related tabular modeling tools highly preferred.
* Familiarity with MicroStrategy and BI modernization approaches preferred.
* Familiarity with Microsoft Fabric, Azure data services, or Databricks preferred.
* Willingness to travel.
**Estimated Hiring Range**
 At Vizient, we consider skills, experience, and organizational needs in our compensation approach. Geographic factors may adjust the range estimate and hires typically fall below the top range. Compensation decisions are tailored to individual circumstances. The current salary range for this role is $102,400\.00 to $179,000\.00\.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t>
        </is>
      </c>
    </row>
    <row r="116">
      <c r="A116" t="inlineStr">
        <is>
          <t>li-4330580363</t>
        </is>
      </c>
      <c r="B116" t="inlineStr">
        <is>
          <t>Data Engineer</t>
        </is>
      </c>
      <c r="C116" t="inlineStr">
        <is>
          <t>Jobs via Dice</t>
        </is>
      </c>
      <c r="D116" t="inlineStr">
        <is>
          <t>linkedin</t>
        </is>
      </c>
      <c r="E116">
        <f>HYPERLINK("https://www.linkedin.com/jobs/view/4330580363", "https://www.linkedin.com/jobs/view/4330580363")</f>
        <v/>
      </c>
      <c r="F116" t="inlineStr"/>
      <c r="G116" t="inlineStr">
        <is>
          <t>Scottsdale, AZ</t>
        </is>
      </c>
      <c r="H116" t="inlineStr"/>
      <c r="I116" t="inlineStr">
        <is>
          <t>Dice is the leading career destination for tech experts at every stage of their careers. Our client, Rivago infotech inc, is seeking the following. Apply via Dice today!
**Role : Data Engineer**
**Location : Scottsdale AZ (100% Onsite)**
**Must have :**
* 10\-12 years of experience
* Strong Experience in Scala, Spark, hive SQL, Hadoop and Kafka
* Proficiency in Hive and SQL optimization.
* Understanding of distributed systems and big data architecture.
* Knowledge of streaming frameworks (Spark Streaming, Kafka Streams).
* Good to have – Aerospike experience
**Skills required:**
* Experience : 6\-9 Years
* Must have Primary skills required Cloudera (Hadoop), Spark \+ Scala or Spark \+ Java and SQL
* The resources should also have good understanding of Hive, Aerospike.
* The resources should have strong analytical skills.
* Should have worked on large scale ETL and DW projects and pipelines.
* Real time data streaming experience and batch orchestration, data quality and reconciliation, understanding of concepts like Data Governance is a must.
* Strong communication skills and ability to independently work and troubleshoot problems and come up with solutions.</t>
        </is>
      </c>
    </row>
    <row r="117">
      <c r="A117" t="inlineStr">
        <is>
          <t>li-4330570388</t>
        </is>
      </c>
      <c r="B117" t="inlineStr">
        <is>
          <t>Analytics Engineer</t>
        </is>
      </c>
      <c r="C117" t="inlineStr">
        <is>
          <t>Jobs via Dice</t>
        </is>
      </c>
      <c r="D117" t="inlineStr">
        <is>
          <t>linkedin</t>
        </is>
      </c>
      <c r="E117">
        <f>HYPERLINK("https://www.linkedin.com/jobs/view/4330570388", "https://www.linkedin.com/jobs/view/4330570388")</f>
        <v/>
      </c>
      <c r="F117">
        <f>HYPERLINK("https://click.appcast.io/t/lIx3ja9k8kKb5GSU5Elngg07XZli4wdt5OkLXYZtSsM=&amp;urlHash=N1-r", "https://click.appcast.io/t/lIx3ja9k8kKb5GSU5Elngg07XZli4wdt5OkLXYZtSsM=&amp;urlHash=N1-r")</f>
        <v/>
      </c>
      <c r="G117" t="inlineStr"/>
      <c r="H117" t="inlineStr"/>
      <c r="I117" t="inlineStr">
        <is>
          <t>Dice is the leading career destination for tech experts at every stage of their careers. Our client, Tekfortune Inc., is seeking the following. Apply via Dice today!
**Role: Analytics Engineer** 
****Location: Remote** 
**Duration: Long Term Contracts****
**Overview:** 
 GNA project focused on building a unified reporting layer across Medicare, Commercial, and Medicaid. Currently reporting is very scattered, reporting is limited, and the goal is to build a "one stop shop" for GNA reporting.
* They have developed a high\-level strategy, 3\-layered data mart on Google Cloud Platform BigQuery: raw layer, performance layer, consumption layer. Raw is staging, pure ingestion; performance is normalized, cleansed, massaged data, consumption layer is semantic for reporting.
* Have broken down work with domain: Member, Provider, Claims, etc. A total of 16 important areas for Medicare and want to deliver 4 by Q2; in parallel they are working on a data model to bring in commercial data.
* Medicaid not yet in scope.
* Right now, they have Medicare data (largest portion of data) landed in raw and is live, performance is not there yet.
* Will onboard Commercial and Medicaid data next year.
**Role Notes:**
* This role will be working across the Performance Layer, Consumption, and the BI Development.
* Will need experience in massaging data, cleansing, building tables and views for reporting, SQL skills.
* Either Power BI or Looker for BI development \- have not implemented either. Ideal if this person can advise them as to the best tool to use.
* Will not need to build out data ingestion processes \- they will more\-so need to work with business requirements to understand data availability needs and work them back into the data models, tables, etc. for reports and validation. Does the report accurately reflect the data or are there major gaps?
* Also interested in bringing on Data Modelers \- pure modelers who can build physical models in the Performance layer per domain and business requirements. Unsure about any particular tools that they are using for data modeling or refinement\*\*
* Need someone who can work on the solution but has experience to brainstorm and decide on solution that's best for program and the application.
* Google Cloud Platform experience would be ideal, but other cloud experience is sufficient.
* Medicaid or related domain experience nice to have.
**Must Have:**
* SQL: building and optimizing tables/views for reporting
* Data cleansing \&amp; transformation: normalize and prepare data in the Performance layer so the Consumption layer remains reliable and consistent.
* Semantic/BI layer design experience (defining metrics, conformed dimensions, and businessfriendly views) for dashboard/reporting builds
* Power BI or Looker BI development odels, and validation checks).
* Experience in cloud data platforms (Google Cloud Platform preferred, AWS/Azure/Snowflake/Databricks acceptable).
**Nicetohave / Preferred**
* Google Cloud Platform/BigQuery familiarity
* Healthcare payer domain exposure, especially Medicare or Medicaid
* SQLbased ELT orchestration tooling (i.e. Dataform/dbt)</t>
        </is>
      </c>
    </row>
    <row r="118">
      <c r="A118" t="inlineStr">
        <is>
          <t>li-4330430440</t>
        </is>
      </c>
      <c r="B118" t="inlineStr">
        <is>
          <t>Data Engineer</t>
        </is>
      </c>
      <c r="C118" t="inlineStr">
        <is>
          <t>Jobs via Dice</t>
        </is>
      </c>
      <c r="D118" t="inlineStr">
        <is>
          <t>linkedin</t>
        </is>
      </c>
      <c r="E118">
        <f>HYPERLINK("https://www.linkedin.com/jobs/view/4330430440", "https://www.linkedin.com/jobs/view/4330430440")</f>
        <v/>
      </c>
      <c r="F118" t="inlineStr"/>
      <c r="G118" t="inlineStr">
        <is>
          <t>Raleigh, NC</t>
        </is>
      </c>
      <c r="H118" t="inlineStr"/>
      <c r="I118" t="inlineStr">
        <is>
          <t>Dice is the leading career destination for tech experts at every stage of their careers. Our client, Empower Professionals, is seeking the following. Apply via Dice today!
**Role: Data Engineer**
**Location: Raleigh, NC (Onsite)**
**Duration: 12\+ Months**
**Responsibilities:**
* Design, build, and maintain scalable ETL data pipeline using ADLS Gen2, Azure Blob storage, Azure Databricks, Python, Azure SQL Database and Azure Cosmos DB.
* Perform deep database performance tuning, query optimization, and indexing strategies across Azure SQL Database and Cosmos DB.
* Lead database migration initiatives, including strategic migration from Azure SQL Database and CosmosDB to PostgreSQL.
* Implement efficient data models and manage data storage solutions using ADLS Gen2 and real time data streaming using ADF, Spark and Confluent Kafka.
* Develop and maintain data quality checks, monitoring, and alerting systems. Ensure data solutions comply with regulatory and security standards (e.g., PCI DSS).
* Optimize batch processing workflows for intra\-day and end\-of\-day banking operations.
**Requirements:**
* 10 years of hands\-on experience in data engineering with strong database expertise.
* At least 5 years of experience in implementing operational data store (ODS) for the retail banking space, which captures the multiple cross system transactions, providing high throughput and low latency solution using RDBMS or NoSQL Technologies.
* Should have hands\-on experience implementing solutions using ADLS Gen2, Azure Blob storage, Azure Databricks, Azure SQL Database and Azure Cosmos DB.
* Should have hand on experience in writing queries using the Normalized Data model for the retail banking space. Expert\-level skills in database performance tuning, query optimization, and execution plan analysis
* Proven experience with large\-scale database migrations (Azure SQL Database to PostgreSQL preferred)
* Strong programming skills in Python for data processing and automation
* Experience with data modeling, ETL/ELT processes, and data warehouse concepts.
* Excellent problem\-solving skills with ability to diagnose and resolve complex data pipeline issues</t>
        </is>
      </c>
    </row>
    <row r="119">
      <c r="A119" t="inlineStr">
        <is>
          <t>li-4330370432</t>
        </is>
      </c>
      <c r="B119" t="inlineStr">
        <is>
          <t>CPS Data CoE - Big Data Engineer</t>
        </is>
      </c>
      <c r="C119" t="inlineStr">
        <is>
          <t>Jobs via Dice</t>
        </is>
      </c>
      <c r="D119" t="inlineStr">
        <is>
          <t>linkedin</t>
        </is>
      </c>
      <c r="E119">
        <f>HYPERLINK("https://www.linkedin.com/jobs/view/4330370432", "https://www.linkedin.com/jobs/view/4330370432")</f>
        <v/>
      </c>
      <c r="F119" t="inlineStr"/>
      <c r="G119" t="inlineStr">
        <is>
          <t>Atlanta, GA</t>
        </is>
      </c>
      <c r="H119" t="inlineStr"/>
      <c r="I119" t="inlineStr">
        <is>
          <t>Dice is the leading career destination for tech experts at every stage of their careers. Our client, Spadtek Solutions LLC, is seeking the following. Apply via Dice today!
**Title:** 
 CPS Data CoE \- Big Data Engineer
**Location:** 
 Alpharetta, GA 30005(Need Locals and with DL)
**Experience:** 
 7 to 10 years
 Visa: H1B, \- L2, and TN
**Responsibilities:**
* Design \&amp; Develop new automation framework for ETL processing
* Support existing framework and become technical point of contact for all related teams
* Enhance existing ETL automation framework as per user requirements
* Performance tuning of spark, snowflake ETL jobs
* New technology POC and suitability analysis for Cloud migration
* Process optimization with the help of automation and new utility development
* Work in collaboration for any issues and new features
* Support any batch issue
* Support application team teams with any queries
**Required Skills:**
* 7\+ years of Data engineering experience
* Must be strong in UNIX Shell, Python scripting knowledge
* Must be strong in Spark
* Must have strong knowledge of SQL
* Hands\-on knowledge on how HDFS/Hive/Impala/Spark works
* Strong in logical reasoning capabilities
* Should have working knowledge of Github, DevOps, CICD/ Enterprise code management tools
* Strong collaboration and communication skills
* Must possess strong team\-player skills and should have excellent written and verbal communication skills
* Ability to create and maintain a positive environment of shared success
* Ability to execute and prioritize a tasks and resolve issues without aid from direct manager or project sponsor
* Good to have working experience on snowflake \&amp; any data integration tool i.e. informatica cloud
**Primary Skills:**
* Python
* Big Data
* Apache Spark
**Desired Skills:**
* Snowflake/Azure/AWS any cloud
* IDMC/any ETL tool</t>
        </is>
      </c>
    </row>
    <row r="120">
      <c r="A120" t="inlineStr">
        <is>
          <t>li-4330470459</t>
        </is>
      </c>
      <c r="B120" t="inlineStr">
        <is>
          <t>Senior Azure Data Engineer with Microsoft Fabric Experience</t>
        </is>
      </c>
      <c r="C120" t="inlineStr">
        <is>
          <t>Jobs via Dice</t>
        </is>
      </c>
      <c r="D120" t="inlineStr">
        <is>
          <t>linkedin</t>
        </is>
      </c>
      <c r="E120">
        <f>HYPERLINK("https://www.linkedin.com/jobs/view/4330470459", "https://www.linkedin.com/jobs/view/4330470459")</f>
        <v/>
      </c>
      <c r="F120">
        <f>HYPERLINK("https://click.appcast.io/t/aAeX26DrnDVH7-N5CH72tlN_M4t-YGev8tD3qk3f5y8=&amp;urlHash=txTn", "https://click.appcast.io/t/aAeX26DrnDVH7-N5CH72tlN_M4t-YGev8tD3qk3f5y8=&amp;urlHash=txTn")</f>
        <v/>
      </c>
      <c r="G120" t="inlineStr">
        <is>
          <t>Newark, NJ</t>
        </is>
      </c>
      <c r="H120" t="inlineStr"/>
      <c r="I120" t="inlineStr">
        <is>
          <t>Dice is the leading career destination for tech experts at every stage of their careers. Our client, iPeople Infosystems LLC, is seeking the following. Apply via Dice today!
**Job Title: Senior Azure Data Engineer with Microsoft Fabric Experience**
**Location:** 
**Newark, NJ, 07102**
**Type: Fulltime Position**
**Job Description:**
* Minimum 10\+ years experience in modern data engineering/data warehousing/data lakes technologies on cloud platforms like Azure, Microsoft Fabric etc.
* Azure experience is preferred over other cloud platforms.
* Minimum 10 \+ years of proven experience with SQL, schema design and dimensional data modelling.
* Solid knowledge of data warehouse best practices, development standards and methodologies.
* Experience with ETL/ELT tools like ADF, Azure, MS Fabric etc., and data warehousing technologies like Azure Synapse, Azure SQL, ADLS etc.
* Strong experience with big data tools(Microsoft Fabric, Databricks , Spark etc..) and programming skills in PySpark and Spark SQL.
* Be an independent self\-learner with a let s get this done approach and ability to work in Fast paced and Dynamic environment.
* Knowledge in Microsoft Fabric Data Platform
* Expertise in designing application solution on Azure Data Platform for complex business needs.
* Serves as key technical expert engaged on designing, architecting, deploying and maintaining cloud solutions, Data Management \&amp; Analytics.
* Strong knowledge of ETL patterns for data ingestion, processing and distribution using pipelines on Azure cloud services. Leads technology proof of concepts to ensure feasibility of architecture solutions.
* Provides architecture direction for engineers in support of a technical pattern.
* Displays strong thought leadership in pursuit of modern data architecture principles and technology modernization.
* Drives continuous technology transformation to minimize technical debt. Continuously improve efficiency and effectiveness of the architecture
* Looks for opportunities to capitalize on technology advances through analysis of key industry and technology trends to assess potential impact on the enterprise. Participates in defining target state technology architecture and roadmaps.
* Ensures alignment of IT initiatives with the target state.
**Roles \&amp; Responsibilities**
* Build and maintain new and existing applications in preparation for a large\-scale architectural migration within an Agile function.
* Align with the Product Owner and Scrum Master in assessing business needs and transforming them into scalable applications.
* Build and maintain code to manage data received from heterogenous data formats including web\- based sources, internal/external databases, flat files, heterogenous data formats (binary, ASCII).
* Help build new enterprise Datawarehouse and maintain the existing one.
* Design and support effective storage and retrieval of very large internal and external data set and be forward think about the convergence strategy with our Azure cloud migration
* Assess the impact of scaling up and scaling out and ensure sustained data management and data delivery performance.</t>
        </is>
      </c>
    </row>
    <row r="121">
      <c r="A121" t="inlineStr">
        <is>
          <t>li-4330510393</t>
        </is>
      </c>
      <c r="B121" t="inlineStr">
        <is>
          <t>Job Title: Sr. Level AWS Data Engineer-ETL (Locals Only) - C2C - Direct Client</t>
        </is>
      </c>
      <c r="C121" t="inlineStr">
        <is>
          <t>Jobs via Dice</t>
        </is>
      </c>
      <c r="D121" t="inlineStr">
        <is>
          <t>linkedin</t>
        </is>
      </c>
      <c r="E121">
        <f>HYPERLINK("https://www.linkedin.com/jobs/view/4330510393", "https://www.linkedin.com/jobs/view/4330510393")</f>
        <v/>
      </c>
      <c r="F121" t="inlineStr"/>
      <c r="G121" t="inlineStr">
        <is>
          <t>The Woodlands, TX</t>
        </is>
      </c>
      <c r="H121" t="inlineStr"/>
      <c r="I121" t="inlineStr">
        <is>
          <t>Dice is the leading career destination for tech experts at every stage of their careers. Our client, ResolveTech Solutions Inc., is seeking the following. Apply via Dice today!
**Job Title: Sr. Level AWS Data Engineer\-ETL (Locals Only)**
**Duration: 12\+ Months**
**Location:** 
**The Woodlands** 
**, TX (Hybrid)**
**Description:**
 We are seeking a highly skilled AWS Data Engineer with a strong background in Red Hat Linux and expertise in building ETL pipelines to support cloud data migration initiatives. The ideal candidate will have hands\-on experience with AWS Migration Services and will play a critical role in designing, developing, and maintaining scalable data integration solutions in a secure and reliable cloud environment.
**Key Responsibilities:**
* Design, build, and optimize robust ETL pipelines for data migration and integration using AWS services such as AWS Glue, Data Migration Service (DMS), Lambda, and Step Functions.
* Work with AWS Migration Services to migrate on\-premises data sources to AWS cloud\-based data lakes and databases.
* Administer and troubleshoot Red Hat Linux environments as part of the data pipeline infrastructure.
* Collaborate with data architects, cloud engineers, and stakeholders to define data migration requirements and strategies.
* Ensure data quality, data governance, and security standards are enforced throughout the ETL lifecycle.
* Monitor and maintain data workflows to ensure performance, scalability, and fault tolerance.
* Automate and orchestrate data workflows using scripting (Python, Bash) and cloud\-native tools.
* Support and troubleshoot production data pipelines and perform root cause analysis on failures.
**Required Skills \&amp; Experience:**
* 12\+ years of experience in Data Engineering or ETL development.
* 5\+ years of hands\-on experience with AWS services, including:
+ AWS Glue, AWS Lambda, AWS DMS, S3, Redshift, EMR, and Step Functions.
* Proficiency in Red Hat Linux administration, shell scripting, and system troubleshooting.
* Experience in designing and implementing ETL solutions for cloud migration projects.
* Strong proficiency in Python, SQL, and cloud\-native data processing frameworks.
* Solid understanding of data warehousing, data lakes, and cloud\-native architectures.
* Familiarity with DevOps practices and tools such as CloudFormation, Terraform, or CI/CD pipelines is a plus.</t>
        </is>
      </c>
    </row>
    <row r="122">
      <c r="A122" t="inlineStr">
        <is>
          <t>li-4330570335</t>
        </is>
      </c>
      <c r="B122" t="inlineStr">
        <is>
          <t>Data Engineer with Migration and Machine Learning Exp - Juno Beach, FL (Onsite)</t>
        </is>
      </c>
      <c r="C122" t="inlineStr">
        <is>
          <t>Jobs via Dice</t>
        </is>
      </c>
      <c r="D122" t="inlineStr">
        <is>
          <t>linkedin</t>
        </is>
      </c>
      <c r="E122">
        <f>HYPERLINK("https://www.linkedin.com/jobs/view/4330570335", "https://www.linkedin.com/jobs/view/4330570335")</f>
        <v/>
      </c>
      <c r="F122">
        <f>HYPERLINK("https://click.appcast.io/t/r5J9ilOwe_0BUjq5YTRXaXCRWnMoK5fmDesrWXHO2OU=&amp;urlHash=1TVc", "https://click.appcast.io/t/r5J9ilOwe_0BUjq5YTRXaXCRWnMoK5fmDesrWXHO2OU=&amp;urlHash=1TVc")</f>
        <v/>
      </c>
      <c r="G122" t="inlineStr">
        <is>
          <t>West Palm Beach, FL</t>
        </is>
      </c>
      <c r="H122" t="inlineStr"/>
      <c r="I122" t="inlineStr">
        <is>
          <t>**Position:
 **Data Engineer****
**Duration:** 
**8\-12 months \- possible extension**
**Location:** 
**Juno Beach, FL (5 days Onsite)**
 Initiative: Client is currently shifting their data from MS Dynamics \- On Prem Databases in SQL 2016, to Salesforce.com Databases. In this position, you will work to transform complex data into actionable insights that drive real business impact in clean energy.
 **DO NOT NEED SALESFORCE EXPERIENCE**
**Top Skills Needed** 
 :
* Ability to design, prototype, and ability to communicate technical insights with leadership \- strong foundation in statistics and machine learning
* SQL Expertise
* Python/R expertise
* ML expertise
**Key responsibilities include** 
 :
* Building predictive models
* Running experiments
* Collaborating across teams to deliver measurable results using Python/R, SQL, and ML frameworks
**We are looking for candidates with:**
* A strong foundation in statistics and machine learning
* Data visualization skills
* The ability to communicate technical insights to business stakeholders
**Best Regards,**
 Vishal
 Truth Lies in Heart</t>
        </is>
      </c>
    </row>
    <row r="123">
      <c r="A123" t="inlineStr">
        <is>
          <t>li-4330530422</t>
        </is>
      </c>
      <c r="B123" t="inlineStr">
        <is>
          <t>Need Data Engineer - Columbus, OH / Jersey City, NJ</t>
        </is>
      </c>
      <c r="C123" t="inlineStr">
        <is>
          <t>Jobs via Dice</t>
        </is>
      </c>
      <c r="D123" t="inlineStr">
        <is>
          <t>linkedin</t>
        </is>
      </c>
      <c r="E123">
        <f>HYPERLINK("https://www.linkedin.com/jobs/view/4330530422", "https://www.linkedin.com/jobs/view/4330530422")</f>
        <v/>
      </c>
      <c r="F123" t="inlineStr"/>
      <c r="G123" t="inlineStr">
        <is>
          <t>Columbus, OH</t>
        </is>
      </c>
      <c r="H123" t="inlineStr"/>
      <c r="I123" t="inlineStr">
        <is>
          <t>Dice is the leading career destination for tech experts at every stage of their careers. Our client, Radiantze, is seeking the following. Apply via Dice today!
**Role: Data Engineer**
**Location: Columbus, OH / Jersey City, NJ**
**Duration: Long Term**
**Responsibilities:**
* Design, develop, and maintain data pipelines (ETL/ELT)
* Work with structured and semi\-structured data from multiple sources
* Assist in data warehousing and database optimization
* Write and optimize SQL queries for large datasets
* Collaborate with data analysts, data scientists, and backend teams
* Support data integration, validation, and quality checks
* Learn and apply big data and cloud data technologies
* Assist in monitoring and troubleshooting data workflows
**Required Skills:**
* Strong understanding of SQL
* Basic knowledge of Python (or Scala/Java)
* Understanding of ETL concepts and data pipelines
* Familiarity with relational databases (MySQL, PostgreSQL, SQL Server, etc.)
* Basic knowledge of data warehousing concepts
* Exposure to tools like Airflow, Spark, Hadoop (academic or project level is fine)
* Familiarity with Git / GitHub
* Strong problem\-solving and learning mindset
**Nice to Have (Not Mandatory):**
* Exposure to cloud platforms (AWS / Azure / Google Cloud Platform)
* Experience with Snowflake, Redshift, BigQuery, or Databricks
* Knowledge of data modeling and performance tuning
 Regards,
 Radiantze Inc</t>
        </is>
      </c>
    </row>
    <row r="124">
      <c r="A124" t="inlineStr">
        <is>
          <t>li-4330530412</t>
        </is>
      </c>
      <c r="B124" t="inlineStr">
        <is>
          <t>Data Engineer with AWS Exp-Onsite-Full Time</t>
        </is>
      </c>
      <c r="C124" t="inlineStr">
        <is>
          <t>Jobs via Dice</t>
        </is>
      </c>
      <c r="D124" t="inlineStr">
        <is>
          <t>linkedin</t>
        </is>
      </c>
      <c r="E124">
        <f>HYPERLINK("https://www.linkedin.com/jobs/view/4330530412", "https://www.linkedin.com/jobs/view/4330530412")</f>
        <v/>
      </c>
      <c r="F124" t="inlineStr"/>
      <c r="G124" t="inlineStr">
        <is>
          <t>Herndon, VA</t>
        </is>
      </c>
      <c r="H124" t="inlineStr"/>
      <c r="I124" t="inlineStr">
        <is>
          <t>Dice is the leading career destination for tech experts at every stage of their careers. Our client, Visionary Innovative Technology Solutions, is seeking the following. Apply via Dice today!
**Job Title:** 
 AWS Data Engineer (Python, PySpark)
**Job Type:** 
 Full\-Time
 Role \&amp; Responsibilities
* Design and Development: Design, develop, and maintain robust, scalable AWS\-based data pipelines for batch and real\-time processing.
* ETL Implementation: Implement efficient Extract, Transform, Load (ETL) and ELT processes, ensuring data integrity, quality, and optimal performance using AWS services.
* Big Data Processing: Utilize PySpark and Apache Spark to process large\-scale datasets within the AWS ecosystem (e.g., AWS Glue, EMR).
* AWS Services Management: Work extensively with AWS cloud data services, including Amazon S3 (for data lake storage), AWS Glue, EMR, Redshift (data warehousing), Lambda, Athena, and Step Functions.
* Collaboration: Collaborate with cross\-functional teams, including data scientists, analysts, and application developers, to understand data requirements and integrate data engineering solutions into broader business applications.
* Optimization and Troubleshooting: Monitor, troubleshoot, and optimize existing data workflows and infrastructure to ensure high availability, scalability, security, and cost\-effectiveness.
* Best Practices: Apply software engineering best practices, including version control (Git), documentation, CI/CD pipelines, and infrastructure\-as\-code (e.g., CloudFormation, Terraform).
* Database Management: Work with both SQL and NoSQL databases, writing complex queries and performing query optimization.
**Required Skills \&amp; Qualifications**
* Experience: Proven hands\-on experience in AWS data engineering, with expertise in Python and PySpark.
* Programming: Strong proficiency in Python, PySpark, and SQL.
* AWS Expertise: In\-depth experience with the AWS data stack: S3, Glue, EMR, Redshift, Lambda, and Athena.
* Data Fundamentals: Deep understanding of data modeling, data warehousing concepts, data lake architecture, and performance optimization techniques.
* Tools: Familiarity with workflow management/orchestration tools like Apache Airflow.
* Problem Solving: Strong analytical and problem\-solving skills.</t>
        </is>
      </c>
    </row>
    <row r="125">
      <c r="A125" t="inlineStr">
        <is>
          <t>li-4330450450</t>
        </is>
      </c>
      <c r="B125" t="inlineStr">
        <is>
          <t>Data Engineer - Databricks (12+ Years) | W2 / C2C | Local or Nearby | Boston, MA / Jersey City, NJ | 5 Days Onsite</t>
        </is>
      </c>
      <c r="C125" t="inlineStr">
        <is>
          <t>Jobs via Dice</t>
        </is>
      </c>
      <c r="D125" t="inlineStr">
        <is>
          <t>linkedin</t>
        </is>
      </c>
      <c r="E125">
        <f>HYPERLINK("https://www.linkedin.com/jobs/view/4330450450", "https://www.linkedin.com/jobs/view/4330450450")</f>
        <v/>
      </c>
      <c r="F125">
        <f>HYPERLINK("https://click.appcast.io/t/8AlV6hc0_BP4_V4XqegJTNR1KIx3eSqOH1TOETydMnA=&amp;urlHash=Mz06", "https://click.appcast.io/t/8AlV6hc0_BP4_V4XqegJTNR1KIx3eSqOH1TOETydMnA=&amp;urlHash=Mz06")</f>
        <v/>
      </c>
      <c r="G125" t="inlineStr">
        <is>
          <t>Jersey City, NJ</t>
        </is>
      </c>
      <c r="H125" t="inlineStr"/>
      <c r="I125" t="inlineStr">
        <is>
          <t>Dice is the leading career destination for tech experts at every stage of their careers. Our client, Zuven Technologies Inc, is seeking the following. Apply via Dice today!
* Databricks Data Engineer Location: Boston, MA / Jersey City, NJ (5 Days Onsite) Experience: 12 \- 18\+ Years Skills: Python, PySpark, Databricks, AWS Glue
 Profiles:
 **Local candidates or nearby is a plus**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2026-01-05T22:41:38Z</dcterms:created>
  <dcterms:modified xsi:type="dcterms:W3CDTF">2026-01-05T22:41:38Z</dcterms:modified>
</cp:coreProperties>
</file>